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1680"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InpC" sheetId="3" state="visible" r:id="rId3"/>
    <sheet xmlns:r="http://schemas.openxmlformats.org/officeDocument/2006/relationships" name="InpS" sheetId="4" state="visible" r:id="rId4"/>
    <sheet xmlns:r="http://schemas.openxmlformats.org/officeDocument/2006/relationships" name="Time" sheetId="5" state="visible" r:id="rId5"/>
    <sheet xmlns:r="http://schemas.openxmlformats.org/officeDocument/2006/relationships" name="Esc" sheetId="6" state="visible" r:id="rId6"/>
    <sheet xmlns:r="http://schemas.openxmlformats.org/officeDocument/2006/relationships" name="OpRev" sheetId="7" state="visible" r:id="rId7"/>
    <sheet xmlns:r="http://schemas.openxmlformats.org/officeDocument/2006/relationships" name="OpCost" sheetId="8" state="visible" r:id="rId8"/>
    <sheet xmlns:r="http://schemas.openxmlformats.org/officeDocument/2006/relationships" name="Tax" sheetId="9" state="visible" r:id="rId9"/>
    <sheet xmlns:r="http://schemas.openxmlformats.org/officeDocument/2006/relationships" name="NCA" sheetId="10" state="visible" r:id="rId10"/>
    <sheet xmlns:r="http://schemas.openxmlformats.org/officeDocument/2006/relationships" name="Debt" sheetId="11" state="visible" r:id="rId11"/>
    <sheet xmlns:r="http://schemas.openxmlformats.org/officeDocument/2006/relationships" name="Equity" sheetId="12" state="visible" r:id="rId12"/>
    <sheet xmlns:r="http://schemas.openxmlformats.org/officeDocument/2006/relationships" name="FinStat" sheetId="13" state="visible" r:id="rId13"/>
    <sheet xmlns:r="http://schemas.openxmlformats.org/officeDocument/2006/relationships" name="Val" sheetId="14" state="visible" r:id="rId14"/>
    <sheet xmlns:r="http://schemas.openxmlformats.org/officeDocument/2006/relationships" name="Track" sheetId="15" state="visible" r:id="rId15"/>
  </sheets>
  <definedNames>
    <definedName name="CHK_TOL">InpC!$F$101</definedName>
    <definedName name="SMU">InpC!$F$103</definedName>
    <definedName name="LIVE_RESULTS">Track!$H$8:$H$69</definedName>
    <definedName name="TRACK_ACTIVE">Track!$H$5</definedName>
    <definedName name="TRK_COMMENT">Track!$H$77:$H$78</definedName>
    <definedName name="unit">InpC!$F$102</definedName>
    <definedName name="_xlnm.Print_Titles" localSheetId="2">'InpC'!$1:$5,'InpC'!$A:$G</definedName>
    <definedName name="_xlnm.Print_Titles" localSheetId="3">'InpS'!$1:$5,'InpS'!$A:$G</definedName>
    <definedName name="_xlnm.Print_Titles" localSheetId="4">'Time'!$1:$5,'Time'!$A:$G</definedName>
    <definedName name="_xlnm.Print_Area" localSheetId="4">'Time'!$A$1:$CO$111</definedName>
    <definedName name="_xlnm.Print_Titles" localSheetId="5">'Esc'!$1:$5,'Esc'!$A:$G</definedName>
    <definedName name="_xlnm.Print_Titles" localSheetId="6">'OpRev'!$1:$5,'OpRev'!$A:$G</definedName>
    <definedName name="_xlnm.Print_Titles" localSheetId="7">'OpCost'!$1:$5,'OpCost'!$A:$G</definedName>
    <definedName name="_xlnm.Print_Titles" localSheetId="8">'Tax'!$1:$5,'Tax'!$A:$G</definedName>
    <definedName name="_xlnm.Print_Titles" localSheetId="9">'NCA'!$1:$5,'NCA'!$A:$G</definedName>
    <definedName name="_xlnm.Print_Titles" localSheetId="10">'Debt'!$1:$5,'Debt'!$A:$G</definedName>
    <definedName name="_xlnm.Print_Titles" localSheetId="11">'Equity'!$1:$5,'Equity'!$A:$G</definedName>
    <definedName name="_xlnm.Print_Titles" localSheetId="12">'FinStat'!$1:$5,'FinStat'!$A:$G</definedName>
    <definedName name="_xlnm.Print_Titles" localSheetId="13">'Val'!$1:$5,'Val'!$A:$G</definedName>
    <definedName name="_xlnm.Print_Titles" localSheetId="14">'Track'!$1:$2,'Track'!$A:$G</definedName>
  </definedNames>
  <calcPr calcId="191029" calcMode="auto" fullCalcOnLoad="1" iterateDelta="0.0001"/>
</workbook>
</file>

<file path=xl/styles.xml><?xml version="1.0" encoding="utf-8"?>
<styleSheet xmlns="http://schemas.openxmlformats.org/spreadsheetml/2006/main">
  <numFmts count="17">
    <numFmt numFmtId="164" formatCode="#,##0_);\(#,##0\);&quot;-  &quot;;&quot; &quot;@&quot; &quot;"/>
    <numFmt numFmtId="165" formatCode="#,##0_);\(#,##0\);&quot;-  &quot;;&quot; &quot;@"/>
    <numFmt numFmtId="166" formatCode="dd\ mmm\ yy_);\(###0\);&quot;-  &quot;;&quot; &quot;@&quot; &quot;"/>
    <numFmt numFmtId="167" formatCode="dd\ mmm\ yyyy_);\(###0\);&quot;-  &quot;;&quot; &quot;@&quot; &quot;"/>
    <numFmt numFmtId="168" formatCode="0.00_)%_);\(0.00\)%_);&quot;-  &quot;;&quot; &quot;@&quot; &quot;"/>
    <numFmt numFmtId="169" formatCode="#,##0.0000_);\(#,##0.0000\);&quot;-  &quot;;&quot; &quot;@&quot; &quot;"/>
    <numFmt numFmtId="170" formatCode="###0_);\(#,##0\);&quot;-  &quot;;&quot; &quot;@"/>
    <numFmt numFmtId="171" formatCode="#,##0.0_);\(#,##0.0\);&quot;-  &quot;;&quot; &quot;@"/>
    <numFmt numFmtId="172" formatCode="dd\ mmm\ yyyy_);;&quot;-  &quot;;&quot; &quot;@"/>
    <numFmt numFmtId="173" formatCode="0.00%_);\-0.00%_);&quot;-  &quot;;&quot; &quot;@"/>
    <numFmt numFmtId="174" formatCode="[$-F400]h:mm:ss\ AM/PM"/>
    <numFmt numFmtId="175" formatCode="###0_);\(###0\);&quot;-  &quot;;&quot; &quot;@&quot; &quot;"/>
    <numFmt numFmtId="176" formatCode="0.00_);(0.00)"/>
    <numFmt numFmtId="177" formatCode="0.00&quot;x&quot;"/>
    <numFmt numFmtId="178" formatCode="#,##0_);(#,##0);&quot;-  &quot;"/>
    <numFmt numFmtId="179" formatCode="0.0%"/>
    <numFmt numFmtId="180" formatCode="dd mmm yyyy"/>
  </numFmts>
  <fonts count="42">
    <font>
      <name val="Calibri"/>
      <family val="2"/>
      <color theme="1"/>
      <sz val="11"/>
      <scheme val="minor"/>
    </font>
    <font>
      <name val="Calibri"/>
      <family val="2"/>
      <color theme="1"/>
      <sz val="11"/>
      <scheme val="minor"/>
    </font>
    <font>
      <name val="Arial"/>
      <family val="2"/>
      <sz val="10"/>
    </font>
    <font>
      <name val="Arial"/>
      <family val="2"/>
      <b val="1"/>
      <sz val="20"/>
    </font>
    <font>
      <name val="Arial"/>
      <family val="2"/>
      <b val="1"/>
      <sz val="10"/>
    </font>
    <font>
      <name val="Arial"/>
      <family val="2"/>
      <sz val="10"/>
      <u val="single"/>
    </font>
    <font>
      <name val="Arial"/>
      <family val="2"/>
      <b val="1"/>
      <sz val="10"/>
      <u val="single"/>
    </font>
    <font>
      <name val="Arial"/>
      <family val="2"/>
      <color rgb="FF000000"/>
      <sz val="10"/>
    </font>
    <font>
      <name val="Arial"/>
      <family val="2"/>
      <color rgb="FF0000FF"/>
      <sz val="10"/>
    </font>
    <font>
      <name val="Arial"/>
      <family val="2"/>
      <color indexed="12"/>
      <sz val="10"/>
    </font>
    <font>
      <name val="Arial"/>
      <family val="2"/>
      <b val="1"/>
      <color rgb="FFFF0000"/>
      <sz val="10"/>
    </font>
    <font>
      <name val="Arial"/>
      <family val="2"/>
      <color rgb="FFFF0000"/>
      <sz val="10"/>
      <u val="single"/>
    </font>
    <font>
      <name val="Arial"/>
      <family val="2"/>
      <color rgb="FFFF0000"/>
      <sz val="10"/>
    </font>
    <font>
      <name val="Arial"/>
      <family val="2"/>
      <b val="1"/>
      <color indexed="10"/>
      <sz val="10"/>
    </font>
    <font>
      <name val="Arial"/>
      <family val="2"/>
      <color indexed="10"/>
      <sz val="10"/>
      <u val="single"/>
    </font>
    <font>
      <name val="Arial"/>
      <family val="2"/>
      <color indexed="10"/>
      <sz val="10"/>
    </font>
    <font>
      <name val="Arial"/>
      <family val="2"/>
      <sz val="20"/>
      <u val="single"/>
    </font>
    <font>
      <name val="Arial"/>
      <family val="2"/>
      <sz val="20"/>
    </font>
    <font>
      <name val="Arial"/>
      <family val="2"/>
      <color indexed="48"/>
      <sz val="16"/>
      <u val="single"/>
    </font>
    <font>
      <name val="Arial"/>
      <family val="2"/>
      <i val="1"/>
      <sz val="20"/>
    </font>
    <font>
      <name val="Arial"/>
      <family val="2"/>
      <color indexed="12"/>
      <sz val="16"/>
    </font>
    <font>
      <name val="Arial"/>
      <family val="2"/>
      <b val="1"/>
      <color rgb="FF000000"/>
      <sz val="10"/>
    </font>
    <font>
      <name val="Arial"/>
      <family val="2"/>
      <color rgb="FF000000"/>
      <sz val="10"/>
      <u val="single"/>
    </font>
    <font>
      <name val="Arial"/>
      <family val="2"/>
      <b val="1"/>
      <color rgb="FF0000FF"/>
      <sz val="10"/>
    </font>
    <font>
      <name val="Arial"/>
      <family val="2"/>
      <color rgb="FF0000FF"/>
      <sz val="10"/>
      <u val="single"/>
    </font>
    <font>
      <b val="1"/>
      <color rgb="00141B4D"/>
    </font>
    <font>
      <name val="Georgia"/>
      <b val="1"/>
      <color rgb="00FFFFFF"/>
      <sz val="22"/>
    </font>
    <font>
      <name val="Calibri"/>
      <color rgb="00F0C06A"/>
      <sz val="12"/>
    </font>
    <font>
      <name val="Calibri"/>
      <color rgb="00C9D3F5"/>
      <sz val="11"/>
    </font>
    <font>
      <b val="1"/>
      <color rgb="000B5E82"/>
    </font>
    <font>
      <b val="1"/>
      <color rgb="001E7B34"/>
      <sz val="13"/>
    </font>
    <font>
      <b val="1"/>
    </font>
    <font>
      <b val="1"/>
      <color rgb="000B5E82"/>
      <u val="single"/>
    </font>
    <font>
      <b val="1"/>
      <color rgb="000000FF"/>
    </font>
    <font>
      <b val="1"/>
      <color rgb="00FF0000"/>
    </font>
    <font>
      <b val="1"/>
      <color rgb="00000000"/>
    </font>
    <font>
      <name val="Georgia"/>
      <b val="1"/>
      <color rgb="00FFFFFF"/>
      <sz val="20"/>
    </font>
    <font>
      <b val="1"/>
      <color rgb="00F0C06A"/>
      <sz val="13"/>
    </font>
    <font>
      <b val="1"/>
      <color rgb="00FFFFFF"/>
      <sz val="12"/>
    </font>
    <font>
      <b val="1"/>
      <color rgb="005C6B7A"/>
      <sz val="10"/>
    </font>
    <font>
      <name val="Georgia"/>
      <b val="1"/>
      <color rgb="00141B4D"/>
      <sz val="18"/>
    </font>
    <font>
      <name val="Calibri"/>
      <b val="1"/>
      <color rgb="00FFFFFF"/>
    </font>
  </fonts>
  <fills count="17">
    <fill>
      <patternFill/>
    </fill>
    <fill>
      <patternFill patternType="gray125"/>
    </fill>
    <fill>
      <patternFill patternType="solid">
        <fgColor rgb="FFDDDDDD"/>
        <bgColor indexed="64"/>
      </patternFill>
    </fill>
    <fill>
      <patternFill patternType="solid">
        <fgColor indexed="11"/>
        <bgColor indexed="64"/>
      </patternFill>
    </fill>
    <fill>
      <patternFill patternType="solid">
        <fgColor theme="4"/>
        <bgColor indexed="64"/>
      </patternFill>
    </fill>
    <fill>
      <patternFill patternType="solid">
        <fgColor rgb="FFFFFF99"/>
        <bgColor indexed="64"/>
      </patternFill>
    </fill>
    <fill>
      <patternFill patternType="solid">
        <fgColor indexed="43"/>
        <bgColor indexed="64"/>
      </patternFill>
    </fill>
    <fill>
      <patternFill patternType="solid">
        <fgColor rgb="FFC0C0C0"/>
        <bgColor indexed="64"/>
      </patternFill>
    </fill>
    <fill>
      <patternFill patternType="solid">
        <fgColor indexed="44"/>
        <bgColor indexed="64"/>
      </patternFill>
    </fill>
    <fill>
      <patternFill patternType="solid">
        <fgColor indexed="22"/>
        <bgColor indexed="64"/>
      </patternFill>
    </fill>
    <fill>
      <patternFill patternType="solid">
        <fgColor indexed="13"/>
        <bgColor indexed="64"/>
      </patternFill>
    </fill>
    <fill>
      <patternFill patternType="solid">
        <fgColor rgb="FF92D050"/>
        <bgColor indexed="64"/>
      </patternFill>
    </fill>
    <fill>
      <patternFill patternType="solid">
        <fgColor indexed="41"/>
        <bgColor indexed="64"/>
      </patternFill>
    </fill>
    <fill>
      <patternFill patternType="solid">
        <fgColor rgb="FFFFFF00"/>
        <bgColor indexed="64"/>
      </patternFill>
    </fill>
    <fill>
      <patternFill patternType="solid">
        <fgColor rgb="00FFFF99"/>
      </patternFill>
    </fill>
    <fill>
      <patternFill patternType="solid">
        <fgColor rgb="00141B4D"/>
      </patternFill>
    </fill>
    <fill>
      <patternFill patternType="solid">
        <fgColor rgb="00F3F6F9"/>
      </patternFill>
    </fill>
  </fills>
  <borders count="8">
    <border>
      <left/>
      <right/>
      <top/>
      <bottom/>
      <diagonal/>
    </border>
    <border>
      <left/>
      <right/>
      <top style="thin">
        <color indexed="23"/>
      </top>
      <bottom style="thin">
        <color indexed="23"/>
      </bottom>
      <diagonal/>
    </border>
    <border>
      <left/>
      <right/>
      <top style="thin">
        <color indexed="23"/>
      </top>
      <bottom/>
      <diagonal/>
    </border>
    <border>
      <left/>
      <right/>
      <top/>
      <bottom style="thin">
        <color indexed="23"/>
      </bottom>
      <diagonal/>
    </border>
    <border>
      <left/>
      <right/>
      <top style="thin">
        <color rgb="FF808080"/>
      </top>
      <bottom style="thin">
        <color rgb="FF808080"/>
      </bottom>
      <diagonal/>
    </border>
    <border>
      <left style="thin">
        <color indexed="64"/>
      </left>
      <right style="thin">
        <color indexed="64"/>
      </right>
      <top style="thin">
        <color indexed="64"/>
      </top>
      <bottom style="thin">
        <color indexed="64"/>
      </bottom>
      <diagonal/>
    </border>
    <border>
      <left/>
      <right/>
      <top style="thin">
        <color rgb="FF808080"/>
      </top>
      <bottom/>
      <diagonal/>
    </border>
    <border>
      <left/>
      <right/>
      <top/>
      <bottom style="thin">
        <color rgb="FF808080"/>
      </bottom>
      <diagonal/>
    </border>
  </borders>
  <cellStyleXfs count="9">
    <xf numFmtId="164" fontId="1" fillId="0" borderId="0" applyAlignment="1">
      <alignment vertical="top"/>
    </xf>
    <xf numFmtId="168" fontId="1" fillId="0" borderId="0" applyAlignment="1">
      <alignment vertical="top"/>
    </xf>
    <xf numFmtId="164" fontId="2" fillId="0" borderId="0" applyAlignment="1">
      <alignment vertical="top"/>
    </xf>
    <xf numFmtId="165" fontId="2" fillId="0" borderId="0" applyAlignment="1">
      <alignment vertical="top"/>
    </xf>
    <xf numFmtId="166" fontId="2" fillId="0" borderId="0" applyAlignment="1">
      <alignment vertical="top"/>
    </xf>
    <xf numFmtId="167" fontId="2" fillId="0" borderId="0" applyAlignment="1">
      <alignment vertical="top"/>
    </xf>
    <xf numFmtId="168" fontId="2" fillId="0" borderId="0" applyAlignment="1">
      <alignment vertical="top"/>
    </xf>
    <xf numFmtId="169" fontId="2" fillId="0" borderId="0" applyAlignment="1">
      <alignment vertical="top"/>
    </xf>
    <xf numFmtId="175" fontId="2" fillId="0" borderId="0" applyAlignment="1">
      <alignment vertical="top"/>
    </xf>
  </cellStyleXfs>
  <cellXfs count="516">
    <xf numFmtId="164" fontId="0" fillId="0" borderId="0" applyAlignment="1" pivotButton="0" quotePrefix="0" xfId="0">
      <alignment vertical="top"/>
    </xf>
    <xf numFmtId="164" fontId="3" fillId="0" borderId="0" applyAlignment="1" pivotButton="0" quotePrefix="0" xfId="2">
      <alignment vertical="top"/>
    </xf>
    <xf numFmtId="164" fontId="4" fillId="0" borderId="0" applyAlignment="1" pivotButton="0" quotePrefix="0" xfId="2">
      <alignment vertical="top"/>
    </xf>
    <xf numFmtId="164" fontId="5" fillId="0" borderId="0" applyAlignment="1" pivotButton="0" quotePrefix="0" xfId="2">
      <alignment vertical="top"/>
    </xf>
    <xf numFmtId="164" fontId="2" fillId="0" borderId="0" applyAlignment="1" pivotButton="0" quotePrefix="0" xfId="2">
      <alignment horizontal="right" vertical="top"/>
    </xf>
    <xf numFmtId="164" fontId="2" fillId="0" borderId="0" applyAlignment="1" pivotButton="0" quotePrefix="0" xfId="2">
      <alignment vertical="top"/>
    </xf>
    <xf numFmtId="164" fontId="2" fillId="2" borderId="0" applyAlignment="1" pivotButton="0" quotePrefix="0" xfId="2">
      <alignment vertical="top"/>
    </xf>
    <xf numFmtId="165" fontId="2" fillId="3" borderId="0" applyAlignment="1" pivotButton="0" quotePrefix="0" xfId="3">
      <alignment vertical="top"/>
    </xf>
    <xf numFmtId="164" fontId="2" fillId="4" borderId="0" applyAlignment="1" pivotButton="0" quotePrefix="0" xfId="2">
      <alignment horizontal="right" vertical="top"/>
    </xf>
    <xf numFmtId="164" fontId="4" fillId="0" borderId="0" applyAlignment="1" pivotButton="0" quotePrefix="0" xfId="2">
      <alignment vertical="top"/>
    </xf>
    <xf numFmtId="164" fontId="5" fillId="0" borderId="0" applyAlignment="1" pivotButton="0" quotePrefix="0" xfId="2">
      <alignment vertical="top"/>
    </xf>
    <xf numFmtId="164" fontId="2" fillId="0" borderId="0" applyAlignment="1" pivotButton="0" quotePrefix="0" xfId="2">
      <alignment horizontal="right" vertical="top"/>
    </xf>
    <xf numFmtId="164" fontId="2" fillId="0" borderId="0" applyAlignment="1" pivotButton="0" quotePrefix="0" xfId="2">
      <alignment vertical="top"/>
    </xf>
    <xf numFmtId="164" fontId="2" fillId="0" borderId="0" applyAlignment="1" pivotButton="0" quotePrefix="0" xfId="2">
      <alignment vertical="top"/>
    </xf>
    <xf numFmtId="164" fontId="2" fillId="0" borderId="0" applyAlignment="1" pivotButton="0" quotePrefix="0" xfId="2">
      <alignment vertical="top"/>
    </xf>
    <xf numFmtId="164" fontId="2" fillId="2" borderId="0" applyAlignment="1" pivotButton="0" quotePrefix="0" xfId="2">
      <alignment vertical="top"/>
    </xf>
    <xf numFmtId="166" fontId="4" fillId="0" borderId="0" applyAlignment="1" pivotButton="0" quotePrefix="0" xfId="4">
      <alignment vertical="top"/>
    </xf>
    <xf numFmtId="166" fontId="6" fillId="0" borderId="0" applyAlignment="1" pivotButton="0" quotePrefix="0" xfId="4">
      <alignment vertical="top"/>
    </xf>
    <xf numFmtId="166" fontId="4" fillId="0" borderId="0" applyAlignment="1" pivotButton="0" quotePrefix="0" xfId="4">
      <alignment horizontal="right" vertical="top"/>
    </xf>
    <xf numFmtId="166" fontId="2" fillId="0" borderId="0" applyAlignment="1" pivotButton="0" quotePrefix="0" xfId="4">
      <alignment vertical="top"/>
    </xf>
    <xf numFmtId="164" fontId="4" fillId="0" borderId="0" applyAlignment="1" pivotButton="0" quotePrefix="0" xfId="2">
      <alignment horizontal="right" vertical="top"/>
    </xf>
    <xf numFmtId="166" fontId="4" fillId="2" borderId="0" applyAlignment="1" pivotButton="0" quotePrefix="0" xfId="4">
      <alignment vertical="top"/>
    </xf>
    <xf numFmtId="167" fontId="4" fillId="0" borderId="0" applyAlignment="1" pivotButton="0" quotePrefix="0" xfId="5">
      <alignment vertical="top"/>
    </xf>
    <xf numFmtId="167" fontId="5" fillId="0" borderId="0" applyAlignment="1" pivotButton="0" quotePrefix="0" xfId="5">
      <alignment vertical="top"/>
    </xf>
    <xf numFmtId="167" fontId="2" fillId="0" borderId="0" applyAlignment="1" pivotButton="0" quotePrefix="0" xfId="5">
      <alignment horizontal="right" vertical="top"/>
    </xf>
    <xf numFmtId="167" fontId="2" fillId="0" borderId="0" applyAlignment="1" pivotButton="0" quotePrefix="0" xfId="5">
      <alignment vertical="top"/>
    </xf>
    <xf numFmtId="167" fontId="2" fillId="2" borderId="0" applyAlignment="1" pivotButton="0" quotePrefix="0" xfId="5">
      <alignment vertical="top"/>
    </xf>
    <xf numFmtId="167" fontId="2" fillId="0" borderId="0" applyAlignment="1" pivotButton="0" quotePrefix="0" xfId="5">
      <alignment vertical="top"/>
    </xf>
    <xf numFmtId="166" fontId="2" fillId="0" borderId="0" applyAlignment="1" pivotButton="0" quotePrefix="0" xfId="4">
      <alignment vertical="top"/>
    </xf>
    <xf numFmtId="164" fontId="2" fillId="2" borderId="0" applyAlignment="1" pivotButton="0" quotePrefix="0" xfId="2">
      <alignment vertical="top"/>
    </xf>
    <xf numFmtId="165" fontId="4" fillId="0" borderId="0" applyAlignment="1" pivotButton="0" quotePrefix="0" xfId="3">
      <alignment vertical="top"/>
    </xf>
    <xf numFmtId="165" fontId="5" fillId="0" borderId="0" applyAlignment="1" pivotButton="0" quotePrefix="0" xfId="3">
      <alignment vertical="top"/>
    </xf>
    <xf numFmtId="165" fontId="2" fillId="0" borderId="0" applyAlignment="1" pivotButton="0" quotePrefix="0" xfId="3">
      <alignment horizontal="right" vertical="top"/>
    </xf>
    <xf numFmtId="165" fontId="2" fillId="0" borderId="0" applyAlignment="1" pivotButton="0" quotePrefix="0" xfId="3">
      <alignment vertical="top"/>
    </xf>
    <xf numFmtId="164" fontId="2" fillId="0" borderId="0" applyAlignment="1" pivotButton="0" quotePrefix="0" xfId="2">
      <alignment vertical="top"/>
    </xf>
    <xf numFmtId="165" fontId="0" fillId="0" borderId="0" applyAlignment="1" pivotButton="0" quotePrefix="0" xfId="3">
      <alignment vertical="top"/>
    </xf>
    <xf numFmtId="164" fontId="5" fillId="0" borderId="0" applyAlignment="1" pivotButton="0" quotePrefix="0" xfId="2">
      <alignment horizontal="right" vertical="top"/>
    </xf>
    <xf numFmtId="164" fontId="5" fillId="0" borderId="0" applyAlignment="1" pivotButton="0" quotePrefix="0" xfId="2">
      <alignment horizontal="right" vertical="top"/>
    </xf>
    <xf numFmtId="168" fontId="2" fillId="0" borderId="0" applyAlignment="1" pivotButton="0" quotePrefix="0" xfId="6">
      <alignment vertical="top"/>
    </xf>
    <xf numFmtId="165" fontId="4" fillId="0" borderId="0" applyAlignment="1" pivotButton="0" quotePrefix="0" xfId="2">
      <alignment vertical="top"/>
    </xf>
    <xf numFmtId="165" fontId="5" fillId="0" borderId="0" applyAlignment="1" pivotButton="0" quotePrefix="0" xfId="2">
      <alignment vertical="top"/>
    </xf>
    <xf numFmtId="165" fontId="2" fillId="0" borderId="0" applyAlignment="1" pivotButton="0" quotePrefix="0" xfId="2">
      <alignment horizontal="right" vertical="top"/>
    </xf>
    <xf numFmtId="165" fontId="2" fillId="0" borderId="0" applyAlignment="1" pivotButton="0" quotePrefix="0" xfId="3">
      <alignment vertical="top"/>
    </xf>
    <xf numFmtId="165" fontId="2" fillId="2" borderId="0" applyAlignment="1" pivotButton="0" quotePrefix="0" xfId="2">
      <alignment vertical="top"/>
    </xf>
    <xf numFmtId="165" fontId="2" fillId="5" borderId="0" applyAlignment="1" pivotButton="0" quotePrefix="0" xfId="3">
      <alignment vertical="top"/>
    </xf>
    <xf numFmtId="165" fontId="2" fillId="0" borderId="0" applyAlignment="1" pivotButton="0" quotePrefix="0" xfId="2">
      <alignment vertical="top"/>
    </xf>
    <xf numFmtId="169" fontId="4" fillId="0" borderId="0" applyAlignment="1" pivotButton="0" quotePrefix="0" xfId="2">
      <alignment vertical="top"/>
    </xf>
    <xf numFmtId="169" fontId="5" fillId="0" borderId="0" applyAlignment="1" pivotButton="0" quotePrefix="0" xfId="2">
      <alignment vertical="top"/>
    </xf>
    <xf numFmtId="169" fontId="2" fillId="0" borderId="0" applyAlignment="1" pivotButton="0" quotePrefix="0" xfId="2">
      <alignment horizontal="right" vertical="top"/>
    </xf>
    <xf numFmtId="169" fontId="2" fillId="0" borderId="0" applyAlignment="1" pivotButton="0" quotePrefix="0" xfId="2">
      <alignment vertical="top"/>
    </xf>
    <xf numFmtId="169" fontId="2" fillId="0" borderId="0" applyAlignment="1" pivotButton="0" quotePrefix="0" xfId="7">
      <alignment vertical="top"/>
    </xf>
    <xf numFmtId="169" fontId="2" fillId="2" borderId="0" applyAlignment="1" pivotButton="0" quotePrefix="0" xfId="2">
      <alignment vertical="top"/>
    </xf>
    <xf numFmtId="169" fontId="2" fillId="0" borderId="0" applyAlignment="1" pivotButton="0" quotePrefix="0" xfId="2">
      <alignment vertical="top"/>
    </xf>
    <xf numFmtId="168" fontId="4" fillId="0" borderId="0" applyAlignment="1" pivotButton="0" quotePrefix="0" xfId="2">
      <alignment vertical="top"/>
    </xf>
    <xf numFmtId="168" fontId="5" fillId="0" borderId="0" applyAlignment="1" pivotButton="0" quotePrefix="0" xfId="2">
      <alignment vertical="top"/>
    </xf>
    <xf numFmtId="168" fontId="2" fillId="0" borderId="0" applyAlignment="1" pivotButton="0" quotePrefix="0" xfId="2">
      <alignment horizontal="right" vertical="top"/>
    </xf>
    <xf numFmtId="168" fontId="2" fillId="0" borderId="0" applyAlignment="1" pivotButton="0" quotePrefix="0" xfId="2">
      <alignment vertical="top"/>
    </xf>
    <xf numFmtId="168" fontId="2" fillId="2" borderId="0" applyAlignment="1" pivotButton="0" quotePrefix="0" xfId="2">
      <alignment vertical="top"/>
    </xf>
    <xf numFmtId="168" fontId="2" fillId="0" borderId="0" applyAlignment="1" pivotButton="0" quotePrefix="0" xfId="2">
      <alignment vertical="top"/>
    </xf>
    <xf numFmtId="164" fontId="5" fillId="0" borderId="0" applyAlignment="1" pivotButton="0" quotePrefix="0" xfId="2">
      <alignment horizontal="right" vertical="top"/>
    </xf>
    <xf numFmtId="164" fontId="5" fillId="0" borderId="0" applyAlignment="1" pivotButton="0" quotePrefix="0" xfId="2">
      <alignment horizontal="right" vertical="top"/>
    </xf>
    <xf numFmtId="164" fontId="2" fillId="0" borderId="0" applyAlignment="1" pivotButton="0" quotePrefix="0" xfId="2">
      <alignment vertical="top"/>
    </xf>
    <xf numFmtId="167" fontId="2" fillId="0" borderId="0" applyAlignment="1" pivotButton="0" quotePrefix="0" xfId="5">
      <alignment vertical="top"/>
    </xf>
    <xf numFmtId="167" fontId="4" fillId="0" borderId="0" applyAlignment="1" pivotButton="0" quotePrefix="0" xfId="2">
      <alignment vertical="top"/>
    </xf>
    <xf numFmtId="167" fontId="5" fillId="0" borderId="0" applyAlignment="1" pivotButton="0" quotePrefix="0" xfId="2">
      <alignment vertical="top"/>
    </xf>
    <xf numFmtId="167" fontId="2" fillId="0" borderId="0" applyAlignment="1" pivotButton="0" quotePrefix="0" xfId="2">
      <alignment horizontal="right" vertical="top"/>
    </xf>
    <xf numFmtId="167" fontId="2" fillId="0" borderId="0" applyAlignment="1" pivotButton="0" quotePrefix="0" xfId="2">
      <alignment vertical="top"/>
    </xf>
    <xf numFmtId="167" fontId="2" fillId="2" borderId="0" applyAlignment="1" pivotButton="0" quotePrefix="0" xfId="2">
      <alignment vertical="top"/>
    </xf>
    <xf numFmtId="167" fontId="2" fillId="0" borderId="0" applyAlignment="1" pivotButton="0" quotePrefix="0" xfId="2">
      <alignment vertical="top"/>
    </xf>
    <xf numFmtId="165" fontId="4" fillId="0" borderId="0" applyAlignment="1" pivotButton="0" quotePrefix="0" xfId="3">
      <alignment vertical="top"/>
    </xf>
    <xf numFmtId="165" fontId="5" fillId="0" borderId="0" applyAlignment="1" pivotButton="0" quotePrefix="0" xfId="3">
      <alignment vertical="top"/>
    </xf>
    <xf numFmtId="165" fontId="2" fillId="0" borderId="0" applyAlignment="1" pivotButton="0" quotePrefix="0" xfId="3">
      <alignment horizontal="right" vertical="top"/>
    </xf>
    <xf numFmtId="165" fontId="2" fillId="2" borderId="0" applyAlignment="1" pivotButton="0" quotePrefix="0" xfId="3">
      <alignment vertical="top"/>
    </xf>
    <xf numFmtId="169" fontId="2" fillId="0" borderId="0" applyAlignment="1" pivotButton="0" quotePrefix="0" xfId="7">
      <alignment vertical="top"/>
    </xf>
    <xf numFmtId="169" fontId="2" fillId="2" borderId="0" applyAlignment="1" pivotButton="0" quotePrefix="0" xfId="7">
      <alignment vertical="top"/>
    </xf>
    <xf numFmtId="169" fontId="2" fillId="0" borderId="0" applyAlignment="1" pivotButton="0" quotePrefix="0" xfId="7">
      <alignment vertical="top"/>
    </xf>
    <xf numFmtId="164" fontId="7" fillId="0" borderId="0" applyAlignment="1" pivotButton="0" quotePrefix="0" xfId="2">
      <alignment vertical="top"/>
    </xf>
    <xf numFmtId="164" fontId="7" fillId="2" borderId="0" applyAlignment="1" pivotButton="0" quotePrefix="0" xfId="2">
      <alignment vertical="top"/>
    </xf>
    <xf numFmtId="165" fontId="8" fillId="0" borderId="0" applyAlignment="1" pivotButton="0" quotePrefix="0" xfId="3">
      <alignment vertical="top"/>
    </xf>
    <xf numFmtId="166" fontId="5" fillId="0" borderId="0" applyAlignment="1" pivotButton="0" quotePrefix="0" xfId="4">
      <alignment vertical="top"/>
    </xf>
    <xf numFmtId="166" fontId="2" fillId="0" borderId="0" applyAlignment="1" pivotButton="0" quotePrefix="0" xfId="4">
      <alignment horizontal="right" vertical="top"/>
    </xf>
    <xf numFmtId="164" fontId="2" fillId="7" borderId="0" applyAlignment="1" pivotButton="0" quotePrefix="0" xfId="2">
      <alignment horizontal="right" vertical="top"/>
    </xf>
    <xf numFmtId="1" fontId="4" fillId="0" borderId="0" applyAlignment="1" pivotButton="0" quotePrefix="0" xfId="2">
      <alignment vertical="top"/>
    </xf>
    <xf numFmtId="1" fontId="5" fillId="0" borderId="0" applyAlignment="1" pivotButton="0" quotePrefix="0" xfId="2">
      <alignment vertical="top"/>
    </xf>
    <xf numFmtId="1" fontId="2" fillId="0" borderId="0" applyAlignment="1" pivotButton="0" quotePrefix="0" xfId="2">
      <alignment horizontal="right" vertical="top"/>
    </xf>
    <xf numFmtId="1" fontId="2" fillId="0" borderId="0" applyAlignment="1" pivotButton="0" quotePrefix="0" xfId="2">
      <alignment vertical="top"/>
    </xf>
    <xf numFmtId="170" fontId="2" fillId="0" borderId="0" applyAlignment="1" pivotButton="0" quotePrefix="0" xfId="2">
      <alignment vertical="top"/>
    </xf>
    <xf numFmtId="165" fontId="4" fillId="0" borderId="0" applyAlignment="1" pivotButton="0" quotePrefix="0" xfId="3">
      <alignment vertical="top"/>
    </xf>
    <xf numFmtId="165" fontId="2" fillId="0" borderId="0" applyAlignment="1" pivotButton="0" quotePrefix="0" xfId="3">
      <alignment horizontal="right" vertical="top"/>
    </xf>
    <xf numFmtId="165" fontId="2" fillId="0" borderId="0" applyAlignment="1" pivotButton="0" quotePrefix="0" xfId="3">
      <alignment vertical="top"/>
    </xf>
    <xf numFmtId="165" fontId="2" fillId="6" borderId="0" applyAlignment="1" pivotButton="0" quotePrefix="0" xfId="3">
      <alignment vertical="top"/>
    </xf>
    <xf numFmtId="168" fontId="4" fillId="0" borderId="0" applyAlignment="1" pivotButton="0" quotePrefix="0" xfId="6">
      <alignment vertical="top"/>
    </xf>
    <xf numFmtId="168" fontId="4" fillId="0" borderId="0" applyAlignment="1" pivotButton="0" quotePrefix="0" xfId="6">
      <alignment vertical="top"/>
    </xf>
    <xf numFmtId="168" fontId="5" fillId="0" borderId="0" applyAlignment="1" pivotButton="0" quotePrefix="0" xfId="6">
      <alignment vertical="top"/>
    </xf>
    <xf numFmtId="168" fontId="2" fillId="0" borderId="0" applyAlignment="1" pivotButton="0" quotePrefix="0" xfId="6">
      <alignment vertical="top"/>
    </xf>
    <xf numFmtId="168" fontId="2" fillId="0" borderId="0" applyAlignment="1" pivotButton="0" quotePrefix="0" xfId="3">
      <alignment vertical="top"/>
    </xf>
    <xf numFmtId="168" fontId="2" fillId="6" borderId="0" applyAlignment="1" pivotButton="0" quotePrefix="0" xfId="6">
      <alignment vertical="top"/>
    </xf>
    <xf numFmtId="168" fontId="2" fillId="0" borderId="0" applyAlignment="1" pivotButton="0" quotePrefix="0" xfId="6">
      <alignment vertical="top"/>
    </xf>
    <xf numFmtId="164" fontId="3" fillId="2" borderId="0" applyAlignment="1" pivotButton="0" quotePrefix="0" xfId="2">
      <alignment vertical="top"/>
    </xf>
    <xf numFmtId="1" fontId="2" fillId="2" borderId="0" applyAlignment="1" pivotButton="0" quotePrefix="0" xfId="2">
      <alignment vertical="top"/>
    </xf>
    <xf numFmtId="164" fontId="9" fillId="0" borderId="0" applyAlignment="1" pivotButton="0" quotePrefix="0" xfId="2">
      <alignment vertical="top"/>
    </xf>
    <xf numFmtId="171" fontId="4" fillId="0" borderId="0" applyAlignment="1" pivotButton="0" quotePrefix="0" xfId="7">
      <alignment vertical="top"/>
    </xf>
    <xf numFmtId="171" fontId="5" fillId="0" borderId="0" applyAlignment="1" pivotButton="0" quotePrefix="0" xfId="7">
      <alignment vertical="top"/>
    </xf>
    <xf numFmtId="171" fontId="2" fillId="0" borderId="0" applyAlignment="1" pivotButton="0" quotePrefix="0" xfId="7">
      <alignment vertical="top"/>
    </xf>
    <xf numFmtId="171" fontId="2" fillId="0" borderId="0" applyAlignment="1" pivotButton="0" quotePrefix="0" xfId="2">
      <alignment vertical="top"/>
    </xf>
    <xf numFmtId="171" fontId="2" fillId="2" borderId="0" applyAlignment="1" pivotButton="0" quotePrefix="0" xfId="7">
      <alignment vertical="top"/>
    </xf>
    <xf numFmtId="167" fontId="8" fillId="2" borderId="0" applyAlignment="1" pivotButton="0" quotePrefix="0" xfId="5">
      <alignment vertical="top"/>
    </xf>
    <xf numFmtId="164" fontId="8" fillId="2" borderId="0" applyAlignment="1" pivotButton="0" quotePrefix="0" xfId="2">
      <alignment vertical="top"/>
    </xf>
    <xf numFmtId="166" fontId="4" fillId="0" borderId="0" applyAlignment="1" pivotButton="0" quotePrefix="0" xfId="4">
      <alignment vertical="top"/>
    </xf>
    <xf numFmtId="166" fontId="5" fillId="0" borderId="0" applyAlignment="1" pivotButton="0" quotePrefix="0" xfId="4">
      <alignment vertical="top"/>
    </xf>
    <xf numFmtId="166" fontId="2" fillId="0" borderId="0" applyAlignment="1" pivotButton="0" quotePrefix="0" xfId="4">
      <alignment horizontal="right" vertical="top"/>
    </xf>
    <xf numFmtId="166" fontId="2" fillId="9" borderId="0" applyAlignment="1" pivotButton="0" quotePrefix="0" xfId="4">
      <alignment vertical="top"/>
    </xf>
    <xf numFmtId="166" fontId="2" fillId="2" borderId="0" applyAlignment="1" pivotButton="0" quotePrefix="0" xfId="4">
      <alignment vertical="top"/>
    </xf>
    <xf numFmtId="166" fontId="8" fillId="2" borderId="0" applyAlignment="1" pivotButton="0" quotePrefix="0" xfId="4">
      <alignment vertical="top"/>
    </xf>
    <xf numFmtId="166" fontId="2" fillId="0" borderId="0" applyAlignment="1" pivotButton="0" quotePrefix="0" xfId="3">
      <alignment vertical="top"/>
    </xf>
    <xf numFmtId="165" fontId="12" fillId="0" borderId="0" applyAlignment="1" pivotButton="0" quotePrefix="0" xfId="3">
      <alignment vertical="top"/>
    </xf>
    <xf numFmtId="165" fontId="12" fillId="0" borderId="0" applyAlignment="1" pivotButton="0" quotePrefix="0" xfId="3">
      <alignment vertical="top"/>
    </xf>
    <xf numFmtId="165" fontId="8" fillId="0" borderId="0" applyAlignment="1" pivotButton="0" quotePrefix="0" xfId="3">
      <alignment vertical="top"/>
    </xf>
    <xf numFmtId="165" fontId="8" fillId="2" borderId="0" applyAlignment="1" pivotButton="0" quotePrefix="0" xfId="3">
      <alignment vertical="top"/>
    </xf>
    <xf numFmtId="166" fontId="2" fillId="2" borderId="0" applyAlignment="1" pivotButton="0" quotePrefix="0" xfId="4">
      <alignment vertical="top"/>
    </xf>
    <xf numFmtId="1" fontId="2" fillId="9" borderId="0" applyAlignment="1" pivotButton="0" quotePrefix="0" xfId="2">
      <alignment vertical="top"/>
    </xf>
    <xf numFmtId="166" fontId="0" fillId="0" borderId="0" applyAlignment="1" pivotButton="0" quotePrefix="0" xfId="4">
      <alignment horizontal="right" vertical="top"/>
    </xf>
    <xf numFmtId="166" fontId="0" fillId="0" borderId="0" applyAlignment="1" pivotButton="0" quotePrefix="0" xfId="4">
      <alignment vertical="top"/>
    </xf>
    <xf numFmtId="166" fontId="0" fillId="2" borderId="0" applyAlignment="1" pivotButton="0" quotePrefix="0" xfId="4">
      <alignment vertical="top"/>
    </xf>
    <xf numFmtId="165" fontId="0" fillId="2" borderId="0" applyAlignment="1" pivotButton="0" quotePrefix="0" xfId="3">
      <alignment vertical="top"/>
    </xf>
    <xf numFmtId="167" fontId="4" fillId="0" borderId="0" applyAlignment="1" pivotButton="0" quotePrefix="0" xfId="5">
      <alignment vertical="top"/>
    </xf>
    <xf numFmtId="167" fontId="5" fillId="0" borderId="0" applyAlignment="1" pivotButton="0" quotePrefix="0" xfId="5">
      <alignment vertical="top"/>
    </xf>
    <xf numFmtId="167" fontId="2" fillId="0" borderId="0" applyAlignment="1" pivotButton="0" quotePrefix="0" xfId="5">
      <alignment vertical="top"/>
    </xf>
    <xf numFmtId="167" fontId="0" fillId="2" borderId="0" applyAlignment="1" pivotButton="0" quotePrefix="0" xfId="5">
      <alignment vertical="top"/>
    </xf>
    <xf numFmtId="167" fontId="4" fillId="0" borderId="0" applyAlignment="1" pivotButton="0" quotePrefix="0" xfId="3">
      <alignment vertical="top"/>
    </xf>
    <xf numFmtId="167" fontId="5" fillId="0" borderId="0" applyAlignment="1" pivotButton="0" quotePrefix="0" xfId="3">
      <alignment vertical="top"/>
    </xf>
    <xf numFmtId="167" fontId="2" fillId="0" borderId="0" applyAlignment="1" pivotButton="0" quotePrefix="0" xfId="3">
      <alignment horizontal="right" vertical="top"/>
    </xf>
    <xf numFmtId="172" fontId="2" fillId="0" borderId="0" applyAlignment="1" pivotButton="0" quotePrefix="0" xfId="3">
      <alignment vertical="top"/>
    </xf>
    <xf numFmtId="167" fontId="2" fillId="2" borderId="0" applyAlignment="1" pivotButton="0" quotePrefix="0" xfId="3">
      <alignment vertical="top"/>
    </xf>
    <xf numFmtId="166" fontId="0" fillId="7" borderId="0" applyAlignment="1" pivotButton="0" quotePrefix="0" xfId="4">
      <alignment vertical="top"/>
    </xf>
    <xf numFmtId="165" fontId="13" fillId="0" borderId="0" applyAlignment="1" pivotButton="0" quotePrefix="0" xfId="3">
      <alignment vertical="top"/>
    </xf>
    <xf numFmtId="165" fontId="14" fillId="0" borderId="0" applyAlignment="1" pivotButton="0" quotePrefix="0" xfId="3">
      <alignment vertical="top"/>
    </xf>
    <xf numFmtId="165" fontId="15" fillId="0" borderId="0" applyAlignment="1" pivotButton="0" quotePrefix="0" xfId="3">
      <alignment horizontal="right" vertical="top"/>
    </xf>
    <xf numFmtId="165" fontId="15" fillId="0" borderId="0" applyAlignment="1" pivotButton="0" quotePrefix="0" xfId="3">
      <alignment vertical="top"/>
    </xf>
    <xf numFmtId="165" fontId="15" fillId="2" borderId="0" applyAlignment="1" pivotButton="0" quotePrefix="0" xfId="3">
      <alignment vertical="top"/>
    </xf>
    <xf numFmtId="166" fontId="0" fillId="0" borderId="0" applyAlignment="1" pivotButton="0" quotePrefix="0" xfId="4">
      <alignment vertical="top"/>
    </xf>
    <xf numFmtId="165" fontId="0" fillId="0" borderId="0" applyAlignment="1" pivotButton="0" quotePrefix="0" xfId="3">
      <alignment horizontal="right" vertical="top"/>
    </xf>
    <xf numFmtId="165" fontId="0" fillId="2" borderId="0" applyAlignment="1" pivotButton="0" quotePrefix="0" xfId="3">
      <alignment vertical="top"/>
    </xf>
    <xf numFmtId="165" fontId="2" fillId="7" borderId="0" applyAlignment="1" pivotButton="0" quotePrefix="0" xfId="2">
      <alignment vertical="top"/>
    </xf>
    <xf numFmtId="164" fontId="6" fillId="0" borderId="0" applyAlignment="1" pivotButton="0" quotePrefix="0" xfId="2">
      <alignment vertical="top"/>
    </xf>
    <xf numFmtId="164" fontId="2" fillId="9" borderId="0" applyAlignment="1" pivotButton="0" quotePrefix="0" xfId="2">
      <alignment vertical="top"/>
    </xf>
    <xf numFmtId="165" fontId="2" fillId="2" borderId="0" applyAlignment="1" pivotButton="0" quotePrefix="0" xfId="3">
      <alignment vertical="top"/>
    </xf>
    <xf numFmtId="165" fontId="10" fillId="0" borderId="0" applyAlignment="1" pivotButton="0" quotePrefix="0" xfId="3">
      <alignment vertical="top"/>
    </xf>
    <xf numFmtId="165" fontId="11" fillId="0" borderId="0" applyAlignment="1" pivotButton="0" quotePrefix="0" xfId="3">
      <alignment vertical="top"/>
    </xf>
    <xf numFmtId="165" fontId="12" fillId="0" borderId="0" applyAlignment="1" pivotButton="0" quotePrefix="0" xfId="3">
      <alignment horizontal="right" vertical="top"/>
    </xf>
    <xf numFmtId="165" fontId="12" fillId="0" borderId="0" applyAlignment="1" pivotButton="0" quotePrefix="0" xfId="3">
      <alignment vertical="top"/>
    </xf>
    <xf numFmtId="165" fontId="2" fillId="0" borderId="0" applyAlignment="1" pivotButton="0" quotePrefix="0" xfId="2">
      <alignment horizontal="right" vertical="top"/>
    </xf>
    <xf numFmtId="165" fontId="2" fillId="0" borderId="0" applyAlignment="1" pivotButton="0" quotePrefix="0" xfId="2">
      <alignment vertical="top"/>
    </xf>
    <xf numFmtId="171" fontId="2" fillId="0" borderId="0" applyAlignment="1" pivotButton="0" quotePrefix="0" xfId="3">
      <alignment vertical="top"/>
    </xf>
    <xf numFmtId="165" fontId="8" fillId="2" borderId="0" applyAlignment="1" pivotButton="0" quotePrefix="0" xfId="3">
      <alignment vertical="top"/>
    </xf>
    <xf numFmtId="171" fontId="4" fillId="0" borderId="0" applyAlignment="1" pivotButton="0" quotePrefix="0" xfId="3">
      <alignment vertical="top"/>
    </xf>
    <xf numFmtId="171" fontId="5" fillId="0" borderId="0" applyAlignment="1" pivotButton="0" quotePrefix="0" xfId="3">
      <alignment vertical="top"/>
    </xf>
    <xf numFmtId="171" fontId="2" fillId="0" borderId="0" applyAlignment="1" pivotButton="0" quotePrefix="0" xfId="3">
      <alignment horizontal="right" vertical="top"/>
    </xf>
    <xf numFmtId="171" fontId="2" fillId="0" borderId="0" applyAlignment="1" pivotButton="0" quotePrefix="0" xfId="3">
      <alignment vertical="top"/>
    </xf>
    <xf numFmtId="171" fontId="2" fillId="2" borderId="0" applyAlignment="1" pivotButton="0" quotePrefix="0" xfId="3">
      <alignment vertical="top"/>
    </xf>
    <xf numFmtId="164" fontId="2" fillId="0" borderId="0" applyAlignment="1" pivotButton="0" quotePrefix="0" xfId="2">
      <alignment horizontal="left" vertical="top"/>
    </xf>
    <xf numFmtId="164" fontId="2" fillId="2" borderId="0" applyAlignment="1" pivotButton="0" quotePrefix="0" xfId="2">
      <alignment horizontal="right" vertical="top"/>
    </xf>
    <xf numFmtId="164" fontId="2" fillId="0" borderId="0" applyAlignment="1" pivotButton="0" quotePrefix="0" xfId="3">
      <alignment vertical="top"/>
    </xf>
    <xf numFmtId="165" fontId="4" fillId="0" borderId="0" applyAlignment="1" pivotButton="0" quotePrefix="0" xfId="3">
      <alignment vertical="top"/>
    </xf>
    <xf numFmtId="164" fontId="2" fillId="3" borderId="0" applyAlignment="1" pivotButton="0" quotePrefix="0" xfId="2">
      <alignment horizontal="right" vertical="top"/>
    </xf>
    <xf numFmtId="165" fontId="3" fillId="0" borderId="0" applyAlignment="1" pivotButton="0" quotePrefix="0" xfId="3">
      <alignment vertical="top"/>
    </xf>
    <xf numFmtId="166" fontId="2" fillId="0" borderId="0" applyAlignment="1" pivotButton="0" quotePrefix="0" xfId="4">
      <alignment vertical="top"/>
    </xf>
    <xf numFmtId="166" fontId="4" fillId="0" borderId="0" applyAlignment="1" pivotButton="0" quotePrefix="0" xfId="4">
      <alignment vertical="top"/>
    </xf>
    <xf numFmtId="165" fontId="2" fillId="0" borderId="1" applyAlignment="1" pivotButton="0" quotePrefix="0" xfId="3">
      <alignment vertical="top"/>
    </xf>
    <xf numFmtId="165" fontId="2" fillId="0" borderId="0" applyAlignment="1" pivotButton="0" quotePrefix="0" xfId="3">
      <alignment vertical="top"/>
    </xf>
    <xf numFmtId="166" fontId="2" fillId="0" borderId="0" applyAlignment="1" pivotButton="0" quotePrefix="0" xfId="4">
      <alignment horizontal="right" vertical="top"/>
    </xf>
    <xf numFmtId="164" fontId="4" fillId="0" borderId="0" applyAlignment="1" pivotButton="0" quotePrefix="0" xfId="2">
      <alignment vertical="top"/>
    </xf>
    <xf numFmtId="165" fontId="5" fillId="0" borderId="0" applyAlignment="1" pivotButton="0" quotePrefix="0" xfId="3">
      <alignment vertical="top"/>
    </xf>
    <xf numFmtId="167" fontId="8" fillId="0" borderId="0" applyAlignment="1" pivotButton="0" quotePrefix="0" xfId="5">
      <alignment vertical="top"/>
    </xf>
    <xf numFmtId="164" fontId="8" fillId="0" borderId="0" applyAlignment="1" pivotButton="0" quotePrefix="0" xfId="2">
      <alignment vertical="top"/>
    </xf>
    <xf numFmtId="166" fontId="8" fillId="0" borderId="0" applyAlignment="1" pivotButton="0" quotePrefix="0" xfId="3">
      <alignment vertical="top"/>
    </xf>
    <xf numFmtId="164" fontId="8" fillId="0" borderId="0" applyAlignment="1" pivotButton="0" quotePrefix="0" xfId="3">
      <alignment vertical="top"/>
    </xf>
    <xf numFmtId="164" fontId="4" fillId="0" borderId="2" applyAlignment="1" pivotButton="0" quotePrefix="0" xfId="2">
      <alignment vertical="top"/>
    </xf>
    <xf numFmtId="164" fontId="5" fillId="0" borderId="2" applyAlignment="1" pivotButton="0" quotePrefix="0" xfId="2">
      <alignment vertical="top"/>
    </xf>
    <xf numFmtId="164" fontId="2" fillId="0" borderId="2" applyAlignment="1" pivotButton="0" quotePrefix="0" xfId="2">
      <alignment horizontal="right" vertical="top"/>
    </xf>
    <xf numFmtId="164" fontId="2" fillId="10" borderId="2" applyAlignment="1" pivotButton="0" quotePrefix="0" xfId="2">
      <alignment vertical="top"/>
    </xf>
    <xf numFmtId="164" fontId="2" fillId="0" borderId="2" applyAlignment="1" pivotButton="0" quotePrefix="0" xfId="2">
      <alignment vertical="top"/>
    </xf>
    <xf numFmtId="164" fontId="2" fillId="0" borderId="2" applyAlignment="1" pivotButton="0" quotePrefix="0" xfId="2">
      <alignment vertical="top"/>
    </xf>
    <xf numFmtId="164" fontId="2" fillId="10" borderId="0" applyAlignment="1" pivotButton="0" quotePrefix="0" xfId="2">
      <alignment vertical="top"/>
    </xf>
    <xf numFmtId="164" fontId="4" fillId="0" borderId="3" applyAlignment="1" pivotButton="0" quotePrefix="0" xfId="2">
      <alignment vertical="top"/>
    </xf>
    <xf numFmtId="164" fontId="5" fillId="0" borderId="3" applyAlignment="1" pivotButton="0" quotePrefix="0" xfId="2">
      <alignment vertical="top"/>
    </xf>
    <xf numFmtId="164" fontId="2" fillId="0" borderId="3" applyAlignment="1" pivotButton="0" quotePrefix="0" xfId="2">
      <alignment horizontal="right" vertical="top"/>
    </xf>
    <xf numFmtId="164" fontId="2" fillId="10" borderId="3" applyAlignment="1" pivotButton="0" quotePrefix="0" xfId="2">
      <alignment vertical="top"/>
    </xf>
    <xf numFmtId="164" fontId="2" fillId="0" borderId="3" applyAlignment="1" pivotButton="0" quotePrefix="0" xfId="2">
      <alignment vertical="top"/>
    </xf>
    <xf numFmtId="164" fontId="2" fillId="0" borderId="3" applyAlignment="1" pivotButton="0" quotePrefix="0" xfId="2">
      <alignment vertical="top"/>
    </xf>
    <xf numFmtId="164" fontId="2" fillId="9" borderId="3" applyAlignment="1" pivotButton="0" quotePrefix="0" xfId="2">
      <alignment vertical="top"/>
    </xf>
    <xf numFmtId="165" fontId="10" fillId="0" borderId="0" applyAlignment="1" pivotButton="0" quotePrefix="0" xfId="3">
      <alignment vertical="top"/>
    </xf>
    <xf numFmtId="165" fontId="11" fillId="0" borderId="0" applyAlignment="1" pivotButton="0" quotePrefix="0" xfId="3">
      <alignment vertical="top"/>
    </xf>
    <xf numFmtId="165" fontId="12" fillId="0" borderId="0" applyAlignment="1" pivotButton="0" quotePrefix="0" xfId="3">
      <alignment horizontal="right" vertical="top"/>
    </xf>
    <xf numFmtId="165" fontId="9" fillId="0" borderId="0" applyAlignment="1" pivotButton="0" quotePrefix="0" xfId="3">
      <alignment vertical="top"/>
    </xf>
    <xf numFmtId="165" fontId="3" fillId="0" borderId="0" applyAlignment="1" pivotButton="0" quotePrefix="0" xfId="2">
      <alignment vertical="top"/>
    </xf>
    <xf numFmtId="164" fontId="16" fillId="0" borderId="0" applyAlignment="1" pivotButton="0" quotePrefix="0" xfId="2">
      <alignment vertical="top"/>
    </xf>
    <xf numFmtId="164" fontId="17" fillId="0" borderId="0" applyAlignment="1" pivotButton="0" quotePrefix="0" xfId="2">
      <alignment vertical="top"/>
    </xf>
    <xf numFmtId="164" fontId="18" fillId="0" borderId="0" applyAlignment="1" pivotButton="0" quotePrefix="0" xfId="2">
      <alignment horizontal="center" vertical="top"/>
    </xf>
    <xf numFmtId="165" fontId="19" fillId="0" borderId="0" applyAlignment="1" pivotButton="0" quotePrefix="0" xfId="2">
      <alignment horizontal="left" vertical="top"/>
    </xf>
    <xf numFmtId="164" fontId="17" fillId="0" borderId="0" applyAlignment="1" pivotButton="0" quotePrefix="0" xfId="2">
      <alignment vertical="top"/>
    </xf>
    <xf numFmtId="164" fontId="20" fillId="0" borderId="0" applyAlignment="1" pivotButton="0" quotePrefix="0" xfId="2">
      <alignment horizontal="left" vertical="top"/>
    </xf>
    <xf numFmtId="173" fontId="17" fillId="0" borderId="0" applyAlignment="1" pivotButton="0" quotePrefix="0" xfId="2">
      <alignment vertical="top"/>
    </xf>
    <xf numFmtId="166" fontId="2" fillId="9" borderId="0" applyAlignment="1" pivotButton="0" quotePrefix="0" xfId="4">
      <alignment vertical="top"/>
    </xf>
    <xf numFmtId="0" fontId="2" fillId="0" borderId="0" applyAlignment="1" pivotButton="0" quotePrefix="0" xfId="2">
      <alignment vertical="top" wrapText="1"/>
    </xf>
    <xf numFmtId="166" fontId="2" fillId="0" borderId="0" applyAlignment="1" pivotButton="0" quotePrefix="0" xfId="4">
      <alignment vertical="top"/>
    </xf>
    <xf numFmtId="14" fontId="2" fillId="0" borderId="5" applyAlignment="1" pivotButton="0" quotePrefix="0" xfId="2">
      <alignment horizontal="left" vertical="top"/>
    </xf>
    <xf numFmtId="173" fontId="2" fillId="0" borderId="0" applyAlignment="1" pivotButton="0" quotePrefix="0" xfId="2">
      <alignment vertical="top"/>
    </xf>
    <xf numFmtId="165" fontId="4" fillId="0" borderId="5" applyAlignment="1" pivotButton="0" quotePrefix="0" xfId="2">
      <alignment horizontal="left" vertical="top"/>
    </xf>
    <xf numFmtId="165" fontId="4" fillId="0" borderId="0" applyAlignment="1" pivotButton="0" quotePrefix="0" xfId="2">
      <alignment horizontal="left" vertical="top"/>
    </xf>
    <xf numFmtId="164" fontId="5" fillId="0" borderId="0" applyAlignment="1" pivotButton="0" quotePrefix="0" xfId="2">
      <alignment vertical="top"/>
    </xf>
    <xf numFmtId="164" fontId="2" fillId="6" borderId="0" applyAlignment="1" pivotButton="0" quotePrefix="0" xfId="2">
      <alignment vertical="top"/>
    </xf>
    <xf numFmtId="164" fontId="5" fillId="0" borderId="0" applyAlignment="1" pivotButton="0" quotePrefix="0" xfId="2">
      <alignment vertical="top"/>
    </xf>
    <xf numFmtId="164" fontId="2" fillId="9" borderId="0" applyAlignment="1" pivotButton="0" quotePrefix="0" xfId="2">
      <alignment vertical="top"/>
    </xf>
    <xf numFmtId="164" fontId="4" fillId="9" borderId="0" applyAlignment="1" pivotButton="0" quotePrefix="0" xfId="2">
      <alignment vertical="top"/>
    </xf>
    <xf numFmtId="164" fontId="5" fillId="9" borderId="0" applyAlignment="1" pivotButton="0" quotePrefix="0" xfId="2">
      <alignment vertical="top"/>
    </xf>
    <xf numFmtId="164" fontId="2" fillId="9" borderId="0" applyAlignment="1" pivotButton="0" quotePrefix="0" xfId="2">
      <alignment horizontal="right" vertical="top"/>
    </xf>
    <xf numFmtId="164" fontId="2" fillId="7" borderId="0" applyAlignment="1" pivotButton="0" quotePrefix="0" xfId="2">
      <alignment vertical="top"/>
    </xf>
    <xf numFmtId="173" fontId="2" fillId="9" borderId="0" applyAlignment="1" pivotButton="0" quotePrefix="0" xfId="2">
      <alignment vertical="top"/>
    </xf>
    <xf numFmtId="164" fontId="4" fillId="11" borderId="0" applyAlignment="1" pivotButton="0" quotePrefix="0" xfId="2">
      <alignment vertical="top"/>
    </xf>
    <xf numFmtId="164" fontId="5" fillId="11" borderId="0" applyAlignment="1" pivotButton="0" quotePrefix="0" xfId="2">
      <alignment vertical="top"/>
    </xf>
    <xf numFmtId="164" fontId="2" fillId="11" borderId="0" applyAlignment="1" pivotButton="0" quotePrefix="0" xfId="2">
      <alignment vertical="top"/>
    </xf>
    <xf numFmtId="164" fontId="2" fillId="11" borderId="0" applyAlignment="1" pivotButton="0" quotePrefix="0" xfId="2">
      <alignment horizontal="right" vertical="top"/>
    </xf>
    <xf numFmtId="164" fontId="9" fillId="11" borderId="0" applyAlignment="1" pivotButton="0" quotePrefix="0" xfId="2">
      <alignment vertical="top"/>
    </xf>
    <xf numFmtId="173" fontId="9" fillId="11" borderId="0" applyAlignment="1" pivotButton="0" quotePrefix="0" xfId="2">
      <alignment vertical="top"/>
    </xf>
    <xf numFmtId="165" fontId="2" fillId="11" borderId="0" applyAlignment="1" pivotButton="0" quotePrefix="0" xfId="2">
      <alignment vertical="top"/>
    </xf>
    <xf numFmtId="164" fontId="2" fillId="4" borderId="0" applyAlignment="1" pivotButton="0" quotePrefix="0" xfId="2">
      <alignment vertical="top"/>
    </xf>
    <xf numFmtId="164" fontId="2" fillId="12" borderId="0" applyAlignment="1" pivotButton="0" quotePrefix="0" xfId="2">
      <alignment vertical="top"/>
    </xf>
    <xf numFmtId="164" fontId="9" fillId="9" borderId="0" applyAlignment="1" pivotButton="0" quotePrefix="0" xfId="2">
      <alignment vertical="top"/>
    </xf>
    <xf numFmtId="164" fontId="4" fillId="8" borderId="0" applyAlignment="1" pivotButton="0" quotePrefix="0" xfId="2">
      <alignment vertical="top"/>
    </xf>
    <xf numFmtId="164" fontId="5" fillId="8" borderId="0" applyAlignment="1" pivotButton="0" quotePrefix="0" xfId="2">
      <alignment vertical="top"/>
    </xf>
    <xf numFmtId="164" fontId="2" fillId="8" borderId="0" applyAlignment="1" pivotButton="0" quotePrefix="0" xfId="2">
      <alignment vertical="top"/>
    </xf>
    <xf numFmtId="164" fontId="2" fillId="8" borderId="0" applyAlignment="1" pivotButton="0" quotePrefix="0" xfId="2">
      <alignment horizontal="right" vertical="top"/>
    </xf>
    <xf numFmtId="173" fontId="2" fillId="8" borderId="0" applyAlignment="1" pivotButton="0" quotePrefix="0" xfId="2">
      <alignment vertical="top"/>
    </xf>
    <xf numFmtId="165" fontId="2" fillId="8" borderId="0" applyAlignment="1" pivotButton="0" quotePrefix="0" xfId="2">
      <alignment vertical="top"/>
    </xf>
    <xf numFmtId="173" fontId="2" fillId="0" borderId="0" applyAlignment="1" pivotButton="0" quotePrefix="0" xfId="2">
      <alignment vertical="top"/>
    </xf>
    <xf numFmtId="165" fontId="2" fillId="12" borderId="0" applyAlignment="1" pivotButton="0" quotePrefix="0" xfId="2">
      <alignment vertical="top"/>
    </xf>
    <xf numFmtId="166" fontId="5" fillId="0" borderId="0" applyAlignment="1" pivotButton="0" quotePrefix="0" xfId="4">
      <alignment vertical="top"/>
    </xf>
    <xf numFmtId="174" fontId="2" fillId="0" borderId="0" applyAlignment="1" pivotButton="0" quotePrefix="0" xfId="4">
      <alignment vertical="top"/>
    </xf>
    <xf numFmtId="166" fontId="2" fillId="12" borderId="0" applyAlignment="1" pivotButton="0" quotePrefix="0" xfId="4">
      <alignment vertical="top"/>
    </xf>
    <xf numFmtId="174" fontId="4" fillId="0" borderId="0" applyAlignment="1" pivotButton="0" quotePrefix="0" xfId="4">
      <alignment vertical="top"/>
    </xf>
    <xf numFmtId="174" fontId="4" fillId="0" borderId="0" applyAlignment="1" pivotButton="0" quotePrefix="0" xfId="4">
      <alignment vertical="top"/>
    </xf>
    <xf numFmtId="174" fontId="5" fillId="0" borderId="0" applyAlignment="1" pivotButton="0" quotePrefix="0" xfId="4">
      <alignment vertical="top"/>
    </xf>
    <xf numFmtId="174" fontId="2" fillId="0" borderId="0" applyAlignment="1" pivotButton="0" quotePrefix="0" xfId="4">
      <alignment vertical="top"/>
    </xf>
    <xf numFmtId="164" fontId="2" fillId="0" borderId="0" applyAlignment="1" pivotButton="0" quotePrefix="0" xfId="2">
      <alignment horizontal="right" vertical="top"/>
    </xf>
    <xf numFmtId="174" fontId="2" fillId="9" borderId="0" applyAlignment="1" pivotButton="0" quotePrefix="0" xfId="4">
      <alignment vertical="top"/>
    </xf>
    <xf numFmtId="174" fontId="2" fillId="12" borderId="0" applyAlignment="1" pivotButton="0" quotePrefix="0" xfId="4">
      <alignment vertical="top"/>
    </xf>
    <xf numFmtId="165" fontId="4" fillId="7" borderId="0" applyAlignment="1" pivotButton="0" quotePrefix="0" xfId="2">
      <alignment vertical="top"/>
    </xf>
    <xf numFmtId="165" fontId="5" fillId="7" borderId="0" applyAlignment="1" pivotButton="0" quotePrefix="0" xfId="2">
      <alignment vertical="top"/>
    </xf>
    <xf numFmtId="164" fontId="4" fillId="7" borderId="0" applyAlignment="1" pivotButton="0" quotePrefix="0" xfId="2">
      <alignment vertical="top"/>
    </xf>
    <xf numFmtId="165" fontId="2" fillId="7" borderId="0" applyAlignment="1" pivotButton="0" quotePrefix="0" xfId="2">
      <alignment horizontal="right"/>
    </xf>
    <xf numFmtId="165" fontId="2" fillId="7" borderId="0" applyAlignment="1" pivotButton="0" quotePrefix="0" xfId="2">
      <alignment horizontal="left"/>
    </xf>
    <xf numFmtId="173" fontId="2" fillId="7" borderId="0" applyAlignment="1" pivotButton="0" quotePrefix="0" xfId="2">
      <alignment vertical="top"/>
    </xf>
    <xf numFmtId="164" fontId="2" fillId="6" borderId="0" applyAlignment="1" pivotButton="0" quotePrefix="0" xfId="2">
      <alignment vertical="top" wrapText="1"/>
    </xf>
    <xf numFmtId="168" fontId="2" fillId="0" borderId="0" applyAlignment="1" pivotButton="0" quotePrefix="0" xfId="1">
      <alignment vertical="top"/>
    </xf>
    <xf numFmtId="168" fontId="8" fillId="0" borderId="0" applyAlignment="1" pivotButton="0" quotePrefix="0" xfId="1">
      <alignment vertical="top"/>
    </xf>
    <xf numFmtId="168" fontId="2" fillId="0" borderId="0" applyAlignment="1" pivotButton="0" quotePrefix="0" xfId="1">
      <alignment vertical="top"/>
    </xf>
    <xf numFmtId="164" fontId="2" fillId="0" borderId="4" applyAlignment="1" pivotButton="0" quotePrefix="0" xfId="2">
      <alignment vertical="top"/>
    </xf>
    <xf numFmtId="168" fontId="2" fillId="0" borderId="0" applyAlignment="1" pivotButton="0" quotePrefix="0" xfId="1">
      <alignment vertical="top"/>
    </xf>
    <xf numFmtId="164" fontId="8" fillId="0" borderId="0" applyAlignment="1" pivotButton="0" quotePrefix="0" xfId="2">
      <alignment vertical="top"/>
    </xf>
    <xf numFmtId="164" fontId="2" fillId="0" borderId="4" applyAlignment="1" pivotButton="0" quotePrefix="0" xfId="2">
      <alignment vertical="top"/>
    </xf>
    <xf numFmtId="169" fontId="2" fillId="0" borderId="0" applyAlignment="1" pivotButton="0" quotePrefix="0" xfId="7">
      <alignment vertical="top"/>
    </xf>
    <xf numFmtId="164" fontId="7" fillId="2" borderId="0" applyAlignment="1" pivotButton="0" quotePrefix="0" xfId="2">
      <alignment horizontal="right" vertical="top"/>
    </xf>
    <xf numFmtId="164" fontId="4" fillId="0" borderId="4" applyAlignment="1" pivotButton="0" quotePrefix="0" xfId="2">
      <alignment vertical="top"/>
    </xf>
    <xf numFmtId="164" fontId="5" fillId="0" borderId="4" applyAlignment="1" pivotButton="0" quotePrefix="0" xfId="2">
      <alignment vertical="top"/>
    </xf>
    <xf numFmtId="164" fontId="2" fillId="4" borderId="4" applyAlignment="1" pivotButton="0" quotePrefix="0" xfId="2">
      <alignment vertical="top"/>
    </xf>
    <xf numFmtId="168" fontId="2" fillId="0" borderId="4" applyAlignment="1" pivotButton="0" quotePrefix="0" xfId="6">
      <alignment vertical="top"/>
    </xf>
    <xf numFmtId="164" fontId="2" fillId="9" borderId="4" applyAlignment="1" pivotButton="0" quotePrefix="0" xfId="2">
      <alignment vertical="top"/>
    </xf>
    <xf numFmtId="164" fontId="2" fillId="12" borderId="4" applyAlignment="1" pivotButton="0" quotePrefix="0" xfId="2">
      <alignment vertical="top"/>
    </xf>
    <xf numFmtId="164" fontId="9" fillId="9" borderId="4" applyAlignment="1" pivotButton="0" quotePrefix="0" xfId="2">
      <alignment vertical="top"/>
    </xf>
    <xf numFmtId="168" fontId="4" fillId="0" borderId="0" applyAlignment="1" pivotButton="0" quotePrefix="0" xfId="1">
      <alignment vertical="top"/>
    </xf>
    <xf numFmtId="168" fontId="2" fillId="0" borderId="0" applyAlignment="1" pivotButton="0" quotePrefix="0" xfId="1">
      <alignment vertical="top"/>
    </xf>
    <xf numFmtId="168" fontId="2" fillId="4" borderId="0" applyAlignment="1" pivotButton="0" quotePrefix="0" xfId="1">
      <alignment vertical="top"/>
    </xf>
    <xf numFmtId="168" fontId="2" fillId="9" borderId="0" applyAlignment="1" pivotButton="0" quotePrefix="0" xfId="1">
      <alignment vertical="top"/>
    </xf>
    <xf numFmtId="168" fontId="2" fillId="12" borderId="0" applyAlignment="1" pivotButton="0" quotePrefix="0" xfId="1">
      <alignment vertical="top"/>
    </xf>
    <xf numFmtId="168" fontId="9" fillId="9" borderId="0" applyAlignment="1" pivotButton="0" quotePrefix="0" xfId="1">
      <alignment vertical="top"/>
    </xf>
    <xf numFmtId="169" fontId="4" fillId="0" borderId="0" applyAlignment="1" pivotButton="0" quotePrefix="0" xfId="7">
      <alignment vertical="top"/>
    </xf>
    <xf numFmtId="169" fontId="2" fillId="0" borderId="0" applyAlignment="1" pivotButton="0" quotePrefix="0" xfId="7">
      <alignment vertical="top"/>
    </xf>
    <xf numFmtId="169" fontId="8" fillId="0" borderId="0" applyAlignment="1" pivotButton="0" quotePrefix="0" xfId="7">
      <alignment vertical="top"/>
    </xf>
    <xf numFmtId="169" fontId="2" fillId="4" borderId="0" applyAlignment="1" pivotButton="0" quotePrefix="0" xfId="7">
      <alignment vertical="top"/>
    </xf>
    <xf numFmtId="169" fontId="2" fillId="9" borderId="0" applyAlignment="1" pivotButton="0" quotePrefix="0" xfId="7">
      <alignment vertical="top"/>
    </xf>
    <xf numFmtId="169" fontId="2" fillId="12" borderId="0" applyAlignment="1" pivotButton="0" quotePrefix="0" xfId="7">
      <alignment vertical="top"/>
    </xf>
    <xf numFmtId="169" fontId="9" fillId="9" borderId="0" applyAlignment="1" pivotButton="0" quotePrefix="0" xfId="7">
      <alignment vertical="top"/>
    </xf>
    <xf numFmtId="175" fontId="7" fillId="2" borderId="0" applyAlignment="1" pivotButton="0" quotePrefix="0" xfId="8">
      <alignment vertical="top"/>
    </xf>
    <xf numFmtId="166" fontId="8" fillId="0" borderId="0" applyAlignment="1" pivotButton="0" quotePrefix="0" xfId="4">
      <alignment vertical="top"/>
    </xf>
    <xf numFmtId="175" fontId="8" fillId="0" borderId="0" applyAlignment="1" pivotButton="0" quotePrefix="0" xfId="2">
      <alignment vertical="top"/>
    </xf>
    <xf numFmtId="166" fontId="8" fillId="0" borderId="0" applyAlignment="1" pivotButton="0" quotePrefix="0" xfId="8">
      <alignment vertical="top"/>
    </xf>
    <xf numFmtId="165" fontId="7" fillId="0" borderId="0" applyAlignment="1" pivotButton="0" quotePrefix="0" xfId="3">
      <alignment vertical="top"/>
    </xf>
    <xf numFmtId="165" fontId="21" fillId="0" borderId="0" applyAlignment="1" pivotButton="0" quotePrefix="0" xfId="3">
      <alignment vertical="top"/>
    </xf>
    <xf numFmtId="165" fontId="22" fillId="0" borderId="0" applyAlignment="1" pivotButton="0" quotePrefix="0" xfId="3">
      <alignment vertical="top"/>
    </xf>
    <xf numFmtId="165" fontId="7" fillId="0" borderId="0" applyAlignment="1" pivotButton="0" quotePrefix="0" xfId="3">
      <alignment horizontal="right" vertical="top"/>
    </xf>
    <xf numFmtId="165" fontId="7" fillId="0" borderId="0" applyAlignment="1" pivotButton="0" quotePrefix="0" xfId="3">
      <alignment vertical="top"/>
    </xf>
    <xf numFmtId="164" fontId="7" fillId="0" borderId="0" applyAlignment="1" pivotButton="0" quotePrefix="0" xfId="2">
      <alignment vertical="top"/>
    </xf>
    <xf numFmtId="164" fontId="2" fillId="12" borderId="0" applyAlignment="1" pivotButton="0" quotePrefix="0" xfId="2">
      <alignment vertical="top"/>
    </xf>
    <xf numFmtId="164" fontId="4" fillId="0" borderId="0" applyAlignment="1" pivotButton="0" quotePrefix="0" xfId="2">
      <alignment vertical="top"/>
    </xf>
    <xf numFmtId="164" fontId="8" fillId="0" borderId="4" applyAlignment="1" pivotButton="0" quotePrefix="0" xfId="2">
      <alignment vertical="top"/>
    </xf>
    <xf numFmtId="164" fontId="8" fillId="0" borderId="0" applyAlignment="1" pivotButton="0" quotePrefix="0" xfId="2">
      <alignment vertical="top"/>
    </xf>
    <xf numFmtId="164" fontId="2" fillId="11" borderId="0" applyAlignment="1" pivotButton="0" quotePrefix="0" xfId="2">
      <alignment vertical="top"/>
    </xf>
    <xf numFmtId="164" fontId="9" fillId="11" borderId="0" applyAlignment="1" pivotButton="0" quotePrefix="0" xfId="2">
      <alignment vertical="top"/>
    </xf>
    <xf numFmtId="165" fontId="2" fillId="11" borderId="0" applyAlignment="1" pivotButton="0" quotePrefix="0" xfId="2">
      <alignment vertical="top"/>
    </xf>
    <xf numFmtId="173" fontId="9" fillId="11" borderId="0" applyAlignment="1" pivotButton="0" quotePrefix="0" xfId="2">
      <alignment vertical="top"/>
    </xf>
    <xf numFmtId="164" fontId="2" fillId="11" borderId="0" applyAlignment="1" pivotButton="0" quotePrefix="0" xfId="2">
      <alignment horizontal="right" vertical="top"/>
    </xf>
    <xf numFmtId="164" fontId="5" fillId="11" borderId="0" applyAlignment="1" pivotButton="0" quotePrefix="0" xfId="2">
      <alignment vertical="top"/>
    </xf>
    <xf numFmtId="164" fontId="4" fillId="11" borderId="0" applyAlignment="1" pivotButton="0" quotePrefix="0" xfId="2">
      <alignment vertical="top"/>
    </xf>
    <xf numFmtId="164" fontId="9" fillId="9" borderId="0" applyAlignment="1" pivotButton="0" quotePrefix="0" xfId="2">
      <alignment vertical="top"/>
    </xf>
    <xf numFmtId="164" fontId="8" fillId="0" borderId="4" applyAlignment="1" pivotButton="0" quotePrefix="0" xfId="3">
      <alignment vertical="top"/>
    </xf>
    <xf numFmtId="164" fontId="8" fillId="0" borderId="0" applyAlignment="1" pivotButton="0" quotePrefix="0" xfId="7">
      <alignment vertical="top"/>
    </xf>
    <xf numFmtId="164" fontId="8" fillId="0" borderId="0" applyAlignment="1" pivotButton="0" quotePrefix="0" xfId="1">
      <alignment vertical="top"/>
    </xf>
    <xf numFmtId="164" fontId="8" fillId="0" borderId="0" applyAlignment="1" pivotButton="0" quotePrefix="0" xfId="3">
      <alignment vertical="top"/>
    </xf>
    <xf numFmtId="166" fontId="8" fillId="0" borderId="0" applyAlignment="1" pivotButton="0" quotePrefix="0" xfId="3">
      <alignment vertical="top"/>
    </xf>
    <xf numFmtId="167" fontId="2" fillId="0" borderId="0" applyAlignment="1" pivotButton="0" quotePrefix="0" xfId="3">
      <alignment vertical="top"/>
    </xf>
    <xf numFmtId="166" fontId="21" fillId="0" borderId="0" applyAlignment="1" pivotButton="0" quotePrefix="0" xfId="4">
      <alignment vertical="top"/>
    </xf>
    <xf numFmtId="166" fontId="22" fillId="0" borderId="0" applyAlignment="1" pivotButton="0" quotePrefix="0" xfId="4">
      <alignment vertical="top"/>
    </xf>
    <xf numFmtId="166" fontId="7" fillId="0" borderId="0" applyAlignment="1" pivotButton="0" quotePrefix="0" xfId="4">
      <alignment horizontal="right" vertical="top"/>
    </xf>
    <xf numFmtId="166" fontId="7" fillId="0" borderId="0" applyAlignment="1" pivotButton="0" quotePrefix="0" xfId="4">
      <alignment vertical="top"/>
    </xf>
    <xf numFmtId="166" fontId="7" fillId="2" borderId="0" applyAlignment="1" pivotButton="0" quotePrefix="0" xfId="4">
      <alignment vertical="top"/>
    </xf>
    <xf numFmtId="165" fontId="12" fillId="0" borderId="1" applyAlignment="1" pivotButton="0" quotePrefix="0" xfId="3">
      <alignment vertical="top"/>
    </xf>
    <xf numFmtId="165" fontId="8" fillId="2" borderId="0" applyAlignment="1" pivotButton="0" quotePrefix="0" xfId="2">
      <alignment vertical="top"/>
    </xf>
    <xf numFmtId="164" fontId="10" fillId="0" borderId="3" applyAlignment="1" pivotButton="0" quotePrefix="0" xfId="2">
      <alignment vertical="top"/>
    </xf>
    <xf numFmtId="164" fontId="11" fillId="0" borderId="3" applyAlignment="1" pivotButton="0" quotePrefix="0" xfId="2">
      <alignment vertical="top"/>
    </xf>
    <xf numFmtId="164" fontId="12" fillId="0" borderId="3" applyAlignment="1" pivotButton="0" quotePrefix="0" xfId="2">
      <alignment horizontal="right" vertical="top"/>
    </xf>
    <xf numFmtId="164" fontId="12" fillId="0" borderId="3" applyAlignment="1" pivotButton="0" quotePrefix="0" xfId="2">
      <alignment vertical="top"/>
    </xf>
    <xf numFmtId="164" fontId="12" fillId="0" borderId="3" applyAlignment="1" pivotButton="0" quotePrefix="0" xfId="2">
      <alignment vertical="top"/>
    </xf>
    <xf numFmtId="164" fontId="12" fillId="9" borderId="3" applyAlignment="1" pivotButton="0" quotePrefix="0" xfId="2">
      <alignment vertical="top"/>
    </xf>
    <xf numFmtId="165" fontId="8" fillId="0" borderId="0" applyAlignment="1" pivotButton="0" quotePrefix="0" xfId="2">
      <alignment vertical="top"/>
    </xf>
    <xf numFmtId="164" fontId="8" fillId="0" borderId="0" applyAlignment="1" pivotButton="0" quotePrefix="0" xfId="2">
      <alignment vertical="top"/>
    </xf>
    <xf numFmtId="164" fontId="10" fillId="0" borderId="0" applyAlignment="1" pivotButton="0" quotePrefix="0" xfId="2">
      <alignment vertical="top"/>
    </xf>
    <xf numFmtId="164" fontId="11" fillId="0" borderId="0" applyAlignment="1" pivotButton="0" quotePrefix="0" xfId="2">
      <alignment vertical="top"/>
    </xf>
    <xf numFmtId="164" fontId="12" fillId="0" borderId="0" applyAlignment="1" pivotButton="0" quotePrefix="0" xfId="2">
      <alignment horizontal="right" vertical="top"/>
    </xf>
    <xf numFmtId="164" fontId="12" fillId="0" borderId="0" applyAlignment="1" pivotButton="0" quotePrefix="0" xfId="2">
      <alignment vertical="top"/>
    </xf>
    <xf numFmtId="164" fontId="12" fillId="2" borderId="0" applyAlignment="1" pivotButton="0" quotePrefix="0" xfId="2">
      <alignment vertical="top"/>
    </xf>
    <xf numFmtId="164" fontId="4" fillId="0" borderId="6" applyAlignment="1" pivotButton="0" quotePrefix="0" xfId="2">
      <alignment vertical="top"/>
    </xf>
    <xf numFmtId="164" fontId="5" fillId="0" borderId="6" applyAlignment="1" pivotButton="0" quotePrefix="0" xfId="2">
      <alignment vertical="top"/>
    </xf>
    <xf numFmtId="164" fontId="2" fillId="0" borderId="6" applyAlignment="1" pivotButton="0" quotePrefix="0" xfId="2">
      <alignment horizontal="right" vertical="top"/>
    </xf>
    <xf numFmtId="164" fontId="2" fillId="0" borderId="6" applyAlignment="1" pivotButton="0" quotePrefix="0" xfId="2">
      <alignment vertical="top"/>
    </xf>
    <xf numFmtId="164" fontId="2" fillId="0" borderId="4" applyAlignment="1" pivotButton="0" quotePrefix="0" xfId="2">
      <alignment horizontal="right" vertical="top"/>
    </xf>
    <xf numFmtId="168" fontId="8" fillId="0" borderId="0" applyAlignment="1" pivotButton="0" quotePrefix="0" xfId="2">
      <alignment vertical="top"/>
    </xf>
    <xf numFmtId="168" fontId="8" fillId="0" borderId="0" applyAlignment="1" pivotButton="0" quotePrefix="0" xfId="1">
      <alignment vertical="top"/>
    </xf>
    <xf numFmtId="167" fontId="8" fillId="0" borderId="0" applyAlignment="1" pivotButton="0" quotePrefix="0" xfId="2">
      <alignment vertical="top"/>
    </xf>
    <xf numFmtId="164" fontId="8" fillId="0" borderId="0" applyAlignment="1" pivotButton="0" quotePrefix="0" xfId="2">
      <alignment horizontal="right" vertical="top"/>
    </xf>
    <xf numFmtId="166" fontId="23" fillId="0" borderId="0" applyAlignment="1" pivotButton="0" quotePrefix="0" xfId="4">
      <alignment vertical="top"/>
    </xf>
    <xf numFmtId="166" fontId="24" fillId="0" borderId="0" applyAlignment="1" pivotButton="0" quotePrefix="0" xfId="4">
      <alignment vertical="top"/>
    </xf>
    <xf numFmtId="166" fontId="23" fillId="0" borderId="0" applyAlignment="1" pivotButton="0" quotePrefix="0" xfId="4">
      <alignment horizontal="right" vertical="top"/>
    </xf>
    <xf numFmtId="166" fontId="8" fillId="0" borderId="0" applyAlignment="1" pivotButton="0" quotePrefix="0" xfId="4">
      <alignment vertical="top"/>
    </xf>
    <xf numFmtId="169" fontId="8" fillId="0" borderId="0" applyAlignment="1" pivotButton="0" quotePrefix="0" xfId="2">
      <alignment vertical="top"/>
    </xf>
    <xf numFmtId="164" fontId="12" fillId="0" borderId="0" applyAlignment="1" pivotButton="0" quotePrefix="0" xfId="2">
      <alignment vertical="top"/>
    </xf>
    <xf numFmtId="169" fontId="12" fillId="0" borderId="0" applyAlignment="1" pivotButton="0" quotePrefix="0" xfId="7">
      <alignment vertical="top"/>
    </xf>
    <xf numFmtId="169" fontId="8" fillId="0" borderId="0" applyAlignment="1" pivotButton="0" quotePrefix="0" xfId="7">
      <alignment vertical="top"/>
    </xf>
    <xf numFmtId="165" fontId="10" fillId="0" borderId="0" applyAlignment="1" pivotButton="0" quotePrefix="0" xfId="3">
      <alignment vertical="top"/>
    </xf>
    <xf numFmtId="165" fontId="11" fillId="0" borderId="0" applyAlignment="1" pivotButton="0" quotePrefix="0" xfId="3">
      <alignment vertical="top"/>
    </xf>
    <xf numFmtId="165" fontId="12" fillId="2" borderId="0" applyAlignment="1" pivotButton="0" quotePrefix="0" xfId="3">
      <alignment vertical="top"/>
    </xf>
    <xf numFmtId="164" fontId="2" fillId="13" borderId="0" applyAlignment="1" pivotButton="0" quotePrefix="0" xfId="2">
      <alignment vertical="top"/>
    </xf>
    <xf numFmtId="164" fontId="4" fillId="13" borderId="0" applyAlignment="1" pivotButton="0" quotePrefix="0" xfId="2">
      <alignment vertical="top"/>
    </xf>
    <xf numFmtId="164" fontId="5" fillId="13" borderId="0" applyAlignment="1" pivotButton="0" quotePrefix="0" xfId="2">
      <alignment vertical="top"/>
    </xf>
    <xf numFmtId="164" fontId="2" fillId="13" borderId="0" applyAlignment="1" pivotButton="0" quotePrefix="0" xfId="2">
      <alignment horizontal="right" vertical="top"/>
    </xf>
    <xf numFmtId="164" fontId="4" fillId="2" borderId="0" applyAlignment="1" pivotButton="0" quotePrefix="0" xfId="2">
      <alignment vertical="top"/>
    </xf>
    <xf numFmtId="164" fontId="5" fillId="2" borderId="0" applyAlignment="1" pivotButton="0" quotePrefix="0" xfId="2">
      <alignment vertical="top"/>
    </xf>
    <xf numFmtId="164" fontId="2" fillId="2" borderId="0" applyAlignment="1" pivotButton="0" quotePrefix="0" xfId="2">
      <alignment horizontal="right" vertical="top"/>
    </xf>
    <xf numFmtId="164" fontId="10" fillId="0" borderId="4" applyAlignment="1" pivotButton="0" quotePrefix="0" xfId="2">
      <alignment vertical="top"/>
    </xf>
    <xf numFmtId="164" fontId="11" fillId="0" borderId="4" applyAlignment="1" pivotButton="0" quotePrefix="0" xfId="2">
      <alignment vertical="top"/>
    </xf>
    <xf numFmtId="164" fontId="12" fillId="0" borderId="4" applyAlignment="1" pivotButton="0" quotePrefix="0" xfId="2">
      <alignment horizontal="right" vertical="top"/>
    </xf>
    <xf numFmtId="164" fontId="12" fillId="0" borderId="4" applyAlignment="1" pivotButton="0" quotePrefix="0" xfId="2">
      <alignment vertical="top"/>
    </xf>
    <xf numFmtId="164" fontId="21" fillId="0" borderId="4" applyAlignment="1" pivotButton="0" quotePrefix="0" xfId="2">
      <alignment vertical="top"/>
    </xf>
    <xf numFmtId="164" fontId="22" fillId="0" borderId="4" applyAlignment="1" pivotButton="0" quotePrefix="0" xfId="2">
      <alignment vertical="top"/>
    </xf>
    <xf numFmtId="164" fontId="7" fillId="0" borderId="4" applyAlignment="1" pivotButton="0" quotePrefix="0" xfId="2">
      <alignment horizontal="right" vertical="top"/>
    </xf>
    <xf numFmtId="164" fontId="7" fillId="0" borderId="4" applyAlignment="1" pivotButton="0" quotePrefix="0" xfId="2">
      <alignment vertical="top"/>
    </xf>
    <xf numFmtId="165" fontId="12" fillId="0" borderId="1" applyAlignment="1" pivotButton="0" quotePrefix="0" xfId="3">
      <alignment vertical="top"/>
    </xf>
    <xf numFmtId="165" fontId="8" fillId="2" borderId="0" applyAlignment="1" pivotButton="0" quotePrefix="0" xfId="2">
      <alignment vertical="top"/>
    </xf>
    <xf numFmtId="164" fontId="8" fillId="0" borderId="2" applyAlignment="1" pivotButton="0" quotePrefix="0" xfId="2">
      <alignment vertical="top"/>
    </xf>
    <xf numFmtId="165" fontId="12" fillId="2" borderId="0" applyAlignment="1" pivotButton="0" quotePrefix="0" xfId="3">
      <alignment vertical="top"/>
    </xf>
    <xf numFmtId="164" fontId="2" fillId="0" borderId="6" applyAlignment="1" pivotButton="0" quotePrefix="0" xfId="2">
      <alignment vertical="top"/>
    </xf>
    <xf numFmtId="171" fontId="10" fillId="0" borderId="0" applyAlignment="1" pivotButton="0" quotePrefix="0" xfId="7">
      <alignment vertical="top"/>
    </xf>
    <xf numFmtId="171" fontId="11" fillId="0" borderId="0" applyAlignment="1" pivotButton="0" quotePrefix="0" xfId="7">
      <alignment vertical="top"/>
    </xf>
    <xf numFmtId="171" fontId="12" fillId="0" borderId="0" applyAlignment="1" pivotButton="0" quotePrefix="0" xfId="7">
      <alignment vertical="top"/>
    </xf>
    <xf numFmtId="171" fontId="12" fillId="0" borderId="0" applyAlignment="1" pivotButton="0" quotePrefix="0" xfId="7">
      <alignment vertical="top"/>
    </xf>
    <xf numFmtId="171" fontId="12" fillId="9" borderId="0" applyAlignment="1" pivotButton="0" quotePrefix="0" xfId="7">
      <alignment vertical="top"/>
    </xf>
    <xf numFmtId="171" fontId="12" fillId="2" borderId="0" applyAlignment="1" pivotButton="0" quotePrefix="0" xfId="7">
      <alignment vertical="top"/>
    </xf>
    <xf numFmtId="171" fontId="8" fillId="0" borderId="0" applyAlignment="1" pivotButton="0" quotePrefix="0" xfId="2">
      <alignment vertical="top"/>
    </xf>
    <xf numFmtId="164" fontId="4" fillId="0" borderId="7" applyAlignment="1" pivotButton="0" quotePrefix="0" xfId="2">
      <alignment vertical="top"/>
    </xf>
    <xf numFmtId="164" fontId="5" fillId="0" borderId="7" applyAlignment="1" pivotButton="0" quotePrefix="0" xfId="2">
      <alignment vertical="top"/>
    </xf>
    <xf numFmtId="164" fontId="2" fillId="0" borderId="7" applyAlignment="1" pivotButton="0" quotePrefix="0" xfId="2">
      <alignment horizontal="right" vertical="top"/>
    </xf>
    <xf numFmtId="164" fontId="2" fillId="0" borderId="7" applyAlignment="1" pivotButton="0" quotePrefix="0" xfId="2">
      <alignment vertical="top"/>
    </xf>
    <xf numFmtId="164" fontId="2" fillId="2" borderId="7" applyAlignment="1" pivotButton="0" quotePrefix="0" xfId="2">
      <alignment vertical="top"/>
    </xf>
    <xf numFmtId="164" fontId="4" fillId="0" borderId="4" applyAlignment="1" pivotButton="0" quotePrefix="0" xfId="0">
      <alignment vertical="top"/>
    </xf>
    <xf numFmtId="164" fontId="5" fillId="0" borderId="4" applyAlignment="1" pivotButton="0" quotePrefix="0" xfId="0">
      <alignment vertical="top"/>
    </xf>
    <xf numFmtId="164" fontId="2" fillId="0" borderId="4" applyAlignment="1" pivotButton="0" quotePrefix="0" xfId="0">
      <alignment vertical="top"/>
    </xf>
    <xf numFmtId="164" fontId="2" fillId="0" borderId="4" applyAlignment="1" pivotButton="0" quotePrefix="0" xfId="0">
      <alignment vertical="top"/>
    </xf>
    <xf numFmtId="168" fontId="4" fillId="0" borderId="0" applyAlignment="1" pivotButton="0" quotePrefix="0" xfId="1">
      <alignment vertical="top"/>
    </xf>
    <xf numFmtId="168" fontId="5" fillId="0" borderId="0" applyAlignment="1" pivotButton="0" quotePrefix="0" xfId="1">
      <alignment vertical="top"/>
    </xf>
    <xf numFmtId="168" fontId="2" fillId="0" borderId="4" applyAlignment="1" pivotButton="0" quotePrefix="0" xfId="1">
      <alignment vertical="top"/>
    </xf>
    <xf numFmtId="164" fontId="12" fillId="0" borderId="4" applyAlignment="1" pivotButton="0" quotePrefix="0" xfId="2">
      <alignment vertical="top"/>
    </xf>
    <xf numFmtId="169" fontId="4" fillId="0" borderId="0" applyAlignment="1" pivotButton="0" quotePrefix="0" xfId="7">
      <alignment vertical="top"/>
    </xf>
    <xf numFmtId="169" fontId="5" fillId="0" borderId="0" applyAlignment="1" pivotButton="0" quotePrefix="0" xfId="7">
      <alignment vertical="top"/>
    </xf>
    <xf numFmtId="164" fontId="0" fillId="0" borderId="0" applyAlignment="1" pivotButton="0" quotePrefix="0" xfId="0">
      <alignment horizontal="center" vertical="top"/>
    </xf>
    <xf numFmtId="164" fontId="25" fillId="0" borderId="0" applyAlignment="1" pivotButton="0" quotePrefix="0" xfId="2">
      <alignment vertical="top"/>
    </xf>
    <xf numFmtId="175" fontId="7" fillId="2" borderId="0" applyAlignment="1" pivotButton="0" quotePrefix="0" xfId="8">
      <alignment vertical="top"/>
    </xf>
    <xf numFmtId="0" fontId="0" fillId="0" borderId="0" pivotButton="0" quotePrefix="0" xfId="0"/>
    <xf numFmtId="165" fontId="2" fillId="14" borderId="0" applyAlignment="1" pivotButton="0" quotePrefix="0" xfId="3">
      <alignment vertical="top"/>
    </xf>
    <xf numFmtId="175" fontId="8" fillId="0" borderId="0" applyAlignment="1" pivotButton="0" quotePrefix="0" xfId="2">
      <alignment vertical="top"/>
    </xf>
    <xf numFmtId="172" fontId="2" fillId="0" borderId="0" applyAlignment="1" pivotButton="0" quotePrefix="0" xfId="3">
      <alignment vertical="top"/>
    </xf>
    <xf numFmtId="176" fontId="2" fillId="0" borderId="1" applyAlignment="1" pivotButton="0" quotePrefix="0" xfId="3">
      <alignment vertical="top"/>
    </xf>
    <xf numFmtId="177" fontId="2" fillId="0" borderId="1" applyAlignment="1" pivotButton="0" quotePrefix="0" xfId="3">
      <alignment vertical="top"/>
    </xf>
    <xf numFmtId="173" fontId="2" fillId="0" borderId="0" applyAlignment="1" pivotButton="0" quotePrefix="0" xfId="2">
      <alignment vertical="top"/>
    </xf>
    <xf numFmtId="173" fontId="17" fillId="0" borderId="0" applyAlignment="1" pivotButton="0" quotePrefix="0" xfId="2">
      <alignment vertical="top"/>
    </xf>
    <xf numFmtId="173" fontId="2" fillId="9" borderId="0" applyAlignment="1" pivotButton="0" quotePrefix="0" xfId="2">
      <alignment vertical="top"/>
    </xf>
    <xf numFmtId="173" fontId="9" fillId="11" borderId="0" applyAlignment="1" pivotButton="0" quotePrefix="0" xfId="2">
      <alignment vertical="top"/>
    </xf>
    <xf numFmtId="178" fontId="2" fillId="0" borderId="0" applyAlignment="1" pivotButton="0" quotePrefix="0" xfId="2">
      <alignment vertical="top"/>
    </xf>
    <xf numFmtId="179" fontId="2" fillId="0" borderId="0" applyAlignment="1" pivotButton="0" quotePrefix="0" xfId="6">
      <alignment vertical="top"/>
    </xf>
    <xf numFmtId="178" fontId="2" fillId="9" borderId="0" applyAlignment="1" pivotButton="0" quotePrefix="0" xfId="2">
      <alignment vertical="top"/>
    </xf>
    <xf numFmtId="178" fontId="2" fillId="12" borderId="0" applyAlignment="1" pivotButton="0" quotePrefix="0" xfId="2">
      <alignment vertical="top"/>
    </xf>
    <xf numFmtId="178" fontId="9" fillId="9" borderId="0" applyAlignment="1" pivotButton="0" quotePrefix="0" xfId="2">
      <alignment vertical="top"/>
    </xf>
    <xf numFmtId="10" fontId="8" fillId="0" borderId="0" applyAlignment="1" pivotButton="0" quotePrefix="0" xfId="1">
      <alignment vertical="top"/>
    </xf>
    <xf numFmtId="10" fontId="2" fillId="0" borderId="0" applyAlignment="1" pivotButton="0" quotePrefix="0" xfId="1">
      <alignment vertical="top"/>
    </xf>
    <xf numFmtId="179" fontId="2" fillId="0" borderId="0" applyAlignment="1" pivotButton="0" quotePrefix="0" xfId="1">
      <alignment vertical="top"/>
    </xf>
    <xf numFmtId="10" fontId="2" fillId="9" borderId="0" applyAlignment="1" pivotButton="0" quotePrefix="0" xfId="1">
      <alignment vertical="top"/>
    </xf>
    <xf numFmtId="10" fontId="2" fillId="12" borderId="0" applyAlignment="1" pivotButton="0" quotePrefix="0" xfId="1">
      <alignment vertical="top"/>
    </xf>
    <xf numFmtId="10" fontId="9" fillId="9" borderId="0" applyAlignment="1" pivotButton="0" quotePrefix="0" xfId="1">
      <alignment vertical="top"/>
    </xf>
    <xf numFmtId="178" fontId="8" fillId="0" borderId="0" applyAlignment="1" pivotButton="0" quotePrefix="0" xfId="2">
      <alignment vertical="top"/>
    </xf>
    <xf numFmtId="177" fontId="8" fillId="0" borderId="0" applyAlignment="1" pivotButton="0" quotePrefix="0" xfId="7">
      <alignment vertical="top"/>
    </xf>
    <xf numFmtId="177" fontId="2" fillId="0" borderId="0" applyAlignment="1" pivotButton="0" quotePrefix="0" xfId="7">
      <alignment vertical="top"/>
    </xf>
    <xf numFmtId="179" fontId="2" fillId="0" borderId="0" applyAlignment="1" pivotButton="0" quotePrefix="0" xfId="7">
      <alignment vertical="top"/>
    </xf>
    <xf numFmtId="177" fontId="2" fillId="9" borderId="0" applyAlignment="1" pivotButton="0" quotePrefix="0" xfId="7">
      <alignment vertical="top"/>
    </xf>
    <xf numFmtId="177" fontId="2" fillId="12" borderId="0" applyAlignment="1" pivotButton="0" quotePrefix="0" xfId="7">
      <alignment vertical="top"/>
    </xf>
    <xf numFmtId="177" fontId="9" fillId="9" borderId="0" applyAlignment="1" pivotButton="0" quotePrefix="0" xfId="7">
      <alignment vertical="top"/>
    </xf>
    <xf numFmtId="178" fontId="8" fillId="0" borderId="0" applyAlignment="1" pivotButton="0" quotePrefix="0" xfId="3">
      <alignment vertical="top"/>
    </xf>
    <xf numFmtId="179" fontId="8" fillId="0" borderId="4" applyAlignment="1" pivotButton="0" quotePrefix="0" xfId="3">
      <alignment vertical="top"/>
    </xf>
    <xf numFmtId="179" fontId="2" fillId="0" borderId="4" applyAlignment="1" pivotButton="0" quotePrefix="0" xfId="2">
      <alignment vertical="top"/>
    </xf>
    <xf numFmtId="179" fontId="2" fillId="0" borderId="4" applyAlignment="1" pivotButton="0" quotePrefix="0" xfId="6">
      <alignment vertical="top"/>
    </xf>
    <xf numFmtId="179" fontId="2" fillId="9" borderId="4" applyAlignment="1" pivotButton="0" quotePrefix="0" xfId="2">
      <alignment vertical="top"/>
    </xf>
    <xf numFmtId="179" fontId="2" fillId="12" borderId="4" applyAlignment="1" pivotButton="0" quotePrefix="0" xfId="2">
      <alignment vertical="top"/>
    </xf>
    <xf numFmtId="179" fontId="9" fillId="9" borderId="4" applyAlignment="1" pivotButton="0" quotePrefix="0" xfId="2">
      <alignment vertical="top"/>
    </xf>
    <xf numFmtId="178" fontId="8" fillId="0" borderId="4" applyAlignment="1" pivotButton="0" quotePrefix="0" xfId="3">
      <alignment vertical="top"/>
    </xf>
    <xf numFmtId="178" fontId="2" fillId="0" borderId="4" applyAlignment="1" pivotButton="0" quotePrefix="0" xfId="2">
      <alignment vertical="top"/>
    </xf>
    <xf numFmtId="178" fontId="2" fillId="9" borderId="4" applyAlignment="1" pivotButton="0" quotePrefix="0" xfId="2">
      <alignment vertical="top"/>
    </xf>
    <xf numFmtId="178" fontId="2" fillId="12" borderId="4" applyAlignment="1" pivotButton="0" quotePrefix="0" xfId="2">
      <alignment vertical="top"/>
    </xf>
    <xf numFmtId="178" fontId="9" fillId="9" borderId="4" applyAlignment="1" pivotButton="0" quotePrefix="0" xfId="2">
      <alignment vertical="top"/>
    </xf>
    <xf numFmtId="179" fontId="8" fillId="0" borderId="0" applyAlignment="1" pivotButton="0" quotePrefix="0" xfId="3">
      <alignment vertical="top"/>
    </xf>
    <xf numFmtId="179" fontId="2" fillId="0" borderId="0" applyAlignment="1" pivotButton="0" quotePrefix="0" xfId="2">
      <alignment vertical="top"/>
    </xf>
    <xf numFmtId="179" fontId="2" fillId="9" borderId="0" applyAlignment="1" pivotButton="0" quotePrefix="0" xfId="2">
      <alignment vertical="top"/>
    </xf>
    <xf numFmtId="179" fontId="2" fillId="12" borderId="0" applyAlignment="1" pivotButton="0" quotePrefix="0" xfId="2">
      <alignment vertical="top"/>
    </xf>
    <xf numFmtId="179" fontId="9" fillId="9" borderId="0" applyAlignment="1" pivotButton="0" quotePrefix="0" xfId="2">
      <alignment vertical="top"/>
    </xf>
    <xf numFmtId="1" fontId="8" fillId="14" borderId="4" applyAlignment="1" pivotButton="0" quotePrefix="0" xfId="3">
      <alignment vertical="top"/>
    </xf>
    <xf numFmtId="1" fontId="8" fillId="14" borderId="0" applyAlignment="1" pivotButton="0" quotePrefix="0" xfId="3">
      <alignment vertical="top"/>
    </xf>
    <xf numFmtId="1" fontId="2" fillId="14" borderId="0" applyAlignment="1" pivotButton="0" quotePrefix="0" xfId="2">
      <alignment vertical="top"/>
    </xf>
    <xf numFmtId="178" fontId="8" fillId="0" borderId="4" applyAlignment="1" pivotButton="0" quotePrefix="0" xfId="2">
      <alignment vertical="top"/>
    </xf>
    <xf numFmtId="1" fontId="8" fillId="14" borderId="0" applyAlignment="1" pivotButton="0" quotePrefix="0" xfId="2">
      <alignment vertical="top"/>
    </xf>
    <xf numFmtId="1" fontId="8" fillId="14" borderId="4" applyAlignment="1" pivotButton="0" quotePrefix="0" xfId="2">
      <alignment vertical="top"/>
    </xf>
    <xf numFmtId="177" fontId="2" fillId="0" borderId="0" applyAlignment="1" pivotButton="0" quotePrefix="0" xfId="2">
      <alignment vertical="top"/>
    </xf>
    <xf numFmtId="177" fontId="2" fillId="9" borderId="0" applyAlignment="1" pivotButton="0" quotePrefix="0" xfId="2">
      <alignment vertical="top"/>
    </xf>
    <xf numFmtId="177" fontId="2" fillId="12" borderId="0" applyAlignment="1" pivotButton="0" quotePrefix="0" xfId="2">
      <alignment vertical="top"/>
    </xf>
    <xf numFmtId="177" fontId="9" fillId="9" borderId="0" applyAlignment="1" pivotButton="0" quotePrefix="0" xfId="2">
      <alignment vertical="top"/>
    </xf>
    <xf numFmtId="180" fontId="0" fillId="14" borderId="0" pivotButton="0" quotePrefix="0" xfId="0"/>
    <xf numFmtId="178" fontId="0" fillId="0" borderId="0" pivotButton="0" quotePrefix="0" xfId="0"/>
    <xf numFmtId="178" fontId="2" fillId="7" borderId="0" applyAlignment="1" pivotButton="0" quotePrefix="0" xfId="2">
      <alignment vertical="top"/>
    </xf>
    <xf numFmtId="173" fontId="2" fillId="8" borderId="0" applyAlignment="1" pivotButton="0" quotePrefix="0" xfId="2">
      <alignment vertical="top"/>
    </xf>
    <xf numFmtId="174" fontId="2" fillId="0" borderId="0" applyAlignment="1" pivotButton="0" quotePrefix="0" xfId="4">
      <alignment vertical="top"/>
    </xf>
    <xf numFmtId="174" fontId="4" fillId="0" borderId="0" applyAlignment="1" pivotButton="0" quotePrefix="0" xfId="4">
      <alignment vertical="top"/>
    </xf>
    <xf numFmtId="174" fontId="5" fillId="0" borderId="0" applyAlignment="1" pivotButton="0" quotePrefix="0" xfId="4">
      <alignment vertical="top"/>
    </xf>
    <xf numFmtId="174" fontId="2" fillId="9" borderId="0" applyAlignment="1" pivotButton="0" quotePrefix="0" xfId="4">
      <alignment vertical="top"/>
    </xf>
    <xf numFmtId="174" fontId="2" fillId="12" borderId="0" applyAlignment="1" pivotButton="0" quotePrefix="0" xfId="4">
      <alignment vertical="top"/>
    </xf>
    <xf numFmtId="173" fontId="2" fillId="7" borderId="0" applyAlignment="1" pivotButton="0" quotePrefix="0" xfId="2">
      <alignment vertical="top"/>
    </xf>
    <xf numFmtId="0" fontId="0" fillId="15" borderId="0" pivotButton="0" quotePrefix="0" xfId="0"/>
    <xf numFmtId="0" fontId="26" fillId="15" borderId="0" pivotButton="0" quotePrefix="0" xfId="0"/>
    <xf numFmtId="0" fontId="27" fillId="15" borderId="0" pivotButton="0" quotePrefix="0" xfId="0"/>
    <xf numFmtId="0" fontId="28" fillId="15" borderId="0" pivotButton="0" quotePrefix="0" xfId="0"/>
    <xf numFmtId="0" fontId="29" fillId="0" borderId="0" pivotButton="0" quotePrefix="0" xfId="0"/>
    <xf numFmtId="0" fontId="30" fillId="0" borderId="0" pivotButton="0" quotePrefix="0" xfId="0"/>
    <xf numFmtId="0" fontId="31"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32" fillId="0" borderId="0" pivotButton="0" quotePrefix="0" xfId="0"/>
    <xf numFmtId="0" fontId="0" fillId="14" borderId="0" pivotButton="0" quotePrefix="0" xfId="0"/>
    <xf numFmtId="0" fontId="33" fillId="0" borderId="0" pivotButton="0" quotePrefix="0" xfId="0"/>
    <xf numFmtId="0" fontId="34" fillId="0" borderId="0" pivotButton="0" quotePrefix="0" xfId="0"/>
    <xf numFmtId="0" fontId="35" fillId="0" borderId="0" pivotButton="0" quotePrefix="0" xfId="0"/>
    <xf numFmtId="0" fontId="36" fillId="15" borderId="0" pivotButton="0" quotePrefix="0" xfId="0"/>
    <xf numFmtId="0" fontId="37" fillId="15" borderId="0" pivotButton="0" quotePrefix="0" xfId="0"/>
    <xf numFmtId="0" fontId="38" fillId="15" borderId="0" pivotButton="0" quotePrefix="0" xfId="0"/>
    <xf numFmtId="0" fontId="39" fillId="16" borderId="0" pivotButton="0" quotePrefix="0" xfId="0"/>
    <xf numFmtId="0" fontId="0" fillId="16" borderId="0" pivotButton="0" quotePrefix="0" xfId="0"/>
    <xf numFmtId="178" fontId="40" fillId="16" borderId="0" pivotButton="0" quotePrefix="0" xfId="0"/>
    <xf numFmtId="179" fontId="40" fillId="16" borderId="0" pivotButton="0" quotePrefix="0" xfId="0"/>
    <xf numFmtId="177" fontId="40" fillId="16" borderId="0" pivotButton="0" quotePrefix="0" xfId="0"/>
    <xf numFmtId="0" fontId="41" fillId="15" borderId="0" applyAlignment="1" pivotButton="0" quotePrefix="0" xfId="0">
      <alignment horizontal="center"/>
    </xf>
    <xf numFmtId="178" fontId="0" fillId="0" borderId="0" pivotButton="0" quotePrefix="0" xfId="0"/>
    <xf numFmtId="0" fontId="31" fillId="16" borderId="0" pivotButton="0" quotePrefix="0" xfId="0"/>
    <xf numFmtId="178" fontId="0" fillId="16" borderId="0" pivotButton="0" quotePrefix="0" xfId="0"/>
    <xf numFmtId="177" fontId="0" fillId="0" borderId="0" pivotButton="0" quotePrefix="0" xfId="0"/>
    <xf numFmtId="178" fontId="2" fillId="0" borderId="0" applyAlignment="1" pivotButton="0" quotePrefix="0" xfId="2">
      <alignment vertical="top"/>
    </xf>
    <xf numFmtId="179" fontId="2" fillId="0" borderId="0" applyAlignment="1" pivotButton="0" quotePrefix="0" xfId="6">
      <alignment vertical="top"/>
    </xf>
    <xf numFmtId="178" fontId="2" fillId="9" borderId="0" applyAlignment="1" pivotButton="0" quotePrefix="0" xfId="2">
      <alignment vertical="top"/>
    </xf>
    <xf numFmtId="178" fontId="2" fillId="12" borderId="0" applyAlignment="1" pivotButton="0" quotePrefix="0" xfId="2">
      <alignment vertical="top"/>
    </xf>
    <xf numFmtId="178" fontId="9" fillId="9" borderId="0" applyAlignment="1" pivotButton="0" quotePrefix="0" xfId="2">
      <alignment vertical="top"/>
    </xf>
    <xf numFmtId="179" fontId="2" fillId="0" borderId="0" applyAlignment="1" pivotButton="0" quotePrefix="0" xfId="1">
      <alignment vertical="top"/>
    </xf>
    <xf numFmtId="178" fontId="8" fillId="0" borderId="0" applyAlignment="1" pivotButton="0" quotePrefix="0" xfId="2">
      <alignment vertical="top"/>
    </xf>
    <xf numFmtId="179" fontId="2" fillId="0" borderId="0" applyAlignment="1" pivotButton="0" quotePrefix="0" xfId="7">
      <alignment vertical="top"/>
    </xf>
    <xf numFmtId="178" fontId="8" fillId="0" borderId="0" applyAlignment="1" pivotButton="0" quotePrefix="0" xfId="3">
      <alignment vertical="top"/>
    </xf>
    <xf numFmtId="179" fontId="8" fillId="0" borderId="4" applyAlignment="1" pivotButton="0" quotePrefix="0" xfId="3">
      <alignment vertical="top"/>
    </xf>
    <xf numFmtId="179" fontId="2" fillId="0" borderId="4" applyAlignment="1" pivotButton="0" quotePrefix="0" xfId="2">
      <alignment vertical="top"/>
    </xf>
    <xf numFmtId="179" fontId="2" fillId="0" borderId="4" applyAlignment="1" pivotButton="0" quotePrefix="0" xfId="6">
      <alignment vertical="top"/>
    </xf>
    <xf numFmtId="179" fontId="2" fillId="9" borderId="4" applyAlignment="1" pivotButton="0" quotePrefix="0" xfId="2">
      <alignment vertical="top"/>
    </xf>
    <xf numFmtId="179" fontId="2" fillId="12" borderId="4" applyAlignment="1" pivotButton="0" quotePrefix="0" xfId="2">
      <alignment vertical="top"/>
    </xf>
    <xf numFmtId="179" fontId="9" fillId="9" borderId="4" applyAlignment="1" pivotButton="0" quotePrefix="0" xfId="2">
      <alignment vertical="top"/>
    </xf>
    <xf numFmtId="178" fontId="8" fillId="0" borderId="4" applyAlignment="1" pivotButton="0" quotePrefix="0" xfId="3">
      <alignment vertical="top"/>
    </xf>
    <xf numFmtId="178" fontId="2" fillId="0" borderId="4" applyAlignment="1" pivotButton="0" quotePrefix="0" xfId="2">
      <alignment vertical="top"/>
    </xf>
    <xf numFmtId="178" fontId="2" fillId="9" borderId="4" applyAlignment="1" pivotButton="0" quotePrefix="0" xfId="2">
      <alignment vertical="top"/>
    </xf>
    <xf numFmtId="178" fontId="2" fillId="12" borderId="4" applyAlignment="1" pivotButton="0" quotePrefix="0" xfId="2">
      <alignment vertical="top"/>
    </xf>
    <xf numFmtId="178" fontId="9" fillId="9" borderId="4" applyAlignment="1" pivotButton="0" quotePrefix="0" xfId="2">
      <alignment vertical="top"/>
    </xf>
    <xf numFmtId="179" fontId="8" fillId="0" borderId="0" applyAlignment="1" pivotButton="0" quotePrefix="0" xfId="3">
      <alignment vertical="top"/>
    </xf>
    <xf numFmtId="179" fontId="2" fillId="0" borderId="0" applyAlignment="1" pivotButton="0" quotePrefix="0" xfId="2">
      <alignment vertical="top"/>
    </xf>
    <xf numFmtId="179" fontId="2" fillId="9" borderId="0" applyAlignment="1" pivotButton="0" quotePrefix="0" xfId="2">
      <alignment vertical="top"/>
    </xf>
    <xf numFmtId="179" fontId="2" fillId="12" borderId="0" applyAlignment="1" pivotButton="0" quotePrefix="0" xfId="2">
      <alignment vertical="top"/>
    </xf>
    <xf numFmtId="179" fontId="9" fillId="9" borderId="0" applyAlignment="1" pivotButton="0" quotePrefix="0" xfId="2">
      <alignment vertical="top"/>
    </xf>
    <xf numFmtId="178" fontId="8" fillId="0" borderId="4" applyAlignment="1" pivotButton="0" quotePrefix="0" xfId="2">
      <alignment vertical="top"/>
    </xf>
    <xf numFmtId="180" fontId="0" fillId="14" borderId="0" pivotButton="0" quotePrefix="0" xfId="0"/>
    <xf numFmtId="178" fontId="2" fillId="7" borderId="0" applyAlignment="1" pivotButton="0" quotePrefix="0" xfId="2">
      <alignment vertical="top"/>
    </xf>
  </cellXfs>
  <cellStyles count="9">
    <cellStyle name="Normal" xfId="0" builtinId="0"/>
    <cellStyle name="Percent" xfId="1" builtinId="5"/>
    <cellStyle name="Normal 2" xfId="2"/>
    <cellStyle name="Comma 2" xfId="3"/>
    <cellStyle name="DateShort" xfId="4"/>
    <cellStyle name="DateLong" xfId="5"/>
    <cellStyle name="Percent 2" xfId="6"/>
    <cellStyle name="Factor" xfId="7"/>
    <cellStyle name="Year" xfId="8"/>
  </cellStyles>
  <dxfs count="39">
    <dxf>
      <fill>
        <patternFill>
          <bgColor indexed="44"/>
        </patternFill>
      </fill>
    </dxf>
    <dxf>
      <fill>
        <patternFill>
          <bgColor indexed="47"/>
        </patternFill>
      </fill>
    </dxf>
    <dxf>
      <fill>
        <patternFill>
          <bgColor indexed="51"/>
        </patternFill>
      </fill>
    </dxf>
    <dxf>
      <fill>
        <patternFill>
          <bgColor indexed="51"/>
        </patternFill>
      </fill>
    </dxf>
    <dxf>
      <fill>
        <patternFill>
          <bgColor indexed="51"/>
        </patternFill>
      </fill>
    </dxf>
    <dxf>
      <fill>
        <patternFill>
          <bgColor indexed="51"/>
        </patternFill>
      </fill>
    </dxf>
    <dxf>
      <fill>
        <patternFill>
          <bgColor indexed="51"/>
        </patternFill>
      </fill>
    </dxf>
    <dxf>
      <fill>
        <patternFill>
          <bgColor indexed="51"/>
        </patternFill>
      </fill>
    </dxf>
    <dxf>
      <fill>
        <patternFill>
          <bgColor indexed="44"/>
        </patternFill>
      </fill>
    </dxf>
    <dxf>
      <fill>
        <patternFill>
          <bgColor indexed="47"/>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44"/>
        </patternFill>
      </fill>
    </dxf>
    <dxf>
      <fill>
        <patternFill>
          <bgColor indexed="47"/>
        </patternFill>
      </fill>
    </dxf>
    <dxf>
      <fill>
        <patternFill>
          <bgColor indexed="10"/>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44"/>
        </patternFill>
      </fill>
    </dxf>
    <dxf>
      <fill>
        <patternFill>
          <bgColor indexed="47"/>
        </patternFill>
      </fill>
    </dxf>
    <dxf>
      <fill>
        <patternFill>
          <bgColor indexed="10"/>
        </patternFill>
      </fill>
    </dxf>
    <dxf>
      <fill>
        <patternFill>
          <bgColor indexed="10"/>
        </patternFill>
      </fill>
    </dxf>
    <dxf>
      <fill>
        <patternFill>
          <bgColor rgb="FF7030A0"/>
        </patternFill>
      </fill>
    </dxf>
    <dxf>
      <fill>
        <patternFill>
          <bgColor indexed="44"/>
        </patternFill>
      </fill>
    </dxf>
    <dxf>
      <fill>
        <patternFill>
          <bgColor indexed="4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and EBITDA by year</a:t>
            </a:r>
          </a:p>
        </rich>
      </tx>
    </title>
    <plotArea>
      <barChart>
        <barDir val="col"/>
        <grouping val="clustered"/>
        <ser>
          <idx val="0"/>
          <order val="0"/>
          <tx>
            <strRef>
              <f>'Dashboard'!B16</f>
            </strRef>
          </tx>
          <spPr>
            <a:solidFill xmlns:a="http://schemas.openxmlformats.org/drawingml/2006/main">
              <a:srgbClr val="0B5E82"/>
            </a:solidFill>
            <a:ln xmlns:a="http://schemas.openxmlformats.org/drawingml/2006/main">
              <a:solidFill>
                <a:srgbClr val="0B5E82"/>
              </a:solidFill>
              <a:prstDash val="solid"/>
            </a:ln>
          </spPr>
          <cat>
            <numRef>
              <f>'Dashboard'!$C$15:$V$15</f>
            </numRef>
          </cat>
          <val>
            <numRef>
              <f>'Dashboard'!$C$16:$V$16</f>
            </numRef>
          </val>
        </ser>
        <ser>
          <idx val="1"/>
          <order val="1"/>
          <tx>
            <strRef>
              <f>'Dashboard'!B18</f>
            </strRef>
          </tx>
          <spPr>
            <a:solidFill xmlns:a="http://schemas.openxmlformats.org/drawingml/2006/main">
              <a:srgbClr val="D99A2B"/>
            </a:solidFill>
            <a:ln xmlns:a="http://schemas.openxmlformats.org/drawingml/2006/main">
              <a:solidFill>
                <a:srgbClr val="D99A2B"/>
              </a:solidFill>
              <a:prstDash val="solid"/>
            </a:ln>
          </spPr>
          <cat>
            <numRef>
              <f>'Dashboard'!$C$15:$V$15</f>
            </numRef>
          </cat>
          <val>
            <numRef>
              <f>'Dashboard'!$C$18:$V$18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$000s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CFADS and senior debt service</a:t>
            </a:r>
          </a:p>
        </rich>
      </tx>
    </title>
    <plotArea>
      <barChart>
        <barDir val="col"/>
        <grouping val="clustered"/>
        <ser>
          <idx val="0"/>
          <order val="0"/>
          <tx>
            <strRef>
              <f>'Dashboard'!B19</f>
            </strRef>
          </tx>
          <spPr>
            <a:solidFill xmlns:a="http://schemas.openxmlformats.org/drawingml/2006/main">
              <a:srgbClr val="141B4D"/>
            </a:solidFill>
            <a:ln xmlns:a="http://schemas.openxmlformats.org/drawingml/2006/main">
              <a:solidFill>
                <a:srgbClr val="141B4D"/>
              </a:solidFill>
              <a:prstDash val="solid"/>
            </a:ln>
          </spPr>
          <cat>
            <numRef>
              <f>'Dashboard'!$C$15:$V$15</f>
            </numRef>
          </cat>
          <val>
            <numRef>
              <f>'Dashboard'!$C$19:$V$19</f>
            </numRef>
          </val>
        </ser>
        <ser>
          <idx val="1"/>
          <order val="1"/>
          <tx>
            <strRef>
              <f>'Dashboard'!B20</f>
            </strRef>
          </tx>
          <spPr>
            <a:solidFill xmlns:a="http://schemas.openxmlformats.org/drawingml/2006/main">
              <a:srgbClr val="D99A2B"/>
            </a:solidFill>
            <a:ln xmlns:a="http://schemas.openxmlformats.org/drawingml/2006/main">
              <a:solidFill>
                <a:srgbClr val="D99A2B"/>
              </a:solidFill>
              <a:prstDash val="solid"/>
            </a:ln>
          </spPr>
          <cat>
            <numRef>
              <f>'Dashboard'!$C$15:$V$15</f>
            </numRef>
          </cat>
          <val>
            <numRef>
              <f>'Dashboard'!$C$20:$V$20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$000s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DSCR by year</a:t>
            </a:r>
          </a:p>
        </rich>
      </tx>
    </title>
    <plotArea>
      <lineChart>
        <grouping val="standard"/>
        <ser>
          <idx val="0"/>
          <order val="0"/>
          <tx>
            <strRef>
              <f>'Dashboard'!B22</f>
            </strRef>
          </tx>
          <spPr>
            <a:solidFill xmlns:a="http://schemas.openxmlformats.org/drawingml/2006/main">
              <a:srgbClr val="0B5E82"/>
            </a:solidFill>
            <a:ln xmlns:a="http://schemas.openxmlformats.org/drawingml/2006/main">
              <a:solidFill>
                <a:srgbClr val="0B5E82"/>
              </a:solidFill>
              <a:prstDash val="solid"/>
            </a:ln>
          </spPr>
          <marker>
            <symbol val="none"/>
            <spPr>
              <a:ln xmlns:a="http://schemas.openxmlformats.org/drawingml/2006/main">
                <a:prstDash val="solid"/>
              </a:ln>
            </spPr>
          </marker>
          <cat>
            <numRef>
              <f>'Dashboard'!$C$15:$V$15</f>
            </numRef>
          </cat>
          <val>
            <numRef>
              <f>'Dashboard'!$C$22:$V$22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x</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Dividends by year</a:t>
            </a:r>
          </a:p>
        </rich>
      </tx>
    </title>
    <plotArea>
      <barChart>
        <barDir val="col"/>
        <grouping val="clustered"/>
        <ser>
          <idx val="0"/>
          <order val="0"/>
          <tx>
            <strRef>
              <f>'Dashboard'!B21</f>
            </strRef>
          </tx>
          <spPr>
            <a:solidFill xmlns:a="http://schemas.openxmlformats.org/drawingml/2006/main">
              <a:srgbClr val="1C7293"/>
            </a:solidFill>
            <a:ln xmlns:a="http://schemas.openxmlformats.org/drawingml/2006/main">
              <a:solidFill>
                <a:srgbClr val="1C7293"/>
              </a:solidFill>
              <a:prstDash val="solid"/>
            </a:ln>
          </spPr>
          <cat>
            <numRef>
              <f>'Dashboard'!$C$15:$V$15</f>
            </numRef>
          </cat>
          <val>
            <numRef>
              <f>'Dashboard'!$C$21:$V$21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$000s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7</col>
      <colOff>0</colOff>
      <row>0</row>
      <rowOff>0</rowOff>
    </from>
    <ext cx="142875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5</col>
      <colOff>0</colOff>
      <row>0</row>
      <rowOff>0</rowOff>
    </from>
    <ext cx="552450" cy="5524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6</col>
      <colOff>0</colOff>
      <row>0</row>
      <rowOff>0</rowOff>
    </from>
    <ext cx="552450" cy="5524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1</col>
      <colOff>0</colOff>
      <row>24</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24</row>
      <rowOff>0</rowOff>
    </from>
    <ext cx="61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42</row>
      <rowOff>0</rowOff>
    </from>
    <ext cx="612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42</row>
      <rowOff>0</rowOff>
    </from>
    <ext cx="612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InpC'!A1" TargetMode="External" Id="rId2"/><Relationship Type="http://schemas.openxmlformats.org/officeDocument/2006/relationships/hyperlink" Target="#'InpS'!A1" TargetMode="External" Id="rId3"/><Relationship Type="http://schemas.openxmlformats.org/officeDocument/2006/relationships/hyperlink" Target="#'Time'!A1" TargetMode="External" Id="rId4"/><Relationship Type="http://schemas.openxmlformats.org/officeDocument/2006/relationships/hyperlink" Target="#'Esc'!A1" TargetMode="External" Id="rId5"/><Relationship Type="http://schemas.openxmlformats.org/officeDocument/2006/relationships/hyperlink" Target="#'OpRev'!A1" TargetMode="External" Id="rId6"/><Relationship Type="http://schemas.openxmlformats.org/officeDocument/2006/relationships/hyperlink" Target="#'OpCost'!A1" TargetMode="External" Id="rId7"/><Relationship Type="http://schemas.openxmlformats.org/officeDocument/2006/relationships/hyperlink" Target="#'Tax'!A1" TargetMode="External" Id="rId8"/><Relationship Type="http://schemas.openxmlformats.org/officeDocument/2006/relationships/hyperlink" Target="#'NCA'!A1" TargetMode="External" Id="rId9"/><Relationship Type="http://schemas.openxmlformats.org/officeDocument/2006/relationships/hyperlink" Target="#'Debt'!A1" TargetMode="External" Id="rId10"/><Relationship Type="http://schemas.openxmlformats.org/officeDocument/2006/relationships/hyperlink" Target="#'Equity'!A1" TargetMode="External" Id="rId11"/><Relationship Type="http://schemas.openxmlformats.org/officeDocument/2006/relationships/hyperlink" Target="#'FinStat'!A1" TargetMode="External" Id="rId12"/><Relationship Type="http://schemas.openxmlformats.org/officeDocument/2006/relationships/hyperlink" Target="#'Val'!A1" TargetMode="External" Id="rId13"/><Relationship Type="http://schemas.openxmlformats.org/officeDocument/2006/relationships/hyperlink" Target="#'Track'!A1" TargetMode="External" Id="rId14"/><Relationship Type="http://schemas.openxmlformats.org/officeDocument/2006/relationships/drawing" Target="/xl/drawings/drawing1.xml" Id="rId15"/></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D99A2B"/>
    <outlinePr summaryBelow="1" summaryRight="1"/>
    <pageSetUpPr/>
  </sheetPr>
  <dimension ref="A1:H52"/>
  <sheetViews>
    <sheetView showGridLines="0" workbookViewId="0">
      <selection activeCell="A1" sqref="A1"/>
    </sheetView>
  </sheetViews>
  <sheetFormatPr baseColWidth="8" defaultRowHeight="15"/>
  <cols>
    <col width="3" customWidth="1" style="396" min="1" max="1"/>
    <col width="24" customWidth="1" style="396" min="2" max="2"/>
    <col width="44" customWidth="1" style="396" min="3" max="3"/>
    <col width="22" customWidth="1" style="396" min="4" max="4"/>
    <col width="22" customWidth="1" style="396" min="5" max="5"/>
    <col width="22" customWidth="1" style="396" min="6" max="6"/>
    <col width="22" customWidth="1" style="396" min="7" max="7"/>
    <col width="12" customWidth="1" style="396" min="8" max="8"/>
  </cols>
  <sheetData>
    <row r="1">
      <c r="A1" s="461" t="n"/>
      <c r="B1" s="461" t="n"/>
      <c r="C1" s="461" t="n"/>
      <c r="D1" s="461" t="n"/>
      <c r="E1" s="461" t="n"/>
      <c r="F1" s="461" t="n"/>
      <c r="G1" s="461" t="n"/>
      <c r="H1" s="461" t="n"/>
    </row>
    <row r="2" ht="30" customHeight="1" s="396">
      <c r="A2" s="461" t="n"/>
      <c r="B2" s="462" t="inlineStr">
        <is>
          <t>TrainStat Start Model: corrected and completed</t>
        </is>
      </c>
      <c r="C2" s="461" t="n"/>
      <c r="D2" s="461" t="n"/>
      <c r="E2" s="461" t="n"/>
      <c r="F2" s="461" t="n"/>
      <c r="G2" s="461" t="n"/>
      <c r="H2" s="461" t="n"/>
    </row>
    <row r="3">
      <c r="A3" s="461" t="n"/>
      <c r="B3" s="463" t="inlineStr">
        <is>
          <t>Mastering Infrastructure and Project Finance Boot Camp  |  Lagos Business School  |  14 to 22 October 2026</t>
        </is>
      </c>
      <c r="C3" s="461" t="n"/>
      <c r="D3" s="461" t="n"/>
      <c r="E3" s="461" t="n"/>
      <c r="F3" s="461" t="n"/>
      <c r="G3" s="461" t="n"/>
      <c r="H3" s="461" t="n"/>
    </row>
    <row r="4">
      <c r="A4" s="461" t="n"/>
      <c r="B4" s="464" t="inlineStr">
        <is>
          <t>bongo.ai  |  MIPF  |  Prof Bongo Adi  |  +234 706 164 8699  |  badi@lbs.edu.ng  |  bongo.adi@fulbrightmail.org</t>
        </is>
      </c>
      <c r="C4" s="461" t="n"/>
      <c r="D4" s="461" t="n"/>
      <c r="E4" s="461" t="n"/>
      <c r="F4" s="461" t="n"/>
      <c r="G4" s="461" t="n"/>
      <c r="H4" s="461" t="n"/>
    </row>
    <row r="5">
      <c r="A5" s="461" t="n"/>
      <c r="B5" s="461" t="n"/>
      <c r="C5" s="461" t="n"/>
      <c r="D5" s="461" t="n"/>
      <c r="E5" s="461" t="n"/>
      <c r="F5" s="461" t="n"/>
      <c r="G5" s="461" t="n"/>
      <c r="H5" s="461" t="n"/>
    </row>
    <row r="7">
      <c r="B7" s="465" t="inlineStr">
        <is>
          <t>MODEL STATUS</t>
        </is>
      </c>
      <c r="C7" s="466" t="str">
        <f>IF(FinStat!F74+FinStat!F77+FinStat!F80+Time!F120=0,"ALL CHECKS PASSED","CHECK ERRORS: see FinStat")</f>
        <v>ALL CHECKS PASSED</v>
      </c>
    </row>
    <row r="8">
      <c r="B8" s="0" t="inlineStr">
        <is>
          <t>Active scenario</t>
        </is>
      </c>
      <c r="C8" s="467" t="str">
        <f>InpC!F3</f>
        <v>Base</v>
      </c>
    </row>
    <row r="9" ht="48" customHeight="1" s="396">
      <c r="B9" s="468" t="inlineStr">
        <is>
          <t>Scenario definitions</t>
        </is>
      </c>
      <c r="C9" s="469" t="inlineStr">
        <is>
          <t>Base: inflation 7% falling to 3%, fare US$7.15, O&amp;M as contracted.  Downside: fare -10% and O&amp;M +10%.  Upside: fare +10%.</t>
        </is>
      </c>
    </row>
    <row r="11">
      <c r="B11" s="465" t="inlineStr">
        <is>
          <t>CONTENTS</t>
        </is>
      </c>
    </row>
    <row r="12">
      <c r="B12" s="470" t="inlineStr">
        <is>
          <t>Dashboard</t>
        </is>
      </c>
      <c r="C12" s="0" t="inlineStr">
        <is>
          <t>Key results, annual summary and charts</t>
        </is>
      </c>
    </row>
    <row r="13">
      <c r="B13" s="470" t="inlineStr">
        <is>
          <t>InpC</t>
        </is>
      </c>
      <c r="C13" s="0" t="inlineStr">
        <is>
          <t>Constants and scenario switch (yellow = typed assumption)</t>
        </is>
      </c>
    </row>
    <row r="14">
      <c r="B14" s="470" t="inlineStr">
        <is>
          <t>InpS</t>
        </is>
      </c>
      <c r="C14" s="0" t="inlineStr">
        <is>
          <t>Time-series inputs: trains, arrivals, occupancy, repayment profiles, extra funding</t>
        </is>
      </c>
    </row>
    <row r="15">
      <c r="B15" s="470" t="inlineStr">
        <is>
          <t>Time</t>
        </is>
      </c>
      <c r="C15" s="0" t="inlineStr">
        <is>
          <t>Timeline, flags and integrity checks</t>
        </is>
      </c>
    </row>
    <row r="16">
      <c r="B16" s="470" t="inlineStr">
        <is>
          <t>Esc</t>
        </is>
      </c>
      <c r="C16" s="0" t="inlineStr">
        <is>
          <t>Inflation and escalation factors</t>
        </is>
      </c>
    </row>
    <row r="17">
      <c r="B17" s="470" t="inlineStr">
        <is>
          <t>OpRev</t>
        </is>
      </c>
      <c r="C17" s="0" t="inlineStr">
        <is>
          <t>Demand and operating revenue, cash received, receivables</t>
        </is>
      </c>
    </row>
    <row r="18">
      <c r="B18" s="470" t="inlineStr">
        <is>
          <t>OpCost</t>
        </is>
      </c>
      <c r="C18" s="0" t="inlineStr">
        <is>
          <t>Operating cost, cash paid, payables</t>
        </is>
      </c>
    </row>
    <row r="19">
      <c r="B19" s="470" t="inlineStr">
        <is>
          <t>Tax</t>
        </is>
      </c>
      <c r="C19" s="0" t="inlineStr">
        <is>
          <t>Tax depreciation, tax paid, tax expense, deferred tax</t>
        </is>
      </c>
    </row>
    <row r="20">
      <c r="B20" s="470" t="inlineStr">
        <is>
          <t>NCA</t>
        </is>
      </c>
      <c r="C20" s="0" t="inlineStr">
        <is>
          <t>Capital expenditure, depreciation, asset balance</t>
        </is>
      </c>
    </row>
    <row r="21">
      <c r="B21" s="470" t="inlineStr">
        <is>
          <t>Debt</t>
        </is>
      </c>
      <c r="C21" s="0" t="inlineStr">
        <is>
          <t>Senior debt: repayment profile, interest, balance</t>
        </is>
      </c>
    </row>
    <row r="22">
      <c r="B22" s="470" t="inlineStr">
        <is>
          <t>Equity</t>
        </is>
      </c>
      <c r="C22" s="0" t="inlineStr">
        <is>
          <t>Share capital, dividends, retained cash and earnings</t>
        </is>
      </c>
    </row>
    <row r="23">
      <c r="B23" s="470" t="inlineStr">
        <is>
          <t>FinStat</t>
        </is>
      </c>
      <c r="C23" s="0" t="inlineStr">
        <is>
          <t>Income statement, cash flow cascade, balance sheet, checks, DSCR</t>
        </is>
      </c>
    </row>
    <row r="24">
      <c r="B24" s="470" t="inlineStr">
        <is>
          <t>Val</t>
        </is>
      </c>
      <c r="C24" s="0" t="inlineStr">
        <is>
          <t>Shareholder valuation: NPV and XIRR</t>
        </is>
      </c>
    </row>
    <row r="25">
      <c r="B25" s="470" t="inlineStr">
        <is>
          <t>Track</t>
        </is>
      </c>
      <c r="C25" s="0" t="inlineStr">
        <is>
          <t>Scenario log: live results and stored runs</t>
        </is>
      </c>
    </row>
    <row r="28">
      <c r="B28" s="465" t="inlineStr">
        <is>
          <t>COLOUR CODE</t>
        </is>
      </c>
    </row>
    <row r="29">
      <c r="B29" s="471" t="inlineStr">
        <is>
          <t>Yellow fill</t>
        </is>
      </c>
      <c r="C29" s="0" t="inlineStr">
        <is>
          <t>Typed assumption (input)</t>
        </is>
      </c>
    </row>
    <row r="30">
      <c r="B30" s="472" t="inlineStr">
        <is>
          <t>Blue font</t>
        </is>
      </c>
      <c r="C30" s="0" t="inlineStr">
        <is>
          <t>Link pulled in from another row or sheet</t>
        </is>
      </c>
    </row>
    <row r="31">
      <c r="B31" s="473" t="inlineStr">
        <is>
          <t>Red font</t>
        </is>
      </c>
      <c r="C31" s="0" t="inlineStr">
        <is>
          <t>Key result row used by other sheets</t>
        </is>
      </c>
    </row>
    <row r="32">
      <c r="B32" s="474" t="inlineStr">
        <is>
          <t>Black font</t>
        </is>
      </c>
      <c r="C32" s="0" t="inlineStr">
        <is>
          <t>Intermediate calculation</t>
        </is>
      </c>
    </row>
    <row r="35">
      <c r="B35" s="465" t="inlineStr">
        <is>
          <t>HOW TO RUN</t>
        </is>
      </c>
    </row>
    <row r="36">
      <c r="B36" s="0" t="inlineStr">
        <is>
          <t>1. Choose the scenario in InpC!F3 (drop-down). Everything recalculates.</t>
        </is>
      </c>
    </row>
    <row r="37">
      <c r="B37" s="0" t="inlineStr">
        <is>
          <t>2. Change assumptions only in InpC (constants) and InpS (time series).</t>
        </is>
      </c>
    </row>
    <row r="38">
      <c r="B38" s="0" t="inlineStr">
        <is>
          <t>3. Confirm the status line above says ALL CHECKS PASSED.</t>
        </is>
      </c>
    </row>
    <row r="39">
      <c r="B39" s="0" t="inlineStr">
        <is>
          <t>4. To store a run: copy Track!H8:H69, paste values into M, N or O (Paste Special, Values).</t>
        </is>
      </c>
    </row>
    <row r="41">
      <c r="B41" s="465" t="inlineStr">
        <is>
          <t>CHANGE LOG (v1.0, 8 October 2026)</t>
        </is>
      </c>
    </row>
    <row r="42" ht="45" customHeight="1" s="396">
      <c r="B42" s="469" t="inlineStr">
        <is>
          <t>1. Ghost formulas removed: seven sheets carried about 1,238,318 formulas and formats out to column XFD (the sheet edge), far beyond the 84-column timeline (J to CO). Trimming them cuts the file from about 6.0 MB to 0.4 MB and makes recalculation take seconds instead of many minutes. The unused scratch sheet 'Temp' (about 50,000 formulas) was removed.</t>
        </is>
      </c>
    </row>
    <row r="43" ht="45" customHeight="1" s="396">
      <c r="B43" s="469" t="inlineStr">
        <is>
          <t>2. Defined names LIVE_RESULTS, TRACK_ACTIVE and TRK_COMMENT repaired (they pointed at deleted cells); name 'unit' re-pointed from an external link to InpC!F102; sheet-level names on Track that pointed at an external workbook removed; Time print area extended to column CO; external link removed.</t>
        </is>
      </c>
    </row>
    <row r="44" ht="45" customHeight="1" s="396">
      <c r="B44" s="469" t="inlineStr">
        <is>
          <t>3. Typos corrected: Scenario, arrival, Investment, Accounting, available, period, NPV of ...</t>
        </is>
      </c>
    </row>
    <row r="45" ht="45" customHeight="1" s="396">
      <c r="B45" s="469" t="inlineStr">
        <is>
          <t>4. Stray zeros removed (Tax C28, C35; InpC row 45; InpS J74).</t>
        </is>
      </c>
    </row>
    <row r="46" ht="45" customHeight="1" s="396">
      <c r="B46" s="469" t="inlineStr">
        <is>
          <t>5. Total and check ranges extended to column CO (they stopped at BY, BV or CQ): the three FinStat checks now cover every column, Time!H79 now counts the post-forecast flag.</t>
        </is>
      </c>
    </row>
    <row r="47" ht="45" customHeight="1" s="396">
      <c r="B47" s="469" t="inlineStr">
        <is>
          <t>6. Scenarios made coherent: Upside was worse than Base (2% flat inflation) and Downside equalled Base. Now Base / Downside (fare -10%, O&amp;M +10%) / Upside (fare +10%). O&amp;M sensitivity input (InpC row 46) is now live.</t>
        </is>
      </c>
    </row>
    <row r="48" ht="45" customHeight="1" s="396">
      <c r="B48" s="469" t="inlineStr">
        <is>
          <t>7. Tax: interest deduction placeholder completed (Tax row 26 = Debt interest). Cash tax now deducts interest, so deferred tax unwinds to zero and nothing is left stranded in retained earnings.</t>
        </is>
      </c>
    </row>
    <row r="49" ht="45" customHeight="1" s="396">
      <c r="B49" s="469" t="inlineStr">
        <is>
          <t>8. Day count corrected: Time row 30 (days in model period) was period end less period beginning, one day short in every quarter (a 361-day year; Constr already used true days). It is now end less beginning plus 1. Interest, receivables and payables, and every result that depends on them move slightly (for example the start-model NPV by about 0.4%).</t>
        </is>
      </c>
    </row>
    <row r="50" ht="45" customHeight="1" s="396">
      <c r="B50" s="469" t="inlineStr">
        <is>
          <t>9. Placeholders completed: Debt row 42 and Equity row 22 now take inputs from InpS rows 22 and 23; they flow through the cash cascade (FinStat rows 39 and 43) and the shareholder valuation (Val rows 24 and 27).</t>
        </is>
      </c>
    </row>
    <row r="51" ht="45" customHeight="1" s="396">
      <c r="B51" s="469" t="inlineStr">
        <is>
          <t>10. FinStat: DSCR block added: debt service, DSCR, minimum, average and whole-life cover.</t>
        </is>
      </c>
    </row>
    <row r="52" ht="45" customHeight="1" s="396">
      <c r="B52" s="469" t="inlineStr">
        <is>
          <t>11. Calculation mode: the original file was saved in MANUAL calculation mode, so switching the scenario left stale results until F9 was pressed. The workbook is now saved in Automatic mode (and recalculates fully when opened).</t>
        </is>
      </c>
    </row>
  </sheetData>
  <mergeCells count="30">
    <mergeCell ref="B42:G42"/>
    <mergeCell ref="C24:G24"/>
    <mergeCell ref="C15:G15"/>
    <mergeCell ref="C14:G14"/>
    <mergeCell ref="B44:G44"/>
    <mergeCell ref="B38:G38"/>
    <mergeCell ref="C20:G20"/>
    <mergeCell ref="B37:G37"/>
    <mergeCell ref="C16:G16"/>
    <mergeCell ref="C25:G25"/>
    <mergeCell ref="B49:G49"/>
    <mergeCell ref="C22:G22"/>
    <mergeCell ref="C9:G9"/>
    <mergeCell ref="B51:G51"/>
    <mergeCell ref="C21:G21"/>
    <mergeCell ref="C12:G12"/>
    <mergeCell ref="B36:G36"/>
    <mergeCell ref="B45:G45"/>
    <mergeCell ref="B50:G50"/>
    <mergeCell ref="C23:G23"/>
    <mergeCell ref="C17:G17"/>
    <mergeCell ref="B47:G47"/>
    <mergeCell ref="B46:G46"/>
    <mergeCell ref="C19:G19"/>
    <mergeCell ref="B43:G43"/>
    <mergeCell ref="B52:G52"/>
    <mergeCell ref="C13:G13"/>
    <mergeCell ref="B48:G48"/>
    <mergeCell ref="C18:G18"/>
    <mergeCell ref="B39:G39"/>
  </mergeCells>
  <hyperlinks>
    <hyperlink xmlns:r="http://schemas.openxmlformats.org/officeDocument/2006/relationships" ref="B12" r:id="rId1"/>
    <hyperlink xmlns:r="http://schemas.openxmlformats.org/officeDocument/2006/relationships" ref="B13" r:id="rId2"/>
    <hyperlink xmlns:r="http://schemas.openxmlformats.org/officeDocument/2006/relationships" ref="B14" r:id="rId3"/>
    <hyperlink xmlns:r="http://schemas.openxmlformats.org/officeDocument/2006/relationships" ref="B15" r:id="rId4"/>
    <hyperlink xmlns:r="http://schemas.openxmlformats.org/officeDocument/2006/relationships" ref="B16" r:id="rId5"/>
    <hyperlink xmlns:r="http://schemas.openxmlformats.org/officeDocument/2006/relationships" ref="B17" r:id="rId6"/>
    <hyperlink xmlns:r="http://schemas.openxmlformats.org/officeDocument/2006/relationships" ref="B18" r:id="rId7"/>
    <hyperlink xmlns:r="http://schemas.openxmlformats.org/officeDocument/2006/relationships" ref="B19" r:id="rId8"/>
    <hyperlink xmlns:r="http://schemas.openxmlformats.org/officeDocument/2006/relationships" ref="B20"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s>
  <pageMargins left="0.75" right="0.75" top="1" bottom="1" header="0.5" footer="0.5"/>
  <drawing xmlns:r="http://schemas.openxmlformats.org/officeDocument/2006/relationships" r:id="rId15"/>
</worksheet>
</file>

<file path=xl/worksheets/sheet2.xml><?xml version="1.0" encoding="utf-8"?>
<worksheet xmlns="http://schemas.openxmlformats.org/spreadsheetml/2006/main">
  <sheetPr>
    <tabColor rgb="00141B4D"/>
    <outlinePr summaryBelow="1" summaryRight="1"/>
    <pageSetUpPr/>
  </sheetPr>
  <dimension ref="A1:X22"/>
  <sheetViews>
    <sheetView showGridLines="0" workbookViewId="0">
      <selection activeCell="A1" sqref="A1"/>
    </sheetView>
  </sheetViews>
  <sheetFormatPr baseColWidth="8" defaultRowHeight="15"/>
  <cols>
    <col width="2" customWidth="1" style="396" min="1" max="1"/>
    <col width="34" customWidth="1" style="396" min="2" max="2"/>
    <col width="11" customWidth="1" style="396" min="3" max="3"/>
    <col width="11" customWidth="1" style="396" min="4" max="4"/>
    <col width="11" customWidth="1" style="396" min="5" max="5"/>
    <col width="11" customWidth="1" style="396" min="6" max="6"/>
    <col width="11" customWidth="1" style="396" min="7" max="7"/>
    <col width="11" customWidth="1" style="396" min="8" max="8"/>
    <col width="11" customWidth="1" style="396" min="9" max="9"/>
    <col width="11" customWidth="1" style="396" min="10" max="10"/>
    <col width="11" customWidth="1" style="396" min="11" max="11"/>
    <col width="11" customWidth="1" style="396" min="12" max="12"/>
    <col width="11" customWidth="1" style="396" min="13" max="13"/>
    <col width="11" customWidth="1" style="396" min="14" max="14"/>
    <col width="11" customWidth="1" style="396" min="15" max="15"/>
    <col width="11" customWidth="1" style="396" min="16" max="16"/>
    <col width="11" customWidth="1" style="396" min="17" max="17"/>
    <col width="11" customWidth="1" style="396" min="18" max="18"/>
    <col width="11" customWidth="1" style="396" min="19" max="19"/>
    <col width="11" customWidth="1" style="396" min="20" max="20"/>
    <col width="11" customWidth="1" style="396" min="21" max="21"/>
    <col width="11" customWidth="1" style="396" min="22" max="22"/>
    <col width="11" customWidth="1" style="396" min="23" max="23"/>
    <col width="11" customWidth="1" style="396" min="24" max="24"/>
  </cols>
  <sheetData>
    <row r="1">
      <c r="A1" s="461" t="n"/>
      <c r="B1" s="461" t="n"/>
      <c r="C1" s="461" t="n"/>
      <c r="D1" s="461" t="n"/>
      <c r="E1" s="461" t="n"/>
      <c r="F1" s="461" t="n"/>
      <c r="G1" s="461" t="n"/>
      <c r="H1" s="461" t="n"/>
      <c r="I1" s="461" t="n"/>
      <c r="J1" s="461" t="n"/>
      <c r="K1" s="461" t="n"/>
      <c r="L1" s="461" t="n"/>
      <c r="M1" s="461" t="n"/>
      <c r="N1" s="461" t="n"/>
      <c r="O1" s="461" t="n"/>
      <c r="P1" s="461" t="n"/>
      <c r="Q1" s="461" t="n"/>
      <c r="R1" s="461" t="n"/>
      <c r="S1" s="461" t="n"/>
      <c r="T1" s="461" t="n"/>
      <c r="U1" s="461" t="n"/>
      <c r="V1" s="461" t="n"/>
      <c r="W1" s="461" t="n"/>
      <c r="X1" s="461" t="n"/>
    </row>
    <row r="2">
      <c r="A2" s="461" t="n"/>
      <c r="B2" s="475" t="inlineStr">
        <is>
          <t>TrainStat: dashboard</t>
        </is>
      </c>
      <c r="C2" s="461" t="n"/>
      <c r="D2" s="461" t="n"/>
      <c r="E2" s="461" t="n"/>
      <c r="F2" s="476" t="str">
        <f>"Scenario: "&amp;InpC!F3</f>
        <v>Scenario: Base</v>
      </c>
      <c r="G2" s="461" t="n"/>
      <c r="H2" s="461" t="n"/>
      <c r="I2" s="461" t="n"/>
      <c r="J2" s="461" t="n"/>
      <c r="K2" s="477" t="str">
        <f>Cover!C7</f>
        <v>ALL CHECKS PASSED</v>
      </c>
      <c r="L2" s="461" t="n"/>
      <c r="M2" s="461" t="n"/>
      <c r="N2" s="461" t="n"/>
      <c r="O2" s="461" t="n"/>
      <c r="P2" s="461" t="n"/>
      <c r="Q2" s="461" t="n"/>
      <c r="R2" s="461" t="n"/>
      <c r="S2" s="461" t="n"/>
      <c r="T2" s="461" t="n"/>
      <c r="U2" s="461" t="n"/>
      <c r="V2" s="461" t="n"/>
      <c r="W2" s="461" t="n"/>
      <c r="X2" s="461" t="n"/>
    </row>
    <row r="3">
      <c r="A3" s="461" t="n"/>
      <c r="B3" s="461" t="n"/>
      <c r="C3" s="461" t="n"/>
      <c r="D3" s="461" t="n"/>
      <c r="E3" s="461" t="n"/>
      <c r="F3" s="461" t="n"/>
      <c r="G3" s="461" t="n"/>
      <c r="H3" s="461" t="n"/>
      <c r="I3" s="461" t="n"/>
      <c r="J3" s="461" t="n"/>
      <c r="K3" s="461" t="n"/>
      <c r="L3" s="461" t="n"/>
      <c r="M3" s="461" t="n"/>
      <c r="N3" s="461" t="n"/>
      <c r="O3" s="461" t="n"/>
      <c r="P3" s="461" t="n"/>
      <c r="Q3" s="461" t="n"/>
      <c r="R3" s="461" t="n"/>
      <c r="S3" s="461" t="n"/>
      <c r="T3" s="461" t="n"/>
      <c r="U3" s="461" t="n"/>
      <c r="V3" s="461" t="n"/>
      <c r="W3" s="461" t="n"/>
      <c r="X3" s="461" t="n"/>
    </row>
    <row r="5">
      <c r="B5" s="478" t="inlineStr">
        <is>
          <t>Shareholder NPV ($000s)</t>
        </is>
      </c>
      <c r="E5" s="478" t="inlineStr">
        <is>
          <t>Shareholder IRR (XIRR)</t>
        </is>
      </c>
      <c r="F5" s="479" t="n"/>
      <c r="G5" s="479" t="n"/>
      <c r="H5" s="479" t="n"/>
      <c r="J5" s="478" t="inlineStr">
        <is>
          <t>Minimum DSCR</t>
        </is>
      </c>
      <c r="K5" s="479" t="n"/>
      <c r="L5" s="479" t="n"/>
      <c r="M5" s="479" t="n"/>
      <c r="O5" s="478" t="inlineStr">
        <is>
          <t>Total CFADS ($000s)</t>
        </is>
      </c>
      <c r="P5" s="479" t="n"/>
      <c r="Q5" s="479" t="n"/>
      <c r="R5" s="479" t="n"/>
    </row>
    <row r="6">
      <c r="B6" s="480">
        <f>Val!F39</f>
        <v>17608.98731048808</v>
      </c>
      <c r="E6" s="481">
        <f>Val!F49</f>
        <v>0.3372310379718108</v>
      </c>
      <c r="F6" s="479" t="n"/>
      <c r="G6" s="479" t="n"/>
      <c r="H6" s="479" t="n"/>
      <c r="J6" s="482">
        <f>FinStat!F92</f>
        <v>1.1663261671210836</v>
      </c>
      <c r="K6" s="479" t="n"/>
      <c r="L6" s="479" t="n"/>
      <c r="M6" s="479" t="n"/>
      <c r="O6" s="480">
        <f>Track!H10</f>
        <v>582323.9405780912</v>
      </c>
      <c r="P6" s="479" t="n"/>
      <c r="Q6" s="479" t="n"/>
      <c r="R6" s="479" t="n"/>
    </row>
    <row r="7">
      <c r="B7" s="479" t="n"/>
      <c r="E7" s="479" t="n"/>
      <c r="F7" s="479" t="n"/>
      <c r="G7" s="479" t="n"/>
      <c r="H7" s="479" t="n"/>
      <c r="J7" s="479" t="n"/>
      <c r="K7" s="479" t="n"/>
      <c r="L7" s="479" t="n"/>
      <c r="M7" s="479" t="n"/>
      <c r="O7" s="479" t="n"/>
      <c r="P7" s="479" t="n"/>
      <c r="Q7" s="479" t="n"/>
      <c r="R7" s="479" t="n"/>
    </row>
    <row r="9">
      <c r="B9" s="478" t="inlineStr">
        <is>
          <t>Senior debt at close ($000s)</t>
        </is>
      </c>
    </row>
    <row r="10">
      <c r="B10" s="480">
        <f>Debt!F11</f>
        <v>60000.0</v>
      </c>
    </row>
    <row r="11">
      <c r="B11" s="479" t="n"/>
    </row>
    <row r="14">
      <c r="B14" s="465" t="inlineStr">
        <is>
          <t>ANNUAL SUMMARY ($000s)</t>
        </is>
      </c>
    </row>
    <row r="15">
      <c r="B15" s="483" t="inlineStr">
        <is>
          <t>Financial year</t>
        </is>
      </c>
      <c r="C15" s="483" t="n">
        <v>2022</v>
      </c>
      <c r="D15" s="483" t="n">
        <v>2023</v>
      </c>
      <c r="E15" s="483" t="n">
        <v>2024</v>
      </c>
      <c r="F15" s="483" t="n">
        <v>2025</v>
      </c>
      <c r="G15" s="483" t="n">
        <v>2026</v>
      </c>
      <c r="H15" s="483" t="n">
        <v>2027</v>
      </c>
      <c r="I15" s="483" t="n">
        <v>2028</v>
      </c>
      <c r="J15" s="483" t="n">
        <v>2029</v>
      </c>
      <c r="K15" s="483" t="n">
        <v>2030</v>
      </c>
      <c r="L15" s="483" t="n">
        <v>2031</v>
      </c>
      <c r="M15" s="483" t="n">
        <v>2032</v>
      </c>
      <c r="N15" s="483" t="n">
        <v>2033</v>
      </c>
      <c r="O15" s="483" t="n">
        <v>2034</v>
      </c>
      <c r="P15" s="483" t="n">
        <v>2035</v>
      </c>
      <c r="Q15" s="483" t="n">
        <v>2036</v>
      </c>
      <c r="R15" s="483" t="n">
        <v>2037</v>
      </c>
      <c r="S15" s="483" t="n">
        <v>2038</v>
      </c>
      <c r="T15" s="483" t="n">
        <v>2039</v>
      </c>
      <c r="U15" s="483" t="n">
        <v>2040</v>
      </c>
      <c r="V15" s="483" t="n">
        <v>2041</v>
      </c>
    </row>
    <row r="16">
      <c r="B16" s="467" t="inlineStr">
        <is>
          <t>Operating revenue</t>
        </is>
      </c>
      <c r="C16" s="484">
        <f>SUMIFS(FinStat!$J$9:$CO$9,FinStat!$J$4:$CO$4,C$15)</f>
        <v>62837.028376098526</v>
      </c>
      <c r="D16" s="484">
        <f>SUMIFS(FinStat!$J$9:$CO$9,FinStat!$J$4:$CO$4,D$15)</f>
        <v>66458.89715305543</v>
      </c>
      <c r="E16" s="484">
        <f>SUMIFS(FinStat!$J$9:$CO$9,FinStat!$J$4:$CO$4,E$15)</f>
        <v>70598.70821135874</v>
      </c>
      <c r="F16" s="484">
        <f>SUMIFS(FinStat!$J$9:$CO$9,FinStat!$J$4:$CO$4,F$15)</f>
        <v>72981.1159969306</v>
      </c>
      <c r="G16" s="484">
        <f>SUMIFS(FinStat!$J$9:$CO$9,FinStat!$J$4:$CO$4,G$15)</f>
        <v>76493.10685181228</v>
      </c>
      <c r="H16" s="484">
        <f>SUMIFS(FinStat!$J$9:$CO$9,FinStat!$J$4:$CO$4,H$15)</f>
        <v>80130.14919608881</v>
      </c>
      <c r="I16" s="484">
        <f>SUMIFS(FinStat!$J$9:$CO$9,FinStat!$J$4:$CO$4,I$15)</f>
        <v>83218.70709424364</v>
      </c>
      <c r="J16" s="484">
        <f>SUMIFS(FinStat!$J$9:$CO$9,FinStat!$J$4:$CO$4,J$15)</f>
        <v>87879.26154608386</v>
      </c>
      <c r="K16" s="484">
        <f>SUMIFS(FinStat!$J$9:$CO$9,FinStat!$J$4:$CO$4,K$15)</f>
        <v>90515.63939246637</v>
      </c>
      <c r="L16" s="484">
        <f>SUMIFS(FinStat!$J$9:$CO$9,FinStat!$J$4:$CO$4,L$15)</f>
        <v>94978.49920796137</v>
      </c>
      <c r="M16" s="484">
        <f>SUMIFS(FinStat!$J$9:$CO$9,FinStat!$J$4:$CO$4,M$15)</f>
        <v>99601.26199054945</v>
      </c>
      <c r="N16" s="484">
        <f>SUMIFS(FinStat!$J$9:$CO$9,FinStat!$J$4:$CO$4,N$15)</f>
        <v>102589.2998502659</v>
      </c>
      <c r="O16" s="484">
        <f>SUMIFS(FinStat!$J$9:$CO$9,FinStat!$J$4:$CO$4,O$15)</f>
        <v>105688.1465373834</v>
      </c>
      <c r="P16" s="484">
        <f>SUMIFS(FinStat!$J$9:$CO$9,FinStat!$J$4:$CO$4,P$15)</f>
        <v>108858.79093350488</v>
      </c>
      <c r="Q16" s="484">
        <f>SUMIFS(FinStat!$J$9:$CO$9,FinStat!$J$4:$CO$4,Q$15)</f>
        <v>110599.42546466275</v>
      </c>
      <c r="R16" s="484">
        <f>SUMIFS(FinStat!$J$9:$CO$9,FinStat!$J$4:$CO$4,R$15)</f>
        <v>117047.60880426456</v>
      </c>
      <c r="S16" s="484">
        <f>SUMIFS(FinStat!$J$9:$CO$9,FinStat!$J$4:$CO$4,S$15)</f>
        <v>122165.04639555558</v>
      </c>
      <c r="T16" s="484">
        <f>SUMIFS(FinStat!$J$9:$CO$9,FinStat!$J$4:$CO$4,T$15)</f>
        <v>125829.99778742221</v>
      </c>
      <c r="U16" s="484">
        <f>SUMIFS(FinStat!$J$9:$CO$9,FinStat!$J$4:$CO$4,U$15)</f>
        <v>129604.89772104484</v>
      </c>
      <c r="V16" s="484">
        <f>SUMIFS(FinStat!$J$9:$CO$9,FinStat!$J$4:$CO$4,V$15)</f>
        <v>133493.04465267615</v>
      </c>
    </row>
    <row r="17">
      <c r="B17" s="485" t="inlineStr">
        <is>
          <t>Operating cost</t>
        </is>
      </c>
      <c r="C17" s="486">
        <f>SUMIFS(FinStat!$J$10:$CO$10,FinStat!$J$4:$CO$4,C$15)</f>
        <v>-40792.85172203729</v>
      </c>
      <c r="D17" s="486">
        <f>SUMIFS(FinStat!$J$10:$CO$10,FinStat!$J$4:$CO$4,D$15)</f>
        <v>-43322.48679606401</v>
      </c>
      <c r="E17" s="486">
        <f>SUMIFS(FinStat!$J$10:$CO$10,FinStat!$J$4:$CO$4,E$15)</f>
        <v>-45216.96056077111</v>
      </c>
      <c r="F17" s="486">
        <f>SUMIFS(FinStat!$J$10:$CO$10,FinStat!$J$4:$CO$4,F$15)</f>
        <v>-46742.44358046296</v>
      </c>
      <c r="G17" s="486">
        <f>SUMIFS(FinStat!$J$10:$CO$10,FinStat!$J$4:$CO$4,G$15)</f>
        <v>-48144.71688787684</v>
      </c>
      <c r="H17" s="486">
        <f>SUMIFS(FinStat!$J$10:$CO$10,FinStat!$J$4:$CO$4,H$15)</f>
        <v>-49589.05839451313</v>
      </c>
      <c r="I17" s="486">
        <f>SUMIFS(FinStat!$J$10:$CO$10,FinStat!$J$4:$CO$4,I$15)</f>
        <v>-51076.730146348506</v>
      </c>
      <c r="J17" s="486">
        <f>SUMIFS(FinStat!$J$10:$CO$10,FinStat!$J$4:$CO$4,J$15)</f>
        <v>-52609.03205073894</v>
      </c>
      <c r="K17" s="486">
        <f>SUMIFS(FinStat!$J$10:$CO$10,FinStat!$J$4:$CO$4,K$15)</f>
        <v>-54187.303012261094</v>
      </c>
      <c r="L17" s="486">
        <f>SUMIFS(FinStat!$J$10:$CO$10,FinStat!$J$4:$CO$4,L$15)</f>
        <v>-55812.922102628916</v>
      </c>
      <c r="M17" s="486">
        <f>SUMIFS(FinStat!$J$10:$CO$10,FinStat!$J$4:$CO$4,M$15)</f>
        <v>-57487.309765707745</v>
      </c>
      <c r="N17" s="486">
        <f>SUMIFS(FinStat!$J$10:$CO$10,FinStat!$J$4:$CO$4,N$15)</f>
        <v>-59211.92905867897</v>
      </c>
      <c r="O17" s="486">
        <f>SUMIFS(FinStat!$J$10:$CO$10,FinStat!$J$4:$CO$4,O$15)</f>
        <v>-60997.35379586347</v>
      </c>
      <c r="P17" s="486">
        <f>SUMIFS(FinStat!$J$10:$CO$10,FinStat!$J$4:$CO$4,P$15)</f>
        <v>-62827.27440973936</v>
      </c>
      <c r="Q17" s="486">
        <f>SUMIFS(FinStat!$J$10:$CO$10,FinStat!$J$4:$CO$4,Q$15)</f>
        <v>-64058.826266210745</v>
      </c>
      <c r="R17" s="486">
        <f>SUMIFS(FinStat!$J$10:$CO$10,FinStat!$J$4:$CO$4,R$15)</f>
        <v>-67321.36584880589</v>
      </c>
      <c r="S17" s="486">
        <f>SUMIFS(FinStat!$J$10:$CO$10,FinStat!$J$4:$CO$4,S$15)</f>
        <v>-70028.9169992631</v>
      </c>
      <c r="T17" s="486">
        <f>SUMIFS(FinStat!$J$10:$CO$10,FinStat!$J$4:$CO$4,T$15)</f>
        <v>-72129.78450924098</v>
      </c>
      <c r="U17" s="486">
        <f>SUMIFS(FinStat!$J$10:$CO$10,FinStat!$J$4:$CO$4,U$15)</f>
        <v>-74293.6780445182</v>
      </c>
      <c r="V17" s="486">
        <f>SUMIFS(FinStat!$J$10:$CO$10,FinStat!$J$4:$CO$4,V$15)</f>
        <v>-76522.4883858537</v>
      </c>
    </row>
    <row r="18">
      <c r="B18" s="467" t="inlineStr">
        <is>
          <t>EBITDA</t>
        </is>
      </c>
      <c r="C18" s="484">
        <f>SUMIFS(FinStat!$J$11:$CO$11,FinStat!$J$4:$CO$4,C$15)</f>
        <v>22044.17665406124</v>
      </c>
      <c r="D18" s="484">
        <f>SUMIFS(FinStat!$J$11:$CO$11,FinStat!$J$4:$CO$4,D$15)</f>
        <v>23136.410356991408</v>
      </c>
      <c r="E18" s="484">
        <f>SUMIFS(FinStat!$J$11:$CO$11,FinStat!$J$4:$CO$4,E$15)</f>
        <v>25381.747650587633</v>
      </c>
      <c r="F18" s="484">
        <f>SUMIFS(FinStat!$J$11:$CO$11,FinStat!$J$4:$CO$4,F$15)</f>
        <v>26238.672416467634</v>
      </c>
      <c r="G18" s="484">
        <f>SUMIFS(FinStat!$J$11:$CO$11,FinStat!$J$4:$CO$4,G$15)</f>
        <v>28348.389963935435</v>
      </c>
      <c r="H18" s="484">
        <f>SUMIFS(FinStat!$J$11:$CO$11,FinStat!$J$4:$CO$4,H$15)</f>
        <v>30541.090801575672</v>
      </c>
      <c r="I18" s="484">
        <f>SUMIFS(FinStat!$J$11:$CO$11,FinStat!$J$4:$CO$4,I$15)</f>
        <v>32141.97694789512</v>
      </c>
      <c r="J18" s="484">
        <f>SUMIFS(FinStat!$J$11:$CO$11,FinStat!$J$4:$CO$4,J$15)</f>
        <v>35270.22949534493</v>
      </c>
      <c r="K18" s="484">
        <f>SUMIFS(FinStat!$J$11:$CO$11,FinStat!$J$4:$CO$4,K$15)</f>
        <v>36328.33638020526</v>
      </c>
      <c r="L18" s="484">
        <f>SUMIFS(FinStat!$J$11:$CO$11,FinStat!$J$4:$CO$4,L$15)</f>
        <v>39165.577105332464</v>
      </c>
      <c r="M18" s="484">
        <f>SUMIFS(FinStat!$J$11:$CO$11,FinStat!$J$4:$CO$4,M$15)</f>
        <v>42113.952224841705</v>
      </c>
      <c r="N18" s="484">
        <f>SUMIFS(FinStat!$J$11:$CO$11,FinStat!$J$4:$CO$4,N$15)</f>
        <v>43377.37079158694</v>
      </c>
      <c r="O18" s="484">
        <f>SUMIFS(FinStat!$J$11:$CO$11,FinStat!$J$4:$CO$4,O$15)</f>
        <v>44690.79274151993</v>
      </c>
      <c r="P18" s="484">
        <f>SUMIFS(FinStat!$J$11:$CO$11,FinStat!$J$4:$CO$4,P$15)</f>
        <v>46031.516523765524</v>
      </c>
      <c r="Q18" s="484">
        <f>SUMIFS(FinStat!$J$11:$CO$11,FinStat!$J$4:$CO$4,Q$15)</f>
        <v>46540.599198452015</v>
      </c>
      <c r="R18" s="484">
        <f>SUMIFS(FinStat!$J$11:$CO$11,FinStat!$J$4:$CO$4,R$15)</f>
        <v>49726.24295545868</v>
      </c>
      <c r="S18" s="484">
        <f>SUMIFS(FinStat!$J$11:$CO$11,FinStat!$J$4:$CO$4,S$15)</f>
        <v>52136.12939629248</v>
      </c>
      <c r="T18" s="484">
        <f>SUMIFS(FinStat!$J$11:$CO$11,FinStat!$J$4:$CO$4,T$15)</f>
        <v>53700.213278181225</v>
      </c>
      <c r="U18" s="484">
        <f>SUMIFS(FinStat!$J$11:$CO$11,FinStat!$J$4:$CO$4,U$15)</f>
        <v>55311.21967652665</v>
      </c>
      <c r="V18" s="484">
        <f>SUMIFS(FinStat!$J$11:$CO$11,FinStat!$J$4:$CO$4,V$15)</f>
        <v>56970.556266822445</v>
      </c>
    </row>
    <row r="19">
      <c r="B19" s="485" t="inlineStr">
        <is>
          <t>CFADS</t>
        </is>
      </c>
      <c r="C19" s="486">
        <f>SUMIFS(FinStat!$J$38:$CO$38,FinStat!$J$4:$CO$4,C$15)</f>
        <v>21837.646838096494</v>
      </c>
      <c r="D19" s="486">
        <f>SUMIFS(FinStat!$J$38:$CO$38,FinStat!$J$4:$CO$4,D$15)</f>
        <v>19797.861511901454</v>
      </c>
      <c r="E19" s="486">
        <f>SUMIFS(FinStat!$J$38:$CO$38,FinStat!$J$4:$CO$4,E$15)</f>
        <v>21404.77576540158</v>
      </c>
      <c r="F19" s="486">
        <f>SUMIFS(FinStat!$J$38:$CO$38,FinStat!$J$4:$CO$4,F$15)</f>
        <v>20777.296148377296</v>
      </c>
      <c r="G19" s="486">
        <f>SUMIFS(FinStat!$J$38:$CO$38,FinStat!$J$4:$CO$4,G$15)</f>
        <v>21918.706043567043</v>
      </c>
      <c r="H19" s="486">
        <f>SUMIFS(FinStat!$J$38:$CO$38,FinStat!$J$4:$CO$4,H$15)</f>
        <v>23528.856332450065</v>
      </c>
      <c r="I19" s="486">
        <f>SUMIFS(FinStat!$J$38:$CO$38,FinStat!$J$4:$CO$4,I$15)</f>
        <v>23422.485839219873</v>
      </c>
      <c r="J19" s="486">
        <f>SUMIFS(FinStat!$J$38:$CO$38,FinStat!$J$4:$CO$4,J$15)</f>
        <v>25348.713939767036</v>
      </c>
      <c r="K19" s="486">
        <f>SUMIFS(FinStat!$J$38:$CO$38,FinStat!$J$4:$CO$4,K$15)</f>
        <v>26728.791796091245</v>
      </c>
      <c r="L19" s="486">
        <f>SUMIFS(FinStat!$J$38:$CO$38,FinStat!$J$4:$CO$4,L$15)</f>
        <v>28227.54806409363</v>
      </c>
      <c r="M19" s="486">
        <f>SUMIFS(FinStat!$J$38:$CO$38,FinStat!$J$4:$CO$4,M$15)</f>
        <v>30317.16658197654</v>
      </c>
      <c r="N19" s="486">
        <f>SUMIFS(FinStat!$J$38:$CO$38,FinStat!$J$4:$CO$4,N$15)</f>
        <v>31038.448583975696</v>
      </c>
      <c r="O19" s="486">
        <f>SUMIFS(FinStat!$J$38:$CO$38,FinStat!$J$4:$CO$4,O$15)</f>
        <v>31667.216329604526</v>
      </c>
      <c r="P19" s="486">
        <f>SUMIFS(FinStat!$J$38:$CO$38,FinStat!$J$4:$CO$4,P$15)</f>
        <v>32649.89454342337</v>
      </c>
      <c r="Q19" s="486">
        <f>SUMIFS(FinStat!$J$38:$CO$38,FinStat!$J$4:$CO$4,Q$15)</f>
        <v>33084.50729178416</v>
      </c>
      <c r="R19" s="486">
        <f>SUMIFS(FinStat!$J$38:$CO$38,FinStat!$J$4:$CO$4,R$15)</f>
        <v>34907.513222102585</v>
      </c>
      <c r="S19" s="486">
        <f>SUMIFS(FinStat!$J$38:$CO$38,FinStat!$J$4:$CO$4,S$15)</f>
        <v>36702.07663552504</v>
      </c>
      <c r="T19" s="486">
        <f>SUMIFS(FinStat!$J$38:$CO$38,FinStat!$J$4:$CO$4,T$15)</f>
        <v>37748.17696589801</v>
      </c>
      <c r="U19" s="486">
        <f>SUMIFS(FinStat!$J$38:$CO$38,FinStat!$J$4:$CO$4,U$15)</f>
        <v>38835.855407862364</v>
      </c>
      <c r="V19" s="486">
        <f>SUMIFS(FinStat!$J$38:$CO$38,FinStat!$J$4:$CO$4,V$15)</f>
        <v>40569.63624641961</v>
      </c>
    </row>
    <row r="20">
      <c r="B20" s="467" t="inlineStr">
        <is>
          <t>Senior debt service</t>
        </is>
      </c>
      <c r="C20" s="484">
        <f>SUMIFS(FinStat!$J$88:$CO$88,FinStat!$J$4:$CO$4,C$15)</f>
        <v>5954.166666666646</v>
      </c>
      <c r="D20" s="484">
        <f>SUMIFS(FinStat!$J$88:$CO$88,FinStat!$J$4:$CO$4,D$15)</f>
        <v>11623.388888888812</v>
      </c>
      <c r="E20" s="484">
        <f>SUMIFS(FinStat!$J$88:$CO$88,FinStat!$J$4:$CO$4,E$15)</f>
        <v>11105.194444444374</v>
      </c>
      <c r="F20" s="484">
        <f>SUMIFS(FinStat!$J$88:$CO$88,FinStat!$J$4:$CO$4,F$15)</f>
        <v>10568.94444444438</v>
      </c>
      <c r="G20" s="484">
        <f>SUMIFS(FinStat!$J$88:$CO$88,FinStat!$J$4:$CO$4,G$15)</f>
        <v>10041.722222222163</v>
      </c>
      <c r="H20" s="484">
        <f>SUMIFS(FinStat!$J$88:$CO$88,FinStat!$J$4:$CO$4,H$15)</f>
        <v>9514.499999999947</v>
      </c>
      <c r="I20" s="484">
        <f>SUMIFS(FinStat!$J$88:$CO$88,FinStat!$J$4:$CO$4,I$15)</f>
        <v>8990.52777777773</v>
      </c>
      <c r="J20" s="484">
        <f>SUMIFS(FinStat!$J$88:$CO$88,FinStat!$J$4:$CO$4,J$15)</f>
        <v>8460.055555555511</v>
      </c>
      <c r="K20" s="484">
        <f>SUMIFS(FinStat!$J$88:$CO$88,FinStat!$J$4:$CO$4,K$15)</f>
        <v>2032.5000000000218</v>
      </c>
      <c r="L20" s="484">
        <f>SUMIFS(FinStat!$J$88:$CO$88,FinStat!$J$4:$CO$4,L$15)</f>
        <v>4.207663550914731e-11</v>
      </c>
      <c r="M20" s="484">
        <f>SUMIFS(FinStat!$J$88:$CO$88,FinStat!$J$4:$CO$4,M$15)</f>
        <v>4.219191396259703e-11</v>
      </c>
      <c r="N20" s="484">
        <f>SUMIFS(FinStat!$J$88:$CO$88,FinStat!$J$4:$CO$4,N$15)</f>
        <v>4.207663550914731e-11</v>
      </c>
      <c r="O20" s="484">
        <f>SUMIFS(FinStat!$J$88:$CO$88,FinStat!$J$4:$CO$4,O$15)</f>
        <v>4.207663550914731e-11</v>
      </c>
      <c r="P20" s="484">
        <f>SUMIFS(FinStat!$J$88:$CO$88,FinStat!$J$4:$CO$4,P$15)</f>
        <v>4.207663550914731e-11</v>
      </c>
      <c r="Q20" s="484">
        <f>SUMIFS(FinStat!$J$88:$CO$88,FinStat!$J$4:$CO$4,Q$15)</f>
        <v>4.219191396259703e-11</v>
      </c>
      <c r="R20" s="484">
        <f>SUMIFS(FinStat!$J$88:$CO$88,FinStat!$J$4:$CO$4,R$15)</f>
        <v>4.207663550914731e-11</v>
      </c>
      <c r="S20" s="484">
        <f>SUMIFS(FinStat!$J$88:$CO$88,FinStat!$J$4:$CO$4,S$15)</f>
        <v>4.207663550914731e-11</v>
      </c>
      <c r="T20" s="484">
        <f>SUMIFS(FinStat!$J$88:$CO$88,FinStat!$J$4:$CO$4,T$15)</f>
        <v>4.207663550914731e-11</v>
      </c>
      <c r="U20" s="484">
        <f>SUMIFS(FinStat!$J$88:$CO$88,FinStat!$J$4:$CO$4,U$15)</f>
        <v>4.219191396259703e-11</v>
      </c>
      <c r="V20" s="484">
        <f>SUMIFS(FinStat!$J$88:$CO$88,FinStat!$J$4:$CO$4,V$15)</f>
        <v>4.207663550914731e-11</v>
      </c>
    </row>
    <row r="21">
      <c r="B21" s="485" t="inlineStr">
        <is>
          <t>Dividends</t>
        </is>
      </c>
      <c r="C21" s="486">
        <f>-SUMIFS(FinStat!$J$47:$CO$47,FinStat!$J$4:$CO$4,C$15)</f>
        <v>7996.340324509535</v>
      </c>
      <c r="D21" s="486">
        <f>-SUMIFS(FinStat!$J$47:$CO$47,FinStat!$J$4:$CO$4,D$15)</f>
        <v>8992.448361005094</v>
      </c>
      <c r="E21" s="486">
        <f>-SUMIFS(FinStat!$J$47:$CO$47,FinStat!$J$4:$CO$4,E$15)</f>
        <v>10646.920577633558</v>
      </c>
      <c r="F21" s="486">
        <f>-SUMIFS(FinStat!$J$47:$CO$47,FinStat!$J$4:$CO$4,F$15)</f>
        <v>11482.142913749558</v>
      </c>
      <c r="G21" s="486">
        <f>-SUMIFS(FinStat!$J$47:$CO$47,FinStat!$J$4:$CO$4,G$15)</f>
        <v>13118.000752532565</v>
      </c>
      <c r="H21" s="486">
        <f>-SUMIFS(FinStat!$J$47:$CO$47,FinStat!$J$4:$CO$4,H$15)</f>
        <v>14881.946894436283</v>
      </c>
      <c r="I21" s="486">
        <f>-SUMIFS(FinStat!$J$47:$CO$47,FinStat!$J$4:$CO$4,I$15)</f>
        <v>16299.34775241545</v>
      </c>
      <c r="J21" s="486">
        <f>-SUMIFS(FinStat!$J$47:$CO$47,FinStat!$J$4:$CO$4,J$15)</f>
        <v>18360.69484249923</v>
      </c>
      <c r="K21" s="486">
        <f>-SUMIFS(FinStat!$J$47:$CO$47,FinStat!$J$4:$CO$4,K$15)</f>
        <v>20680.179048163627</v>
      </c>
      <c r="L21" s="486">
        <f>-SUMIFS(FinStat!$J$47:$CO$47,FinStat!$J$4:$CO$4,L$15)</f>
        <v>22259.23730706603</v>
      </c>
      <c r="M21" s="486">
        <f>-SUMIFS(FinStat!$J$47:$CO$47,FinStat!$J$4:$CO$4,M$15)</f>
        <v>24463.099890722497</v>
      </c>
      <c r="N21" s="486">
        <f>-SUMIFS(FinStat!$J$47:$CO$47,FinStat!$J$4:$CO$4,N$15)</f>
        <v>25417.492887444165</v>
      </c>
      <c r="O21" s="486">
        <f>-SUMIFS(FinStat!$J$47:$CO$47,FinStat!$J$4:$CO$4,O$15)</f>
        <v>26476.888252397257</v>
      </c>
      <c r="P21" s="486">
        <f>-SUMIFS(FinStat!$J$47:$CO$47,FinStat!$J$4:$CO$4,P$15)</f>
        <v>27555.39489996917</v>
      </c>
      <c r="Q21" s="486">
        <f>-SUMIFS(FinStat!$J$47:$CO$47,FinStat!$J$4:$CO$4,Q$15)</f>
        <v>27911.75277224971</v>
      </c>
      <c r="R21" s="486">
        <f>-SUMIFS(FinStat!$J$47:$CO$47,FinStat!$J$4:$CO$4,R$15)</f>
        <v>34808.37006882105</v>
      </c>
      <c r="S21" s="486">
        <f>-SUMIFS(FinStat!$J$47:$CO$47,FinStat!$J$4:$CO$4,S$15)</f>
        <v>36495.2905774047</v>
      </c>
      <c r="T21" s="486">
        <f>-SUMIFS(FinStat!$J$47:$CO$47,FinStat!$J$4:$CO$4,T$15)</f>
        <v>37590.14929472683</v>
      </c>
      <c r="U21" s="486">
        <f>-SUMIFS(FinStat!$J$47:$CO$47,FinStat!$J$4:$CO$4,U$15)</f>
        <v>38717.853773568626</v>
      </c>
      <c r="V21" s="486">
        <f>-SUMIFS(FinStat!$J$47:$CO$47,FinStat!$J$4:$CO$4,V$15)</f>
        <v>38068.622896222616</v>
      </c>
    </row>
    <row r="22">
      <c r="B22" s="467" t="inlineStr">
        <is>
          <t>DSCR (CFADS / debt service)</t>
        </is>
      </c>
      <c r="C22" s="487">
        <f>IF(ABS(C20)&gt;CHK_TOL,C19/C20,0)</f>
        <v>3.667624381485778</v>
      </c>
      <c r="D22" s="487">
        <f>IF(ABS(D20)&gt;CHK_TOL,D19/D20,0)</f>
        <v>1.7032779081173903</v>
      </c>
      <c r="E22" s="487">
        <f>IF(ABS(E20)&gt;CHK_TOL,E19/E20,0)</f>
        <v>1.9274561893069604</v>
      </c>
      <c r="F22" s="487">
        <f>IF(ABS(F20)&gt;CHK_TOL,F19/F20,0)</f>
        <v>1.9658818586466305</v>
      </c>
      <c r="G22" s="487">
        <f>IF(ABS(G20)&gt;CHK_TOL,G19/G20,0)</f>
        <v>2.1827636294361255</v>
      </c>
      <c r="H22" s="487">
        <f>IF(ABS(H20)&gt;CHK_TOL,H19/H20,0)</f>
        <v>2.472947220815618</v>
      </c>
      <c r="I22" s="487">
        <f>IF(ABS(I20)&gt;CHK_TOL,I19/I20,0)</f>
        <v>2.6052403616519855</v>
      </c>
      <c r="J22" s="487">
        <f>IF(ABS(J20)&gt;CHK_TOL,J19/J20,0)</f>
        <v>2.996282207995804</v>
      </c>
      <c r="K22" s="487">
        <f>IF(ABS(K20)&gt;CHK_TOL,K19/K20,0)</f>
        <v>13.150697070647459</v>
      </c>
      <c r="L22" s="487">
        <f>IF(ABS(L20)&gt;CHK_TOL,L19/L20,0)</f>
        <v>0.0</v>
      </c>
      <c r="M22" s="487">
        <f>IF(ABS(M20)&gt;CHK_TOL,M19/M20,0)</f>
        <v>0.0</v>
      </c>
      <c r="N22" s="487">
        <f>IF(ABS(N20)&gt;CHK_TOL,N19/N20,0)</f>
        <v>0.0</v>
      </c>
      <c r="O22" s="487">
        <f>IF(ABS(O20)&gt;CHK_TOL,O19/O20,0)</f>
        <v>0.0</v>
      </c>
      <c r="P22" s="487">
        <f>IF(ABS(P20)&gt;CHK_TOL,P19/P20,0)</f>
        <v>0.0</v>
      </c>
      <c r="Q22" s="487">
        <f>IF(ABS(Q20)&gt;CHK_TOL,Q19/Q20,0)</f>
        <v>0.0</v>
      </c>
      <c r="R22" s="487">
        <f>IF(ABS(R20)&gt;CHK_TOL,R19/R20,0)</f>
        <v>0.0</v>
      </c>
      <c r="S22" s="487">
        <f>IF(ABS(S20)&gt;CHK_TOL,S19/S20,0)</f>
        <v>0.0</v>
      </c>
      <c r="T22" s="487">
        <f>IF(ABS(T20)&gt;CHK_TOL,T19/T20,0)</f>
        <v>0.0</v>
      </c>
      <c r="U22" s="487">
        <f>IF(ABS(U20)&gt;CHK_TOL,U19/U20,0)</f>
        <v>0.0</v>
      </c>
      <c r="V22" s="487">
        <f>IF(ABS(V20)&gt;CHK_TOL,V19/V20,0)</f>
        <v>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97D"/>
    <outlinePr summaryBelow="0" summaryRight="0"/>
    <pageSetUpPr/>
  </sheetPr>
  <dimension ref="A1:BZ109"/>
  <sheetViews>
    <sheetView showGridLines="0" tabSelected="1" defaultGridColor="0" colorId="22" zoomScale="95" zoomScaleNormal="95" workbookViewId="0">
      <pane xSplit="9" ySplit="5" topLeftCell="J13" activePane="bottomRight" state="frozen"/>
      <selection activeCell="F2" sqref="F2:G4"/>
      <selection pane="topRight" activeCell="F2" sqref="F2:G4"/>
      <selection pane="bottomLeft" activeCell="F2" sqref="F2:G4"/>
      <selection pane="bottomRight" activeCell="J32" sqref="J32"/>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29" min="9" max="9"/>
    <col width="12.83203125" customWidth="1" style="61" min="10" max="12"/>
    <col width="2.6640625" customWidth="1" style="29" min="13" max="13"/>
    <col hidden="1" width="11.6640625" customWidth="1" style="61" min="14" max="28"/>
    <col hidden="1" width="8.6640625" customWidth="1" style="61" min="29" max="93"/>
  </cols>
  <sheetData>
    <row r="1" ht="25" customFormat="1" customHeight="1" s="1">
      <c r="A1" s="1">
        <f> RIGHT(CELL("filename", A1), LEN(CELL("filename", A1)) - SEARCH("]", CELL("filename", A1)))</f>
        <v/>
      </c>
      <c r="B1" s="294" t="n"/>
      <c r="C1" s="212" t="n"/>
      <c r="D1" s="244" t="n"/>
      <c r="E1" s="61" t="n"/>
      <c r="F1" s="61" t="n"/>
      <c r="G1" s="61" t="n"/>
      <c r="H1" s="61" t="n"/>
      <c r="I1" s="29" t="n"/>
      <c r="J1" s="61" t="n"/>
      <c r="K1" s="61" t="n"/>
      <c r="L1" s="61" t="n"/>
      <c r="M1" s="29" t="n"/>
      <c r="N1" s="61" t="n"/>
      <c r="O1" s="61" t="n"/>
      <c r="P1" s="61" t="n"/>
      <c r="Q1" s="61" t="n"/>
      <c r="R1" s="61" t="n"/>
      <c r="S1" s="61" t="n"/>
      <c r="T1" s="61" t="n"/>
      <c r="U1" s="61" t="n"/>
      <c r="V1" s="61" t="n"/>
      <c r="W1" s="61" t="n"/>
      <c r="X1" s="61" t="n"/>
      <c r="Y1" s="61" t="n"/>
      <c r="Z1" s="61" t="n"/>
      <c r="AA1" s="61" t="n"/>
      <c r="AB1" s="61" t="n"/>
      <c r="AC1" s="61" t="n"/>
      <c r="AD1" s="61" t="n"/>
      <c r="AE1" s="61" t="n"/>
      <c r="AF1" s="61" t="n"/>
      <c r="AG1" s="61" t="n"/>
      <c r="AH1" s="61" t="n"/>
      <c r="AI1" s="61" t="n"/>
      <c r="AJ1" s="61" t="n"/>
      <c r="AK1" s="61" t="n"/>
      <c r="AL1" s="61" t="n"/>
      <c r="AM1" s="61" t="n"/>
      <c r="AN1" s="61" t="n"/>
      <c r="AO1" s="61" t="n"/>
      <c r="AP1" s="61" t="n"/>
      <c r="AQ1" s="61" t="n"/>
      <c r="AR1" s="61" t="n"/>
      <c r="AS1" s="61" t="n"/>
      <c r="AT1" s="61" t="n"/>
      <c r="AU1" s="61" t="n"/>
      <c r="AV1" s="61" t="n"/>
      <c r="AW1" s="61" t="n"/>
      <c r="AX1" s="61" t="n"/>
      <c r="AY1" s="61" t="n"/>
      <c r="AZ1" s="61" t="n"/>
      <c r="BA1" s="61" t="n"/>
      <c r="BB1" s="61" t="n"/>
      <c r="BC1" s="61" t="n"/>
      <c r="BD1" s="61" t="n"/>
      <c r="BE1" s="61" t="n"/>
      <c r="BF1" s="61" t="n"/>
      <c r="BG1" s="61" t="n"/>
      <c r="BH1" s="61" t="n"/>
      <c r="BI1" s="61" t="n"/>
      <c r="BJ1" s="61" t="n"/>
      <c r="BK1" s="61" t="n"/>
      <c r="BL1" s="61" t="n"/>
      <c r="BM1" s="61" t="n"/>
      <c r="BN1" s="61" t="n"/>
      <c r="BO1" s="61" t="n"/>
      <c r="BP1" s="61" t="n"/>
      <c r="BQ1" s="61" t="n"/>
      <c r="BR1" s="61" t="n"/>
      <c r="BS1" s="61" t="n"/>
      <c r="BT1" s="61" t="n"/>
      <c r="BU1" s="61" t="n"/>
      <c r="BV1" s="61" t="n"/>
      <c r="BW1" s="61" t="n"/>
      <c r="BX1" s="61" t="n"/>
      <c r="BY1" s="61" t="n"/>
      <c r="BZ1" s="61" t="n"/>
    </row>
    <row r="2" ht="15" customFormat="1" customHeight="1" s="1">
      <c r="B2" s="294" t="n"/>
      <c r="C2" s="212" t="n"/>
      <c r="D2" s="244" t="n"/>
      <c r="E2" s="61" t="n"/>
      <c r="F2" s="0" t="n"/>
      <c r="G2" s="0" t="n"/>
      <c r="H2" s="61" t="n"/>
      <c r="I2" s="29" t="n"/>
      <c r="J2" s="61" t="n"/>
      <c r="K2" s="61" t="n"/>
      <c r="L2" s="61" t="n"/>
      <c r="M2" s="29" t="n"/>
      <c r="N2" s="61" t="n"/>
      <c r="O2" s="61" t="n"/>
      <c r="P2" s="61" t="n"/>
      <c r="Q2" s="61" t="n"/>
      <c r="R2" s="61" t="n"/>
      <c r="S2" s="61" t="n"/>
      <c r="T2" s="61" t="n"/>
      <c r="U2" s="61" t="n"/>
      <c r="V2" s="61" t="n"/>
      <c r="W2" s="61" t="n"/>
      <c r="X2" s="61" t="n"/>
      <c r="Y2" s="61" t="n"/>
      <c r="Z2" s="61" t="n"/>
      <c r="AA2" s="61" t="n"/>
      <c r="AB2" s="61" t="n"/>
      <c r="AC2" s="61" t="n"/>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n"/>
      <c r="AZ2" s="61" t="n"/>
      <c r="BA2" s="61" t="n"/>
      <c r="BB2" s="61" t="n"/>
      <c r="BC2" s="61" t="n"/>
      <c r="BD2" s="61" t="n"/>
      <c r="BE2" s="61" t="n"/>
      <c r="BF2" s="61" t="n"/>
      <c r="BG2" s="61" t="n"/>
      <c r="BH2" s="61" t="n"/>
      <c r="BI2" s="61" t="n"/>
      <c r="BJ2" s="61" t="n"/>
      <c r="BK2" s="61" t="n"/>
      <c r="BL2" s="61" t="n"/>
      <c r="BM2" s="61" t="n"/>
      <c r="BN2" s="61" t="n"/>
      <c r="BO2" s="61" t="n"/>
      <c r="BP2" s="61" t="n"/>
      <c r="BQ2" s="61" t="n"/>
      <c r="BR2" s="61" t="n"/>
      <c r="BS2" s="61" t="n"/>
      <c r="BT2" s="61" t="n"/>
      <c r="BU2" s="61" t="n"/>
      <c r="BV2" s="61" t="n"/>
      <c r="BW2" s="61" t="n"/>
      <c r="BX2" s="61" t="n"/>
      <c r="BY2" s="61" t="n"/>
      <c r="BZ2" s="61" t="n"/>
    </row>
    <row r="3" ht="15" customFormat="1" customHeight="1" s="1">
      <c r="B3" s="294" t="n"/>
      <c r="C3" s="212" t="n"/>
      <c r="D3" s="244" t="n"/>
      <c r="E3" s="61" t="inlineStr">
        <is>
          <t>Scenario name</t>
        </is>
      </c>
      <c r="F3" s="393" t="inlineStr">
        <is>
          <t>Base</t>
        </is>
      </c>
      <c r="G3" s="0" t="n"/>
      <c r="H3" s="61" t="n"/>
      <c r="I3" s="29" t="n"/>
      <c r="J3" s="61" t="inlineStr">
        <is>
          <t>Base</t>
        </is>
      </c>
      <c r="K3" s="61" t="inlineStr">
        <is>
          <t>Downside</t>
        </is>
      </c>
      <c r="L3" s="61" t="inlineStr">
        <is>
          <t>Upside</t>
        </is>
      </c>
      <c r="M3" s="29" t="n"/>
      <c r="N3" s="394" t="inlineStr">
        <is>
          <t>Scenario definitions</t>
        </is>
      </c>
      <c r="O3" s="61" t="n"/>
      <c r="P3" s="61" t="n"/>
      <c r="Q3" s="61" t="n"/>
      <c r="R3" s="61" t="n"/>
      <c r="S3" s="61" t="n"/>
      <c r="T3" s="61" t="n"/>
      <c r="U3" s="61" t="n"/>
      <c r="V3" s="61" t="n"/>
      <c r="W3" s="61" t="n"/>
      <c r="X3" s="61" t="n"/>
      <c r="Y3" s="61" t="n"/>
      <c r="Z3" s="61" t="n"/>
      <c r="AA3" s="61" t="n"/>
      <c r="AB3" s="61" t="n"/>
      <c r="AC3" s="61" t="n"/>
      <c r="AD3" s="61" t="n"/>
      <c r="AE3" s="61" t="n"/>
      <c r="AF3" s="61" t="n"/>
      <c r="AG3" s="61" t="n"/>
      <c r="AH3" s="61" t="n"/>
      <c r="AI3" s="61" t="n"/>
      <c r="AJ3" s="61" t="n"/>
      <c r="AK3" s="61" t="n"/>
      <c r="AL3" s="61" t="n"/>
      <c r="AM3" s="61" t="n"/>
      <c r="AN3" s="61" t="n"/>
      <c r="AO3" s="61" t="n"/>
      <c r="AP3" s="61" t="n"/>
      <c r="AQ3" s="61" t="n"/>
      <c r="AR3" s="61" t="n"/>
      <c r="AS3" s="61" t="n"/>
      <c r="AT3" s="61" t="n"/>
      <c r="AU3" s="61" t="n"/>
      <c r="AV3" s="61" t="n"/>
      <c r="AW3" s="61" t="n"/>
      <c r="AX3" s="61" t="n"/>
      <c r="AY3" s="61" t="n"/>
      <c r="AZ3" s="61" t="n"/>
      <c r="BA3" s="61" t="n"/>
      <c r="BB3" s="61" t="n"/>
      <c r="BC3" s="61" t="n"/>
      <c r="BD3" s="61" t="n"/>
      <c r="BE3" s="61" t="n"/>
      <c r="BF3" s="61" t="n"/>
      <c r="BG3" s="61" t="n"/>
      <c r="BH3" s="61" t="n"/>
      <c r="BI3" s="61" t="n"/>
      <c r="BJ3" s="61" t="n"/>
      <c r="BK3" s="61" t="n"/>
      <c r="BL3" s="61" t="n"/>
      <c r="BM3" s="61" t="n"/>
      <c r="BN3" s="61" t="n"/>
      <c r="BO3" s="61" t="n"/>
      <c r="BP3" s="61" t="n"/>
      <c r="BQ3" s="61" t="n"/>
      <c r="BR3" s="61" t="n"/>
      <c r="BS3" s="61" t="n"/>
      <c r="BT3" s="61" t="n"/>
      <c r="BU3" s="61" t="n"/>
      <c r="BV3" s="61" t="n"/>
      <c r="BW3" s="61" t="n"/>
      <c r="BX3" s="61" t="n"/>
      <c r="BY3" s="61" t="n"/>
      <c r="BZ3" s="61" t="n"/>
    </row>
    <row r="4" ht="15" customFormat="1" customHeight="1" s="1">
      <c r="B4" s="294" t="n"/>
      <c r="C4" s="212" t="n"/>
      <c r="D4" s="244" t="n"/>
      <c r="E4" s="61" t="inlineStr">
        <is>
          <t>Scenario switch</t>
        </is>
      </c>
      <c r="F4" s="393">
        <f>MATCH(F3,I3:M3,0)</f>
        <v>2.0</v>
      </c>
      <c r="G4" s="0" t="n"/>
      <c r="H4" s="61" t="n"/>
      <c r="I4" s="29" t="n"/>
      <c r="J4" s="61" t="n"/>
      <c r="K4" s="61" t="n"/>
      <c r="L4" s="61" t="n"/>
      <c r="M4" s="29" t="n"/>
      <c r="N4" s="61" t="inlineStr">
        <is>
          <t>Base: inflation 7% falling to 3%; fare 7.15; O&amp;M as contracted</t>
        </is>
      </c>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n"/>
      <c r="AZ4" s="61" t="n"/>
      <c r="BA4" s="61" t="n"/>
      <c r="BB4" s="61" t="n"/>
      <c r="BC4" s="61" t="n"/>
      <c r="BD4" s="61" t="n"/>
      <c r="BE4" s="61" t="n"/>
      <c r="BF4" s="61" t="n"/>
      <c r="BG4" s="61" t="n"/>
      <c r="BH4" s="61" t="n"/>
      <c r="BI4" s="61" t="n"/>
      <c r="BJ4" s="61" t="n"/>
      <c r="BK4" s="61" t="n"/>
      <c r="BL4" s="61" t="n"/>
      <c r="BM4" s="61" t="n"/>
      <c r="BN4" s="61" t="n"/>
      <c r="BO4" s="61" t="n"/>
      <c r="BP4" s="61" t="n"/>
      <c r="BQ4" s="61" t="n"/>
      <c r="BR4" s="61" t="n"/>
      <c r="BS4" s="61" t="n"/>
      <c r="BT4" s="61" t="n"/>
      <c r="BU4" s="61" t="n"/>
      <c r="BV4" s="61" t="n"/>
      <c r="BW4" s="61" t="n"/>
      <c r="BX4" s="61" t="n"/>
      <c r="BY4" s="61" t="n"/>
      <c r="BZ4" s="61" t="n"/>
    </row>
    <row r="5" customFormat="1" s="167">
      <c r="C5" s="17" t="n"/>
      <c r="D5" s="18" t="n"/>
      <c r="E5" s="205" t="n"/>
      <c r="F5" s="20" t="inlineStr">
        <is>
          <t xml:space="preserve">Constant </t>
        </is>
      </c>
      <c r="G5" s="294" t="inlineStr">
        <is>
          <t>Unit</t>
        </is>
      </c>
      <c r="H5" s="20" t="n"/>
      <c r="I5" s="21" t="n"/>
      <c r="J5" s="61" t="n"/>
      <c r="K5" s="61" t="n"/>
      <c r="L5" s="61" t="n"/>
      <c r="M5" s="21" t="n"/>
      <c r="N5" s="0" t="inlineStr">
        <is>
          <t>Downside: Base with fare -10% (6.435) and O&amp;M +10%</t>
        </is>
      </c>
    </row>
    <row r="6">
      <c r="N6" s="0" t="inlineStr">
        <is>
          <t>Upside: Base with fare +10% (7.865)</t>
        </is>
      </c>
    </row>
    <row r="7">
      <c r="A7" s="294" t="inlineStr">
        <is>
          <t>TIME</t>
        </is>
      </c>
    </row>
    <row r="9" customFormat="1" s="127">
      <c r="A9" s="125" t="n"/>
      <c r="B9" s="125" t="n"/>
      <c r="C9" s="126" t="n"/>
      <c r="D9" s="24" t="n"/>
      <c r="E9" s="127" t="inlineStr">
        <is>
          <t>First date of time rulers</t>
        </is>
      </c>
      <c r="F9" s="127">
        <f t="array" ref="F9">INDEX(I9:M9,$F$4)</f>
        <v>44378.0</v>
      </c>
      <c r="G9" s="127" t="inlineStr">
        <is>
          <t>date</t>
        </is>
      </c>
      <c r="I9" s="26" t="n"/>
      <c r="J9" s="127" t="n">
        <v>44378</v>
      </c>
      <c r="K9" s="127" t="n">
        <v>44378</v>
      </c>
      <c r="L9" s="127" t="n">
        <v>44378</v>
      </c>
      <c r="M9" s="26" t="n"/>
    </row>
    <row r="10" customFormat="1" s="127">
      <c r="A10" s="125" t="n"/>
      <c r="B10" s="125" t="n"/>
      <c r="C10" s="126" t="n"/>
      <c r="D10" s="24" t="n"/>
      <c r="E10" s="127" t="inlineStr">
        <is>
          <t>Acquisition / initial balance date</t>
        </is>
      </c>
      <c r="F10" s="127">
        <f t="array" ref="F10">INDEX(I10:M10,$F$4)</f>
        <v>44561.0</v>
      </c>
      <c r="G10" s="127" t="inlineStr">
        <is>
          <t>date</t>
        </is>
      </c>
      <c r="I10" s="26" t="n"/>
      <c r="J10" s="127" t="n">
        <v>44561</v>
      </c>
      <c r="K10" s="127" t="n">
        <v>44561</v>
      </c>
      <c r="L10" s="127" t="n">
        <v>44561</v>
      </c>
      <c r="M10" s="26" t="n"/>
    </row>
    <row r="11">
      <c r="E11" s="61" t="inlineStr">
        <is>
          <t>Length of forecast period</t>
        </is>
      </c>
      <c r="F11" s="61">
        <f t="array" ref="F11">INDEX(I11:M11,$F$4)</f>
        <v>20.0</v>
      </c>
      <c r="G11" s="61" t="inlineStr">
        <is>
          <t>years</t>
        </is>
      </c>
      <c r="J11" s="61" t="n">
        <v>20</v>
      </c>
      <c r="K11" s="61" t="n">
        <v>20</v>
      </c>
      <c r="L11" s="61" t="n">
        <v>20</v>
      </c>
    </row>
    <row r="12" customFormat="1" s="61">
      <c r="E12" s="61" t="inlineStr">
        <is>
          <t>Months per model period</t>
        </is>
      </c>
      <c r="F12" s="292">
        <f t="array" ref="F12">INDEX(I12:M12,$F$4)</f>
        <v>3.0</v>
      </c>
      <c r="G12" s="61" t="inlineStr">
        <is>
          <t>months</t>
        </is>
      </c>
      <c r="I12" s="29" t="n"/>
      <c r="J12" s="292" t="n">
        <v>3</v>
      </c>
      <c r="K12" s="292" t="n">
        <v>3</v>
      </c>
      <c r="L12" s="292" t="n">
        <v>3</v>
      </c>
      <c r="M12" s="29" t="n"/>
    </row>
    <row r="13" ht="15" customFormat="1" customHeight="1" s="35">
      <c r="A13" s="163" t="n"/>
      <c r="B13" s="163" t="n"/>
      <c r="C13" s="172" t="n"/>
      <c r="D13" s="88" t="n"/>
      <c r="E13" s="169" t="n"/>
      <c r="F13" s="169" t="n"/>
      <c r="G13" s="169" t="n"/>
      <c r="H13" s="61" t="n"/>
      <c r="I13" s="29" t="n"/>
      <c r="J13" s="169" t="n"/>
      <c r="K13" s="169" t="n"/>
      <c r="L13" s="169" t="n"/>
      <c r="M13" s="29" t="n"/>
      <c r="N13" s="61" t="n"/>
      <c r="O13" s="61" t="n"/>
      <c r="P13" s="61" t="n"/>
      <c r="Q13" s="61" t="n"/>
      <c r="R13" s="61" t="n"/>
    </row>
    <row r="14" ht="15" customFormat="1" customHeight="1" s="35">
      <c r="A14" s="163" t="inlineStr">
        <is>
          <t>ESCALATION</t>
        </is>
      </c>
      <c r="B14" s="163" t="n"/>
      <c r="C14" s="172" t="n"/>
      <c r="D14" s="88" t="n"/>
      <c r="E14" s="169" t="n"/>
      <c r="F14" s="169" t="n"/>
      <c r="G14" s="169" t="n"/>
      <c r="H14" s="61" t="n"/>
      <c r="I14" s="29" t="n"/>
      <c r="J14" s="169" t="n"/>
      <c r="K14" s="169" t="n"/>
      <c r="L14" s="169" t="n"/>
      <c r="M14" s="29" t="n"/>
      <c r="N14" s="61" t="n"/>
      <c r="O14" s="61" t="n"/>
      <c r="P14" s="61" t="n"/>
      <c r="Q14" s="61" t="n"/>
      <c r="R14" s="61" t="n"/>
    </row>
    <row r="15" ht="15" customFormat="1" customHeight="1" s="35">
      <c r="A15" s="163" t="n"/>
      <c r="B15" s="163" t="n"/>
      <c r="C15" s="172" t="n"/>
      <c r="D15" s="88" t="n"/>
      <c r="E15" s="169" t="n"/>
      <c r="F15" s="169" t="n"/>
      <c r="G15" s="169" t="n"/>
      <c r="H15" s="61" t="n"/>
      <c r="I15" s="29" t="n"/>
      <c r="J15" s="169" t="n"/>
      <c r="K15" s="169" t="n"/>
      <c r="L15" s="169" t="n"/>
      <c r="M15" s="29" t="n"/>
      <c r="N15" s="61" t="n"/>
      <c r="O15" s="61" t="n"/>
      <c r="P15" s="61" t="n"/>
      <c r="Q15" s="61" t="n"/>
      <c r="R15" s="61" t="n"/>
    </row>
    <row r="16">
      <c r="E16" s="60" t="inlineStr">
        <is>
          <t>Start of the inflation year</t>
        </is>
      </c>
      <c r="F16" s="60" t="str">
        <f t="array" ref="F16">INDEX(I16:M16,$F$4)</f>
        <v>% p.a</v>
      </c>
      <c r="G16" s="61" t="n"/>
      <c r="H16" s="61" t="n"/>
      <c r="J16" s="60" t="inlineStr">
        <is>
          <t>% p.a</t>
        </is>
      </c>
      <c r="K16" s="60" t="inlineStr">
        <is>
          <t>% p.a</t>
        </is>
      </c>
      <c r="L16" s="60" t="inlineStr">
        <is>
          <t>% p.a</t>
        </is>
      </c>
    </row>
    <row r="17">
      <c r="E17" s="127" t="n">
        <v>44256</v>
      </c>
      <c r="F17" s="97">
        <f t="array" ref="F17">INDEX(I17:M17,$F$4)</f>
        <v>0.07</v>
      </c>
      <c r="G17" s="61" t="inlineStr">
        <is>
          <t>% p.a</t>
        </is>
      </c>
      <c r="H17" s="61" t="n"/>
      <c r="J17" s="97" t="n">
        <v>0.07000000000000001</v>
      </c>
      <c r="K17" s="97" t="n">
        <v>0.07000000000000001</v>
      </c>
      <c r="L17" s="97" t="n">
        <v>0.07000000000000001</v>
      </c>
    </row>
    <row r="18">
      <c r="E18" s="127" t="n">
        <v>44621</v>
      </c>
      <c r="F18" s="97">
        <f t="array" ref="F18">INDEX(I18:M18,$F$4)</f>
        <v>0.06</v>
      </c>
      <c r="G18" s="61" t="inlineStr">
        <is>
          <t>% p.a</t>
        </is>
      </c>
      <c r="H18" s="61" t="n"/>
      <c r="J18" s="97" t="n">
        <v>0.06</v>
      </c>
      <c r="K18" s="97" t="n">
        <v>0.06</v>
      </c>
      <c r="L18" s="97" t="n">
        <v>0.06</v>
      </c>
    </row>
    <row r="19">
      <c r="E19" s="127" t="n">
        <v>44986</v>
      </c>
      <c r="F19" s="97">
        <f t="array" ref="F19">INDEX(I19:M19,$F$4)</f>
        <v>0.05</v>
      </c>
      <c r="G19" s="61" t="inlineStr">
        <is>
          <t>% p.a</t>
        </is>
      </c>
      <c r="H19" s="61" t="n"/>
      <c r="J19" s="97" t="n">
        <v>0.05</v>
      </c>
      <c r="K19" s="97" t="n">
        <v>0.05</v>
      </c>
      <c r="L19" s="97" t="n">
        <v>0.05</v>
      </c>
    </row>
    <row r="20">
      <c r="E20" s="127" t="n">
        <v>45352</v>
      </c>
      <c r="F20" s="97">
        <f t="array" ref="F20">INDEX(I20:M20,$F$4)</f>
        <v>0.04</v>
      </c>
      <c r="G20" s="61" t="inlineStr">
        <is>
          <t>% p.a</t>
        </is>
      </c>
      <c r="H20" s="61" t="n"/>
      <c r="J20" s="97" t="n">
        <v>0.04</v>
      </c>
      <c r="K20" s="97" t="n">
        <v>0.04</v>
      </c>
      <c r="L20" s="97" t="n">
        <v>0.04</v>
      </c>
    </row>
    <row r="21">
      <c r="E21" s="127" t="n">
        <v>45717</v>
      </c>
      <c r="F21" s="97">
        <f t="array" ref="F21">INDEX(I21:M21,$F$4)</f>
        <v>0.03</v>
      </c>
      <c r="G21" s="61" t="inlineStr">
        <is>
          <t>% p.a</t>
        </is>
      </c>
      <c r="H21" s="61" t="n"/>
      <c r="J21" s="97" t="n">
        <v>0.03</v>
      </c>
      <c r="K21" s="97" t="n">
        <v>0.03</v>
      </c>
      <c r="L21" s="97" t="n">
        <v>0.03</v>
      </c>
    </row>
    <row r="22">
      <c r="J22" s="61" t="n"/>
      <c r="K22" s="61" t="n"/>
      <c r="L22" s="61" t="n"/>
    </row>
    <row r="23">
      <c r="E23" s="61" t="inlineStr">
        <is>
          <t>CPI index at acquisition date</t>
        </is>
      </c>
      <c r="F23" s="61">
        <f t="array" ref="F23">INDEX(I23:M23,$F$4)</f>
        <v>145.0</v>
      </c>
      <c r="G23" s="61" t="inlineStr">
        <is>
          <t>index</t>
        </is>
      </c>
      <c r="H23" s="61" t="n"/>
      <c r="J23" s="61" t="n">
        <v>145</v>
      </c>
      <c r="K23" s="61" t="n">
        <v>145</v>
      </c>
      <c r="L23" s="61" t="n">
        <v>145</v>
      </c>
    </row>
    <row r="24">
      <c r="J24" s="61" t="n"/>
      <c r="K24" s="61" t="n"/>
      <c r="L24" s="61" t="n"/>
    </row>
    <row r="25">
      <c r="E25" s="61" t="inlineStr">
        <is>
          <t>CPI index at handling signature date</t>
        </is>
      </c>
      <c r="F25" s="61">
        <f t="array" ref="F25">INDEX(I25:M25,$F$4)</f>
        <v>120.0</v>
      </c>
      <c r="G25" s="61" t="inlineStr">
        <is>
          <t>index</t>
        </is>
      </c>
      <c r="H25" s="61" t="n"/>
      <c r="J25" s="61" t="n">
        <v>120</v>
      </c>
      <c r="K25" s="61" t="n">
        <v>120</v>
      </c>
      <c r="L25" s="61" t="n">
        <v>120</v>
      </c>
    </row>
    <row r="26">
      <c r="J26" s="61" t="n"/>
      <c r="K26" s="61" t="n"/>
      <c r="L26" s="61" t="n"/>
    </row>
    <row r="27">
      <c r="E27" s="61" t="inlineStr">
        <is>
          <t>CPI index at O&amp;M signature date</t>
        </is>
      </c>
      <c r="F27" s="61">
        <f t="array" ref="F27">INDEX(I27:M27,$F$4)</f>
        <v>132.0</v>
      </c>
      <c r="G27" s="61" t="inlineStr">
        <is>
          <t>index</t>
        </is>
      </c>
      <c r="H27" s="61" t="n"/>
      <c r="J27" s="61" t="n">
        <v>132</v>
      </c>
      <c r="K27" s="61" t="n">
        <v>132</v>
      </c>
      <c r="L27" s="61" t="n">
        <v>132</v>
      </c>
    </row>
    <row r="28" ht="15" customFormat="1" customHeight="1" s="35">
      <c r="A28" s="163" t="n"/>
      <c r="B28" s="163" t="n"/>
      <c r="C28" s="172" t="n"/>
      <c r="D28" s="88" t="n"/>
      <c r="E28" s="169" t="n"/>
      <c r="F28" s="169" t="n"/>
      <c r="G28" s="169" t="n"/>
      <c r="H28" s="61" t="n"/>
      <c r="I28" s="29" t="n"/>
      <c r="J28" s="169" t="n"/>
      <c r="K28" s="169" t="n"/>
      <c r="L28" s="169" t="n"/>
      <c r="M28" s="29" t="n"/>
      <c r="N28" s="61" t="n"/>
      <c r="O28" s="61" t="n"/>
      <c r="P28" s="61" t="n"/>
      <c r="Q28" s="61" t="n"/>
      <c r="R28" s="61" t="n"/>
    </row>
    <row r="29" ht="15" customFormat="1" customHeight="1" s="35">
      <c r="A29" s="163" t="inlineStr">
        <is>
          <t>OPERATING REVENUE</t>
        </is>
      </c>
      <c r="B29" s="163" t="n"/>
      <c r="C29" s="172" t="n"/>
      <c r="D29" s="88" t="n"/>
      <c r="E29" s="169" t="n"/>
      <c r="F29" s="169" t="n"/>
      <c r="G29" s="169" t="n"/>
      <c r="H29" s="61" t="n"/>
      <c r="I29" s="29" t="n"/>
      <c r="J29" s="169" t="n"/>
      <c r="K29" s="169" t="n"/>
      <c r="L29" s="169" t="n"/>
      <c r="M29" s="29" t="n"/>
      <c r="N29" s="61" t="n"/>
      <c r="O29" s="61" t="n"/>
      <c r="P29" s="61" t="n"/>
      <c r="Q29" s="61" t="n"/>
      <c r="R29" s="61" t="n"/>
    </row>
    <row r="30" ht="15" customFormat="1" customHeight="1" s="35">
      <c r="A30" s="163" t="n"/>
      <c r="B30" s="163" t="n"/>
      <c r="C30" s="172" t="n"/>
      <c r="D30" s="88" t="n"/>
      <c r="E30" s="169" t="n"/>
      <c r="F30" s="169" t="n"/>
      <c r="G30" s="169" t="n"/>
      <c r="H30" s="61" t="n"/>
      <c r="I30" s="29" t="n"/>
      <c r="J30" s="169" t="n"/>
      <c r="K30" s="169" t="n"/>
      <c r="L30" s="169" t="n"/>
      <c r="M30" s="29" t="n"/>
      <c r="N30" s="61" t="n"/>
      <c r="O30" s="61" t="n"/>
      <c r="P30" s="61" t="n"/>
      <c r="Q30" s="61" t="n"/>
      <c r="R30" s="61" t="n"/>
    </row>
    <row r="31" customFormat="1" s="152">
      <c r="A31" s="39" t="n"/>
      <c r="B31" s="39" t="n"/>
      <c r="C31" s="40" t="n"/>
      <c r="D31" s="151" t="n"/>
      <c r="E31" s="169" t="inlineStr">
        <is>
          <t xml:space="preserve">Train capacity - domestic </t>
        </is>
      </c>
      <c r="F31" s="169">
        <f t="array" ref="F31">INDEX(I31:M31,$F$4)</f>
        <v>350.0</v>
      </c>
      <c r="G31" s="169" t="inlineStr">
        <is>
          <t>seats</t>
        </is>
      </c>
      <c r="H31" s="169" t="n"/>
      <c r="I31" s="43" t="n"/>
      <c r="J31" s="169" t="n">
        <v>350</v>
      </c>
      <c r="K31" s="169" t="n">
        <v>350</v>
      </c>
      <c r="L31" s="169" t="n">
        <v>350</v>
      </c>
      <c r="M31" s="43" t="n"/>
    </row>
    <row r="32" customFormat="1" s="152">
      <c r="A32" s="39" t="n"/>
      <c r="B32" s="39" t="n"/>
      <c r="C32" s="40" t="n"/>
      <c r="D32" s="151" t="n"/>
      <c r="E32" s="169" t="n"/>
      <c r="F32" s="169" t="n"/>
      <c r="G32" s="169" t="n"/>
      <c r="H32" s="169" t="n"/>
      <c r="I32" s="43" t="n"/>
      <c r="J32" s="169" t="n"/>
      <c r="K32" s="169" t="n"/>
      <c r="L32" s="169" t="n"/>
      <c r="M32" s="43" t="n"/>
    </row>
    <row r="33">
      <c r="E33" s="169" t="inlineStr">
        <is>
          <t xml:space="preserve">Train capacity - international </t>
        </is>
      </c>
      <c r="F33" s="169">
        <f t="array" ref="F33">INDEX(I33:M33,$F$4)</f>
        <v>150.0</v>
      </c>
      <c r="G33" s="169" t="inlineStr">
        <is>
          <t>seats</t>
        </is>
      </c>
      <c r="H33" s="169" t="n"/>
      <c r="J33" s="169" t="n">
        <v>150</v>
      </c>
      <c r="K33" s="169" t="n">
        <v>150</v>
      </c>
      <c r="L33" s="169" t="n">
        <v>150</v>
      </c>
    </row>
    <row r="34">
      <c r="J34" s="61" t="n"/>
      <c r="K34" s="61" t="n"/>
      <c r="L34" s="61" t="n"/>
    </row>
    <row r="35" customFormat="1" s="52">
      <c r="A35" s="46" t="n"/>
      <c r="B35" s="46" t="n"/>
      <c r="C35" s="47" t="n"/>
      <c r="D35" s="48" t="n"/>
      <c r="E35" s="52" t="inlineStr">
        <is>
          <t>Average fare per passenger</t>
        </is>
      </c>
      <c r="F35" s="277">
        <f t="array" ref="F35">INDEX(I35:M35,$F$4)</f>
        <v>7.15</v>
      </c>
      <c r="G35" s="52" t="inlineStr">
        <is>
          <t>USD/pax</t>
        </is>
      </c>
      <c r="H35" s="52" t="n"/>
      <c r="I35" s="51" t="n"/>
      <c r="J35" s="277" t="n">
        <v>7.15</v>
      </c>
      <c r="K35" s="277" t="n">
        <v>6.435</v>
      </c>
      <c r="L35" s="277" t="n">
        <v>7.865</v>
      </c>
      <c r="M35" s="51" t="n"/>
    </row>
    <row r="36">
      <c r="J36" s="61" t="n"/>
      <c r="K36" s="61" t="n"/>
      <c r="L36" s="61" t="n"/>
    </row>
    <row r="37">
      <c r="E37" s="61" t="inlineStr">
        <is>
          <t>Account receivables days</t>
        </is>
      </c>
      <c r="F37" s="61">
        <f t="array" ref="F37">INDEX(I37:M37,$F$4)</f>
        <v>25.0</v>
      </c>
      <c r="G37" s="61" t="inlineStr">
        <is>
          <t>days</t>
        </is>
      </c>
      <c r="H37" s="61" t="n"/>
      <c r="J37" s="61" t="n">
        <v>25</v>
      </c>
      <c r="K37" s="61" t="n">
        <v>25</v>
      </c>
      <c r="L37" s="61" t="n">
        <v>25</v>
      </c>
    </row>
    <row r="38" ht="15" customFormat="1" customHeight="1" s="35">
      <c r="A38" s="163" t="n"/>
      <c r="B38" s="163" t="n"/>
      <c r="C38" s="172" t="n"/>
      <c r="D38" s="88" t="n"/>
      <c r="E38" s="169" t="n"/>
      <c r="F38" s="169" t="n"/>
      <c r="G38" s="169" t="n"/>
      <c r="H38" s="61" t="n"/>
      <c r="I38" s="29" t="n"/>
      <c r="J38" s="169" t="n"/>
      <c r="K38" s="169" t="n"/>
      <c r="L38" s="169" t="n"/>
      <c r="M38" s="29" t="n"/>
      <c r="N38" s="61" t="n"/>
      <c r="O38" s="61" t="n"/>
      <c r="P38" s="61" t="n"/>
      <c r="Q38" s="61" t="n"/>
      <c r="R38" s="61" t="n"/>
    </row>
    <row r="39" ht="15" customFormat="1" customHeight="1" s="35">
      <c r="A39" s="163" t="n"/>
      <c r="B39" s="163" t="n"/>
      <c r="C39" s="172" t="n"/>
      <c r="D39" s="88" t="n"/>
      <c r="E39" s="169" t="n"/>
      <c r="F39" s="169" t="n"/>
      <c r="G39" s="169" t="n"/>
      <c r="H39" s="61" t="n"/>
      <c r="I39" s="29" t="n"/>
      <c r="J39" s="169" t="n"/>
      <c r="K39" s="169" t="n"/>
      <c r="L39" s="169" t="n"/>
      <c r="M39" s="29" t="n"/>
      <c r="N39" s="61" t="n"/>
      <c r="O39" s="61" t="n"/>
      <c r="P39" s="61" t="n"/>
      <c r="Q39" s="61" t="n"/>
      <c r="R39" s="61" t="n"/>
    </row>
    <row r="40" ht="15" customFormat="1" customHeight="1" s="35">
      <c r="A40" s="163" t="inlineStr">
        <is>
          <t>OPERATING COST</t>
        </is>
      </c>
      <c r="B40" s="163" t="n"/>
      <c r="C40" s="172" t="n"/>
      <c r="D40" s="88" t="n"/>
      <c r="E40" s="169" t="n"/>
      <c r="F40" s="169" t="n"/>
      <c r="G40" s="169" t="n"/>
      <c r="H40" s="61" t="n"/>
      <c r="I40" s="29" t="n"/>
      <c r="J40" s="169" t="n"/>
      <c r="K40" s="169" t="n"/>
      <c r="L40" s="169" t="n"/>
      <c r="M40" s="29" t="n"/>
      <c r="N40" s="61" t="n"/>
      <c r="O40" s="61" t="n"/>
      <c r="P40" s="61" t="n"/>
      <c r="Q40" s="61" t="n"/>
      <c r="R40" s="61" t="n"/>
    </row>
    <row r="41" ht="15" customFormat="1" customHeight="1" s="35">
      <c r="A41" s="163" t="n"/>
      <c r="B41" s="163" t="n"/>
      <c r="C41" s="172" t="n"/>
      <c r="D41" s="88" t="n"/>
      <c r="E41" s="169" t="n"/>
      <c r="F41" s="169" t="n"/>
      <c r="G41" s="169" t="n"/>
      <c r="H41" s="61" t="n"/>
      <c r="I41" s="29" t="n"/>
      <c r="J41" s="169" t="n"/>
      <c r="K41" s="169" t="n"/>
      <c r="L41" s="169" t="n"/>
      <c r="M41" s="29" t="n"/>
      <c r="N41" s="61" t="n"/>
      <c r="O41" s="61" t="n"/>
      <c r="P41" s="61" t="n"/>
      <c r="Q41" s="61" t="n"/>
      <c r="R41" s="61" t="n"/>
    </row>
    <row r="42">
      <c r="E42" s="61" t="inlineStr">
        <is>
          <t>Handling cost- fixed per annum</t>
        </is>
      </c>
      <c r="F42" s="61">
        <f t="array" ref="F42">INDEX(I42:M42,$F$4)</f>
        <v>4500.0</v>
      </c>
      <c r="G42" s="61" t="inlineStr">
        <is>
          <t>$ 000s</t>
        </is>
      </c>
      <c r="H42" s="61" t="n"/>
      <c r="J42" s="61" t="n">
        <v>4500</v>
      </c>
      <c r="K42" s="61" t="n">
        <v>4500</v>
      </c>
      <c r="L42" s="61" t="n">
        <v>4500</v>
      </c>
    </row>
    <row r="43">
      <c r="J43" s="61" t="n"/>
      <c r="K43" s="61" t="n"/>
      <c r="L43" s="61" t="n"/>
    </row>
    <row r="44">
      <c r="E44" s="61" t="inlineStr">
        <is>
          <t>Handling cost - variable</t>
        </is>
      </c>
      <c r="F44" s="61">
        <f t="array" ref="F44">INDEX(I44:M44,$F$4)</f>
        <v>550.0</v>
      </c>
      <c r="G44" s="61" t="inlineStr">
        <is>
          <t>USD/arrival</t>
        </is>
      </c>
      <c r="H44" s="61" t="n"/>
      <c r="J44" s="61" t="n">
        <v>550</v>
      </c>
      <c r="K44" s="61" t="n">
        <v>550</v>
      </c>
      <c r="L44" s="61" t="n">
        <v>550</v>
      </c>
    </row>
    <row r="45">
      <c r="F45" s="61" t="n"/>
      <c r="J45" s="61" t="n"/>
      <c r="K45" s="61" t="n"/>
      <c r="L45" s="61" t="n"/>
    </row>
    <row r="46" customFormat="1" s="58">
      <c r="A46" s="53" t="n"/>
      <c r="B46" s="53" t="n"/>
      <c r="C46" s="54" t="n"/>
      <c r="D46" s="55" t="n"/>
      <c r="E46" s="58" t="inlineStr">
        <is>
          <t>O&amp;M cost - sensitivity</t>
        </is>
      </c>
      <c r="F46" s="97">
        <f t="array" ref="F46">INDEX(I46:M46,$F$4)</f>
        <v>0.0</v>
      </c>
      <c r="G46" s="58" t="inlineStr">
        <is>
          <t>(1 + X%)</t>
        </is>
      </c>
      <c r="H46" s="58" t="n"/>
      <c r="I46" s="57" t="n"/>
      <c r="J46" s="97" t="n">
        <v>0</v>
      </c>
      <c r="K46" s="97" t="n">
        <v>0.1</v>
      </c>
      <c r="L46" s="97" t="n">
        <v>0</v>
      </c>
      <c r="M46" s="57" t="n"/>
    </row>
    <row r="47" customFormat="1" s="58">
      <c r="A47" s="53" t="n"/>
      <c r="B47" s="53" t="n"/>
      <c r="C47" s="54" t="n"/>
      <c r="D47" s="55" t="n"/>
      <c r="E47" s="58" t="n"/>
      <c r="F47" s="97" t="n"/>
      <c r="G47" s="58" t="n"/>
      <c r="H47" s="58" t="n"/>
      <c r="I47" s="57" t="n"/>
      <c r="J47" s="97" t="n"/>
      <c r="K47" s="97" t="n"/>
      <c r="L47" s="97" t="n"/>
      <c r="M47" s="57" t="n"/>
    </row>
    <row r="48">
      <c r="E48" s="61" t="inlineStr">
        <is>
          <t>O&amp;M cost- fixed per annum</t>
        </is>
      </c>
      <c r="F48" s="61">
        <f t="array" ref="F48">INDEX(I48:M48,$F$4)</f>
        <v>3300.0</v>
      </c>
      <c r="G48" s="61" t="str">
        <f>SMU</f>
        <v>$ 000s</v>
      </c>
      <c r="H48" s="61" t="n"/>
      <c r="J48" s="61" t="n">
        <v>3300</v>
      </c>
      <c r="K48" s="61" t="n">
        <v>3300</v>
      </c>
      <c r="L48" s="61" t="n">
        <v>3300</v>
      </c>
    </row>
    <row r="49">
      <c r="J49" s="61" t="n"/>
      <c r="K49" s="61" t="n"/>
      <c r="L49" s="61" t="n"/>
    </row>
    <row r="50">
      <c r="E50" s="61" t="inlineStr">
        <is>
          <t>Account payables days</t>
        </is>
      </c>
      <c r="F50" s="61">
        <f t="array" ref="F50">INDEX(I50:M50,$F$4)</f>
        <v>35.0</v>
      </c>
      <c r="G50" s="61" t="inlineStr">
        <is>
          <t>days</t>
        </is>
      </c>
      <c r="H50" s="61" t="n"/>
      <c r="J50" s="61" t="n">
        <v>35</v>
      </c>
      <c r="K50" s="61" t="n">
        <v>35</v>
      </c>
      <c r="L50" s="61" t="n">
        <v>35</v>
      </c>
    </row>
    <row r="51" ht="15" customFormat="1" customHeight="1" s="35">
      <c r="A51" s="163" t="n"/>
      <c r="B51" s="163" t="n"/>
      <c r="C51" s="172" t="n"/>
      <c r="D51" s="88" t="n"/>
      <c r="E51" s="169" t="n"/>
      <c r="F51" s="169" t="n"/>
      <c r="G51" s="169" t="n"/>
      <c r="H51" s="61" t="n"/>
      <c r="I51" s="29" t="n"/>
      <c r="J51" s="169" t="n"/>
      <c r="K51" s="169" t="n"/>
      <c r="L51" s="169" t="n"/>
      <c r="M51" s="29" t="n"/>
      <c r="N51" s="61" t="n"/>
      <c r="O51" s="61" t="n"/>
      <c r="P51" s="61" t="n"/>
      <c r="Q51" s="61" t="n"/>
      <c r="R51" s="61" t="n"/>
    </row>
    <row r="52" ht="15" customFormat="1" customHeight="1" s="35">
      <c r="A52" s="163" t="n"/>
      <c r="B52" s="163" t="n"/>
      <c r="C52" s="172" t="n"/>
      <c r="D52" s="88" t="n"/>
      <c r="E52" s="169" t="n"/>
      <c r="F52" s="169" t="n"/>
      <c r="G52" s="169" t="n"/>
      <c r="H52" s="61" t="n"/>
      <c r="I52" s="29" t="n"/>
      <c r="J52" s="169" t="n"/>
      <c r="K52" s="169" t="n"/>
      <c r="L52" s="169" t="n"/>
      <c r="M52" s="29" t="n"/>
      <c r="N52" s="61" t="n"/>
      <c r="O52" s="61" t="n"/>
      <c r="P52" s="61" t="n"/>
      <c r="Q52" s="61" t="n"/>
      <c r="R52" s="61" t="n"/>
    </row>
    <row r="53" ht="15" customFormat="1" customHeight="1" s="35">
      <c r="A53" s="163" t="inlineStr">
        <is>
          <t>NON CURRENT ASSET</t>
        </is>
      </c>
      <c r="B53" s="163" t="n"/>
      <c r="C53" s="172" t="n"/>
      <c r="D53" s="88" t="n"/>
      <c r="E53" s="169" t="n"/>
      <c r="F53" s="169" t="n"/>
      <c r="G53" s="169" t="n"/>
      <c r="H53" s="61" t="n"/>
      <c r="I53" s="29" t="n"/>
      <c r="J53" s="169" t="n"/>
      <c r="K53" s="169" t="n"/>
      <c r="L53" s="169" t="n"/>
      <c r="M53" s="29" t="n"/>
      <c r="N53" s="61" t="n"/>
      <c r="O53" s="61" t="n"/>
      <c r="P53" s="61" t="n"/>
      <c r="Q53" s="61" t="n"/>
      <c r="R53" s="61" t="n"/>
    </row>
    <row r="54" ht="15" customFormat="1" customHeight="1" s="35">
      <c r="A54" s="163" t="n"/>
      <c r="B54" s="163" t="n"/>
      <c r="C54" s="172" t="n"/>
      <c r="D54" s="88" t="n"/>
      <c r="E54" s="169" t="n"/>
      <c r="F54" s="169" t="n"/>
      <c r="G54" s="169" t="n"/>
      <c r="H54" s="61" t="n"/>
      <c r="I54" s="29" t="n"/>
      <c r="J54" s="169" t="n"/>
      <c r="K54" s="169" t="n"/>
      <c r="L54" s="169" t="n"/>
      <c r="M54" s="29" t="n"/>
      <c r="N54" s="61" t="n"/>
      <c r="O54" s="61" t="n"/>
      <c r="P54" s="61" t="n"/>
      <c r="Q54" s="61" t="n"/>
      <c r="R54" s="61" t="n"/>
    </row>
    <row r="55">
      <c r="E55" s="60" t="inlineStr">
        <is>
          <t>Investment / addition date</t>
        </is>
      </c>
      <c r="F55" s="60" t="str">
        <f t="array" ref="F55">INDEX(I55:M55,$F$4)</f>
        <v>$000s</v>
      </c>
      <c r="G55" s="61" t="n"/>
      <c r="H55" s="61" t="n"/>
      <c r="J55" s="60" t="inlineStr">
        <is>
          <t>$000s</t>
        </is>
      </c>
      <c r="K55" s="60" t="inlineStr">
        <is>
          <t>$000s</t>
        </is>
      </c>
      <c r="L55" s="60" t="inlineStr">
        <is>
          <t>$000s</t>
        </is>
      </c>
    </row>
    <row r="56">
      <c r="E56" s="127" t="n">
        <v>45291</v>
      </c>
      <c r="F56" s="61">
        <f t="array" ref="F56">INDEX(I56:M56,$F$4)</f>
        <v>2000.0</v>
      </c>
      <c r="G56" s="61" t="inlineStr">
        <is>
          <t>$ 000s</t>
        </is>
      </c>
      <c r="H56" s="61" t="n"/>
      <c r="J56" s="61" t="n">
        <v>2000</v>
      </c>
      <c r="K56" s="61" t="n">
        <v>2000</v>
      </c>
      <c r="L56" s="61" t="n">
        <v>2000</v>
      </c>
    </row>
    <row r="57">
      <c r="E57" s="127" t="n">
        <v>45657</v>
      </c>
      <c r="F57" s="61">
        <f t="array" ref="F57">INDEX(I57:M57,$F$4)</f>
        <v>1000.0</v>
      </c>
      <c r="G57" s="61" t="inlineStr">
        <is>
          <t>$ 000s</t>
        </is>
      </c>
      <c r="H57" s="61" t="n"/>
      <c r="J57" s="61" t="n">
        <v>1000</v>
      </c>
      <c r="K57" s="61" t="n">
        <v>1000</v>
      </c>
      <c r="L57" s="61" t="n">
        <v>1000</v>
      </c>
    </row>
    <row r="58">
      <c r="E58" s="127" t="n">
        <v>46022</v>
      </c>
      <c r="F58" s="61">
        <f t="array" ref="F58">INDEX(I58:M58,$F$4)</f>
        <v>1500.0</v>
      </c>
      <c r="G58" s="61" t="inlineStr">
        <is>
          <t>$ 000s</t>
        </is>
      </c>
      <c r="H58" s="61" t="n"/>
      <c r="J58" s="61" t="n">
        <v>1500</v>
      </c>
      <c r="K58" s="61" t="n">
        <v>1500</v>
      </c>
      <c r="L58" s="61" t="n">
        <v>1500</v>
      </c>
    </row>
    <row r="59">
      <c r="E59" s="127" t="n">
        <v>46387</v>
      </c>
      <c r="F59" s="61">
        <f t="array" ref="F59">INDEX(I59:M59,$F$4)</f>
        <v>1000.0</v>
      </c>
      <c r="G59" s="61" t="inlineStr">
        <is>
          <t>$ 000s</t>
        </is>
      </c>
      <c r="H59" s="61" t="n"/>
      <c r="J59" s="61" t="n">
        <v>1000</v>
      </c>
      <c r="K59" s="61" t="n">
        <v>1000</v>
      </c>
      <c r="L59" s="61" t="n">
        <v>1000</v>
      </c>
    </row>
    <row r="60">
      <c r="E60" s="127" t="n">
        <v>46752</v>
      </c>
      <c r="F60" s="61">
        <f t="array" ref="F60">INDEX(I60:M60,$F$4)</f>
        <v>500.0</v>
      </c>
      <c r="G60" s="61" t="inlineStr">
        <is>
          <t>$ 000s</t>
        </is>
      </c>
      <c r="H60" s="61" t="n"/>
      <c r="J60" s="61" t="n">
        <v>500</v>
      </c>
      <c r="K60" s="61" t="n">
        <v>500</v>
      </c>
      <c r="L60" s="61" t="n">
        <v>500</v>
      </c>
    </row>
    <row r="61">
      <c r="E61" s="127" t="n">
        <v>47118</v>
      </c>
      <c r="F61" s="61">
        <f t="array" ref="F61">INDEX(I61:M61,$F$4)</f>
        <v>1000.0</v>
      </c>
      <c r="G61" s="61" t="inlineStr">
        <is>
          <t>$ 000s</t>
        </is>
      </c>
      <c r="H61" s="61" t="n"/>
      <c r="J61" s="61" t="n">
        <v>1000</v>
      </c>
      <c r="K61" s="61" t="n">
        <v>1000</v>
      </c>
      <c r="L61" s="61" t="n">
        <v>1000</v>
      </c>
    </row>
    <row r="62">
      <c r="E62" s="127" t="n">
        <v>47483</v>
      </c>
      <c r="F62" s="61">
        <f t="array" ref="F62">INDEX(I62:M62,$F$4)</f>
        <v>1000.0</v>
      </c>
      <c r="G62" s="61" t="inlineStr">
        <is>
          <t>$ 000s</t>
        </is>
      </c>
      <c r="H62" s="61" t="n"/>
      <c r="J62" s="61" t="n">
        <v>1000</v>
      </c>
      <c r="K62" s="61" t="n">
        <v>1000</v>
      </c>
      <c r="L62" s="61" t="n">
        <v>1000</v>
      </c>
    </row>
    <row r="63">
      <c r="J63" s="61" t="n"/>
      <c r="K63" s="61" t="n"/>
      <c r="L63" s="61" t="n"/>
    </row>
    <row r="64">
      <c r="E64" s="61" t="inlineStr">
        <is>
          <t>Non current asset - initial balance</t>
        </is>
      </c>
      <c r="F64" s="61">
        <f t="array" ref="F64">INDEX(I64:M64,$F$4)</f>
        <v>100000.0</v>
      </c>
      <c r="G64" s="61" t="inlineStr">
        <is>
          <t>$ 000s</t>
        </is>
      </c>
      <c r="H64" s="61" t="n"/>
      <c r="J64" s="61" t="n">
        <v>100000</v>
      </c>
      <c r="K64" s="61" t="n">
        <v>100000</v>
      </c>
      <c r="L64" s="61" t="n">
        <v>100000</v>
      </c>
    </row>
    <row r="65">
      <c r="E65" s="61" t="inlineStr">
        <is>
          <t xml:space="preserve">Useful life of NCA at acquisition </t>
        </is>
      </c>
      <c r="F65" s="61">
        <f t="array" ref="F65">INDEX(I65:M65,$F$4)</f>
        <v>15.0</v>
      </c>
      <c r="G65" s="61" t="inlineStr">
        <is>
          <t>years</t>
        </is>
      </c>
      <c r="H65" s="61" t="n"/>
      <c r="J65" s="61" t="n">
        <v>15</v>
      </c>
      <c r="K65" s="61" t="n">
        <v>15</v>
      </c>
      <c r="L65" s="61" t="n">
        <v>15</v>
      </c>
    </row>
    <row r="66">
      <c r="J66" s="61" t="n"/>
      <c r="K66" s="61" t="n"/>
      <c r="L66" s="61" t="n"/>
    </row>
    <row r="67">
      <c r="E67" s="61" t="inlineStr">
        <is>
          <t>Useful life -capex</t>
        </is>
      </c>
      <c r="F67" s="61">
        <f t="array" ref="F67">INDEX(I67:M67,$F$4)</f>
        <v>5.0</v>
      </c>
      <c r="G67" s="61" t="inlineStr">
        <is>
          <t>yrs</t>
        </is>
      </c>
      <c r="H67" s="61" t="n"/>
      <c r="J67" s="61" t="n">
        <v>5</v>
      </c>
      <c r="K67" s="61" t="n">
        <v>5</v>
      </c>
      <c r="L67" s="61" t="n">
        <v>5</v>
      </c>
    </row>
    <row r="68" ht="15" customFormat="1" customHeight="1" s="35">
      <c r="A68" s="163" t="n"/>
      <c r="B68" s="163" t="n"/>
      <c r="C68" s="172" t="n"/>
      <c r="D68" s="88" t="n"/>
      <c r="E68" s="169" t="n"/>
      <c r="F68" s="169" t="n"/>
      <c r="G68" s="169" t="n"/>
      <c r="H68" s="61" t="n"/>
      <c r="I68" s="29" t="n"/>
      <c r="J68" s="169" t="n"/>
      <c r="K68" s="169" t="n"/>
      <c r="L68" s="169" t="n"/>
      <c r="M68" s="29" t="n"/>
      <c r="N68" s="61" t="n"/>
      <c r="O68" s="61" t="n"/>
      <c r="P68" s="61" t="n"/>
      <c r="Q68" s="61" t="n"/>
      <c r="R68" s="61" t="n"/>
    </row>
    <row r="69" ht="15" customFormat="1" customHeight="1" s="35">
      <c r="A69" s="163" t="n"/>
      <c r="B69" s="163" t="n"/>
      <c r="C69" s="172" t="n"/>
      <c r="D69" s="88" t="n"/>
      <c r="E69" s="169" t="n"/>
      <c r="F69" s="169" t="n"/>
      <c r="G69" s="169" t="n"/>
      <c r="H69" s="61" t="n"/>
      <c r="I69" s="29" t="n"/>
      <c r="J69" s="169" t="n"/>
      <c r="K69" s="169" t="n"/>
      <c r="L69" s="169" t="n"/>
      <c r="M69" s="29" t="n"/>
      <c r="N69" s="61" t="n"/>
      <c r="O69" s="61" t="n"/>
      <c r="P69" s="61" t="n"/>
      <c r="Q69" s="61" t="n"/>
      <c r="R69" s="61" t="n"/>
    </row>
    <row r="70" ht="15" customFormat="1" customHeight="1" s="35">
      <c r="A70" s="163" t="inlineStr">
        <is>
          <t>SENIOR DEBT</t>
        </is>
      </c>
      <c r="B70" s="163" t="n"/>
      <c r="C70" s="172" t="n"/>
      <c r="D70" s="88" t="n"/>
      <c r="E70" s="169" t="n"/>
      <c r="F70" s="169" t="n"/>
      <c r="G70" s="169" t="n"/>
      <c r="H70" s="61" t="n"/>
      <c r="I70" s="29" t="n"/>
      <c r="J70" s="169" t="n"/>
      <c r="K70" s="169" t="n"/>
      <c r="L70" s="169" t="n"/>
      <c r="M70" s="29" t="n"/>
      <c r="N70" s="61" t="n"/>
      <c r="O70" s="61" t="n"/>
      <c r="P70" s="61" t="n"/>
      <c r="Q70" s="61" t="n"/>
      <c r="R70" s="61" t="n"/>
    </row>
    <row r="71" ht="15" customFormat="1" customHeight="1" s="35">
      <c r="A71" s="163" t="n"/>
      <c r="B71" s="163" t="n"/>
      <c r="C71" s="172" t="n"/>
      <c r="D71" s="88" t="n"/>
      <c r="E71" s="169" t="n"/>
      <c r="F71" s="169" t="n"/>
      <c r="G71" s="169" t="n"/>
      <c r="H71" s="61" t="n"/>
      <c r="I71" s="29" t="n"/>
      <c r="J71" s="169" t="n"/>
      <c r="K71" s="169" t="n"/>
      <c r="L71" s="169" t="n"/>
      <c r="M71" s="29" t="n"/>
      <c r="N71" s="61" t="n"/>
      <c r="O71" s="61" t="n"/>
      <c r="P71" s="61" t="n"/>
      <c r="Q71" s="61" t="n"/>
      <c r="R71" s="61" t="n"/>
    </row>
    <row r="72" customFormat="1" s="58">
      <c r="A72" s="53" t="n"/>
      <c r="B72" s="53" t="n"/>
      <c r="C72" s="54" t="n"/>
      <c r="D72" s="55" t="n"/>
      <c r="E72" s="58" t="inlineStr">
        <is>
          <t>% of NCA financed with debt</t>
        </is>
      </c>
      <c r="F72" s="97">
        <f t="array" ref="F72">INDEX(I72:M72,$F$4)</f>
        <v>0.6</v>
      </c>
      <c r="G72" s="58" t="inlineStr">
        <is>
          <t>%</t>
        </is>
      </c>
      <c r="H72" s="58" t="n"/>
      <c r="I72" s="57" t="n"/>
      <c r="J72" s="97" t="n">
        <v>0.6</v>
      </c>
      <c r="K72" s="97" t="n">
        <v>0.6</v>
      </c>
      <c r="L72" s="97" t="n">
        <v>0.6</v>
      </c>
      <c r="M72" s="57" t="n"/>
    </row>
    <row r="73">
      <c r="J73" s="61" t="n"/>
      <c r="K73" s="61" t="n"/>
      <c r="L73" s="61" t="n"/>
    </row>
    <row r="74">
      <c r="E74" s="61" t="inlineStr">
        <is>
          <t>Senior debt principal repayment profile selection</t>
        </is>
      </c>
      <c r="F74" s="61">
        <f t="array" ref="F74">INDEX(I74:M74,$F$4)</f>
        <v>1.0</v>
      </c>
      <c r="G74" s="61" t="inlineStr">
        <is>
          <t>switch</t>
        </is>
      </c>
      <c r="H74" s="61" t="n"/>
      <c r="J74" s="61" t="n">
        <v>1</v>
      </c>
      <c r="K74" s="61" t="n">
        <v>1</v>
      </c>
      <c r="L74" s="61" t="n">
        <v>1</v>
      </c>
    </row>
    <row r="75">
      <c r="J75" s="61" t="n"/>
      <c r="K75" s="61" t="n"/>
      <c r="L75" s="61" t="n"/>
    </row>
    <row r="76">
      <c r="J76" s="61" t="n"/>
      <c r="K76" s="61" t="n"/>
      <c r="L76" s="61" t="n"/>
    </row>
    <row r="77" customFormat="1" s="58">
      <c r="A77" s="53" t="n"/>
      <c r="B77" s="53" t="n"/>
      <c r="C77" s="54" t="n"/>
      <c r="D77" s="55" t="n"/>
      <c r="E77" s="58" t="inlineStr">
        <is>
          <t xml:space="preserve">All in annual senior debt interest rate </t>
        </is>
      </c>
      <c r="F77" s="97">
        <f t="array" ref="F77">INDEX(I77:M77,$F$4)</f>
        <v>0.065</v>
      </c>
      <c r="G77" s="58" t="inlineStr">
        <is>
          <t>%</t>
        </is>
      </c>
      <c r="H77" s="58" t="n"/>
      <c r="I77" s="57" t="n"/>
      <c r="J77" s="97" t="n">
        <v>0.065</v>
      </c>
      <c r="K77" s="97" t="n">
        <v>0.065</v>
      </c>
      <c r="L77" s="97" t="n">
        <v>0.065</v>
      </c>
      <c r="M77" s="57" t="n"/>
    </row>
    <row r="78">
      <c r="J78" s="61" t="n"/>
      <c r="K78" s="61" t="n"/>
      <c r="L78" s="61" t="n"/>
    </row>
    <row r="79">
      <c r="E79" s="61" t="inlineStr">
        <is>
          <t xml:space="preserve">Day count convention </t>
        </is>
      </c>
      <c r="F79" s="61">
        <f t="array" ref="F79">INDEX(I79:M79,$F$4)</f>
        <v>360.0</v>
      </c>
      <c r="G79" s="61" t="inlineStr">
        <is>
          <t>days</t>
        </is>
      </c>
      <c r="H79" s="61" t="n"/>
      <c r="J79" s="61" t="n">
        <v>360</v>
      </c>
      <c r="K79" s="61" t="n">
        <v>360</v>
      </c>
      <c r="L79" s="61" t="n">
        <v>360</v>
      </c>
    </row>
    <row r="80" ht="15" customFormat="1" customHeight="1" s="35">
      <c r="A80" s="163" t="n"/>
      <c r="B80" s="163" t="n"/>
      <c r="C80" s="172" t="n"/>
      <c r="D80" s="88" t="n"/>
      <c r="E80" s="169" t="n"/>
      <c r="F80" s="169" t="n"/>
      <c r="G80" s="169" t="n"/>
      <c r="H80" s="61" t="n"/>
      <c r="I80" s="29" t="n"/>
      <c r="J80" s="169" t="n"/>
      <c r="K80" s="169" t="n"/>
      <c r="L80" s="169" t="n"/>
      <c r="M80" s="29" t="n"/>
      <c r="N80" s="61" t="n"/>
      <c r="O80" s="61" t="n"/>
      <c r="P80" s="61" t="n"/>
      <c r="Q80" s="61" t="n"/>
      <c r="R80" s="61" t="n"/>
    </row>
    <row r="81" ht="15" customFormat="1" customHeight="1" s="35">
      <c r="A81" s="163" t="n"/>
      <c r="B81" s="163" t="n"/>
      <c r="C81" s="172" t="n"/>
      <c r="D81" s="88" t="n"/>
      <c r="E81" s="169" t="n"/>
      <c r="F81" s="169" t="n"/>
      <c r="G81" s="169" t="n"/>
      <c r="H81" s="61" t="n"/>
      <c r="I81" s="29" t="n"/>
      <c r="J81" s="169" t="n"/>
      <c r="K81" s="169" t="n"/>
      <c r="L81" s="169" t="n"/>
      <c r="M81" s="29" t="n"/>
      <c r="N81" s="61" t="n"/>
      <c r="O81" s="61" t="n"/>
      <c r="P81" s="61" t="n"/>
      <c r="Q81" s="61" t="n"/>
      <c r="R81" s="61" t="n"/>
    </row>
    <row r="82" ht="15" customFormat="1" customHeight="1" s="35">
      <c r="A82" s="163" t="inlineStr">
        <is>
          <t>TAX</t>
        </is>
      </c>
      <c r="B82" s="163" t="n"/>
      <c r="C82" s="172" t="n"/>
      <c r="D82" s="88" t="n"/>
      <c r="E82" s="169" t="n"/>
      <c r="F82" s="169" t="n"/>
      <c r="G82" s="169" t="n"/>
      <c r="H82" s="61" t="n"/>
      <c r="I82" s="29" t="n"/>
      <c r="J82" s="169" t="n"/>
      <c r="K82" s="169" t="n"/>
      <c r="L82" s="169" t="n"/>
      <c r="M82" s="29" t="n"/>
      <c r="N82" s="61" t="n"/>
      <c r="O82" s="61" t="n"/>
      <c r="P82" s="61" t="n"/>
      <c r="Q82" s="61" t="n"/>
      <c r="R82" s="61" t="n"/>
    </row>
    <row r="83" ht="15" customFormat="1" customHeight="1" s="35">
      <c r="A83" s="163" t="n"/>
      <c r="B83" s="163" t="n"/>
      <c r="C83" s="172" t="n"/>
      <c r="D83" s="88" t="n"/>
      <c r="E83" s="169" t="n"/>
      <c r="F83" s="169" t="n"/>
      <c r="G83" s="169" t="n"/>
      <c r="H83" s="61" t="n"/>
      <c r="I83" s="29" t="n"/>
      <c r="J83" s="169" t="n"/>
      <c r="K83" s="169" t="n"/>
      <c r="L83" s="169" t="n"/>
      <c r="M83" s="29" t="n"/>
      <c r="N83" s="61" t="n"/>
      <c r="O83" s="61" t="n"/>
      <c r="P83" s="61" t="n"/>
      <c r="Q83" s="61" t="n"/>
      <c r="R83" s="61" t="n"/>
    </row>
    <row r="84" customFormat="1" s="58">
      <c r="A84" s="53" t="n"/>
      <c r="B84" s="53" t="n"/>
      <c r="C84" s="54" t="n"/>
      <c r="D84" s="55" t="n"/>
      <c r="E84" s="58" t="inlineStr">
        <is>
          <t>Tax depreciation rate</t>
        </is>
      </c>
      <c r="F84" s="97">
        <f t="array" ref="F84">INDEX(I84:M84,$F$4)</f>
        <v>0.05</v>
      </c>
      <c r="G84" s="58" t="inlineStr">
        <is>
          <t>% TWDV</t>
        </is>
      </c>
      <c r="H84" s="58" t="n"/>
      <c r="I84" s="57" t="n"/>
      <c r="J84" s="97" t="n">
        <v>0.05</v>
      </c>
      <c r="K84" s="97" t="n">
        <v>0.05</v>
      </c>
      <c r="L84" s="97" t="n">
        <v>0.05</v>
      </c>
      <c r="M84" s="57" t="n"/>
    </row>
    <row r="85">
      <c r="J85" s="61" t="n"/>
      <c r="K85" s="61" t="n"/>
      <c r="L85" s="61" t="n"/>
    </row>
    <row r="86" customFormat="1" s="58">
      <c r="A86" s="53" t="n"/>
      <c r="B86" s="53" t="n"/>
      <c r="C86" s="54" t="n"/>
      <c r="D86" s="55" t="n"/>
      <c r="E86" s="58" t="inlineStr">
        <is>
          <t>Corporation tax rate</t>
        </is>
      </c>
      <c r="F86" s="97">
        <f t="array" ref="F86">INDEX(I86:M86,$F$4)</f>
        <v>0.3</v>
      </c>
      <c r="G86" s="58" t="inlineStr">
        <is>
          <t>%</t>
        </is>
      </c>
      <c r="H86" s="58" t="n"/>
      <c r="I86" s="57" t="n"/>
      <c r="J86" s="97" t="n">
        <v>0.3</v>
      </c>
      <c r="K86" s="97" t="n">
        <v>0.3</v>
      </c>
      <c r="L86" s="97" t="n">
        <v>0.3</v>
      </c>
      <c r="M86" s="57" t="n"/>
    </row>
    <row r="87" customFormat="1" s="58">
      <c r="A87" s="53" t="n"/>
      <c r="B87" s="53" t="n"/>
      <c r="C87" s="54" t="n"/>
      <c r="D87" s="55" t="n"/>
      <c r="E87" s="58" t="n"/>
      <c r="F87" s="97" t="n"/>
      <c r="G87" s="58" t="n"/>
      <c r="H87" s="58" t="n"/>
      <c r="I87" s="57" t="n"/>
      <c r="J87" s="97" t="n"/>
      <c r="K87" s="97" t="n"/>
      <c r="L87" s="97" t="n"/>
      <c r="M87" s="57" t="n"/>
    </row>
    <row r="88" ht="15" customFormat="1" customHeight="1" s="35">
      <c r="A88" s="163" t="inlineStr">
        <is>
          <t>VALUATION</t>
        </is>
      </c>
      <c r="B88" s="163" t="n"/>
      <c r="C88" s="172" t="n"/>
      <c r="D88" s="88" t="n"/>
      <c r="E88" s="169" t="n"/>
      <c r="F88" s="169" t="n"/>
      <c r="G88" s="169" t="n"/>
      <c r="H88" s="61" t="n"/>
      <c r="I88" s="29" t="n"/>
      <c r="J88" s="169" t="n"/>
      <c r="K88" s="169" t="n"/>
      <c r="L88" s="169" t="n"/>
      <c r="M88" s="29" t="n"/>
      <c r="N88" s="61" t="n"/>
      <c r="O88" s="61" t="n"/>
      <c r="P88" s="61" t="n"/>
      <c r="Q88" s="61" t="n"/>
      <c r="R88" s="61" t="n"/>
    </row>
    <row r="89" ht="15" customFormat="1" customHeight="1" s="35">
      <c r="A89" s="163" t="n"/>
      <c r="B89" s="163" t="n"/>
      <c r="C89" s="172" t="n"/>
      <c r="D89" s="88" t="n"/>
      <c r="E89" s="169" t="n"/>
      <c r="F89" s="169" t="n"/>
      <c r="G89" s="169" t="n"/>
      <c r="H89" s="61" t="n"/>
      <c r="I89" s="29" t="n"/>
      <c r="J89" s="169" t="n"/>
      <c r="K89" s="169" t="n"/>
      <c r="L89" s="169" t="n"/>
      <c r="M89" s="29" t="n"/>
      <c r="N89" s="61" t="n"/>
      <c r="O89" s="61" t="n"/>
      <c r="P89" s="61" t="n"/>
      <c r="Q89" s="61" t="n"/>
      <c r="R89" s="61" t="n"/>
    </row>
    <row r="90" customFormat="1" s="68">
      <c r="A90" s="63" t="n"/>
      <c r="B90" s="63" t="n"/>
      <c r="C90" s="64" t="n"/>
      <c r="D90" s="65" t="n"/>
      <c r="E90" s="68" t="inlineStr">
        <is>
          <t>Shareholders valuation date</t>
        </is>
      </c>
      <c r="F90" s="127">
        <f t="array" ref="F90">INDEX(I90:M90,$F$4)</f>
        <v>44561.0</v>
      </c>
      <c r="G90" s="68" t="inlineStr">
        <is>
          <t>date</t>
        </is>
      </c>
      <c r="H90" s="68" t="n"/>
      <c r="I90" s="67" t="n"/>
      <c r="J90" s="127" t="n">
        <v>44561</v>
      </c>
      <c r="K90" s="127" t="n">
        <v>44561</v>
      </c>
      <c r="L90" s="127" t="n">
        <v>44561</v>
      </c>
      <c r="M90" s="67" t="n"/>
    </row>
    <row r="91">
      <c r="E91" s="61" t="inlineStr">
        <is>
          <t>Days in shareholder discount year</t>
        </is>
      </c>
      <c r="F91" s="61">
        <f t="array" ref="F91">INDEX(I91:M91,$F$4)</f>
        <v>365.0</v>
      </c>
      <c r="G91" s="61" t="inlineStr">
        <is>
          <t>days</t>
        </is>
      </c>
      <c r="H91" s="61" t="n"/>
      <c r="J91" s="61" t="n">
        <v>365</v>
      </c>
      <c r="K91" s="61" t="n">
        <v>365</v>
      </c>
      <c r="L91" s="61" t="n">
        <v>365</v>
      </c>
    </row>
    <row r="92">
      <c r="J92" s="61" t="n"/>
      <c r="K92" s="61" t="n"/>
      <c r="L92" s="61" t="n"/>
    </row>
    <row r="93" customFormat="1" s="58">
      <c r="A93" s="53" t="n"/>
      <c r="B93" s="53" t="n"/>
      <c r="C93" s="54" t="n"/>
      <c r="D93" s="55" t="n"/>
      <c r="E93" s="58" t="inlineStr">
        <is>
          <t>Shareholder required rate of return per annum</t>
        </is>
      </c>
      <c r="F93" s="97">
        <f t="array" ref="F93">INDEX(I93:M93,$F$4)</f>
        <v>0.2525</v>
      </c>
      <c r="G93" s="58" t="inlineStr">
        <is>
          <t>% p.a</t>
        </is>
      </c>
      <c r="H93" s="58" t="n"/>
      <c r="I93" s="57" t="n"/>
      <c r="J93" s="97" t="n">
        <v>0.2525</v>
      </c>
      <c r="K93" s="97" t="n">
        <v>0.2525</v>
      </c>
      <c r="L93" s="97" t="n">
        <v>0.2525</v>
      </c>
      <c r="M93" s="57" t="n"/>
    </row>
    <row r="94">
      <c r="J94" s="61" t="n"/>
      <c r="K94" s="61" t="n"/>
      <c r="L94" s="61" t="n"/>
    </row>
    <row r="95">
      <c r="J95" s="61" t="n"/>
      <c r="K95" s="61" t="n"/>
      <c r="L95" s="61" t="n"/>
    </row>
    <row r="96" customFormat="1" s="169">
      <c r="A96" s="163" t="inlineStr">
        <is>
          <t>MODEL CONSTANTS - DO NOT CHANGE</t>
        </is>
      </c>
      <c r="B96" s="163" t="n"/>
      <c r="C96" s="172" t="n"/>
      <c r="D96" s="88" t="n"/>
      <c r="F96" s="169" t="n"/>
      <c r="I96" s="146" t="n"/>
      <c r="J96" s="169" t="n"/>
      <c r="K96" s="169" t="n"/>
      <c r="L96" s="169" t="n"/>
      <c r="M96" s="146" t="n"/>
    </row>
    <row r="97" customFormat="1" s="169">
      <c r="A97" s="163" t="n"/>
      <c r="B97" s="163" t="n"/>
      <c r="C97" s="172" t="n"/>
      <c r="D97" s="88" t="n"/>
      <c r="F97" s="169" t="n"/>
      <c r="I97" s="146" t="n"/>
      <c r="J97" s="169" t="n"/>
      <c r="K97" s="169" t="n"/>
      <c r="L97" s="169" t="n"/>
      <c r="M97" s="146" t="n"/>
    </row>
    <row r="98" ht="15" customFormat="1" customHeight="1" s="169">
      <c r="A98" s="163" t="n"/>
      <c r="B98" s="163" t="n"/>
      <c r="C98" s="172" t="n"/>
      <c r="D98" s="88" t="n"/>
      <c r="E98" s="205" t="inlineStr">
        <is>
          <t>Financial year end month number</t>
        </is>
      </c>
      <c r="F98" s="77" t="n">
        <v>12</v>
      </c>
      <c r="G98" s="205" t="inlineStr">
        <is>
          <t>month #</t>
        </is>
      </c>
      <c r="I98" s="146" t="n"/>
      <c r="J98" s="0" t="n"/>
      <c r="K98" s="0" t="n"/>
      <c r="L98" s="0" t="n"/>
      <c r="M98" s="146" t="n"/>
    </row>
    <row r="99">
      <c r="E99" s="292" t="inlineStr">
        <is>
          <t>No of periods in a year</t>
        </is>
      </c>
      <c r="F99" s="77" t="n">
        <v>4</v>
      </c>
      <c r="G99" s="292" t="inlineStr">
        <is>
          <t>periods</t>
        </is>
      </c>
    </row>
    <row r="100">
      <c r="E100" s="205" t="inlineStr">
        <is>
          <t>First modelling column financial year number</t>
        </is>
      </c>
      <c r="F100" s="395" t="n">
        <v>2021</v>
      </c>
      <c r="G100" s="205" t="inlineStr">
        <is>
          <t>year #</t>
        </is>
      </c>
    </row>
    <row r="101" customFormat="1" s="169">
      <c r="A101" s="163" t="n"/>
      <c r="B101" s="163" t="n"/>
      <c r="C101" s="172" t="n"/>
      <c r="D101" s="88" t="n"/>
      <c r="E101" s="277" t="inlineStr">
        <is>
          <t>Model check tolerance level</t>
        </is>
      </c>
      <c r="F101" s="74" t="n">
        <v>0.001</v>
      </c>
      <c r="G101" s="277" t="inlineStr">
        <is>
          <t>tolerance</t>
        </is>
      </c>
      <c r="I101" s="146" t="n"/>
      <c r="J101" s="61" t="n"/>
      <c r="K101" s="61" t="n"/>
      <c r="L101" s="61" t="n"/>
      <c r="M101" s="146" t="n"/>
    </row>
    <row r="102">
      <c r="E102" s="61" t="inlineStr">
        <is>
          <t>Unit in thousand</t>
        </is>
      </c>
      <c r="F102" s="29" t="n">
        <v>1000</v>
      </c>
      <c r="G102" s="61" t="inlineStr">
        <is>
          <t>units</t>
        </is>
      </c>
      <c r="H102" s="61" t="n"/>
    </row>
    <row r="103">
      <c r="E103" s="61" t="inlineStr">
        <is>
          <t>Standard measure unit</t>
        </is>
      </c>
      <c r="F103" s="262" t="inlineStr">
        <is>
          <t>$ 000s</t>
        </is>
      </c>
      <c r="G103" s="61" t="inlineStr">
        <is>
          <t>SMU</t>
        </is>
      </c>
    </row>
    <row r="104" ht="15" customHeight="1" s="396">
      <c r="E104" s="277" t="n"/>
      <c r="F104" s="0" t="n"/>
      <c r="G104" s="277" t="n"/>
    </row>
    <row r="105">
      <c r="A105" s="294" t="inlineStr">
        <is>
          <t>TIMELINE LABEL</t>
        </is>
      </c>
    </row>
    <row r="106" customFormat="1" s="117">
      <c r="A106" s="163" t="n"/>
      <c r="B106" s="163" t="n"/>
      <c r="C106" s="172" t="n"/>
      <c r="D106" s="88" t="n"/>
      <c r="E106" s="169" t="inlineStr">
        <is>
          <t>Pre-forecast period</t>
        </is>
      </c>
      <c r="F106" s="146" t="inlineStr">
        <is>
          <t>Pre-fcst</t>
        </is>
      </c>
      <c r="G106" s="169" t="inlineStr">
        <is>
          <t>label</t>
        </is>
      </c>
      <c r="H106" s="61" t="n"/>
      <c r="I106" s="29" t="n"/>
      <c r="J106" s="61" t="n"/>
      <c r="K106" s="61" t="n"/>
      <c r="L106" s="61" t="n"/>
      <c r="M106" s="29" t="n"/>
      <c r="N106" s="61" t="n"/>
      <c r="O106" s="61" t="n"/>
      <c r="P106" s="61" t="n"/>
      <c r="Q106" s="61" t="n"/>
      <c r="R106" s="61" t="n"/>
    </row>
    <row r="107" customFormat="1" s="117">
      <c r="A107" s="163" t="n"/>
      <c r="B107" s="163" t="n"/>
      <c r="C107" s="172" t="n"/>
      <c r="D107" s="88" t="n"/>
      <c r="E107" s="169" t="inlineStr">
        <is>
          <t>Financial close</t>
        </is>
      </c>
      <c r="F107" s="146" t="inlineStr">
        <is>
          <t>Fin close</t>
        </is>
      </c>
      <c r="G107" s="169" t="inlineStr">
        <is>
          <t>label</t>
        </is>
      </c>
      <c r="H107" s="61" t="n"/>
      <c r="I107" s="29" t="n"/>
      <c r="J107" s="61" t="n"/>
      <c r="K107" s="61" t="n"/>
      <c r="L107" s="61" t="n"/>
      <c r="M107" s="29" t="n"/>
      <c r="N107" s="61" t="n"/>
      <c r="O107" s="61" t="n"/>
      <c r="P107" s="61" t="n"/>
      <c r="Q107" s="61" t="n"/>
      <c r="R107" s="61" t="n"/>
    </row>
    <row r="108" ht="15" customFormat="1" customHeight="1" s="35">
      <c r="A108" s="163" t="n"/>
      <c r="B108" s="163" t="n"/>
      <c r="C108" s="172" t="n"/>
      <c r="D108" s="88" t="n"/>
      <c r="E108" s="169" t="inlineStr">
        <is>
          <t>Forecast period</t>
        </is>
      </c>
      <c r="F108" s="146" t="inlineStr">
        <is>
          <t>Forecast</t>
        </is>
      </c>
      <c r="G108" s="169" t="inlineStr">
        <is>
          <t>label</t>
        </is>
      </c>
      <c r="H108" s="61" t="n"/>
      <c r="I108" s="29" t="n"/>
      <c r="J108" s="61" t="n"/>
      <c r="K108" s="61" t="n"/>
      <c r="L108" s="61" t="n"/>
      <c r="M108" s="29" t="n"/>
      <c r="N108" s="61" t="n"/>
      <c r="O108" s="61" t="n"/>
      <c r="P108" s="61" t="n"/>
      <c r="Q108" s="61" t="n"/>
      <c r="R108" s="61" t="n"/>
    </row>
    <row r="109" ht="15" customFormat="1" customHeight="1" s="35">
      <c r="A109" s="163" t="n"/>
      <c r="B109" s="163" t="n"/>
      <c r="C109" s="172" t="n"/>
      <c r="D109" s="88" t="n"/>
      <c r="E109" s="169" t="inlineStr">
        <is>
          <t>Post-operations period</t>
        </is>
      </c>
      <c r="F109" s="146" t="inlineStr">
        <is>
          <t>Post-fcst</t>
        </is>
      </c>
      <c r="G109" s="169" t="inlineStr">
        <is>
          <t>label</t>
        </is>
      </c>
      <c r="H109" s="61" t="n"/>
      <c r="I109" s="29" t="n"/>
      <c r="J109" s="61" t="n"/>
      <c r="K109" s="61" t="n"/>
      <c r="L109" s="61" t="n"/>
      <c r="M109" s="29" t="n"/>
      <c r="N109" s="61" t="n"/>
      <c r="O109" s="61" t="n"/>
      <c r="P109" s="61" t="n"/>
      <c r="Q109" s="61" t="n"/>
      <c r="R109" s="61" t="n"/>
    </row>
  </sheetData>
  <dataValidations count="2">
    <dataValidation sqref="E16:G21 J16:L21" showDropDown="0" showInputMessage="1" showErrorMessage="1" allowBlank="1"/>
    <dataValidation sqref="F3" showDropDown="0" showInputMessage="1" showErrorMessage="1" allowBlank="1" type="list">
      <formula1>$I$3:$M$3</formula1>
    </dataValidation>
  </dataValidations>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4.xml><?xml version="1.0" encoding="utf-8"?>
<worksheet xmlns="http://schemas.openxmlformats.org/spreadsheetml/2006/main">
  <sheetPr>
    <tabColor rgb="00F2C97D"/>
    <outlinePr summaryBelow="0" summaryRight="0"/>
    <pageSetUpPr/>
  </sheetPr>
  <dimension ref="A1:CO74"/>
  <sheetViews>
    <sheetView showGridLines="0" defaultGridColor="0" colorId="22" zoomScale="99" zoomScaleNormal="104" workbookViewId="0">
      <pane xSplit="9" ySplit="5" topLeftCell="J6" activePane="bottomRight" state="frozen"/>
      <selection activeCell="F2" sqref="F2:G4"/>
      <selection pane="topRight" activeCell="F2" sqref="F2:G4"/>
      <selection pane="bottomLeft" activeCell="F2" sqref="F2:G4"/>
      <selection pane="bottomRight" activeCell="E18" sqref="E18:E20"/>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inlineStr">
        <is>
          <t xml:space="preserve">Model period ending </t>
        </is>
      </c>
      <c r="F2" s="0" t="n"/>
      <c r="G2" s="0" t="n"/>
      <c r="H2" s="170" t="n"/>
      <c r="J2" s="167" t="n">
        <v>44469</v>
      </c>
      <c r="K2" s="167" t="n">
        <v>44561</v>
      </c>
      <c r="L2" s="167" t="n">
        <v>44651</v>
      </c>
      <c r="M2" s="167" t="n">
        <v>44742</v>
      </c>
      <c r="N2" s="167" t="n">
        <v>44834</v>
      </c>
      <c r="O2" s="167" t="n">
        <v>44926</v>
      </c>
      <c r="P2" s="167" t="n">
        <v>45016</v>
      </c>
      <c r="Q2" s="167" t="n">
        <v>45107</v>
      </c>
      <c r="R2" s="167" t="n">
        <v>45199</v>
      </c>
      <c r="S2" s="167" t="n">
        <v>45291</v>
      </c>
      <c r="T2" s="167" t="n">
        <v>45382</v>
      </c>
      <c r="U2" s="167" t="n">
        <v>45473</v>
      </c>
      <c r="V2" s="167" t="n">
        <v>45565</v>
      </c>
      <c r="W2" s="167" t="n">
        <v>45657</v>
      </c>
      <c r="X2" s="167" t="n">
        <v>45747</v>
      </c>
      <c r="Y2" s="167" t="n">
        <v>45838</v>
      </c>
      <c r="Z2" s="167" t="n">
        <v>45930</v>
      </c>
      <c r="AA2" s="167" t="n">
        <v>46022</v>
      </c>
      <c r="AB2" s="167" t="n">
        <v>46112</v>
      </c>
      <c r="AC2" s="167" t="n">
        <v>46203</v>
      </c>
      <c r="AD2" s="167" t="n">
        <v>46295</v>
      </c>
      <c r="AE2" s="167" t="n">
        <v>46387</v>
      </c>
      <c r="AF2" s="167" t="n">
        <v>46477</v>
      </c>
      <c r="AG2" s="167" t="n">
        <v>46568</v>
      </c>
      <c r="AH2" s="167" t="n">
        <v>46660</v>
      </c>
      <c r="AI2" s="167" t="n">
        <v>46752</v>
      </c>
      <c r="AJ2" s="167" t="n">
        <v>46843</v>
      </c>
      <c r="AK2" s="167" t="n">
        <v>46934</v>
      </c>
      <c r="AL2" s="167" t="n">
        <v>47026</v>
      </c>
      <c r="AM2" s="167" t="n">
        <v>47118</v>
      </c>
      <c r="AN2" s="167" t="n">
        <v>47208</v>
      </c>
      <c r="AO2" s="167" t="n">
        <v>47299</v>
      </c>
      <c r="AP2" s="167" t="n">
        <v>47391</v>
      </c>
      <c r="AQ2" s="167" t="n">
        <v>47483</v>
      </c>
      <c r="AR2" s="167" t="n">
        <v>47573</v>
      </c>
      <c r="AS2" s="167" t="n">
        <v>47664</v>
      </c>
      <c r="AT2" s="167" t="n">
        <v>47756</v>
      </c>
      <c r="AU2" s="167" t="n">
        <v>47848</v>
      </c>
      <c r="AV2" s="167" t="n">
        <v>47938</v>
      </c>
      <c r="AW2" s="167" t="n">
        <v>48029</v>
      </c>
      <c r="AX2" s="167" t="n">
        <v>48121</v>
      </c>
      <c r="AY2" s="167" t="n">
        <v>48213</v>
      </c>
      <c r="AZ2" s="167" t="n">
        <v>48304</v>
      </c>
      <c r="BA2" s="167" t="n">
        <v>48395</v>
      </c>
      <c r="BB2" s="167" t="n">
        <v>48487</v>
      </c>
      <c r="BC2" s="167" t="n">
        <v>48579</v>
      </c>
      <c r="BD2" s="167" t="n">
        <v>48669</v>
      </c>
      <c r="BE2" s="167" t="n">
        <v>48760</v>
      </c>
      <c r="BF2" s="167" t="n">
        <v>48852</v>
      </c>
      <c r="BG2" s="167" t="n">
        <v>48944</v>
      </c>
      <c r="BH2" s="167" t="n">
        <v>49034</v>
      </c>
      <c r="BI2" s="167" t="n">
        <v>49125</v>
      </c>
      <c r="BJ2" s="167" t="n">
        <v>49217</v>
      </c>
      <c r="BK2" s="167" t="n">
        <v>49309</v>
      </c>
      <c r="BL2" s="167" t="n">
        <v>49399</v>
      </c>
      <c r="BM2" s="167" t="n">
        <v>49490</v>
      </c>
      <c r="BN2" s="167" t="n">
        <v>49582</v>
      </c>
      <c r="BO2" s="167" t="n">
        <v>49674</v>
      </c>
      <c r="BP2" s="167" t="n">
        <v>49765</v>
      </c>
      <c r="BQ2" s="167" t="n">
        <v>49856</v>
      </c>
      <c r="BR2" s="167" t="n">
        <v>49948</v>
      </c>
      <c r="BS2" s="167" t="n">
        <v>50040</v>
      </c>
      <c r="BT2" s="167" t="n">
        <v>50130</v>
      </c>
      <c r="BU2" s="167" t="n">
        <v>50221</v>
      </c>
      <c r="BV2" s="167" t="n">
        <v>50313</v>
      </c>
      <c r="BW2" s="167" t="n">
        <v>50405</v>
      </c>
      <c r="BX2" s="167" t="n">
        <v>50495</v>
      </c>
      <c r="BY2" s="167" t="n">
        <v>50586</v>
      </c>
      <c r="BZ2" s="167" t="n">
        <v>50678</v>
      </c>
      <c r="CA2" s="167" t="n">
        <v>50770</v>
      </c>
      <c r="CB2" s="167" t="n">
        <v>50860</v>
      </c>
      <c r="CC2" s="167" t="n">
        <v>50951</v>
      </c>
      <c r="CD2" s="167" t="n">
        <v>51043</v>
      </c>
      <c r="CE2" s="167" t="n">
        <v>51135</v>
      </c>
      <c r="CF2" s="167" t="n">
        <v>51226</v>
      </c>
      <c r="CG2" s="167" t="n">
        <v>51317</v>
      </c>
      <c r="CH2" s="167" t="n">
        <v>51409</v>
      </c>
      <c r="CI2" s="167" t="n">
        <v>51501</v>
      </c>
      <c r="CJ2" s="167" t="n">
        <v>51591</v>
      </c>
      <c r="CK2" s="167" t="n">
        <v>51682</v>
      </c>
      <c r="CL2" s="167" t="n">
        <v>51774</v>
      </c>
      <c r="CM2" s="167" t="n">
        <v>51866</v>
      </c>
      <c r="CN2" s="167" t="n">
        <v>51956</v>
      </c>
      <c r="CO2" s="167" t="n">
        <v>52047</v>
      </c>
    </row>
    <row r="3" ht="15" customFormat="1" customHeight="1" s="167">
      <c r="C3" s="237" t="n"/>
      <c r="D3" s="18" t="n"/>
      <c r="E3" s="205" t="inlineStr">
        <is>
          <t>Timeline label</t>
        </is>
      </c>
      <c r="F3" s="0" t="n"/>
      <c r="G3" s="0" t="n"/>
      <c r="H3" s="170" t="n"/>
      <c r="J3" s="81" t="inlineStr">
        <is>
          <t>Pre-fcst</t>
        </is>
      </c>
      <c r="K3" s="81" t="inlineStr">
        <is>
          <t>Fin close</t>
        </is>
      </c>
      <c r="L3" s="81" t="inlineStr">
        <is>
          <t>Forecast</t>
        </is>
      </c>
      <c r="M3" s="81" t="inlineStr">
        <is>
          <t>Forecast</t>
        </is>
      </c>
      <c r="N3" s="81" t="inlineStr">
        <is>
          <t>Forecast</t>
        </is>
      </c>
      <c r="O3" s="81" t="inlineStr">
        <is>
          <t>Forecast</t>
        </is>
      </c>
      <c r="P3" s="81" t="inlineStr">
        <is>
          <t>Forecast</t>
        </is>
      </c>
      <c r="Q3" s="81" t="inlineStr">
        <is>
          <t>Forecast</t>
        </is>
      </c>
      <c r="R3" s="81" t="inlineStr">
        <is>
          <t>Forecast</t>
        </is>
      </c>
      <c r="S3" s="81" t="inlineStr">
        <is>
          <t>Forecast</t>
        </is>
      </c>
      <c r="T3" s="81" t="inlineStr">
        <is>
          <t>Forecast</t>
        </is>
      </c>
      <c r="U3" s="81" t="inlineStr">
        <is>
          <t>Forecast</t>
        </is>
      </c>
      <c r="V3" s="81" t="inlineStr">
        <is>
          <t>Forecast</t>
        </is>
      </c>
      <c r="W3" s="81" t="inlineStr">
        <is>
          <t>Forecast</t>
        </is>
      </c>
      <c r="X3" s="81" t="inlineStr">
        <is>
          <t>Forecast</t>
        </is>
      </c>
      <c r="Y3" s="81" t="inlineStr">
        <is>
          <t>Forecast</t>
        </is>
      </c>
      <c r="Z3" s="81" t="inlineStr">
        <is>
          <t>Forecast</t>
        </is>
      </c>
      <c r="AA3" s="81" t="inlineStr">
        <is>
          <t>Forecast</t>
        </is>
      </c>
      <c r="AB3" s="81" t="inlineStr">
        <is>
          <t>Forecast</t>
        </is>
      </c>
      <c r="AC3" s="81" t="inlineStr">
        <is>
          <t>Forecast</t>
        </is>
      </c>
      <c r="AD3" s="81" t="inlineStr">
        <is>
          <t>Forecast</t>
        </is>
      </c>
      <c r="AE3" s="81" t="inlineStr">
        <is>
          <t>Forecast</t>
        </is>
      </c>
      <c r="AF3" s="81" t="inlineStr">
        <is>
          <t>Forecast</t>
        </is>
      </c>
      <c r="AG3" s="81" t="inlineStr">
        <is>
          <t>Forecast</t>
        </is>
      </c>
      <c r="AH3" s="81" t="inlineStr">
        <is>
          <t>Forecast</t>
        </is>
      </c>
      <c r="AI3" s="81" t="inlineStr">
        <is>
          <t>Forecast</t>
        </is>
      </c>
      <c r="AJ3" s="81" t="inlineStr">
        <is>
          <t>Forecast</t>
        </is>
      </c>
      <c r="AK3" s="81" t="inlineStr">
        <is>
          <t>Forecast</t>
        </is>
      </c>
      <c r="AL3" s="81" t="inlineStr">
        <is>
          <t>Forecast</t>
        </is>
      </c>
      <c r="AM3" s="81" t="inlineStr">
        <is>
          <t>Forecast</t>
        </is>
      </c>
      <c r="AN3" s="81" t="inlineStr">
        <is>
          <t>Forecast</t>
        </is>
      </c>
      <c r="AO3" s="81" t="inlineStr">
        <is>
          <t>Forecast</t>
        </is>
      </c>
      <c r="AP3" s="81" t="inlineStr">
        <is>
          <t>Forecast</t>
        </is>
      </c>
      <c r="AQ3" s="81" t="inlineStr">
        <is>
          <t>Forecast</t>
        </is>
      </c>
      <c r="AR3" s="81" t="inlineStr">
        <is>
          <t>Forecast</t>
        </is>
      </c>
      <c r="AS3" s="81" t="inlineStr">
        <is>
          <t>Forecast</t>
        </is>
      </c>
      <c r="AT3" s="81" t="inlineStr">
        <is>
          <t>Forecast</t>
        </is>
      </c>
      <c r="AU3" s="81" t="inlineStr">
        <is>
          <t>Forecast</t>
        </is>
      </c>
      <c r="AV3" s="81" t="inlineStr">
        <is>
          <t>Forecast</t>
        </is>
      </c>
      <c r="AW3" s="81" t="inlineStr">
        <is>
          <t>Forecast</t>
        </is>
      </c>
      <c r="AX3" s="81" t="inlineStr">
        <is>
          <t>Forecast</t>
        </is>
      </c>
      <c r="AY3" s="81" t="inlineStr">
        <is>
          <t>Forecast</t>
        </is>
      </c>
      <c r="AZ3" s="81" t="inlineStr">
        <is>
          <t>Forecast</t>
        </is>
      </c>
      <c r="BA3" s="81" t="inlineStr">
        <is>
          <t>Forecast</t>
        </is>
      </c>
      <c r="BB3" s="81" t="inlineStr">
        <is>
          <t>Forecast</t>
        </is>
      </c>
      <c r="BC3" s="81" t="inlineStr">
        <is>
          <t>Forecast</t>
        </is>
      </c>
      <c r="BD3" s="81" t="inlineStr">
        <is>
          <t>Forecast</t>
        </is>
      </c>
      <c r="BE3" s="81" t="inlineStr">
        <is>
          <t>Forecast</t>
        </is>
      </c>
      <c r="BF3" s="81" t="inlineStr">
        <is>
          <t>Forecast</t>
        </is>
      </c>
      <c r="BG3" s="81" t="inlineStr">
        <is>
          <t>Forecast</t>
        </is>
      </c>
      <c r="BH3" s="81" t="inlineStr">
        <is>
          <t>Forecast</t>
        </is>
      </c>
      <c r="BI3" s="81" t="inlineStr">
        <is>
          <t>Forecast</t>
        </is>
      </c>
      <c r="BJ3" s="81" t="inlineStr">
        <is>
          <t>Forecast</t>
        </is>
      </c>
      <c r="BK3" s="81" t="inlineStr">
        <is>
          <t>Forecast</t>
        </is>
      </c>
      <c r="BL3" s="81" t="inlineStr">
        <is>
          <t>Forecast</t>
        </is>
      </c>
      <c r="BM3" s="81" t="inlineStr">
        <is>
          <t>Forecast</t>
        </is>
      </c>
      <c r="BN3" s="81" t="inlineStr">
        <is>
          <t>Forecast</t>
        </is>
      </c>
      <c r="BO3" s="81" t="inlineStr">
        <is>
          <t>Forecast</t>
        </is>
      </c>
      <c r="BP3" s="81" t="inlineStr">
        <is>
          <t>Forecast</t>
        </is>
      </c>
      <c r="BQ3" s="81" t="inlineStr">
        <is>
          <t>Forecast</t>
        </is>
      </c>
      <c r="BR3" s="81" t="inlineStr">
        <is>
          <t>Forecast</t>
        </is>
      </c>
      <c r="BS3" s="81" t="inlineStr">
        <is>
          <t>Forecast</t>
        </is>
      </c>
      <c r="BT3" s="81" t="inlineStr">
        <is>
          <t>Forecast</t>
        </is>
      </c>
      <c r="BU3" s="81" t="inlineStr">
        <is>
          <t>Forecast</t>
        </is>
      </c>
      <c r="BV3" s="81" t="inlineStr">
        <is>
          <t>Forecast</t>
        </is>
      </c>
      <c r="BW3" s="81" t="inlineStr">
        <is>
          <t>Forecast</t>
        </is>
      </c>
      <c r="BX3" s="81" t="inlineStr">
        <is>
          <t>Forecast</t>
        </is>
      </c>
      <c r="BY3" s="81" t="inlineStr">
        <is>
          <t>Forecast</t>
        </is>
      </c>
      <c r="BZ3" s="81" t="inlineStr">
        <is>
          <t>Forecast</t>
        </is>
      </c>
      <c r="CA3" s="81" t="inlineStr">
        <is>
          <t>Forecast</t>
        </is>
      </c>
      <c r="CB3" s="81" t="inlineStr">
        <is>
          <t>Forecast</t>
        </is>
      </c>
      <c r="CC3" s="81" t="inlineStr">
        <is>
          <t>Forecast</t>
        </is>
      </c>
      <c r="CD3" s="81" t="inlineStr">
        <is>
          <t>Forecast</t>
        </is>
      </c>
      <c r="CE3" s="81" t="inlineStr">
        <is>
          <t>Forecast</t>
        </is>
      </c>
      <c r="CF3" s="81" t="inlineStr">
        <is>
          <t>Forecast</t>
        </is>
      </c>
      <c r="CG3" s="81" t="inlineStr">
        <is>
          <t>Forecast</t>
        </is>
      </c>
      <c r="CH3" s="81" t="inlineStr">
        <is>
          <t>Forecast</t>
        </is>
      </c>
      <c r="CI3" s="81" t="inlineStr">
        <is>
          <t>Forecast</t>
        </is>
      </c>
      <c r="CJ3" s="81" t="inlineStr">
        <is>
          <t>Forecast</t>
        </is>
      </c>
      <c r="CK3" s="81" t="inlineStr">
        <is>
          <t>Forecast</t>
        </is>
      </c>
      <c r="CL3" s="81" t="inlineStr">
        <is>
          <t>Forecast</t>
        </is>
      </c>
      <c r="CM3" s="81" t="inlineStr">
        <is>
          <t>Forecast</t>
        </is>
      </c>
      <c r="CN3" s="81" t="inlineStr">
        <is>
          <t>Post-fcst</t>
        </is>
      </c>
      <c r="CO3" s="81" t="inlineStr">
        <is>
          <t>Post-fcst</t>
        </is>
      </c>
    </row>
    <row r="4" ht="15" customFormat="1" customHeight="1" s="85">
      <c r="A4" s="82" t="n"/>
      <c r="B4" s="82" t="n"/>
      <c r="C4" s="83" t="n"/>
      <c r="D4" s="84" t="n"/>
      <c r="E4" s="205" t="inlineStr">
        <is>
          <t>Financial year ending</t>
        </is>
      </c>
      <c r="F4" s="0" t="n"/>
      <c r="G4" s="0" t="n"/>
      <c r="J4" s="86" t="n">
        <v>2021</v>
      </c>
      <c r="K4" s="86" t="n">
        <v>2021</v>
      </c>
      <c r="L4" s="86" t="n">
        <v>2022</v>
      </c>
      <c r="M4" s="86" t="n">
        <v>2022</v>
      </c>
      <c r="N4" s="86" t="n">
        <v>2022</v>
      </c>
      <c r="O4" s="86" t="n">
        <v>2022</v>
      </c>
      <c r="P4" s="86" t="n">
        <v>2023</v>
      </c>
      <c r="Q4" s="86" t="n">
        <v>2023</v>
      </c>
      <c r="R4" s="86" t="n">
        <v>2023</v>
      </c>
      <c r="S4" s="86" t="n">
        <v>2023</v>
      </c>
      <c r="T4" s="86" t="n">
        <v>2024</v>
      </c>
      <c r="U4" s="86" t="n">
        <v>2024</v>
      </c>
      <c r="V4" s="86" t="n">
        <v>2024</v>
      </c>
      <c r="W4" s="86" t="n">
        <v>2024</v>
      </c>
      <c r="X4" s="86" t="n">
        <v>2025</v>
      </c>
      <c r="Y4" s="86" t="n">
        <v>2025</v>
      </c>
      <c r="Z4" s="86" t="n">
        <v>2025</v>
      </c>
      <c r="AA4" s="86" t="n">
        <v>2025</v>
      </c>
      <c r="AB4" s="86" t="n">
        <v>2026</v>
      </c>
      <c r="AC4" s="86" t="n">
        <v>2026</v>
      </c>
      <c r="AD4" s="86" t="n">
        <v>2026</v>
      </c>
      <c r="AE4" s="86" t="n">
        <v>2026</v>
      </c>
      <c r="AF4" s="86" t="n">
        <v>2027</v>
      </c>
      <c r="AG4" s="86" t="n">
        <v>2027</v>
      </c>
      <c r="AH4" s="86" t="n">
        <v>2027</v>
      </c>
      <c r="AI4" s="86" t="n">
        <v>2027</v>
      </c>
      <c r="AJ4" s="86" t="n">
        <v>2028</v>
      </c>
      <c r="AK4" s="86" t="n">
        <v>2028</v>
      </c>
      <c r="AL4" s="86" t="n">
        <v>2028</v>
      </c>
      <c r="AM4" s="86" t="n">
        <v>2028</v>
      </c>
      <c r="AN4" s="86" t="n">
        <v>2029</v>
      </c>
      <c r="AO4" s="86" t="n">
        <v>2029</v>
      </c>
      <c r="AP4" s="86" t="n">
        <v>2029</v>
      </c>
      <c r="AQ4" s="86" t="n">
        <v>2029</v>
      </c>
      <c r="AR4" s="86" t="n">
        <v>2030</v>
      </c>
      <c r="AS4" s="86" t="n">
        <v>2030</v>
      </c>
      <c r="AT4" s="86" t="n">
        <v>2030</v>
      </c>
      <c r="AU4" s="86" t="n">
        <v>2030</v>
      </c>
      <c r="AV4" s="86" t="n">
        <v>2031</v>
      </c>
      <c r="AW4" s="86" t="n">
        <v>2031</v>
      </c>
      <c r="AX4" s="86" t="n">
        <v>2031</v>
      </c>
      <c r="AY4" s="86" t="n">
        <v>2031</v>
      </c>
      <c r="AZ4" s="86" t="n">
        <v>2032</v>
      </c>
      <c r="BA4" s="86" t="n">
        <v>2032</v>
      </c>
      <c r="BB4" s="86" t="n">
        <v>2032</v>
      </c>
      <c r="BC4" s="86" t="n">
        <v>2032</v>
      </c>
      <c r="BD4" s="86" t="n">
        <v>2033</v>
      </c>
      <c r="BE4" s="86" t="n">
        <v>2033</v>
      </c>
      <c r="BF4" s="86" t="n">
        <v>2033</v>
      </c>
      <c r="BG4" s="86" t="n">
        <v>2033</v>
      </c>
      <c r="BH4" s="86" t="n">
        <v>2034</v>
      </c>
      <c r="BI4" s="86" t="n">
        <v>2034</v>
      </c>
      <c r="BJ4" s="86" t="n">
        <v>2034</v>
      </c>
      <c r="BK4" s="86" t="n">
        <v>2034</v>
      </c>
      <c r="BL4" s="86" t="n">
        <v>2035</v>
      </c>
      <c r="BM4" s="86" t="n">
        <v>2035</v>
      </c>
      <c r="BN4" s="86" t="n">
        <v>2035</v>
      </c>
      <c r="BO4" s="86" t="n">
        <v>2035</v>
      </c>
      <c r="BP4" s="86" t="n">
        <v>2036</v>
      </c>
      <c r="BQ4" s="86" t="n">
        <v>2036</v>
      </c>
      <c r="BR4" s="86" t="n">
        <v>2036</v>
      </c>
      <c r="BS4" s="86" t="n">
        <v>2036</v>
      </c>
      <c r="BT4" s="86" t="n">
        <v>2037</v>
      </c>
      <c r="BU4" s="86" t="n">
        <v>2037</v>
      </c>
      <c r="BV4" s="86" t="n">
        <v>2037</v>
      </c>
      <c r="BW4" s="86" t="n">
        <v>2037</v>
      </c>
      <c r="BX4" s="86" t="n">
        <v>2038</v>
      </c>
      <c r="BY4" s="86" t="n">
        <v>2038</v>
      </c>
      <c r="BZ4" s="86" t="n">
        <v>2038</v>
      </c>
      <c r="CA4" s="86" t="n">
        <v>2038</v>
      </c>
      <c r="CB4" s="86" t="n">
        <v>2039</v>
      </c>
      <c r="CC4" s="86" t="n">
        <v>2039</v>
      </c>
      <c r="CD4" s="86" t="n">
        <v>2039</v>
      </c>
      <c r="CE4" s="86" t="n">
        <v>2039</v>
      </c>
      <c r="CF4" s="86" t="n">
        <v>2040</v>
      </c>
      <c r="CG4" s="86" t="n">
        <v>2040</v>
      </c>
      <c r="CH4" s="86" t="n">
        <v>2040</v>
      </c>
      <c r="CI4" s="86" t="n">
        <v>2040</v>
      </c>
      <c r="CJ4" s="86" t="n">
        <v>2041</v>
      </c>
      <c r="CK4" s="86" t="n">
        <v>2041</v>
      </c>
      <c r="CL4" s="86" t="n">
        <v>2041</v>
      </c>
      <c r="CM4" s="86" t="n">
        <v>2041</v>
      </c>
      <c r="CN4" s="86" t="n">
        <v>2042</v>
      </c>
      <c r="CO4" s="86" t="n">
        <v>2042</v>
      </c>
    </row>
    <row r="5" customFormat="1" s="61">
      <c r="A5" s="294" t="n"/>
      <c r="B5" s="294" t="n"/>
      <c r="C5" s="212" t="n"/>
      <c r="D5" s="244" t="n"/>
      <c r="E5" s="205" t="inlineStr">
        <is>
          <t>Model column counter</t>
        </is>
      </c>
      <c r="F5" s="20" t="inlineStr">
        <is>
          <t>Constant</t>
        </is>
      </c>
      <c r="G5" s="294" t="inlineStr">
        <is>
          <t>Unit</t>
        </is>
      </c>
      <c r="H5" s="20" t="inlineStr">
        <is>
          <t>Total</t>
        </is>
      </c>
      <c r="J5" s="61" t="n">
        <v>1</v>
      </c>
      <c r="K5" s="61" t="n">
        <v>2</v>
      </c>
      <c r="L5" s="61" t="n">
        <v>3</v>
      </c>
      <c r="M5" s="61" t="n">
        <v>4</v>
      </c>
      <c r="N5" s="61" t="n">
        <v>5</v>
      </c>
      <c r="O5" s="61" t="n">
        <v>6</v>
      </c>
      <c r="P5" s="61" t="n">
        <v>7</v>
      </c>
      <c r="Q5" s="61" t="n">
        <v>8</v>
      </c>
      <c r="R5" s="61" t="n">
        <v>9</v>
      </c>
      <c r="S5" s="61" t="n">
        <v>10</v>
      </c>
      <c r="T5" s="61" t="n">
        <v>11</v>
      </c>
      <c r="U5" s="61" t="n">
        <v>12</v>
      </c>
      <c r="V5" s="61" t="n">
        <v>13</v>
      </c>
      <c r="W5" s="61" t="n">
        <v>14</v>
      </c>
      <c r="X5" s="61" t="n">
        <v>15</v>
      </c>
      <c r="Y5" s="61" t="n">
        <v>16</v>
      </c>
      <c r="Z5" s="61" t="n">
        <v>17</v>
      </c>
      <c r="AA5" s="61" t="n">
        <v>18</v>
      </c>
      <c r="AB5" s="61" t="n">
        <v>19</v>
      </c>
      <c r="AC5" s="61" t="n">
        <v>20</v>
      </c>
      <c r="AD5" s="61" t="n">
        <v>21</v>
      </c>
      <c r="AE5" s="61" t="n">
        <v>22</v>
      </c>
      <c r="AF5" s="61" t="n">
        <v>23</v>
      </c>
      <c r="AG5" s="61" t="n">
        <v>24</v>
      </c>
      <c r="AH5" s="61" t="n">
        <v>25</v>
      </c>
      <c r="AI5" s="61" t="n">
        <v>26</v>
      </c>
      <c r="AJ5" s="61" t="n">
        <v>27</v>
      </c>
      <c r="AK5" s="61" t="n">
        <v>28</v>
      </c>
      <c r="AL5" s="61" t="n">
        <v>29</v>
      </c>
      <c r="AM5" s="61" t="n">
        <v>30</v>
      </c>
      <c r="AN5" s="61" t="n">
        <v>31</v>
      </c>
      <c r="AO5" s="61" t="n">
        <v>32</v>
      </c>
      <c r="AP5" s="61" t="n">
        <v>33</v>
      </c>
      <c r="AQ5" s="61" t="n">
        <v>34</v>
      </c>
      <c r="AR5" s="61" t="n">
        <v>35</v>
      </c>
      <c r="AS5" s="61" t="n">
        <v>36</v>
      </c>
      <c r="AT5" s="61" t="n">
        <v>37</v>
      </c>
      <c r="AU5" s="61" t="n">
        <v>38</v>
      </c>
      <c r="AV5" s="61" t="n">
        <v>39</v>
      </c>
      <c r="AW5" s="61" t="n">
        <v>40</v>
      </c>
      <c r="AX5" s="61" t="n">
        <v>41</v>
      </c>
      <c r="AY5" s="61" t="n">
        <v>42</v>
      </c>
      <c r="AZ5" s="61" t="n">
        <v>43</v>
      </c>
      <c r="BA5" s="61" t="n">
        <v>44</v>
      </c>
      <c r="BB5" s="61" t="n">
        <v>45</v>
      </c>
      <c r="BC5" s="61" t="n">
        <v>46</v>
      </c>
      <c r="BD5" s="61" t="n">
        <v>47</v>
      </c>
      <c r="BE5" s="61" t="n">
        <v>48</v>
      </c>
      <c r="BF5" s="61" t="n">
        <v>49</v>
      </c>
      <c r="BG5" s="61" t="n">
        <v>50</v>
      </c>
      <c r="BH5" s="61" t="n">
        <v>51</v>
      </c>
      <c r="BI5" s="61" t="n">
        <v>52</v>
      </c>
      <c r="BJ5" s="61" t="n">
        <v>53</v>
      </c>
      <c r="BK5" s="61" t="n">
        <v>54</v>
      </c>
      <c r="BL5" s="61" t="n">
        <v>55</v>
      </c>
      <c r="BM5" s="61" t="n">
        <v>56</v>
      </c>
      <c r="BN5" s="61" t="n">
        <v>57</v>
      </c>
      <c r="BO5" s="61" t="n">
        <v>58</v>
      </c>
      <c r="BP5" s="61" t="n">
        <v>59</v>
      </c>
      <c r="BQ5" s="61" t="n">
        <v>60</v>
      </c>
      <c r="BR5" s="61" t="n">
        <v>61</v>
      </c>
      <c r="BS5" s="61" t="n">
        <v>62</v>
      </c>
      <c r="BT5" s="61" t="n">
        <v>63</v>
      </c>
      <c r="BU5" s="61" t="n">
        <v>64</v>
      </c>
      <c r="BV5" s="61" t="n">
        <v>65</v>
      </c>
      <c r="BW5" s="61" t="n">
        <v>66</v>
      </c>
      <c r="BX5" s="61" t="n">
        <v>67</v>
      </c>
      <c r="BY5" s="61" t="n">
        <v>68</v>
      </c>
      <c r="BZ5" s="61" t="n">
        <v>69</v>
      </c>
      <c r="CA5" s="61" t="n">
        <v>70</v>
      </c>
      <c r="CB5" s="61" t="n">
        <v>71</v>
      </c>
      <c r="CC5" s="61" t="n">
        <v>72</v>
      </c>
      <c r="CD5" s="61" t="n">
        <v>73</v>
      </c>
      <c r="CE5" s="61" t="n">
        <v>74</v>
      </c>
      <c r="CF5" s="61" t="n">
        <v>75</v>
      </c>
      <c r="CG5" s="61" t="n">
        <v>76</v>
      </c>
      <c r="CH5" s="61" t="n">
        <v>77</v>
      </c>
      <c r="CI5" s="61" t="n">
        <v>78</v>
      </c>
      <c r="CJ5" s="61" t="n">
        <v>79</v>
      </c>
      <c r="CK5" s="61" t="n">
        <v>80</v>
      </c>
      <c r="CL5" s="61" t="n">
        <v>81</v>
      </c>
      <c r="CM5" s="61" t="n">
        <v>82</v>
      </c>
      <c r="CN5" s="61" t="n">
        <v>83</v>
      </c>
      <c r="CO5" s="61" t="n">
        <v>84</v>
      </c>
    </row>
    <row r="7" customFormat="1" s="169">
      <c r="A7" s="163" t="inlineStr">
        <is>
          <t>OPERATING REVENUE</t>
        </is>
      </c>
      <c r="B7" s="163" t="n"/>
      <c r="C7" s="172" t="n"/>
      <c r="D7" s="88" t="n"/>
      <c r="E7" s="169" t="n"/>
      <c r="F7" s="169" t="n"/>
      <c r="G7" s="169" t="n"/>
      <c r="H7" s="169" t="n"/>
      <c r="I7" s="169" t="n"/>
      <c r="J7" s="169" t="n"/>
      <c r="K7" s="169" t="n"/>
      <c r="L7" s="169" t="n"/>
      <c r="M7" s="169" t="n"/>
      <c r="N7" s="169" t="n"/>
      <c r="O7" s="169" t="n"/>
      <c r="P7" s="169" t="n"/>
      <c r="Q7" s="169" t="n"/>
      <c r="R7" s="169" t="n"/>
      <c r="S7" s="169" t="n"/>
      <c r="T7" s="169" t="n"/>
      <c r="U7" s="169" t="n"/>
      <c r="V7" s="169" t="n"/>
      <c r="W7" s="169" t="n"/>
      <c r="X7" s="169" t="n"/>
      <c r="Y7" s="169" t="n"/>
      <c r="Z7" s="169" t="n"/>
      <c r="AA7" s="169" t="n"/>
      <c r="AB7" s="169" t="n"/>
      <c r="AC7" s="169" t="n"/>
      <c r="AD7" s="169" t="n"/>
      <c r="AE7" s="169" t="n"/>
      <c r="AF7" s="169" t="n"/>
      <c r="AG7" s="169" t="n"/>
    </row>
    <row r="8" customFormat="1" s="169">
      <c r="A8" s="163" t="n"/>
      <c r="B8" s="163" t="n"/>
      <c r="C8" s="172" t="n"/>
      <c r="D8" s="88" t="n"/>
      <c r="E8" s="169" t="inlineStr">
        <is>
          <t xml:space="preserve">Trains - domestic </t>
        </is>
      </c>
      <c r="F8" s="169" t="n"/>
      <c r="G8" s="169" t="inlineStr">
        <is>
          <t>trains</t>
        </is>
      </c>
      <c r="H8" s="169">
        <f> SUM(J8:CO8)</f>
        <v>2520.0</v>
      </c>
      <c r="I8" s="169" t="n"/>
      <c r="J8" s="44" t="n">
        <v>30</v>
      </c>
      <c r="K8" s="44" t="n">
        <v>30</v>
      </c>
      <c r="L8" s="44" t="n">
        <v>30</v>
      </c>
      <c r="M8" s="44" t="n">
        <v>30</v>
      </c>
      <c r="N8" s="44" t="n">
        <v>30</v>
      </c>
      <c r="O8" s="44" t="n">
        <v>30</v>
      </c>
      <c r="P8" s="44" t="n">
        <v>30</v>
      </c>
      <c r="Q8" s="44" t="n">
        <v>30</v>
      </c>
      <c r="R8" s="44" t="n">
        <v>30</v>
      </c>
      <c r="S8" s="44" t="n">
        <v>30</v>
      </c>
      <c r="T8" s="44" t="n">
        <v>30</v>
      </c>
      <c r="U8" s="44" t="n">
        <v>30</v>
      </c>
      <c r="V8" s="44" t="n">
        <v>30</v>
      </c>
      <c r="W8" s="44" t="n">
        <v>30</v>
      </c>
      <c r="X8" s="44" t="n">
        <v>30</v>
      </c>
      <c r="Y8" s="44" t="n">
        <v>30</v>
      </c>
      <c r="Z8" s="44" t="n">
        <v>30</v>
      </c>
      <c r="AA8" s="44" t="n">
        <v>30</v>
      </c>
      <c r="AB8" s="44" t="n">
        <v>30</v>
      </c>
      <c r="AC8" s="44" t="n">
        <v>30</v>
      </c>
      <c r="AD8" s="44" t="n">
        <v>30</v>
      </c>
      <c r="AE8" s="44" t="n">
        <v>30</v>
      </c>
      <c r="AF8" s="44" t="n">
        <v>30</v>
      </c>
      <c r="AG8" s="44" t="n">
        <v>30</v>
      </c>
      <c r="AH8" s="44" t="n">
        <v>30</v>
      </c>
      <c r="AI8" s="44" t="n">
        <v>30</v>
      </c>
      <c r="AJ8" s="44" t="n">
        <v>30</v>
      </c>
      <c r="AK8" s="44" t="n">
        <v>30</v>
      </c>
      <c r="AL8" s="44" t="n">
        <v>30</v>
      </c>
      <c r="AM8" s="44" t="n">
        <v>30</v>
      </c>
      <c r="AN8" s="44" t="n">
        <v>30</v>
      </c>
      <c r="AO8" s="44" t="n">
        <v>30</v>
      </c>
      <c r="AP8" s="44" t="n">
        <v>30</v>
      </c>
      <c r="AQ8" s="44" t="n">
        <v>30</v>
      </c>
      <c r="AR8" s="44" t="n">
        <v>30</v>
      </c>
      <c r="AS8" s="44" t="n">
        <v>30</v>
      </c>
      <c r="AT8" s="44" t="n">
        <v>30</v>
      </c>
      <c r="AU8" s="44" t="n">
        <v>30</v>
      </c>
      <c r="AV8" s="44" t="n">
        <v>30</v>
      </c>
      <c r="AW8" s="44" t="n">
        <v>30</v>
      </c>
      <c r="AX8" s="44" t="n">
        <v>30</v>
      </c>
      <c r="AY8" s="44" t="n">
        <v>30</v>
      </c>
      <c r="AZ8" s="44" t="n">
        <v>30</v>
      </c>
      <c r="BA8" s="44" t="n">
        <v>30</v>
      </c>
      <c r="BB8" s="44" t="n">
        <v>30</v>
      </c>
      <c r="BC8" s="44" t="n">
        <v>30</v>
      </c>
      <c r="BD8" s="44" t="n">
        <v>30</v>
      </c>
      <c r="BE8" s="44" t="n">
        <v>30</v>
      </c>
      <c r="BF8" s="44" t="n">
        <v>30</v>
      </c>
      <c r="BG8" s="44" t="n">
        <v>30</v>
      </c>
      <c r="BH8" s="44" t="n">
        <v>30</v>
      </c>
      <c r="BI8" s="44" t="n">
        <v>30</v>
      </c>
      <c r="BJ8" s="44" t="n">
        <v>30</v>
      </c>
      <c r="BK8" s="44" t="n">
        <v>30</v>
      </c>
      <c r="BL8" s="44" t="n">
        <v>30</v>
      </c>
      <c r="BM8" s="44" t="n">
        <v>30</v>
      </c>
      <c r="BN8" s="44" t="n">
        <v>30</v>
      </c>
      <c r="BO8" s="44" t="n">
        <v>30</v>
      </c>
      <c r="BP8" s="44" t="n">
        <v>30</v>
      </c>
      <c r="BQ8" s="44" t="n">
        <v>30</v>
      </c>
      <c r="BR8" s="44" t="n">
        <v>30</v>
      </c>
      <c r="BS8" s="44" t="n">
        <v>30</v>
      </c>
      <c r="BT8" s="44" t="n">
        <v>30</v>
      </c>
      <c r="BU8" s="44" t="n">
        <v>30</v>
      </c>
      <c r="BV8" s="44" t="n">
        <v>30</v>
      </c>
      <c r="BW8" s="44" t="n">
        <v>30</v>
      </c>
      <c r="BX8" s="44" t="n">
        <v>30</v>
      </c>
      <c r="BY8" s="44" t="n">
        <v>30</v>
      </c>
      <c r="BZ8" s="44" t="n">
        <v>30</v>
      </c>
      <c r="CA8" s="44" t="n">
        <v>30</v>
      </c>
      <c r="CB8" s="44" t="n">
        <v>30</v>
      </c>
      <c r="CC8" s="44" t="n">
        <v>30</v>
      </c>
      <c r="CD8" s="44" t="n">
        <v>30</v>
      </c>
      <c r="CE8" s="44" t="n">
        <v>30</v>
      </c>
      <c r="CF8" s="44" t="n">
        <v>30</v>
      </c>
      <c r="CG8" s="44" t="n">
        <v>30</v>
      </c>
      <c r="CH8" s="44" t="n">
        <v>30</v>
      </c>
      <c r="CI8" s="44" t="n">
        <v>30</v>
      </c>
      <c r="CJ8" s="44" t="n">
        <v>30</v>
      </c>
      <c r="CK8" s="44" t="n">
        <v>30</v>
      </c>
      <c r="CL8" s="44" t="n">
        <v>30</v>
      </c>
      <c r="CM8" s="44" t="n">
        <v>30</v>
      </c>
      <c r="CN8" s="44" t="n">
        <v>30</v>
      </c>
      <c r="CO8" s="44" t="n">
        <v>30</v>
      </c>
    </row>
    <row r="9" customFormat="1" s="169">
      <c r="A9" s="163" t="n"/>
      <c r="B9" s="163" t="n"/>
      <c r="C9" s="172" t="n"/>
      <c r="D9" s="88" t="n"/>
      <c r="E9" s="169" t="inlineStr">
        <is>
          <t xml:space="preserve">Trains - international </t>
        </is>
      </c>
      <c r="F9" s="169" t="n"/>
      <c r="G9" s="169" t="inlineStr">
        <is>
          <t>trains</t>
        </is>
      </c>
      <c r="H9" s="169">
        <f> SUM(J9:CO9)</f>
        <v>1326.0</v>
      </c>
      <c r="I9" s="169" t="n"/>
      <c r="J9" s="44" t="n">
        <v>10</v>
      </c>
      <c r="K9" s="44" t="n">
        <v>12</v>
      </c>
      <c r="L9" s="44" t="n">
        <v>12</v>
      </c>
      <c r="M9" s="44" t="n">
        <v>14</v>
      </c>
      <c r="N9" s="44" t="n">
        <v>14</v>
      </c>
      <c r="O9" s="44" t="n">
        <v>16</v>
      </c>
      <c r="P9" s="44" t="n">
        <v>16</v>
      </c>
      <c r="Q9" s="44" t="n">
        <v>16</v>
      </c>
      <c r="R9" s="44" t="n">
        <v>16</v>
      </c>
      <c r="S9" s="44" t="n">
        <v>16</v>
      </c>
      <c r="T9" s="44" t="n">
        <v>16</v>
      </c>
      <c r="U9" s="44" t="n">
        <v>16</v>
      </c>
      <c r="V9" s="44" t="n">
        <v>16</v>
      </c>
      <c r="W9" s="44" t="n">
        <v>16</v>
      </c>
      <c r="X9" s="44" t="n">
        <v>16</v>
      </c>
      <c r="Y9" s="44" t="n">
        <v>16</v>
      </c>
      <c r="Z9" s="44" t="n">
        <v>16</v>
      </c>
      <c r="AA9" s="44" t="n">
        <v>16</v>
      </c>
      <c r="AB9" s="44" t="n">
        <v>16</v>
      </c>
      <c r="AC9" s="44" t="n">
        <v>16</v>
      </c>
      <c r="AD9" s="44" t="n">
        <v>16</v>
      </c>
      <c r="AE9" s="44" t="n">
        <v>16</v>
      </c>
      <c r="AF9" s="44" t="n">
        <v>16</v>
      </c>
      <c r="AG9" s="44" t="n">
        <v>16</v>
      </c>
      <c r="AH9" s="44" t="n">
        <v>16</v>
      </c>
      <c r="AI9" s="44" t="n">
        <v>16</v>
      </c>
      <c r="AJ9" s="44" t="n">
        <v>16</v>
      </c>
      <c r="AK9" s="44" t="n">
        <v>16</v>
      </c>
      <c r="AL9" s="44" t="n">
        <v>16</v>
      </c>
      <c r="AM9" s="44" t="n">
        <v>16</v>
      </c>
      <c r="AN9" s="44" t="n">
        <v>16</v>
      </c>
      <c r="AO9" s="44" t="n">
        <v>16</v>
      </c>
      <c r="AP9" s="44" t="n">
        <v>16</v>
      </c>
      <c r="AQ9" s="44" t="n">
        <v>16</v>
      </c>
      <c r="AR9" s="44" t="n">
        <v>16</v>
      </c>
      <c r="AS9" s="44" t="n">
        <v>16</v>
      </c>
      <c r="AT9" s="44" t="n">
        <v>16</v>
      </c>
      <c r="AU9" s="44" t="n">
        <v>16</v>
      </c>
      <c r="AV9" s="44" t="n">
        <v>16</v>
      </c>
      <c r="AW9" s="44" t="n">
        <v>16</v>
      </c>
      <c r="AX9" s="44" t="n">
        <v>16</v>
      </c>
      <c r="AY9" s="44" t="n">
        <v>16</v>
      </c>
      <c r="AZ9" s="44" t="n">
        <v>16</v>
      </c>
      <c r="BA9" s="44" t="n">
        <v>16</v>
      </c>
      <c r="BB9" s="44" t="n">
        <v>16</v>
      </c>
      <c r="BC9" s="44" t="n">
        <v>16</v>
      </c>
      <c r="BD9" s="44" t="n">
        <v>16</v>
      </c>
      <c r="BE9" s="44" t="n">
        <v>16</v>
      </c>
      <c r="BF9" s="44" t="n">
        <v>16</v>
      </c>
      <c r="BG9" s="44" t="n">
        <v>16</v>
      </c>
      <c r="BH9" s="44" t="n">
        <v>16</v>
      </c>
      <c r="BI9" s="44" t="n">
        <v>16</v>
      </c>
      <c r="BJ9" s="44" t="n">
        <v>16</v>
      </c>
      <c r="BK9" s="44" t="n">
        <v>16</v>
      </c>
      <c r="BL9" s="44" t="n">
        <v>16</v>
      </c>
      <c r="BM9" s="44" t="n">
        <v>16</v>
      </c>
      <c r="BN9" s="44" t="n">
        <v>16</v>
      </c>
      <c r="BO9" s="44" t="n">
        <v>16</v>
      </c>
      <c r="BP9" s="44" t="n">
        <v>16</v>
      </c>
      <c r="BQ9" s="44" t="n">
        <v>16</v>
      </c>
      <c r="BR9" s="44" t="n">
        <v>16</v>
      </c>
      <c r="BS9" s="44" t="n">
        <v>16</v>
      </c>
      <c r="BT9" s="44" t="n">
        <v>16</v>
      </c>
      <c r="BU9" s="44" t="n">
        <v>16</v>
      </c>
      <c r="BV9" s="44" t="n">
        <v>16</v>
      </c>
      <c r="BW9" s="44" t="n">
        <v>16</v>
      </c>
      <c r="BX9" s="44" t="n">
        <v>16</v>
      </c>
      <c r="BY9" s="44" t="n">
        <v>16</v>
      </c>
      <c r="BZ9" s="44" t="n">
        <v>16</v>
      </c>
      <c r="CA9" s="44" t="n">
        <v>16</v>
      </c>
      <c r="CB9" s="44" t="n">
        <v>16</v>
      </c>
      <c r="CC9" s="44" t="n">
        <v>16</v>
      </c>
      <c r="CD9" s="44" t="n">
        <v>16</v>
      </c>
      <c r="CE9" s="44" t="n">
        <v>16</v>
      </c>
      <c r="CF9" s="44" t="n">
        <v>16</v>
      </c>
      <c r="CG9" s="44" t="n">
        <v>16</v>
      </c>
      <c r="CH9" s="44" t="n">
        <v>16</v>
      </c>
      <c r="CI9" s="44" t="n">
        <v>16</v>
      </c>
      <c r="CJ9" s="44" t="n">
        <v>16</v>
      </c>
      <c r="CK9" s="44" t="n">
        <v>16</v>
      </c>
      <c r="CL9" s="44" t="n">
        <v>16</v>
      </c>
      <c r="CM9" s="44" t="n">
        <v>16</v>
      </c>
      <c r="CN9" s="44" t="n">
        <v>16</v>
      </c>
      <c r="CO9" s="44" t="n">
        <v>16</v>
      </c>
    </row>
    <row r="11" customFormat="1" s="169">
      <c r="A11" s="163" t="n"/>
      <c r="B11" s="163" t="n"/>
      <c r="C11" s="172" t="n"/>
      <c r="D11" s="88" t="n"/>
      <c r="E11" s="169" t="inlineStr">
        <is>
          <t xml:space="preserve">Arrivals per train - domestic </t>
        </is>
      </c>
      <c r="F11" s="169" t="n"/>
      <c r="G11" s="169" t="inlineStr">
        <is>
          <t>arrivals / train</t>
        </is>
      </c>
      <c r="H11" s="169" t="n"/>
      <c r="I11" s="169" t="n"/>
      <c r="J11" s="44" t="n">
        <v>370</v>
      </c>
      <c r="K11" s="44" t="n">
        <v>350</v>
      </c>
      <c r="L11" s="44" t="n">
        <v>370</v>
      </c>
      <c r="M11" s="44" t="n">
        <v>350</v>
      </c>
      <c r="N11" s="44" t="n">
        <v>370</v>
      </c>
      <c r="O11" s="44" t="n">
        <v>350</v>
      </c>
      <c r="P11" s="44" t="n">
        <v>370</v>
      </c>
      <c r="Q11" s="44" t="n">
        <v>350</v>
      </c>
      <c r="R11" s="44" t="n">
        <v>370</v>
      </c>
      <c r="S11" s="44" t="n">
        <v>350</v>
      </c>
      <c r="T11" s="44" t="n">
        <v>370</v>
      </c>
      <c r="U11" s="44" t="n">
        <v>350</v>
      </c>
      <c r="V11" s="44" t="n">
        <v>370</v>
      </c>
      <c r="W11" s="44" t="n">
        <v>350</v>
      </c>
      <c r="X11" s="44" t="n">
        <v>370</v>
      </c>
      <c r="Y11" s="44" t="n">
        <v>350</v>
      </c>
      <c r="Z11" s="44" t="n">
        <v>370</v>
      </c>
      <c r="AA11" s="44" t="n">
        <v>350</v>
      </c>
      <c r="AB11" s="44" t="n">
        <v>370</v>
      </c>
      <c r="AC11" s="44" t="n">
        <v>350</v>
      </c>
      <c r="AD11" s="44" t="n">
        <v>370</v>
      </c>
      <c r="AE11" s="44" t="n">
        <v>350</v>
      </c>
      <c r="AF11" s="44" t="n">
        <v>370</v>
      </c>
      <c r="AG11" s="44" t="n">
        <v>350</v>
      </c>
      <c r="AH11" s="44" t="n">
        <v>370</v>
      </c>
      <c r="AI11" s="44" t="n">
        <v>350</v>
      </c>
      <c r="AJ11" s="44" t="n">
        <v>370</v>
      </c>
      <c r="AK11" s="44" t="n">
        <v>350</v>
      </c>
      <c r="AL11" s="44" t="n">
        <v>370</v>
      </c>
      <c r="AM11" s="44" t="n">
        <v>350</v>
      </c>
      <c r="AN11" s="44" t="n">
        <v>370</v>
      </c>
      <c r="AO11" s="44" t="n">
        <v>350</v>
      </c>
      <c r="AP11" s="44" t="n">
        <v>370</v>
      </c>
      <c r="AQ11" s="44" t="n">
        <v>350</v>
      </c>
      <c r="AR11" s="44" t="n">
        <v>370</v>
      </c>
      <c r="AS11" s="44" t="n">
        <v>350</v>
      </c>
      <c r="AT11" s="44" t="n">
        <v>370</v>
      </c>
      <c r="AU11" s="44" t="n">
        <v>350</v>
      </c>
      <c r="AV11" s="44" t="n">
        <v>370</v>
      </c>
      <c r="AW11" s="44" t="n">
        <v>350</v>
      </c>
      <c r="AX11" s="44" t="n">
        <v>370</v>
      </c>
      <c r="AY11" s="44" t="n">
        <v>350</v>
      </c>
      <c r="AZ11" s="44" t="n">
        <v>370</v>
      </c>
      <c r="BA11" s="44" t="n">
        <v>350</v>
      </c>
      <c r="BB11" s="44" t="n">
        <v>370</v>
      </c>
      <c r="BC11" s="44" t="n">
        <v>350</v>
      </c>
      <c r="BD11" s="44" t="n">
        <v>370</v>
      </c>
      <c r="BE11" s="44" t="n">
        <v>350</v>
      </c>
      <c r="BF11" s="44" t="n">
        <v>370</v>
      </c>
      <c r="BG11" s="44" t="n">
        <v>350</v>
      </c>
      <c r="BH11" s="44" t="n">
        <v>350</v>
      </c>
      <c r="BI11" s="44" t="n">
        <v>370</v>
      </c>
      <c r="BJ11" s="44" t="n">
        <v>350</v>
      </c>
      <c r="BK11" s="44" t="n">
        <v>370</v>
      </c>
      <c r="BL11" s="44" t="n">
        <v>350</v>
      </c>
      <c r="BM11" s="44" t="n">
        <v>370</v>
      </c>
      <c r="BN11" s="44" t="n">
        <v>350</v>
      </c>
      <c r="BO11" s="44" t="n">
        <v>370</v>
      </c>
      <c r="BP11" s="44" t="n">
        <v>350</v>
      </c>
      <c r="BQ11" s="44" t="n">
        <v>350</v>
      </c>
      <c r="BR11" s="44" t="n">
        <v>370</v>
      </c>
      <c r="BS11" s="44" t="n">
        <v>350</v>
      </c>
      <c r="BT11" s="44" t="n">
        <v>370</v>
      </c>
      <c r="BU11" s="44" t="n">
        <v>350</v>
      </c>
      <c r="BV11" s="44" t="n">
        <v>370</v>
      </c>
      <c r="BW11" s="44" t="n">
        <v>370</v>
      </c>
      <c r="BX11" s="44" t="n">
        <v>370</v>
      </c>
      <c r="BY11" s="44" t="n">
        <v>370</v>
      </c>
      <c r="BZ11" s="44" t="n">
        <v>370</v>
      </c>
      <c r="CA11" s="44" t="n">
        <v>370</v>
      </c>
      <c r="CB11" s="44" t="n">
        <v>370</v>
      </c>
      <c r="CC11" s="44" t="n">
        <v>370</v>
      </c>
      <c r="CD11" s="44" t="n">
        <v>370</v>
      </c>
      <c r="CE11" s="44" t="n">
        <v>370</v>
      </c>
      <c r="CF11" s="44" t="n">
        <v>370</v>
      </c>
      <c r="CG11" s="44" t="n">
        <v>370</v>
      </c>
      <c r="CH11" s="44" t="n">
        <v>370</v>
      </c>
      <c r="CI11" s="44" t="n">
        <v>370</v>
      </c>
      <c r="CJ11" s="44" t="n">
        <v>370</v>
      </c>
      <c r="CK11" s="44" t="n">
        <v>370</v>
      </c>
      <c r="CL11" s="44" t="n">
        <v>370</v>
      </c>
      <c r="CM11" s="44" t="n">
        <v>370</v>
      </c>
      <c r="CN11" s="44" t="n">
        <v>370</v>
      </c>
      <c r="CO11" s="44" t="n">
        <v>370</v>
      </c>
    </row>
    <row r="12" customFormat="1" s="169">
      <c r="A12" s="163" t="n"/>
      <c r="B12" s="163" t="n"/>
      <c r="C12" s="172" t="n"/>
      <c r="D12" s="88" t="n"/>
      <c r="E12" s="169" t="inlineStr">
        <is>
          <t xml:space="preserve">Arrivals per train - international </t>
        </is>
      </c>
      <c r="F12" s="169" t="n"/>
      <c r="G12" s="169" t="inlineStr">
        <is>
          <t>arrivals / train</t>
        </is>
      </c>
      <c r="H12" s="169" t="n"/>
      <c r="I12" s="169" t="n"/>
      <c r="J12" s="44" t="n">
        <v>34</v>
      </c>
      <c r="K12" s="44" t="n">
        <v>34</v>
      </c>
      <c r="L12" s="44" t="n">
        <v>34</v>
      </c>
      <c r="M12" s="44" t="n">
        <v>44</v>
      </c>
      <c r="N12" s="44" t="n">
        <v>44</v>
      </c>
      <c r="O12" s="44" t="n">
        <v>44</v>
      </c>
      <c r="P12" s="44" t="n">
        <v>44</v>
      </c>
      <c r="Q12" s="44" t="n">
        <v>44</v>
      </c>
      <c r="R12" s="44" t="n">
        <v>44</v>
      </c>
      <c r="S12" s="44" t="n">
        <v>44</v>
      </c>
      <c r="T12" s="44" t="n">
        <v>44</v>
      </c>
      <c r="U12" s="44" t="n">
        <v>44</v>
      </c>
      <c r="V12" s="44" t="n">
        <v>44</v>
      </c>
      <c r="W12" s="44" t="n">
        <v>44</v>
      </c>
      <c r="X12" s="44" t="n">
        <v>44</v>
      </c>
      <c r="Y12" s="44" t="n">
        <v>44</v>
      </c>
      <c r="Z12" s="44" t="n">
        <v>44</v>
      </c>
      <c r="AA12" s="44" t="n">
        <v>44</v>
      </c>
      <c r="AB12" s="44" t="n">
        <v>44</v>
      </c>
      <c r="AC12" s="44" t="n">
        <v>44</v>
      </c>
      <c r="AD12" s="44" t="n">
        <v>44</v>
      </c>
      <c r="AE12" s="44" t="n">
        <v>44</v>
      </c>
      <c r="AF12" s="44" t="n">
        <v>44</v>
      </c>
      <c r="AG12" s="44" t="n">
        <v>44</v>
      </c>
      <c r="AH12" s="44" t="n">
        <v>44</v>
      </c>
      <c r="AI12" s="44" t="n">
        <v>44</v>
      </c>
      <c r="AJ12" s="44" t="n">
        <v>44</v>
      </c>
      <c r="AK12" s="44" t="n">
        <v>44</v>
      </c>
      <c r="AL12" s="44" t="n">
        <v>44</v>
      </c>
      <c r="AM12" s="44" t="n">
        <v>44</v>
      </c>
      <c r="AN12" s="44" t="n">
        <v>44</v>
      </c>
      <c r="AO12" s="44" t="n">
        <v>44</v>
      </c>
      <c r="AP12" s="44" t="n">
        <v>44</v>
      </c>
      <c r="AQ12" s="44" t="n">
        <v>44</v>
      </c>
      <c r="AR12" s="44" t="n">
        <v>44</v>
      </c>
      <c r="AS12" s="44" t="n">
        <v>44</v>
      </c>
      <c r="AT12" s="44" t="n">
        <v>44</v>
      </c>
      <c r="AU12" s="44" t="n">
        <v>44</v>
      </c>
      <c r="AV12" s="44" t="n">
        <v>44</v>
      </c>
      <c r="AW12" s="44" t="n">
        <v>44</v>
      </c>
      <c r="AX12" s="44" t="n">
        <v>44</v>
      </c>
      <c r="AY12" s="44" t="n">
        <v>44</v>
      </c>
      <c r="AZ12" s="44" t="n">
        <v>44</v>
      </c>
      <c r="BA12" s="44" t="n">
        <v>44</v>
      </c>
      <c r="BB12" s="44" t="n">
        <v>44</v>
      </c>
      <c r="BC12" s="44" t="n">
        <v>44</v>
      </c>
      <c r="BD12" s="44" t="n">
        <v>44</v>
      </c>
      <c r="BE12" s="44" t="n">
        <v>44</v>
      </c>
      <c r="BF12" s="44" t="n">
        <v>44</v>
      </c>
      <c r="BG12" s="44" t="n">
        <v>44</v>
      </c>
      <c r="BH12" s="44" t="n">
        <v>44</v>
      </c>
      <c r="BI12" s="44" t="n">
        <v>44</v>
      </c>
      <c r="BJ12" s="44" t="n">
        <v>44</v>
      </c>
      <c r="BK12" s="44" t="n">
        <v>44</v>
      </c>
      <c r="BL12" s="44" t="n">
        <v>44</v>
      </c>
      <c r="BM12" s="44" t="n">
        <v>44</v>
      </c>
      <c r="BN12" s="44" t="n">
        <v>44</v>
      </c>
      <c r="BO12" s="44" t="n">
        <v>44</v>
      </c>
      <c r="BP12" s="44" t="n">
        <v>44</v>
      </c>
      <c r="BQ12" s="44" t="n">
        <v>44</v>
      </c>
      <c r="BR12" s="44" t="n">
        <v>44</v>
      </c>
      <c r="BS12" s="44" t="n">
        <v>44</v>
      </c>
      <c r="BT12" s="44" t="n">
        <v>44</v>
      </c>
      <c r="BU12" s="44" t="n">
        <v>44</v>
      </c>
      <c r="BV12" s="44" t="n">
        <v>44</v>
      </c>
      <c r="BW12" s="44" t="n">
        <v>44</v>
      </c>
      <c r="BX12" s="44" t="n">
        <v>44</v>
      </c>
      <c r="BY12" s="44" t="n">
        <v>44</v>
      </c>
      <c r="BZ12" s="44" t="n">
        <v>44</v>
      </c>
      <c r="CA12" s="44" t="n">
        <v>44</v>
      </c>
      <c r="CB12" s="44" t="n">
        <v>44</v>
      </c>
      <c r="CC12" s="44" t="n">
        <v>44</v>
      </c>
      <c r="CD12" s="44" t="n">
        <v>44</v>
      </c>
      <c r="CE12" s="44" t="n">
        <v>44</v>
      </c>
      <c r="CF12" s="44" t="n">
        <v>44</v>
      </c>
      <c r="CG12" s="44" t="n">
        <v>44</v>
      </c>
      <c r="CH12" s="44" t="n">
        <v>44</v>
      </c>
      <c r="CI12" s="44" t="n">
        <v>44</v>
      </c>
      <c r="CJ12" s="44" t="n">
        <v>44</v>
      </c>
      <c r="CK12" s="44" t="n">
        <v>44</v>
      </c>
      <c r="CL12" s="44" t="n">
        <v>44</v>
      </c>
      <c r="CM12" s="44" t="n">
        <v>44</v>
      </c>
      <c r="CN12" s="44" t="n">
        <v>44</v>
      </c>
      <c r="CO12" s="44" t="n">
        <v>44</v>
      </c>
    </row>
    <row r="14" customFormat="1" s="97">
      <c r="A14" s="92" t="n"/>
      <c r="B14" s="92" t="n"/>
      <c r="C14" s="93" t="n"/>
      <c r="D14" s="97" t="n"/>
      <c r="E14" s="95" t="inlineStr">
        <is>
          <t xml:space="preserve">Occupancy - domestic </t>
        </is>
      </c>
      <c r="F14" s="97" t="n"/>
      <c r="G14" s="97" t="inlineStr">
        <is>
          <t>%</t>
        </is>
      </c>
      <c r="H14" s="97" t="n"/>
      <c r="I14" s="97" t="n"/>
      <c r="J14" s="96" t="n">
        <v>0.55</v>
      </c>
      <c r="K14" s="96" t="n">
        <v>0.55</v>
      </c>
      <c r="L14" s="96" t="n">
        <v>0.55</v>
      </c>
      <c r="M14" s="96" t="n">
        <v>0.55</v>
      </c>
      <c r="N14" s="96" t="n">
        <v>0.55</v>
      </c>
      <c r="O14" s="96" t="n">
        <v>0.55</v>
      </c>
      <c r="P14" s="96" t="n">
        <v>0.55</v>
      </c>
      <c r="Q14" s="96" t="n">
        <v>0.55</v>
      </c>
      <c r="R14" s="96" t="n">
        <v>0.55</v>
      </c>
      <c r="S14" s="96" t="n">
        <v>0.55</v>
      </c>
      <c r="T14" s="96" t="n">
        <v>0.5600000000000001</v>
      </c>
      <c r="U14" s="96" t="n">
        <v>0.5600000000000001</v>
      </c>
      <c r="V14" s="96" t="n">
        <v>0.5600000000000001</v>
      </c>
      <c r="W14" s="96" t="n">
        <v>0.5600000000000001</v>
      </c>
      <c r="X14" s="96" t="n">
        <v>0.5600000000000001</v>
      </c>
      <c r="Y14" s="96" t="n">
        <v>0.5600000000000001</v>
      </c>
      <c r="Z14" s="96" t="n">
        <v>0.5600000000000001</v>
      </c>
      <c r="AA14" s="96" t="n">
        <v>0.5600000000000001</v>
      </c>
      <c r="AB14" s="96" t="n">
        <v>0.5600000000000001</v>
      </c>
      <c r="AC14" s="96" t="n">
        <v>0.5600000000000001</v>
      </c>
      <c r="AD14" s="96" t="n">
        <v>0.58</v>
      </c>
      <c r="AE14" s="96" t="n">
        <v>0.58</v>
      </c>
      <c r="AF14" s="96" t="n">
        <v>0.58</v>
      </c>
      <c r="AG14" s="96" t="n">
        <v>0.58</v>
      </c>
      <c r="AH14" s="96" t="n">
        <v>0.58</v>
      </c>
      <c r="AI14" s="96" t="n">
        <v>0.58</v>
      </c>
      <c r="AJ14" s="96" t="n">
        <v>0.58</v>
      </c>
      <c r="AK14" s="96" t="n">
        <v>0.58</v>
      </c>
      <c r="AL14" s="96" t="n">
        <v>0.58</v>
      </c>
      <c r="AM14" s="96" t="n">
        <v>0.6</v>
      </c>
      <c r="AN14" s="96" t="n">
        <v>0.6</v>
      </c>
      <c r="AO14" s="96" t="n">
        <v>0.6</v>
      </c>
      <c r="AP14" s="96" t="n">
        <v>0.6</v>
      </c>
      <c r="AQ14" s="96" t="n">
        <v>0.6</v>
      </c>
      <c r="AR14" s="96" t="n">
        <v>0.6</v>
      </c>
      <c r="AS14" s="96" t="n">
        <v>0.6</v>
      </c>
      <c r="AT14" s="96" t="n">
        <v>0.6</v>
      </c>
      <c r="AU14" s="96" t="n">
        <v>0.6</v>
      </c>
      <c r="AV14" s="96" t="n">
        <v>0.6</v>
      </c>
      <c r="AW14" s="96" t="n">
        <v>0.6</v>
      </c>
      <c r="AX14" s="96" t="n">
        <v>0.62</v>
      </c>
      <c r="AY14" s="96" t="n">
        <v>0.62</v>
      </c>
      <c r="AZ14" s="96" t="n">
        <v>0.62</v>
      </c>
      <c r="BA14" s="96" t="n">
        <v>0.62</v>
      </c>
      <c r="BB14" s="96" t="n">
        <v>0.62</v>
      </c>
      <c r="BC14" s="96" t="n">
        <v>0.62</v>
      </c>
      <c r="BD14" s="96" t="n">
        <v>0.62</v>
      </c>
      <c r="BE14" s="96" t="n">
        <v>0.62</v>
      </c>
      <c r="BF14" s="96" t="n">
        <v>0.62</v>
      </c>
      <c r="BG14" s="96" t="n">
        <v>0.62</v>
      </c>
      <c r="BH14" s="96" t="n">
        <v>0.62</v>
      </c>
      <c r="BI14" s="96" t="n">
        <v>0.62</v>
      </c>
      <c r="BJ14" s="96" t="n">
        <v>0.62</v>
      </c>
      <c r="BK14" s="96" t="n">
        <v>0.62</v>
      </c>
      <c r="BL14" s="96" t="n">
        <v>0.62</v>
      </c>
      <c r="BM14" s="96" t="n">
        <v>0.62</v>
      </c>
      <c r="BN14" s="96" t="n">
        <v>0.62</v>
      </c>
      <c r="BO14" s="96" t="n">
        <v>0.62</v>
      </c>
      <c r="BP14" s="96" t="n">
        <v>0.62</v>
      </c>
      <c r="BQ14" s="96" t="n">
        <v>0.62</v>
      </c>
      <c r="BR14" s="96" t="n">
        <v>0.62</v>
      </c>
      <c r="BS14" s="96" t="n">
        <v>0.62</v>
      </c>
      <c r="BT14" s="96" t="n">
        <v>0.62</v>
      </c>
      <c r="BU14" s="96" t="n">
        <v>0.62</v>
      </c>
      <c r="BV14" s="96" t="n">
        <v>0.62</v>
      </c>
      <c r="BW14" s="96" t="n">
        <v>0.62</v>
      </c>
      <c r="BX14" s="96" t="n">
        <v>0.62</v>
      </c>
      <c r="BY14" s="96" t="n">
        <v>0.62</v>
      </c>
      <c r="BZ14" s="96" t="n">
        <v>0.62</v>
      </c>
      <c r="CA14" s="96" t="n">
        <v>0.62</v>
      </c>
      <c r="CB14" s="96" t="n">
        <v>0.62</v>
      </c>
      <c r="CC14" s="96" t="n">
        <v>0.62</v>
      </c>
      <c r="CD14" s="96" t="n">
        <v>0.62</v>
      </c>
      <c r="CE14" s="96" t="n">
        <v>0.62</v>
      </c>
      <c r="CF14" s="96" t="n">
        <v>0.62</v>
      </c>
      <c r="CG14" s="96" t="n">
        <v>0.62</v>
      </c>
      <c r="CH14" s="96" t="n">
        <v>0.62</v>
      </c>
      <c r="CI14" s="96" t="n">
        <v>0.62</v>
      </c>
      <c r="CJ14" s="96" t="n">
        <v>0.62</v>
      </c>
      <c r="CK14" s="96" t="n">
        <v>0.62</v>
      </c>
      <c r="CL14" s="96" t="n">
        <v>0.62</v>
      </c>
      <c r="CM14" s="96" t="n">
        <v>0.62</v>
      </c>
      <c r="CN14" s="96" t="n">
        <v>0.62</v>
      </c>
      <c r="CO14" s="96" t="n">
        <v>0.62</v>
      </c>
    </row>
    <row r="15" customFormat="1" s="97">
      <c r="A15" s="92" t="n"/>
      <c r="B15" s="92" t="n"/>
      <c r="C15" s="93" t="n"/>
      <c r="D15" s="97" t="n"/>
      <c r="E15" s="169" t="inlineStr">
        <is>
          <t xml:space="preserve">Occupancy - international </t>
        </is>
      </c>
      <c r="F15" s="97" t="n"/>
      <c r="G15" s="97" t="inlineStr">
        <is>
          <t>%</t>
        </is>
      </c>
      <c r="H15" s="97" t="n"/>
      <c r="I15" s="97" t="n"/>
      <c r="J15" s="96" t="n">
        <v>0.45</v>
      </c>
      <c r="K15" s="96" t="n">
        <v>0.45</v>
      </c>
      <c r="L15" s="96" t="n">
        <v>0.45</v>
      </c>
      <c r="M15" s="96" t="n">
        <v>0.45</v>
      </c>
      <c r="N15" s="96" t="n">
        <v>0.45</v>
      </c>
      <c r="O15" s="96" t="n">
        <v>0.45</v>
      </c>
      <c r="P15" s="96" t="n">
        <v>0.45</v>
      </c>
      <c r="Q15" s="96" t="n">
        <v>0.45</v>
      </c>
      <c r="R15" s="96" t="n">
        <v>0.45</v>
      </c>
      <c r="S15" s="96" t="n">
        <v>0.45</v>
      </c>
      <c r="T15" s="96" t="n">
        <v>0.45</v>
      </c>
      <c r="U15" s="96" t="n">
        <v>0.45</v>
      </c>
      <c r="V15" s="96" t="n">
        <v>0.45</v>
      </c>
      <c r="W15" s="96" t="n">
        <v>0.45</v>
      </c>
      <c r="X15" s="96" t="n">
        <v>0.45</v>
      </c>
      <c r="Y15" s="96" t="n">
        <v>0.45</v>
      </c>
      <c r="Z15" s="96" t="n">
        <v>0.45</v>
      </c>
      <c r="AA15" s="96" t="n">
        <v>0.45</v>
      </c>
      <c r="AB15" s="96" t="n">
        <v>0.45</v>
      </c>
      <c r="AC15" s="96" t="n">
        <v>0.45</v>
      </c>
      <c r="AD15" s="96" t="n">
        <v>0.45</v>
      </c>
      <c r="AE15" s="96" t="n">
        <v>0.45</v>
      </c>
      <c r="AF15" s="96" t="n">
        <v>0.45</v>
      </c>
      <c r="AG15" s="96" t="n">
        <v>0.45</v>
      </c>
      <c r="AH15" s="96" t="n">
        <v>0.45</v>
      </c>
      <c r="AI15" s="96" t="n">
        <v>0.45</v>
      </c>
      <c r="AJ15" s="96" t="n">
        <v>0.45</v>
      </c>
      <c r="AK15" s="96" t="n">
        <v>0.45</v>
      </c>
      <c r="AL15" s="96" t="n">
        <v>0.45</v>
      </c>
      <c r="AM15" s="96" t="n">
        <v>0.45</v>
      </c>
      <c r="AN15" s="96" t="n">
        <v>0.45</v>
      </c>
      <c r="AO15" s="96" t="n">
        <v>0.45</v>
      </c>
      <c r="AP15" s="96" t="n">
        <v>0.45</v>
      </c>
      <c r="AQ15" s="96" t="n">
        <v>0.45</v>
      </c>
      <c r="AR15" s="96" t="n">
        <v>0.45</v>
      </c>
      <c r="AS15" s="96" t="n">
        <v>0.45</v>
      </c>
      <c r="AT15" s="96" t="n">
        <v>0.45</v>
      </c>
      <c r="AU15" s="96" t="n">
        <v>0.45</v>
      </c>
      <c r="AV15" s="96" t="n">
        <v>0.45</v>
      </c>
      <c r="AW15" s="96" t="n">
        <v>0.45</v>
      </c>
      <c r="AX15" s="96" t="n">
        <v>0.55</v>
      </c>
      <c r="AY15" s="96" t="n">
        <v>0.55</v>
      </c>
      <c r="AZ15" s="96" t="n">
        <v>0.55</v>
      </c>
      <c r="BA15" s="96" t="n">
        <v>0.55</v>
      </c>
      <c r="BB15" s="96" t="n">
        <v>0.55</v>
      </c>
      <c r="BC15" s="96" t="n">
        <v>0.55</v>
      </c>
      <c r="BD15" s="96" t="n">
        <v>0.55</v>
      </c>
      <c r="BE15" s="96" t="n">
        <v>0.55</v>
      </c>
      <c r="BF15" s="96" t="n">
        <v>0.55</v>
      </c>
      <c r="BG15" s="96" t="n">
        <v>0.55</v>
      </c>
      <c r="BH15" s="96" t="n">
        <v>0.55</v>
      </c>
      <c r="BI15" s="96" t="n">
        <v>0.55</v>
      </c>
      <c r="BJ15" s="96" t="n">
        <v>0.55</v>
      </c>
      <c r="BK15" s="96" t="n">
        <v>0.55</v>
      </c>
      <c r="BL15" s="96" t="n">
        <v>0.55</v>
      </c>
      <c r="BM15" s="96" t="n">
        <v>0.55</v>
      </c>
      <c r="BN15" s="96" t="n">
        <v>0.55</v>
      </c>
      <c r="BO15" s="96" t="n">
        <v>0.55</v>
      </c>
      <c r="BP15" s="96" t="n">
        <v>0.55</v>
      </c>
      <c r="BQ15" s="96" t="n">
        <v>0.55</v>
      </c>
      <c r="BR15" s="96" t="n">
        <v>0.55</v>
      </c>
      <c r="BS15" s="96" t="n">
        <v>0.55</v>
      </c>
      <c r="BT15" s="96" t="n">
        <v>0.55</v>
      </c>
      <c r="BU15" s="96" t="n">
        <v>0.55</v>
      </c>
      <c r="BV15" s="96" t="n">
        <v>0.55</v>
      </c>
      <c r="BW15" s="96" t="n">
        <v>0.55</v>
      </c>
      <c r="BX15" s="96" t="n">
        <v>0.55</v>
      </c>
      <c r="BY15" s="96" t="n">
        <v>0.55</v>
      </c>
      <c r="BZ15" s="96" t="n">
        <v>0.55</v>
      </c>
      <c r="CA15" s="96" t="n">
        <v>0.55</v>
      </c>
      <c r="CB15" s="96" t="n">
        <v>0.55</v>
      </c>
      <c r="CC15" s="96" t="n">
        <v>0.55</v>
      </c>
      <c r="CD15" s="96" t="n">
        <v>0.55</v>
      </c>
      <c r="CE15" s="96" t="n">
        <v>0.55</v>
      </c>
      <c r="CF15" s="96" t="n">
        <v>0.55</v>
      </c>
      <c r="CG15" s="96" t="n">
        <v>0.55</v>
      </c>
      <c r="CH15" s="96" t="n">
        <v>0.55</v>
      </c>
      <c r="CI15" s="96" t="n">
        <v>0.55</v>
      </c>
      <c r="CJ15" s="96" t="n">
        <v>0.55</v>
      </c>
      <c r="CK15" s="96" t="n">
        <v>0.55</v>
      </c>
      <c r="CL15" s="96" t="n">
        <v>0.55</v>
      </c>
      <c r="CM15" s="96" t="n">
        <v>0.55</v>
      </c>
      <c r="CN15" s="96" t="n">
        <v>0.55</v>
      </c>
      <c r="CO15" s="96" t="n">
        <v>0.55</v>
      </c>
    </row>
    <row r="16" customFormat="1" s="97">
      <c r="A16" s="92" t="n"/>
      <c r="B16" s="92" t="n"/>
      <c r="C16" s="93" t="n"/>
      <c r="D16" s="97" t="n"/>
      <c r="E16" s="169" t="n"/>
      <c r="F16" s="97" t="n"/>
      <c r="G16" s="97" t="n"/>
      <c r="H16" s="97" t="n"/>
      <c r="I16" s="97" t="n"/>
      <c r="J16" s="96" t="n"/>
      <c r="K16" s="96" t="n"/>
      <c r="L16" s="96" t="n"/>
      <c r="M16" s="96" t="n"/>
      <c r="N16" s="96" t="n"/>
      <c r="O16" s="96" t="n"/>
      <c r="P16" s="96" t="n"/>
      <c r="Q16" s="96" t="n"/>
      <c r="R16" s="96" t="n"/>
      <c r="S16" s="96" t="n"/>
      <c r="T16" s="96" t="n"/>
      <c r="U16" s="96" t="n"/>
      <c r="V16" s="96" t="n"/>
      <c r="W16" s="96" t="n"/>
      <c r="X16" s="96" t="n"/>
      <c r="Y16" s="96" t="n"/>
      <c r="Z16" s="96" t="n"/>
      <c r="AA16" s="96" t="n"/>
      <c r="AB16" s="96" t="n"/>
      <c r="AC16" s="96" t="n"/>
      <c r="AD16" s="96" t="n"/>
      <c r="AE16" s="96" t="n"/>
      <c r="AF16" s="96" t="n"/>
      <c r="AG16" s="96" t="n"/>
      <c r="AH16" s="96" t="n"/>
      <c r="AI16" s="96" t="n"/>
      <c r="AJ16" s="96" t="n"/>
      <c r="AK16" s="96" t="n"/>
      <c r="AL16" s="96" t="n"/>
      <c r="AM16" s="96" t="n"/>
      <c r="AN16" s="96" t="n"/>
      <c r="AO16" s="96" t="n"/>
      <c r="AP16" s="96" t="n"/>
      <c r="AQ16" s="96" t="n"/>
      <c r="AR16" s="96" t="n"/>
      <c r="AS16" s="96" t="n"/>
      <c r="AT16" s="96" t="n"/>
      <c r="AU16" s="96" t="n"/>
      <c r="AV16" s="96" t="n"/>
      <c r="AW16" s="96" t="n"/>
      <c r="AX16" s="96" t="n"/>
      <c r="AY16" s="96" t="n"/>
      <c r="AZ16" s="96" t="n"/>
      <c r="BA16" s="96" t="n"/>
      <c r="BB16" s="96" t="n"/>
      <c r="BC16" s="96" t="n"/>
      <c r="BD16" s="96" t="n"/>
      <c r="BE16" s="96" t="n"/>
      <c r="BF16" s="96" t="n"/>
      <c r="BG16" s="96" t="n"/>
      <c r="BH16" s="96" t="n"/>
      <c r="BI16" s="96" t="n"/>
      <c r="BJ16" s="96" t="n"/>
      <c r="BK16" s="96" t="n"/>
      <c r="BL16" s="96" t="n"/>
      <c r="BM16" s="96" t="n"/>
      <c r="BN16" s="96" t="n"/>
      <c r="BO16" s="96" t="n"/>
      <c r="BP16" s="96" t="n"/>
      <c r="BQ16" s="96" t="n"/>
      <c r="BR16" s="96" t="n"/>
      <c r="BS16" s="96" t="n"/>
      <c r="BT16" s="96" t="n"/>
      <c r="BU16" s="96" t="n"/>
      <c r="BV16" s="96" t="n"/>
      <c r="BW16" s="96" t="n"/>
      <c r="BX16" s="96" t="n"/>
      <c r="BY16" s="96" t="n"/>
      <c r="BZ16" s="96" t="n"/>
      <c r="CA16" s="96" t="n"/>
      <c r="CB16" s="96" t="n"/>
      <c r="CC16" s="96" t="n"/>
      <c r="CD16" s="96" t="n"/>
      <c r="CE16" s="96" t="n"/>
      <c r="CF16" s="96" t="n"/>
      <c r="CG16" s="96" t="n"/>
      <c r="CH16" s="96" t="n"/>
      <c r="CI16" s="96" t="n"/>
      <c r="CJ16" s="96" t="n"/>
      <c r="CK16" s="96" t="n"/>
      <c r="CL16" s="96" t="n"/>
      <c r="CM16" s="96" t="n"/>
      <c r="CN16" s="96" t="n"/>
      <c r="CO16" s="96" t="n"/>
    </row>
    <row r="17">
      <c r="A17" s="294" t="inlineStr">
        <is>
          <t>SENIOR DEBT</t>
        </is>
      </c>
    </row>
    <row r="18" customFormat="1" s="97">
      <c r="A18" s="92" t="n"/>
      <c r="B18" s="92" t="n"/>
      <c r="C18" s="93" t="n"/>
      <c r="D18" s="97" t="n"/>
      <c r="E18" s="97" t="inlineStr">
        <is>
          <t>Senior debt profile 1 - 7.5 years</t>
        </is>
      </c>
      <c r="F18" s="97" t="n"/>
      <c r="G18" s="97" t="inlineStr">
        <is>
          <t>%</t>
        </is>
      </c>
      <c r="H18" s="97">
        <f> SUM(J18:CO18)</f>
        <v>0.99999999999999</v>
      </c>
      <c r="I18" s="97" t="n"/>
      <c r="J18" s="96" t="n"/>
      <c r="K18" s="96" t="n"/>
      <c r="L18" s="96" t="n"/>
      <c r="M18" s="96" t="n"/>
      <c r="N18" s="96" t="n"/>
      <c r="O18" s="96" t="n">
        <v>0.03333333333333333</v>
      </c>
      <c r="P18" s="96" t="n">
        <v>0.03333333333333333</v>
      </c>
      <c r="Q18" s="96" t="n">
        <v>0.03333333333333333</v>
      </c>
      <c r="R18" s="96" t="n">
        <v>0.03333333333333333</v>
      </c>
      <c r="S18" s="96" t="n">
        <v>0.03333333333333333</v>
      </c>
      <c r="T18" s="96" t="n">
        <v>0.03333333333333333</v>
      </c>
      <c r="U18" s="96" t="n">
        <v>0.03333333333333333</v>
      </c>
      <c r="V18" s="96" t="n">
        <v>0.03333333333333333</v>
      </c>
      <c r="W18" s="96" t="n">
        <v>0.03333333333333333</v>
      </c>
      <c r="X18" s="96" t="n">
        <v>0.03333333333333333</v>
      </c>
      <c r="Y18" s="96" t="n">
        <v>0.03333333333333333</v>
      </c>
      <c r="Z18" s="96" t="n">
        <v>0.03333333333333333</v>
      </c>
      <c r="AA18" s="96" t="n">
        <v>0.03333333333333333</v>
      </c>
      <c r="AB18" s="96" t="n">
        <v>0.03333333333333333</v>
      </c>
      <c r="AC18" s="96" t="n">
        <v>0.03333333333333333</v>
      </c>
      <c r="AD18" s="96" t="n">
        <v>0.03333333333333333</v>
      </c>
      <c r="AE18" s="96" t="n">
        <v>0.03333333333333333</v>
      </c>
      <c r="AF18" s="96" t="n">
        <v>0.03333333333333333</v>
      </c>
      <c r="AG18" s="96" t="n">
        <v>0.03333333333333333</v>
      </c>
      <c r="AH18" s="96" t="n">
        <v>0.03333333333333333</v>
      </c>
      <c r="AI18" s="96" t="n">
        <v>0.03333333333333333</v>
      </c>
      <c r="AJ18" s="96" t="n">
        <v>0.03333333333333333</v>
      </c>
      <c r="AK18" s="96" t="n">
        <v>0.03333333333333333</v>
      </c>
      <c r="AL18" s="96" t="n">
        <v>0.03333333333333333</v>
      </c>
      <c r="AM18" s="96" t="n">
        <v>0.03333333333333333</v>
      </c>
      <c r="AN18" s="96" t="n">
        <v>0.03333333333333333</v>
      </c>
      <c r="AO18" s="96" t="n">
        <v>0.03333333333333333</v>
      </c>
      <c r="AP18" s="96" t="n">
        <v>0.03333333333333333</v>
      </c>
      <c r="AQ18" s="96" t="n">
        <v>0.03333333333333333</v>
      </c>
      <c r="AR18" s="96" t="n">
        <v>0.03333333333333333</v>
      </c>
      <c r="AS18" s="96" t="n"/>
      <c r="AT18" s="96" t="n"/>
      <c r="AU18" s="96" t="n"/>
      <c r="AV18" s="96" t="n"/>
      <c r="AW18" s="96" t="n"/>
      <c r="AX18" s="96" t="n"/>
      <c r="AY18" s="96" t="n"/>
      <c r="AZ18" s="96" t="n"/>
      <c r="BA18" s="96" t="n"/>
      <c r="BB18" s="96" t="n"/>
      <c r="BC18" s="96" t="n"/>
      <c r="BD18" s="96" t="n"/>
      <c r="BE18" s="96" t="n"/>
      <c r="BF18" s="96" t="n"/>
      <c r="BG18" s="96" t="n"/>
      <c r="BH18" s="96" t="n"/>
      <c r="BI18" s="96" t="n"/>
      <c r="BJ18" s="96" t="n"/>
      <c r="BK18" s="96" t="n"/>
      <c r="BL18" s="96" t="n"/>
      <c r="BM18" s="96" t="n"/>
      <c r="BN18" s="96" t="n"/>
      <c r="BO18" s="96" t="n"/>
      <c r="BP18" s="96" t="n"/>
      <c r="BQ18" s="96" t="n"/>
      <c r="BR18" s="96" t="n"/>
      <c r="BS18" s="96" t="n"/>
      <c r="BT18" s="96" t="n"/>
      <c r="BU18" s="96" t="n"/>
      <c r="BV18" s="96" t="n"/>
    </row>
    <row r="19" customFormat="1" s="97">
      <c r="A19" s="92" t="n"/>
      <c r="B19" s="92" t="n"/>
      <c r="C19" s="93" t="n"/>
      <c r="D19" s="97" t="n"/>
      <c r="E19" s="97" t="inlineStr">
        <is>
          <t>Senior debt profile 2 - 10 years</t>
        </is>
      </c>
      <c r="F19" s="97" t="n"/>
      <c r="G19" s="97" t="inlineStr">
        <is>
          <t>%</t>
        </is>
      </c>
      <c r="H19" s="97">
        <f> SUM(J19:CO19)</f>
        <v>1.0</v>
      </c>
      <c r="I19" s="97" t="n"/>
      <c r="J19" s="96" t="n"/>
      <c r="K19" s="96" t="n"/>
      <c r="L19" s="96" t="n"/>
      <c r="M19" s="96" t="n"/>
      <c r="N19" s="96" t="n"/>
      <c r="O19" s="96" t="n">
        <v>0.025</v>
      </c>
      <c r="P19" s="96" t="n">
        <v>0.025</v>
      </c>
      <c r="Q19" s="96" t="n">
        <v>0.025</v>
      </c>
      <c r="R19" s="96" t="n">
        <v>0.025</v>
      </c>
      <c r="S19" s="96" t="n">
        <v>0.025</v>
      </c>
      <c r="T19" s="96" t="n">
        <v>0.025</v>
      </c>
      <c r="U19" s="96" t="n">
        <v>0.025</v>
      </c>
      <c r="V19" s="96" t="n">
        <v>0.025</v>
      </c>
      <c r="W19" s="96" t="n">
        <v>0.025</v>
      </c>
      <c r="X19" s="96" t="n">
        <v>0.025</v>
      </c>
      <c r="Y19" s="96" t="n">
        <v>0.025</v>
      </c>
      <c r="Z19" s="96" t="n">
        <v>0.025</v>
      </c>
      <c r="AA19" s="96" t="n">
        <v>0.025</v>
      </c>
      <c r="AB19" s="96" t="n">
        <v>0.025</v>
      </c>
      <c r="AC19" s="96" t="n">
        <v>0.025</v>
      </c>
      <c r="AD19" s="96" t="n">
        <v>0.025</v>
      </c>
      <c r="AE19" s="96" t="n">
        <v>0.025</v>
      </c>
      <c r="AF19" s="96" t="n">
        <v>0.025</v>
      </c>
      <c r="AG19" s="96" t="n">
        <v>0.025</v>
      </c>
      <c r="AH19" s="96" t="n">
        <v>0.025</v>
      </c>
      <c r="AI19" s="96" t="n">
        <v>0.025</v>
      </c>
      <c r="AJ19" s="96" t="n">
        <v>0.025</v>
      </c>
      <c r="AK19" s="96" t="n">
        <v>0.025</v>
      </c>
      <c r="AL19" s="96" t="n">
        <v>0.025</v>
      </c>
      <c r="AM19" s="96" t="n">
        <v>0.025</v>
      </c>
      <c r="AN19" s="96" t="n">
        <v>0.025</v>
      </c>
      <c r="AO19" s="96" t="n">
        <v>0.025</v>
      </c>
      <c r="AP19" s="96" t="n">
        <v>0.025</v>
      </c>
      <c r="AQ19" s="96" t="n">
        <v>0.025</v>
      </c>
      <c r="AR19" s="96" t="n">
        <v>0.025</v>
      </c>
      <c r="AS19" s="96" t="n">
        <v>0.025</v>
      </c>
      <c r="AT19" s="96" t="n">
        <v>0.025</v>
      </c>
      <c r="AU19" s="96" t="n">
        <v>0.025</v>
      </c>
      <c r="AV19" s="96" t="n">
        <v>0.025</v>
      </c>
      <c r="AW19" s="96" t="n">
        <v>0.025</v>
      </c>
      <c r="AX19" s="96" t="n">
        <v>0.025</v>
      </c>
      <c r="AY19" s="96" t="n">
        <v>0.025</v>
      </c>
      <c r="AZ19" s="96" t="n">
        <v>0.025</v>
      </c>
      <c r="BA19" s="96" t="n">
        <v>0.025</v>
      </c>
      <c r="BB19" s="96" t="n">
        <v>0.025</v>
      </c>
      <c r="BC19" s="96" t="n"/>
      <c r="BD19" s="96" t="n"/>
      <c r="BE19" s="96" t="n"/>
      <c r="BF19" s="96" t="n"/>
      <c r="BG19" s="96" t="n"/>
      <c r="BH19" s="96" t="n"/>
      <c r="BI19" s="96" t="n"/>
      <c r="BJ19" s="96" t="n"/>
      <c r="BK19" s="96" t="n"/>
      <c r="BL19" s="96" t="n"/>
      <c r="BM19" s="96" t="n"/>
      <c r="BN19" s="96" t="n"/>
      <c r="BO19" s="96" t="n"/>
      <c r="BP19" s="96" t="n"/>
      <c r="BQ19" s="96" t="n"/>
      <c r="BR19" s="96" t="n"/>
      <c r="BS19" s="96" t="n"/>
      <c r="BT19" s="96" t="n"/>
      <c r="BU19" s="96" t="n"/>
      <c r="BV19" s="96" t="n"/>
    </row>
    <row r="20" customFormat="1" s="97">
      <c r="A20" s="92" t="n"/>
      <c r="B20" s="92" t="n"/>
      <c r="C20" s="93" t="n"/>
      <c r="D20" s="97" t="n"/>
      <c r="E20" s="97" t="inlineStr">
        <is>
          <t>Senior debt profile 3 - 15 years</t>
        </is>
      </c>
      <c r="F20" s="97" t="n"/>
      <c r="G20" s="97" t="inlineStr">
        <is>
          <t>%</t>
        </is>
      </c>
      <c r="H20" s="97">
        <f> SUM(J20:CO20)</f>
        <v>1.00000000000002</v>
      </c>
      <c r="I20" s="97" t="n"/>
      <c r="J20" s="96" t="n"/>
      <c r="K20" s="96" t="n"/>
      <c r="L20" s="96" t="n"/>
      <c r="M20" s="96" t="n"/>
      <c r="N20" s="96" t="n"/>
      <c r="O20" s="96" t="n">
        <v>0.01666666666666667</v>
      </c>
      <c r="P20" s="96" t="n">
        <v>0.01666666666666667</v>
      </c>
      <c r="Q20" s="96" t="n">
        <v>0.01666666666666667</v>
      </c>
      <c r="R20" s="96" t="n">
        <v>0.01666666666666667</v>
      </c>
      <c r="S20" s="96" t="n">
        <v>0.01666666666666667</v>
      </c>
      <c r="T20" s="96" t="n">
        <v>0.01666666666666667</v>
      </c>
      <c r="U20" s="96" t="n">
        <v>0.01666666666666667</v>
      </c>
      <c r="V20" s="96" t="n">
        <v>0.01666666666666667</v>
      </c>
      <c r="W20" s="96" t="n">
        <v>0.01666666666666667</v>
      </c>
      <c r="X20" s="96" t="n">
        <v>0.01666666666666667</v>
      </c>
      <c r="Y20" s="96" t="n">
        <v>0.01666666666666667</v>
      </c>
      <c r="Z20" s="96" t="n">
        <v>0.01666666666666667</v>
      </c>
      <c r="AA20" s="96" t="n">
        <v>0.01666666666666667</v>
      </c>
      <c r="AB20" s="96" t="n">
        <v>0.01666666666666667</v>
      </c>
      <c r="AC20" s="96" t="n">
        <v>0.01666666666666667</v>
      </c>
      <c r="AD20" s="96" t="n">
        <v>0.01666666666666667</v>
      </c>
      <c r="AE20" s="96" t="n">
        <v>0.01666666666666667</v>
      </c>
      <c r="AF20" s="96" t="n">
        <v>0.01666666666666667</v>
      </c>
      <c r="AG20" s="96" t="n">
        <v>0.01666666666666667</v>
      </c>
      <c r="AH20" s="96" t="n">
        <v>0.01666666666666667</v>
      </c>
      <c r="AI20" s="96" t="n">
        <v>0.01666666666666667</v>
      </c>
      <c r="AJ20" s="96" t="n">
        <v>0.01666666666666667</v>
      </c>
      <c r="AK20" s="96" t="n">
        <v>0.01666666666666667</v>
      </c>
      <c r="AL20" s="96" t="n">
        <v>0.01666666666666667</v>
      </c>
      <c r="AM20" s="96" t="n">
        <v>0.01666666666666667</v>
      </c>
      <c r="AN20" s="96" t="n">
        <v>0.01666666666666667</v>
      </c>
      <c r="AO20" s="96" t="n">
        <v>0.01666666666666667</v>
      </c>
      <c r="AP20" s="96" t="n">
        <v>0.01666666666666667</v>
      </c>
      <c r="AQ20" s="96" t="n">
        <v>0.01666666666666667</v>
      </c>
      <c r="AR20" s="96" t="n">
        <v>0.01666666666666667</v>
      </c>
      <c r="AS20" s="96" t="n">
        <v>0.01666666666666667</v>
      </c>
      <c r="AT20" s="96" t="n">
        <v>0.01666666666666667</v>
      </c>
      <c r="AU20" s="96" t="n">
        <v>0.01666666666666667</v>
      </c>
      <c r="AV20" s="96" t="n">
        <v>0.01666666666666667</v>
      </c>
      <c r="AW20" s="96" t="n">
        <v>0.01666666666666667</v>
      </c>
      <c r="AX20" s="96" t="n">
        <v>0.01666666666666667</v>
      </c>
      <c r="AY20" s="96" t="n">
        <v>0.01666666666666667</v>
      </c>
      <c r="AZ20" s="96" t="n">
        <v>0.01666666666666667</v>
      </c>
      <c r="BA20" s="96" t="n">
        <v>0.01666666666666667</v>
      </c>
      <c r="BB20" s="96" t="n">
        <v>0.01666666666666667</v>
      </c>
      <c r="BC20" s="96" t="n">
        <v>0.01666666666666667</v>
      </c>
      <c r="BD20" s="96" t="n">
        <v>0.01666666666666667</v>
      </c>
      <c r="BE20" s="96" t="n">
        <v>0.01666666666666667</v>
      </c>
      <c r="BF20" s="96" t="n">
        <v>0.01666666666666667</v>
      </c>
      <c r="BG20" s="96" t="n">
        <v>0.01666666666666667</v>
      </c>
      <c r="BH20" s="96" t="n">
        <v>0.01666666666666667</v>
      </c>
      <c r="BI20" s="96" t="n">
        <v>0.01666666666666667</v>
      </c>
      <c r="BJ20" s="96" t="n">
        <v>0.01666666666666667</v>
      </c>
      <c r="BK20" s="96" t="n">
        <v>0.01666666666666667</v>
      </c>
      <c r="BL20" s="96" t="n">
        <v>0.01666666666666667</v>
      </c>
      <c r="BM20" s="96" t="n">
        <v>0.01666666666666667</v>
      </c>
      <c r="BN20" s="96" t="n">
        <v>0.01666666666666667</v>
      </c>
      <c r="BO20" s="96" t="n">
        <v>0.01666666666666667</v>
      </c>
      <c r="BP20" s="96" t="n">
        <v>0.01666666666666667</v>
      </c>
      <c r="BQ20" s="96" t="n">
        <v>0.01666666666666667</v>
      </c>
      <c r="BR20" s="96" t="n">
        <v>0.01666666666666667</v>
      </c>
      <c r="BS20" s="96" t="n">
        <v>0.01666666666666667</v>
      </c>
      <c r="BT20" s="96" t="n">
        <v>0.01666666666666667</v>
      </c>
      <c r="BU20" s="96" t="n">
        <v>0.01666666666666667</v>
      </c>
      <c r="BV20" s="96" t="n">
        <v>0.01666666666666667</v>
      </c>
    </row>
    <row r="21">
      <c r="A21" s="294" t="inlineStr">
        <is>
          <t>ADDITIONAL FUNDING (after financial close)</t>
        </is>
      </c>
    </row>
    <row r="22">
      <c r="A22" s="163" t="n"/>
      <c r="B22" s="163" t="n"/>
      <c r="C22" s="172" t="n"/>
      <c r="D22" s="88" t="n"/>
      <c r="E22" s="169" t="inlineStr">
        <is>
          <t>Senior debt - additional drawdown</t>
        </is>
      </c>
      <c r="F22" s="169" t="n"/>
      <c r="G22" s="169" t="inlineStr">
        <is>
          <t>$ 000s</t>
        </is>
      </c>
      <c r="H22" s="169">
        <f> SUM(J22:CO22)</f>
        <v>0.0</v>
      </c>
      <c r="I22" s="169" t="n"/>
      <c r="J22" s="397" t="n">
        <v>0</v>
      </c>
      <c r="K22" s="397" t="n">
        <v>0</v>
      </c>
      <c r="L22" s="397" t="n">
        <v>0</v>
      </c>
      <c r="M22" s="397" t="n">
        <v>0</v>
      </c>
      <c r="N22" s="397" t="n">
        <v>0</v>
      </c>
      <c r="O22" s="397" t="n">
        <v>0</v>
      </c>
      <c r="P22" s="397" t="n">
        <v>0</v>
      </c>
      <c r="Q22" s="397" t="n">
        <v>0</v>
      </c>
      <c r="R22" s="397" t="n">
        <v>0</v>
      </c>
      <c r="S22" s="397" t="n">
        <v>0</v>
      </c>
      <c r="T22" s="397" t="n">
        <v>0</v>
      </c>
      <c r="U22" s="397" t="n">
        <v>0</v>
      </c>
      <c r="V22" s="397" t="n">
        <v>0</v>
      </c>
      <c r="W22" s="397" t="n">
        <v>0</v>
      </c>
      <c r="X22" s="397" t="n">
        <v>0</v>
      </c>
      <c r="Y22" s="397" t="n">
        <v>0</v>
      </c>
      <c r="Z22" s="397" t="n">
        <v>0</v>
      </c>
      <c r="AA22" s="397" t="n">
        <v>0</v>
      </c>
      <c r="AB22" s="397" t="n">
        <v>0</v>
      </c>
      <c r="AC22" s="397" t="n">
        <v>0</v>
      </c>
      <c r="AD22" s="397" t="n">
        <v>0</v>
      </c>
      <c r="AE22" s="397" t="n">
        <v>0</v>
      </c>
      <c r="AF22" s="397" t="n">
        <v>0</v>
      </c>
      <c r="AG22" s="397" t="n">
        <v>0</v>
      </c>
      <c r="AH22" s="397" t="n">
        <v>0</v>
      </c>
      <c r="AI22" s="397" t="n">
        <v>0</v>
      </c>
      <c r="AJ22" s="397" t="n">
        <v>0</v>
      </c>
      <c r="AK22" s="397" t="n">
        <v>0</v>
      </c>
      <c r="AL22" s="397" t="n">
        <v>0</v>
      </c>
      <c r="AM22" s="397" t="n">
        <v>0</v>
      </c>
      <c r="AN22" s="397" t="n">
        <v>0</v>
      </c>
      <c r="AO22" s="397" t="n">
        <v>0</v>
      </c>
      <c r="AP22" s="397" t="n">
        <v>0</v>
      </c>
      <c r="AQ22" s="397" t="n">
        <v>0</v>
      </c>
      <c r="AR22" s="397" t="n">
        <v>0</v>
      </c>
      <c r="AS22" s="397" t="n">
        <v>0</v>
      </c>
      <c r="AT22" s="397" t="n">
        <v>0</v>
      </c>
      <c r="AU22" s="397" t="n">
        <v>0</v>
      </c>
      <c r="AV22" s="397" t="n">
        <v>0</v>
      </c>
      <c r="AW22" s="397" t="n">
        <v>0</v>
      </c>
      <c r="AX22" s="397" t="n">
        <v>0</v>
      </c>
      <c r="AY22" s="397" t="n">
        <v>0</v>
      </c>
      <c r="AZ22" s="397" t="n">
        <v>0</v>
      </c>
      <c r="BA22" s="397" t="n">
        <v>0</v>
      </c>
      <c r="BB22" s="397" t="n">
        <v>0</v>
      </c>
      <c r="BC22" s="397" t="n">
        <v>0</v>
      </c>
      <c r="BD22" s="397" t="n">
        <v>0</v>
      </c>
      <c r="BE22" s="397" t="n">
        <v>0</v>
      </c>
      <c r="BF22" s="397" t="n">
        <v>0</v>
      </c>
      <c r="BG22" s="397" t="n">
        <v>0</v>
      </c>
      <c r="BH22" s="397" t="n">
        <v>0</v>
      </c>
      <c r="BI22" s="397" t="n">
        <v>0</v>
      </c>
      <c r="BJ22" s="397" t="n">
        <v>0</v>
      </c>
      <c r="BK22" s="397" t="n">
        <v>0</v>
      </c>
      <c r="BL22" s="397" t="n">
        <v>0</v>
      </c>
      <c r="BM22" s="397" t="n">
        <v>0</v>
      </c>
      <c r="BN22" s="397" t="n">
        <v>0</v>
      </c>
      <c r="BO22" s="397" t="n">
        <v>0</v>
      </c>
      <c r="BP22" s="397" t="n">
        <v>0</v>
      </c>
      <c r="BQ22" s="397" t="n">
        <v>0</v>
      </c>
      <c r="BR22" s="397" t="n">
        <v>0</v>
      </c>
      <c r="BS22" s="397" t="n">
        <v>0</v>
      </c>
      <c r="BT22" s="397" t="n">
        <v>0</v>
      </c>
      <c r="BU22" s="397" t="n">
        <v>0</v>
      </c>
      <c r="BV22" s="397" t="n">
        <v>0</v>
      </c>
      <c r="BW22" s="397" t="n">
        <v>0</v>
      </c>
      <c r="BX22" s="397" t="n">
        <v>0</v>
      </c>
      <c r="BY22" s="397" t="n">
        <v>0</v>
      </c>
      <c r="BZ22" s="397" t="n">
        <v>0</v>
      </c>
      <c r="CA22" s="397" t="n">
        <v>0</v>
      </c>
      <c r="CB22" s="397" t="n">
        <v>0</v>
      </c>
      <c r="CC22" s="397" t="n">
        <v>0</v>
      </c>
      <c r="CD22" s="397" t="n">
        <v>0</v>
      </c>
      <c r="CE22" s="397" t="n">
        <v>0</v>
      </c>
      <c r="CF22" s="397" t="n">
        <v>0</v>
      </c>
      <c r="CG22" s="397" t="n">
        <v>0</v>
      </c>
      <c r="CH22" s="397" t="n">
        <v>0</v>
      </c>
      <c r="CI22" s="397" t="n">
        <v>0</v>
      </c>
      <c r="CJ22" s="397" t="n">
        <v>0</v>
      </c>
      <c r="CK22" s="397" t="n">
        <v>0</v>
      </c>
      <c r="CL22" s="397" t="n">
        <v>0</v>
      </c>
      <c r="CM22" s="397" t="n">
        <v>0</v>
      </c>
      <c r="CN22" s="397" t="n">
        <v>0</v>
      </c>
      <c r="CO22" s="397" t="n">
        <v>0</v>
      </c>
    </row>
    <row r="23">
      <c r="A23" s="163" t="n"/>
      <c r="B23" s="163" t="n"/>
      <c r="C23" s="172" t="n"/>
      <c r="D23" s="88" t="n"/>
      <c r="E23" s="169" t="inlineStr">
        <is>
          <t>Share capital - additional injection</t>
        </is>
      </c>
      <c r="F23" s="169" t="n"/>
      <c r="G23" s="169" t="inlineStr">
        <is>
          <t>$ 000s</t>
        </is>
      </c>
      <c r="H23" s="169">
        <f> SUM(J23:CO23)</f>
        <v>0.0</v>
      </c>
      <c r="I23" s="169" t="n"/>
      <c r="J23" s="397" t="n">
        <v>0</v>
      </c>
      <c r="K23" s="397" t="n">
        <v>0</v>
      </c>
      <c r="L23" s="397" t="n">
        <v>0</v>
      </c>
      <c r="M23" s="397" t="n">
        <v>0</v>
      </c>
      <c r="N23" s="397" t="n">
        <v>0</v>
      </c>
      <c r="O23" s="397" t="n">
        <v>0</v>
      </c>
      <c r="P23" s="397" t="n">
        <v>0</v>
      </c>
      <c r="Q23" s="397" t="n">
        <v>0</v>
      </c>
      <c r="R23" s="397" t="n">
        <v>0</v>
      </c>
      <c r="S23" s="397" t="n">
        <v>0</v>
      </c>
      <c r="T23" s="397" t="n">
        <v>0</v>
      </c>
      <c r="U23" s="397" t="n">
        <v>0</v>
      </c>
      <c r="V23" s="397" t="n">
        <v>0</v>
      </c>
      <c r="W23" s="397" t="n">
        <v>0</v>
      </c>
      <c r="X23" s="397" t="n">
        <v>0</v>
      </c>
      <c r="Y23" s="397" t="n">
        <v>0</v>
      </c>
      <c r="Z23" s="397" t="n">
        <v>0</v>
      </c>
      <c r="AA23" s="397" t="n">
        <v>0</v>
      </c>
      <c r="AB23" s="397" t="n">
        <v>0</v>
      </c>
      <c r="AC23" s="397" t="n">
        <v>0</v>
      </c>
      <c r="AD23" s="397" t="n">
        <v>0</v>
      </c>
      <c r="AE23" s="397" t="n">
        <v>0</v>
      </c>
      <c r="AF23" s="397" t="n">
        <v>0</v>
      </c>
      <c r="AG23" s="397" t="n">
        <v>0</v>
      </c>
      <c r="AH23" s="397" t="n">
        <v>0</v>
      </c>
      <c r="AI23" s="397" t="n">
        <v>0</v>
      </c>
      <c r="AJ23" s="397" t="n">
        <v>0</v>
      </c>
      <c r="AK23" s="397" t="n">
        <v>0</v>
      </c>
      <c r="AL23" s="397" t="n">
        <v>0</v>
      </c>
      <c r="AM23" s="397" t="n">
        <v>0</v>
      </c>
      <c r="AN23" s="397" t="n">
        <v>0</v>
      </c>
      <c r="AO23" s="397" t="n">
        <v>0</v>
      </c>
      <c r="AP23" s="397" t="n">
        <v>0</v>
      </c>
      <c r="AQ23" s="397" t="n">
        <v>0</v>
      </c>
      <c r="AR23" s="397" t="n">
        <v>0</v>
      </c>
      <c r="AS23" s="397" t="n">
        <v>0</v>
      </c>
      <c r="AT23" s="397" t="n">
        <v>0</v>
      </c>
      <c r="AU23" s="397" t="n">
        <v>0</v>
      </c>
      <c r="AV23" s="397" t="n">
        <v>0</v>
      </c>
      <c r="AW23" s="397" t="n">
        <v>0</v>
      </c>
      <c r="AX23" s="397" t="n">
        <v>0</v>
      </c>
      <c r="AY23" s="397" t="n">
        <v>0</v>
      </c>
      <c r="AZ23" s="397" t="n">
        <v>0</v>
      </c>
      <c r="BA23" s="397" t="n">
        <v>0</v>
      </c>
      <c r="BB23" s="397" t="n">
        <v>0</v>
      </c>
      <c r="BC23" s="397" t="n">
        <v>0</v>
      </c>
      <c r="BD23" s="397" t="n">
        <v>0</v>
      </c>
      <c r="BE23" s="397" t="n">
        <v>0</v>
      </c>
      <c r="BF23" s="397" t="n">
        <v>0</v>
      </c>
      <c r="BG23" s="397" t="n">
        <v>0</v>
      </c>
      <c r="BH23" s="397" t="n">
        <v>0</v>
      </c>
      <c r="BI23" s="397" t="n">
        <v>0</v>
      </c>
      <c r="BJ23" s="397" t="n">
        <v>0</v>
      </c>
      <c r="BK23" s="397" t="n">
        <v>0</v>
      </c>
      <c r="BL23" s="397" t="n">
        <v>0</v>
      </c>
      <c r="BM23" s="397" t="n">
        <v>0</v>
      </c>
      <c r="BN23" s="397" t="n">
        <v>0</v>
      </c>
      <c r="BO23" s="397" t="n">
        <v>0</v>
      </c>
      <c r="BP23" s="397" t="n">
        <v>0</v>
      </c>
      <c r="BQ23" s="397" t="n">
        <v>0</v>
      </c>
      <c r="BR23" s="397" t="n">
        <v>0</v>
      </c>
      <c r="BS23" s="397" t="n">
        <v>0</v>
      </c>
      <c r="BT23" s="397" t="n">
        <v>0</v>
      </c>
      <c r="BU23" s="397" t="n">
        <v>0</v>
      </c>
      <c r="BV23" s="397" t="n">
        <v>0</v>
      </c>
      <c r="BW23" s="397" t="n">
        <v>0</v>
      </c>
      <c r="BX23" s="397" t="n">
        <v>0</v>
      </c>
      <c r="BY23" s="397" t="n">
        <v>0</v>
      </c>
      <c r="BZ23" s="397" t="n">
        <v>0</v>
      </c>
      <c r="CA23" s="397" t="n">
        <v>0</v>
      </c>
      <c r="CB23" s="397" t="n">
        <v>0</v>
      </c>
      <c r="CC23" s="397" t="n">
        <v>0</v>
      </c>
      <c r="CD23" s="397" t="n">
        <v>0</v>
      </c>
      <c r="CE23" s="397" t="n">
        <v>0</v>
      </c>
      <c r="CF23" s="397" t="n">
        <v>0</v>
      </c>
      <c r="CG23" s="397" t="n">
        <v>0</v>
      </c>
      <c r="CH23" s="397" t="n">
        <v>0</v>
      </c>
      <c r="CI23" s="397" t="n">
        <v>0</v>
      </c>
      <c r="CJ23" s="397" t="n">
        <v>0</v>
      </c>
      <c r="CK23" s="397" t="n">
        <v>0</v>
      </c>
      <c r="CL23" s="397" t="n">
        <v>0</v>
      </c>
      <c r="CM23" s="397" t="n">
        <v>0</v>
      </c>
      <c r="CN23" s="397" t="n">
        <v>0</v>
      </c>
      <c r="CO23" s="397" t="n">
        <v>0</v>
      </c>
    </row>
    <row r="74">
      <c r="J74" s="61" t="n"/>
    </row>
  </sheetData>
  <conditionalFormatting sqref="J3:XFD3">
    <cfRule type="cellIs" priority="13" operator="equal" dxfId="1" stopIfTrue="1">
      <formula>"Pre-fcst"</formula>
    </cfRule>
    <cfRule type="cellIs" priority="14"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5.xml><?xml version="1.0" encoding="utf-8"?>
<worksheet xmlns="http://schemas.openxmlformats.org/spreadsheetml/2006/main">
  <sheetPr>
    <tabColor rgb="001C7293"/>
    <outlinePr summaryBelow="0" summaryRight="0"/>
    <pageSetUpPr/>
  </sheetPr>
  <dimension ref="A1:CO121"/>
  <sheetViews>
    <sheetView showGridLines="0" defaultGridColor="0" colorId="22" zoomScale="99" zoomScaleNormal="99" workbookViewId="0">
      <pane xSplit="9" ySplit="5" topLeftCell="J6" activePane="bottomRight" state="frozen"/>
      <selection activeCell="F2" sqref="F2:G4"/>
      <selection pane="topRight" activeCell="F2" sqref="F2:G4"/>
      <selection pane="bottomLeft" activeCell="F2" sqref="F2:G4"/>
      <selection pane="bottomRight" activeCell="E14" sqref="E14"/>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98">
      <c r="A1" s="1">
        <f> RIGHT(CELL("filename", A1), LEN(CELL("filename", A1)) - SEARCH("]", CELL("filename", A1)))</f>
        <v/>
      </c>
      <c r="B1" s="294" t="n"/>
      <c r="C1" s="212" t="n"/>
      <c r="D1" s="244"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c r="AA1" s="61" t="n"/>
      <c r="AB1" s="61" t="n"/>
      <c r="AC1" s="61" t="n"/>
      <c r="AD1" s="61" t="n"/>
      <c r="AE1" s="61" t="n"/>
      <c r="AF1" s="61" t="n"/>
      <c r="AG1" s="61" t="n"/>
      <c r="AH1" s="61" t="n"/>
      <c r="AI1" s="61" t="n"/>
      <c r="AJ1" s="61" t="n"/>
      <c r="AK1" s="61" t="n"/>
      <c r="AL1" s="61" t="n"/>
      <c r="AM1" s="61" t="n"/>
      <c r="AN1" s="61" t="n"/>
      <c r="AO1" s="61" t="n"/>
      <c r="AP1" s="61" t="n"/>
      <c r="AQ1" s="61" t="n"/>
      <c r="AR1" s="61" t="n"/>
      <c r="AS1" s="61" t="n"/>
      <c r="AT1" s="61" t="n"/>
      <c r="AU1" s="61" t="n"/>
      <c r="AV1" s="61" t="n"/>
      <c r="AW1" s="61" t="n"/>
      <c r="AX1" s="61" t="n"/>
      <c r="AY1" s="61" t="n"/>
      <c r="AZ1" s="61" t="n"/>
      <c r="BA1" s="61" t="n"/>
      <c r="BB1" s="61" t="n"/>
      <c r="BC1" s="61" t="n"/>
      <c r="BD1" s="61" t="n"/>
      <c r="BE1" s="61" t="n"/>
      <c r="BF1" s="61" t="n"/>
      <c r="BG1" s="61" t="n"/>
      <c r="BH1" s="61" t="n"/>
      <c r="BI1" s="61" t="n"/>
      <c r="BJ1" s="61" t="n"/>
      <c r="BK1" s="61" t="n"/>
      <c r="BL1" s="61" t="n"/>
      <c r="BM1" s="61" t="n"/>
      <c r="BN1" s="61" t="n"/>
      <c r="BO1" s="61" t="n"/>
      <c r="BP1" s="61" t="n"/>
      <c r="BQ1" s="61" t="n"/>
      <c r="BR1" s="61" t="n"/>
      <c r="BS1" s="61" t="n"/>
      <c r="BT1" s="61" t="n"/>
      <c r="BU1" s="61" t="n"/>
      <c r="BV1" s="61" t="n"/>
      <c r="BW1" s="61" t="n"/>
      <c r="BX1" s="61" t="n"/>
      <c r="BY1" s="61" t="n"/>
      <c r="BZ1" s="61" t="n"/>
      <c r="CA1" s="61" t="n"/>
      <c r="CB1" s="61" t="n"/>
      <c r="CC1" s="61" t="n"/>
      <c r="CD1" s="61" t="n"/>
      <c r="CE1" s="61" t="n"/>
      <c r="CF1" s="61" t="n"/>
      <c r="CG1" s="61" t="n"/>
      <c r="CH1" s="61" t="n"/>
      <c r="CI1" s="61" t="n"/>
      <c r="CJ1" s="61" t="n"/>
      <c r="CK1" s="61" t="n"/>
      <c r="CL1" s="61" t="n"/>
      <c r="CM1" s="61" t="n"/>
      <c r="CN1" s="61" t="n"/>
      <c r="CO1" s="61" t="n"/>
    </row>
    <row r="2" ht="15" customFormat="1" customHeight="1" s="21">
      <c r="A2" s="167" t="n"/>
      <c r="B2" s="167" t="n"/>
      <c r="C2" s="237" t="n"/>
      <c r="D2" s="18" t="n"/>
      <c r="E2" s="205" t="str">
        <f> Time!E$25</f>
        <v>Model period ending </v>
      </c>
      <c r="F2" s="0" t="n"/>
      <c r="G2" s="0" t="n"/>
      <c r="H2" s="170" t="n"/>
      <c r="I2" s="167"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21">
      <c r="A3" s="167" t="n"/>
      <c r="B3" s="167" t="n"/>
      <c r="C3" s="237" t="n"/>
      <c r="D3" s="18" t="n"/>
      <c r="E3" s="205" t="str">
        <f> Time!E$111</f>
        <v>Timeline label</v>
      </c>
      <c r="F3" s="0" t="n"/>
      <c r="G3" s="0" t="n"/>
      <c r="H3" s="170" t="n"/>
      <c r="I3" s="167"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99">
      <c r="A4" s="82" t="n"/>
      <c r="B4" s="82" t="n"/>
      <c r="C4" s="83" t="n"/>
      <c r="D4" s="84" t="n"/>
      <c r="E4" s="205" t="str">
        <f> Time!E$37</f>
        <v>Financial year ending</v>
      </c>
      <c r="F4" s="0" t="n"/>
      <c r="G4" s="0" t="n"/>
      <c r="H4" s="85" t="n"/>
      <c r="I4" s="85"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29">
      <c r="A5" s="294" t="n"/>
      <c r="B5" s="294" t="n"/>
      <c r="C5" s="212" t="n"/>
      <c r="D5" s="244" t="n"/>
      <c r="E5" s="205" t="str">
        <f> Time!E$10</f>
        <v>Model column counter</v>
      </c>
      <c r="F5" s="20" t="inlineStr">
        <is>
          <t>Constant</t>
        </is>
      </c>
      <c r="G5" s="294" t="inlineStr">
        <is>
          <t>Unit</t>
        </is>
      </c>
      <c r="H5" s="20" t="inlineStr">
        <is>
          <t>Total</t>
        </is>
      </c>
      <c r="I5" s="61" t="n"/>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ustomFormat="1" s="29">
      <c r="A7" s="294" t="inlineStr">
        <is>
          <t>TIME RULER</t>
        </is>
      </c>
      <c r="B7" s="294" t="n"/>
      <c r="C7" s="212" t="n"/>
      <c r="D7" s="244" t="n"/>
      <c r="E7" s="61" t="n"/>
      <c r="F7" s="61" t="n"/>
      <c r="G7" s="100" t="n"/>
      <c r="H7" s="61" t="n"/>
      <c r="I7" s="61" t="n"/>
      <c r="J7" s="61" t="n"/>
      <c r="K7" s="61" t="n"/>
      <c r="L7" s="61" t="n"/>
      <c r="M7" s="61" t="n"/>
      <c r="N7" s="61" t="n"/>
      <c r="O7" s="61" t="n"/>
      <c r="P7" s="61" t="n"/>
      <c r="Q7" s="61" t="n"/>
      <c r="R7" s="61" t="n"/>
      <c r="S7" s="61" t="n"/>
      <c r="T7" s="61" t="n"/>
      <c r="U7" s="61" t="n"/>
      <c r="V7" s="61" t="n"/>
      <c r="W7" s="61" t="n"/>
      <c r="X7" s="61" t="n"/>
      <c r="Y7" s="61" t="n"/>
      <c r="Z7" s="61" t="n"/>
      <c r="AA7" s="61" t="n"/>
      <c r="AB7" s="61" t="n"/>
      <c r="AC7" s="61" t="n"/>
      <c r="AD7" s="61" t="n"/>
      <c r="AE7" s="61" t="n"/>
      <c r="AF7" s="61" t="n"/>
      <c r="AG7" s="61" t="n"/>
      <c r="AH7" s="61" t="n"/>
      <c r="AI7" s="61" t="n"/>
      <c r="AJ7" s="61" t="n"/>
      <c r="AK7" s="61" t="n"/>
      <c r="AL7" s="61" t="n"/>
      <c r="AM7" s="61" t="n"/>
      <c r="AN7" s="61" t="n"/>
      <c r="AO7" s="61" t="n"/>
      <c r="AP7" s="61" t="n"/>
      <c r="AQ7" s="61" t="n"/>
      <c r="AR7" s="61" t="n"/>
      <c r="AS7" s="61" t="n"/>
      <c r="AT7" s="61" t="n"/>
      <c r="AU7" s="61" t="n"/>
      <c r="AV7" s="61" t="n"/>
      <c r="AW7" s="61" t="n"/>
      <c r="AX7" s="61" t="n"/>
      <c r="AY7" s="61" t="n"/>
      <c r="AZ7" s="61" t="n"/>
      <c r="BA7" s="61" t="n"/>
      <c r="BB7" s="61" t="n"/>
      <c r="BC7" s="61" t="n"/>
      <c r="BD7" s="61" t="n"/>
      <c r="BE7" s="61" t="n"/>
      <c r="BF7" s="61" t="n"/>
      <c r="BG7" s="61" t="n"/>
      <c r="BH7" s="61" t="n"/>
      <c r="BI7" s="61" t="n"/>
      <c r="BJ7" s="61" t="n"/>
      <c r="BK7" s="61" t="n"/>
      <c r="BL7" s="61" t="n"/>
      <c r="BM7" s="61" t="n"/>
      <c r="BN7" s="61" t="n"/>
      <c r="BO7" s="61" t="n"/>
      <c r="BP7" s="61" t="n"/>
      <c r="BQ7" s="61" t="n"/>
      <c r="BR7" s="61" t="n"/>
      <c r="BS7" s="61" t="n"/>
      <c r="BT7" s="61" t="n"/>
      <c r="BU7" s="61" t="n"/>
      <c r="BV7" s="61" t="n"/>
      <c r="BW7" s="61" t="n"/>
      <c r="BX7" s="61" t="n"/>
      <c r="BY7" s="61" t="n"/>
      <c r="BZ7" s="61" t="n"/>
      <c r="CA7" s="61" t="n"/>
      <c r="CB7" s="61" t="n"/>
      <c r="CC7" s="61" t="n"/>
      <c r="CD7" s="61" t="n"/>
      <c r="CE7" s="61" t="n"/>
      <c r="CF7" s="61" t="n"/>
      <c r="CG7" s="61" t="n"/>
      <c r="CH7" s="61" t="n"/>
      <c r="CI7" s="61" t="n"/>
      <c r="CJ7" s="61" t="n"/>
      <c r="CK7" s="61" t="n"/>
      <c r="CL7" s="61" t="n"/>
      <c r="CM7" s="61" t="n"/>
      <c r="CN7" s="61" t="n"/>
      <c r="CO7" s="61" t="n"/>
    </row>
    <row r="8" customFormat="1" s="29">
      <c r="A8" s="294" t="n"/>
      <c r="B8" s="294" t="n"/>
      <c r="C8" s="212" t="n"/>
      <c r="D8" s="244" t="n"/>
      <c r="E8" s="61" t="n"/>
      <c r="F8" s="61" t="n"/>
      <c r="G8" s="100" t="n"/>
      <c r="H8" s="61" t="n"/>
      <c r="I8" s="61" t="n"/>
      <c r="J8" s="61" t="n"/>
      <c r="K8" s="61" t="n"/>
      <c r="L8" s="61" t="n"/>
      <c r="M8" s="61" t="n"/>
      <c r="N8" s="61" t="n"/>
      <c r="O8" s="61" t="n"/>
      <c r="P8" s="61" t="n"/>
      <c r="Q8" s="61" t="n"/>
      <c r="R8" s="61" t="n"/>
      <c r="S8" s="61" t="n"/>
      <c r="T8" s="61" t="n"/>
      <c r="U8" s="61" t="n"/>
      <c r="V8" s="61" t="n"/>
      <c r="W8" s="61" t="n"/>
      <c r="X8" s="61" t="n"/>
      <c r="Y8" s="61" t="n"/>
      <c r="Z8" s="61" t="n"/>
      <c r="AA8" s="61" t="n"/>
      <c r="AB8" s="61" t="n"/>
      <c r="AC8" s="61" t="n"/>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n"/>
      <c r="AZ8" s="61" t="n"/>
      <c r="BA8" s="61" t="n"/>
      <c r="BB8" s="61" t="n"/>
      <c r="BC8" s="61" t="n"/>
      <c r="BD8" s="61" t="n"/>
      <c r="BE8" s="61" t="n"/>
      <c r="BF8" s="61" t="n"/>
      <c r="BG8" s="61" t="n"/>
      <c r="BH8" s="61" t="n"/>
      <c r="BI8" s="61" t="n"/>
      <c r="BJ8" s="61" t="n"/>
      <c r="BK8" s="61" t="n"/>
      <c r="BL8" s="61" t="n"/>
      <c r="BM8" s="61" t="n"/>
      <c r="BN8" s="61" t="n"/>
      <c r="BO8" s="61" t="n"/>
      <c r="BP8" s="61" t="n"/>
      <c r="BQ8" s="61" t="n"/>
      <c r="BR8" s="61" t="n"/>
      <c r="BS8" s="61" t="n"/>
      <c r="BT8" s="61" t="n"/>
      <c r="BU8" s="61" t="n"/>
      <c r="BV8" s="61" t="n"/>
      <c r="BW8" s="61" t="n"/>
      <c r="BX8" s="61" t="n"/>
      <c r="BY8" s="61" t="n"/>
      <c r="BZ8" s="61" t="n"/>
      <c r="CA8" s="61" t="n"/>
      <c r="CB8" s="61" t="n"/>
      <c r="CC8" s="61" t="n"/>
      <c r="CD8" s="61" t="n"/>
      <c r="CE8" s="61" t="n"/>
      <c r="CF8" s="61" t="n"/>
      <c r="CG8" s="61" t="n"/>
      <c r="CH8" s="61" t="n"/>
      <c r="CI8" s="61" t="n"/>
      <c r="CJ8" s="61" t="n"/>
      <c r="CK8" s="61" t="n"/>
      <c r="CL8" s="61" t="n"/>
      <c r="CM8" s="61" t="n"/>
      <c r="CN8" s="61" t="n"/>
      <c r="CO8" s="61" t="n"/>
    </row>
    <row r="9" customFormat="1" s="29">
      <c r="A9" s="294" t="n"/>
      <c r="B9" s="294" t="inlineStr">
        <is>
          <t>First model column flag</t>
        </is>
      </c>
      <c r="C9" s="212" t="n"/>
      <c r="D9" s="244" t="n"/>
      <c r="E9" s="61" t="n"/>
      <c r="F9" s="61" t="n"/>
      <c r="G9" s="100" t="n"/>
      <c r="H9" s="61" t="n"/>
      <c r="I9" s="61" t="n"/>
      <c r="J9" s="61" t="n"/>
      <c r="K9" s="61" t="n"/>
      <c r="L9" s="61" t="n"/>
      <c r="M9" s="61" t="n"/>
      <c r="N9" s="61" t="n"/>
      <c r="O9" s="61" t="n"/>
      <c r="P9" s="61" t="n"/>
      <c r="Q9" s="61" t="n"/>
      <c r="R9" s="61" t="n"/>
      <c r="S9" s="61" t="n"/>
      <c r="T9" s="61" t="n"/>
      <c r="U9" s="61" t="n"/>
      <c r="V9" s="61" t="n"/>
      <c r="W9" s="61" t="n"/>
      <c r="X9" s="61" t="n"/>
      <c r="Y9" s="61" t="n"/>
      <c r="Z9" s="61" t="n"/>
      <c r="AA9" s="61" t="n"/>
      <c r="AB9" s="61" t="n"/>
      <c r="AC9" s="61" t="n"/>
      <c r="AD9" s="61" t="n"/>
      <c r="AE9" s="61" t="n"/>
      <c r="AF9" s="61" t="n"/>
      <c r="AG9" s="61" t="n"/>
      <c r="AH9" s="61" t="n"/>
      <c r="AI9" s="61" t="n"/>
      <c r="AJ9" s="61" t="n"/>
      <c r="AK9" s="61" t="n"/>
      <c r="AL9" s="61" t="n"/>
      <c r="AM9" s="61" t="n"/>
      <c r="AN9" s="61" t="n"/>
      <c r="AO9" s="61" t="n"/>
      <c r="AP9" s="61" t="n"/>
      <c r="AQ9" s="61" t="n"/>
      <c r="AR9" s="61" t="n"/>
      <c r="AS9" s="61" t="n"/>
      <c r="AT9" s="61" t="n"/>
      <c r="AU9" s="61" t="n"/>
      <c r="AV9" s="61" t="n"/>
      <c r="AW9" s="61" t="n"/>
      <c r="AX9" s="61" t="n"/>
      <c r="AY9" s="61" t="n"/>
      <c r="AZ9" s="61" t="n"/>
      <c r="BA9" s="61" t="n"/>
      <c r="BB9" s="61" t="n"/>
      <c r="BC9" s="61" t="n"/>
      <c r="BD9" s="61" t="n"/>
      <c r="BE9" s="61" t="n"/>
      <c r="BF9" s="61" t="n"/>
      <c r="BG9" s="61" t="n"/>
      <c r="BH9" s="61" t="n"/>
      <c r="BI9" s="61" t="n"/>
      <c r="BJ9" s="61" t="n"/>
      <c r="BK9" s="61" t="n"/>
      <c r="BL9" s="61" t="n"/>
      <c r="BM9" s="61" t="n"/>
      <c r="BN9" s="61" t="n"/>
      <c r="BO9" s="61" t="n"/>
      <c r="BP9" s="61" t="n"/>
      <c r="BQ9" s="61" t="n"/>
      <c r="BR9" s="61" t="n"/>
      <c r="BS9" s="61" t="n"/>
      <c r="BT9" s="61" t="n"/>
      <c r="BU9" s="61" t="n"/>
      <c r="BV9" s="61" t="n"/>
      <c r="BW9" s="61" t="n"/>
      <c r="BX9" s="61" t="n"/>
      <c r="BY9" s="61" t="n"/>
      <c r="BZ9" s="61" t="n"/>
      <c r="CA9" s="61" t="n"/>
      <c r="CB9" s="61" t="n"/>
      <c r="CC9" s="61" t="n"/>
      <c r="CD9" s="61" t="n"/>
      <c r="CE9" s="61" t="n"/>
      <c r="CF9" s="61" t="n"/>
      <c r="CG9" s="61" t="n"/>
      <c r="CH9" s="61" t="n"/>
      <c r="CI9" s="61" t="n"/>
      <c r="CJ9" s="61" t="n"/>
      <c r="CK9" s="61" t="n"/>
      <c r="CL9" s="61" t="n"/>
      <c r="CM9" s="61" t="n"/>
      <c r="CN9" s="61" t="n"/>
      <c r="CO9" s="61" t="n"/>
    </row>
    <row r="10" customFormat="1" s="376">
      <c r="A10" s="371" t="n"/>
      <c r="B10" s="371" t="n"/>
      <c r="C10" s="372" t="n"/>
      <c r="D10" s="374" t="n"/>
      <c r="E10" s="374" t="inlineStr">
        <is>
          <t>Model column counter</t>
        </is>
      </c>
      <c r="F10" s="374" t="n"/>
      <c r="G10" s="374" t="inlineStr">
        <is>
          <t>counter</t>
        </is>
      </c>
      <c r="H10" s="374" t="n"/>
      <c r="I10" s="375" t="n"/>
      <c r="J10" s="374">
        <f> I10 + 1</f>
        <v>1.0</v>
      </c>
      <c r="K10" s="374">
        <f> J10 + 1</f>
        <v>2.0</v>
      </c>
      <c r="L10" s="374">
        <f> K10 + 1</f>
        <v>3.0</v>
      </c>
      <c r="M10" s="374">
        <f> L10 + 1</f>
        <v>4.0</v>
      </c>
      <c r="N10" s="374">
        <f> M10 + 1</f>
        <v>5.0</v>
      </c>
      <c r="O10" s="374">
        <f> N10 + 1</f>
        <v>6.0</v>
      </c>
      <c r="P10" s="374">
        <f> O10 + 1</f>
        <v>7.0</v>
      </c>
      <c r="Q10" s="374">
        <f> P10 + 1</f>
        <v>8.0</v>
      </c>
      <c r="R10" s="374">
        <f> Q10 + 1</f>
        <v>9.0</v>
      </c>
      <c r="S10" s="374">
        <f> R10 + 1</f>
        <v>10.0</v>
      </c>
      <c r="T10" s="374">
        <f> S10 + 1</f>
        <v>11.0</v>
      </c>
      <c r="U10" s="374">
        <f> T10 + 1</f>
        <v>12.0</v>
      </c>
      <c r="V10" s="374">
        <f> U10 + 1</f>
        <v>13.0</v>
      </c>
      <c r="W10" s="374">
        <f> V10 + 1</f>
        <v>14.0</v>
      </c>
      <c r="X10" s="374">
        <f> W10 + 1</f>
        <v>15.0</v>
      </c>
      <c r="Y10" s="374">
        <f> X10 + 1</f>
        <v>16.0</v>
      </c>
      <c r="Z10" s="374">
        <f> Y10 + 1</f>
        <v>17.0</v>
      </c>
      <c r="AA10" s="374">
        <f> Z10 + 1</f>
        <v>18.0</v>
      </c>
      <c r="AB10" s="374">
        <f> AA10 + 1</f>
        <v>19.0</v>
      </c>
      <c r="AC10" s="374">
        <f> AB10 + 1</f>
        <v>20.0</v>
      </c>
      <c r="AD10" s="374">
        <f> AC10 + 1</f>
        <v>21.0</v>
      </c>
      <c r="AE10" s="374">
        <f> AD10 + 1</f>
        <v>22.0</v>
      </c>
      <c r="AF10" s="374">
        <f> AE10 + 1</f>
        <v>23.0</v>
      </c>
      <c r="AG10" s="374">
        <f> AF10 + 1</f>
        <v>24.0</v>
      </c>
      <c r="AH10" s="374">
        <f> AG10 + 1</f>
        <v>25.0</v>
      </c>
      <c r="AI10" s="374">
        <f> AH10 + 1</f>
        <v>26.0</v>
      </c>
      <c r="AJ10" s="374">
        <f> AI10 + 1</f>
        <v>27.0</v>
      </c>
      <c r="AK10" s="374">
        <f> AJ10 + 1</f>
        <v>28.0</v>
      </c>
      <c r="AL10" s="374">
        <f> AK10 + 1</f>
        <v>29.0</v>
      </c>
      <c r="AM10" s="374">
        <f> AL10 + 1</f>
        <v>30.0</v>
      </c>
      <c r="AN10" s="374">
        <f> AM10 + 1</f>
        <v>31.0</v>
      </c>
      <c r="AO10" s="374">
        <f> AN10 + 1</f>
        <v>32.0</v>
      </c>
      <c r="AP10" s="374">
        <f> AO10 + 1</f>
        <v>33.0</v>
      </c>
      <c r="AQ10" s="374">
        <f> AP10 + 1</f>
        <v>34.0</v>
      </c>
      <c r="AR10" s="374">
        <f> AQ10 + 1</f>
        <v>35.0</v>
      </c>
      <c r="AS10" s="374">
        <f> AR10 + 1</f>
        <v>36.0</v>
      </c>
      <c r="AT10" s="374">
        <f> AS10 + 1</f>
        <v>37.0</v>
      </c>
      <c r="AU10" s="374">
        <f> AT10 + 1</f>
        <v>38.0</v>
      </c>
      <c r="AV10" s="374">
        <f> AU10 + 1</f>
        <v>39.0</v>
      </c>
      <c r="AW10" s="374">
        <f> AV10 + 1</f>
        <v>40.0</v>
      </c>
      <c r="AX10" s="374">
        <f> AW10 + 1</f>
        <v>41.0</v>
      </c>
      <c r="AY10" s="374">
        <f> AX10 + 1</f>
        <v>42.0</v>
      </c>
      <c r="AZ10" s="374">
        <f> AY10 + 1</f>
        <v>43.0</v>
      </c>
      <c r="BA10" s="374">
        <f> AZ10 + 1</f>
        <v>44.0</v>
      </c>
      <c r="BB10" s="374">
        <f> BA10 + 1</f>
        <v>45.0</v>
      </c>
      <c r="BC10" s="374">
        <f> BB10 + 1</f>
        <v>46.0</v>
      </c>
      <c r="BD10" s="374">
        <f> BC10 + 1</f>
        <v>47.0</v>
      </c>
      <c r="BE10" s="374">
        <f> BD10 + 1</f>
        <v>48.0</v>
      </c>
      <c r="BF10" s="374">
        <f> BE10 + 1</f>
        <v>49.0</v>
      </c>
      <c r="BG10" s="374">
        <f> BF10 + 1</f>
        <v>50.0</v>
      </c>
      <c r="BH10" s="374">
        <f> BG10 + 1</f>
        <v>51.0</v>
      </c>
      <c r="BI10" s="374">
        <f> BH10 + 1</f>
        <v>52.0</v>
      </c>
      <c r="BJ10" s="374">
        <f> BI10 + 1</f>
        <v>53.0</v>
      </c>
      <c r="BK10" s="374">
        <f> BJ10 + 1</f>
        <v>54.0</v>
      </c>
      <c r="BL10" s="374">
        <f> BK10 + 1</f>
        <v>55.0</v>
      </c>
      <c r="BM10" s="374">
        <f> BL10 + 1</f>
        <v>56.0</v>
      </c>
      <c r="BN10" s="374">
        <f> BM10 + 1</f>
        <v>57.0</v>
      </c>
      <c r="BO10" s="374">
        <f> BN10 + 1</f>
        <v>58.0</v>
      </c>
      <c r="BP10" s="374">
        <f> BO10 + 1</f>
        <v>59.0</v>
      </c>
      <c r="BQ10" s="374">
        <f> BP10 + 1</f>
        <v>60.0</v>
      </c>
      <c r="BR10" s="374">
        <f> BQ10 + 1</f>
        <v>61.0</v>
      </c>
      <c r="BS10" s="374">
        <f> BR10 + 1</f>
        <v>62.0</v>
      </c>
      <c r="BT10" s="374">
        <f> BS10 + 1</f>
        <v>63.0</v>
      </c>
      <c r="BU10" s="374">
        <f> BT10 + 1</f>
        <v>64.0</v>
      </c>
      <c r="BV10" s="374">
        <f> BU10 + 1</f>
        <v>65.0</v>
      </c>
      <c r="BW10" s="374">
        <f> BV10 + 1</f>
        <v>66.0</v>
      </c>
      <c r="BX10" s="374">
        <f> BW10 + 1</f>
        <v>67.0</v>
      </c>
      <c r="BY10" s="374">
        <f> BX10 + 1</f>
        <v>68.0</v>
      </c>
      <c r="BZ10" s="374">
        <f> BY10 + 1</f>
        <v>69.0</v>
      </c>
      <c r="CA10" s="374">
        <f> BZ10 + 1</f>
        <v>70.0</v>
      </c>
      <c r="CB10" s="374">
        <f> CA10 + 1</f>
        <v>71.0</v>
      </c>
      <c r="CC10" s="374">
        <f> CB10 + 1</f>
        <v>72.0</v>
      </c>
      <c r="CD10" s="374">
        <f> CC10 + 1</f>
        <v>73.0</v>
      </c>
      <c r="CE10" s="374">
        <f> CD10 + 1</f>
        <v>74.0</v>
      </c>
      <c r="CF10" s="374">
        <f> CE10 + 1</f>
        <v>75.0</v>
      </c>
      <c r="CG10" s="374">
        <f> CF10 + 1</f>
        <v>76.0</v>
      </c>
      <c r="CH10" s="374">
        <f> CG10 + 1</f>
        <v>77.0</v>
      </c>
      <c r="CI10" s="374">
        <f> CH10 + 1</f>
        <v>78.0</v>
      </c>
      <c r="CJ10" s="374">
        <f> CI10 + 1</f>
        <v>79.0</v>
      </c>
      <c r="CK10" s="374">
        <f> CJ10 + 1</f>
        <v>80.0</v>
      </c>
      <c r="CL10" s="374">
        <f> CK10 + 1</f>
        <v>81.0</v>
      </c>
      <c r="CM10" s="374">
        <f> CL10 + 1</f>
        <v>82.0</v>
      </c>
      <c r="CN10" s="374">
        <f> CM10 + 1</f>
        <v>83.0</v>
      </c>
      <c r="CO10" s="374">
        <f> CN10 + 1</f>
        <v>84.0</v>
      </c>
    </row>
    <row r="11" customFormat="1" s="105">
      <c r="A11" s="101" t="n"/>
      <c r="B11" s="101" t="n"/>
      <c r="C11" s="102" t="n"/>
      <c r="D11" s="103" t="n"/>
      <c r="E11" s="61" t="inlineStr">
        <is>
          <t>Model column total</t>
        </is>
      </c>
      <c r="F11" s="104">
        <f>MAX(J10:CO10)</f>
        <v>84.0</v>
      </c>
      <c r="G11" s="61" t="inlineStr">
        <is>
          <t>columns</t>
        </is>
      </c>
      <c r="H11" s="103" t="n"/>
      <c r="I11" s="103" t="n"/>
      <c r="J11" s="103" t="n"/>
      <c r="K11" s="103" t="n"/>
      <c r="L11" s="103" t="n"/>
      <c r="M11" s="103" t="n"/>
      <c r="N11" s="103" t="n"/>
      <c r="O11" s="103" t="n"/>
      <c r="P11" s="103" t="n"/>
      <c r="Q11" s="103" t="n"/>
      <c r="R11" s="103" t="n"/>
      <c r="S11" s="103" t="n"/>
      <c r="T11" s="103" t="n"/>
      <c r="U11" s="103" t="n"/>
      <c r="V11" s="103" t="n"/>
      <c r="W11" s="103" t="n"/>
      <c r="X11" s="103" t="n"/>
      <c r="Y11" s="103" t="n"/>
      <c r="Z11" s="103" t="n"/>
      <c r="AA11" s="103" t="n"/>
      <c r="AB11" s="103" t="n"/>
      <c r="AC11" s="103" t="n"/>
      <c r="AD11" s="103" t="n"/>
      <c r="AE11" s="103" t="n"/>
      <c r="AF11" s="103" t="n"/>
      <c r="AG11" s="103" t="n"/>
      <c r="AH11" s="103" t="n"/>
      <c r="AI11" s="103" t="n"/>
      <c r="AJ11" s="103" t="n"/>
      <c r="AK11" s="103" t="n"/>
      <c r="AL11" s="103" t="n"/>
      <c r="AM11" s="103" t="n"/>
      <c r="AN11" s="103" t="n"/>
      <c r="AO11" s="103" t="n"/>
      <c r="AP11" s="103" t="n"/>
      <c r="AQ11" s="103" t="n"/>
      <c r="AR11" s="103" t="n"/>
      <c r="AS11" s="103" t="n"/>
      <c r="AT11" s="103" t="n"/>
      <c r="AU11" s="103" t="n"/>
      <c r="AV11" s="103" t="n"/>
      <c r="AW11" s="103" t="n"/>
      <c r="AX11" s="103" t="n"/>
      <c r="AY11" s="103" t="n"/>
      <c r="AZ11" s="103" t="n"/>
      <c r="BA11" s="103" t="n"/>
      <c r="BB11" s="103" t="n"/>
      <c r="BC11" s="103" t="n"/>
      <c r="BD11" s="103" t="n"/>
      <c r="BE11" s="103" t="n"/>
      <c r="BF11" s="103" t="n"/>
      <c r="BG11" s="103" t="n"/>
      <c r="BH11" s="103" t="n"/>
      <c r="BI11" s="103" t="n"/>
      <c r="BJ11" s="103" t="n"/>
      <c r="BK11" s="103" t="n"/>
      <c r="BL11" s="103" t="n"/>
      <c r="BM11" s="103" t="n"/>
      <c r="BN11" s="103" t="n"/>
      <c r="BO11" s="103" t="n"/>
      <c r="BP11" s="103" t="n"/>
      <c r="BQ11" s="103" t="n"/>
      <c r="BR11" s="103" t="n"/>
      <c r="BS11" s="103" t="n"/>
      <c r="BT11" s="103" t="n"/>
      <c r="BU11" s="103" t="n"/>
      <c r="BV11" s="103" t="n"/>
      <c r="BW11" s="103" t="n"/>
      <c r="BX11" s="103" t="n"/>
      <c r="BY11" s="103" t="n"/>
      <c r="BZ11" s="103" t="n"/>
      <c r="CA11" s="103" t="n"/>
      <c r="CB11" s="103" t="n"/>
      <c r="CC11" s="103" t="n"/>
      <c r="CD11" s="103" t="n"/>
      <c r="CE11" s="103" t="n"/>
      <c r="CF11" s="103" t="n"/>
      <c r="CG11" s="103" t="n"/>
      <c r="CH11" s="103" t="n"/>
      <c r="CI11" s="103" t="n"/>
      <c r="CJ11" s="103" t="n"/>
      <c r="CK11" s="103" t="n"/>
      <c r="CL11" s="103" t="n"/>
      <c r="CM11" s="103" t="n"/>
      <c r="CN11" s="103" t="n"/>
      <c r="CO11" s="103" t="n"/>
    </row>
    <row r="12" customFormat="1" s="105">
      <c r="A12" s="101" t="n"/>
      <c r="B12" s="101" t="n"/>
      <c r="C12" s="102" t="n"/>
      <c r="D12" s="103" t="n"/>
      <c r="E12" s="103" t="n"/>
      <c r="F12" s="103" t="n"/>
      <c r="G12" s="103" t="n"/>
      <c r="H12" s="103" t="n"/>
      <c r="I12" s="103" t="n"/>
      <c r="J12" s="103" t="n"/>
      <c r="K12" s="103" t="n"/>
      <c r="L12" s="103" t="n"/>
      <c r="M12" s="103" t="n"/>
      <c r="N12" s="103" t="n"/>
      <c r="O12" s="103" t="n"/>
      <c r="P12" s="103" t="n"/>
      <c r="Q12" s="103" t="n"/>
      <c r="R12" s="103" t="n"/>
      <c r="S12" s="103" t="n"/>
      <c r="T12" s="103" t="n"/>
      <c r="U12" s="103" t="n"/>
      <c r="V12" s="103" t="n"/>
      <c r="W12" s="103" t="n"/>
      <c r="X12" s="103" t="n"/>
      <c r="Y12" s="103" t="n"/>
      <c r="Z12" s="103" t="n"/>
      <c r="AA12" s="103" t="n"/>
      <c r="AB12" s="103" t="n"/>
      <c r="AC12" s="103" t="n"/>
      <c r="AD12" s="103" t="n"/>
      <c r="AE12" s="103" t="n"/>
      <c r="AF12" s="103" t="n"/>
      <c r="AG12" s="103" t="n"/>
      <c r="AH12" s="103" t="n"/>
      <c r="AI12" s="103" t="n"/>
      <c r="AJ12" s="103" t="n"/>
      <c r="AK12" s="103" t="n"/>
      <c r="AL12" s="103" t="n"/>
      <c r="AM12" s="103" t="n"/>
      <c r="AN12" s="103" t="n"/>
      <c r="AO12" s="103" t="n"/>
      <c r="AP12" s="103" t="n"/>
      <c r="AQ12" s="103" t="n"/>
      <c r="AR12" s="103" t="n"/>
      <c r="AS12" s="103" t="n"/>
      <c r="AT12" s="103" t="n"/>
      <c r="AU12" s="103" t="n"/>
      <c r="AV12" s="103" t="n"/>
      <c r="AW12" s="103" t="n"/>
      <c r="AX12" s="103" t="n"/>
      <c r="AY12" s="103" t="n"/>
      <c r="AZ12" s="103" t="n"/>
      <c r="BA12" s="103" t="n"/>
      <c r="BB12" s="103" t="n"/>
      <c r="BC12" s="103" t="n"/>
      <c r="BD12" s="103" t="n"/>
      <c r="BE12" s="103" t="n"/>
      <c r="BF12" s="103" t="n"/>
      <c r="BG12" s="103" t="n"/>
      <c r="BH12" s="103" t="n"/>
      <c r="BI12" s="103" t="n"/>
      <c r="BJ12" s="103" t="n"/>
      <c r="BK12" s="103" t="n"/>
      <c r="BL12" s="103" t="n"/>
      <c r="BM12" s="103" t="n"/>
      <c r="BN12" s="103" t="n"/>
      <c r="BO12" s="103" t="n"/>
      <c r="BP12" s="103" t="n"/>
      <c r="BQ12" s="103" t="n"/>
      <c r="BR12" s="103" t="n"/>
      <c r="BS12" s="103" t="n"/>
      <c r="BT12" s="103" t="n"/>
      <c r="BU12" s="103" t="n"/>
      <c r="BV12" s="103" t="n"/>
      <c r="BW12" s="103" t="n"/>
      <c r="BX12" s="103" t="n"/>
      <c r="BY12" s="103" t="n"/>
      <c r="BZ12" s="103" t="n"/>
      <c r="CA12" s="103" t="n"/>
      <c r="CB12" s="103" t="n"/>
      <c r="CC12" s="103" t="n"/>
      <c r="CD12" s="103" t="n"/>
      <c r="CE12" s="103" t="n"/>
      <c r="CF12" s="103" t="n"/>
      <c r="CG12" s="103" t="n"/>
      <c r="CH12" s="103" t="n"/>
      <c r="CI12" s="103" t="n"/>
      <c r="CJ12" s="103" t="n"/>
      <c r="CK12" s="103" t="n"/>
      <c r="CL12" s="103" t="n"/>
      <c r="CM12" s="103" t="n"/>
      <c r="CN12" s="103" t="n"/>
      <c r="CO12" s="103" t="n"/>
    </row>
    <row r="13" customFormat="1" s="105">
      <c r="A13" s="101" t="n"/>
      <c r="B13" s="101" t="n"/>
      <c r="C13" s="102" t="n"/>
      <c r="D13" s="103" t="n"/>
      <c r="E13" s="103" t="str">
        <f> E$10</f>
        <v>Model column counter</v>
      </c>
      <c r="F13" s="103">
        <f> F$10</f>
        <v>0.0</v>
      </c>
      <c r="G13" s="103" t="str">
        <f> G$10</f>
        <v>counter</v>
      </c>
      <c r="H13" s="103">
        <f> H$10</f>
        <v>0.0</v>
      </c>
      <c r="I13" s="103">
        <f> I$10</f>
        <v>0.0</v>
      </c>
      <c r="J13" s="103">
        <f> J$10</f>
        <v>1.0</v>
      </c>
      <c r="K13" s="103">
        <f> K$10</f>
        <v>2.0</v>
      </c>
      <c r="L13" s="103">
        <f> L$10</f>
        <v>3.0</v>
      </c>
      <c r="M13" s="103">
        <f> M$10</f>
        <v>4.0</v>
      </c>
      <c r="N13" s="103">
        <f> N$10</f>
        <v>5.0</v>
      </c>
      <c r="O13" s="103">
        <f> O$10</f>
        <v>6.0</v>
      </c>
      <c r="P13" s="103">
        <f> P$10</f>
        <v>7.0</v>
      </c>
      <c r="Q13" s="103">
        <f> Q$10</f>
        <v>8.0</v>
      </c>
      <c r="R13" s="103">
        <f> R$10</f>
        <v>9.0</v>
      </c>
      <c r="S13" s="103">
        <f> S$10</f>
        <v>10.0</v>
      </c>
      <c r="T13" s="103">
        <f> T$10</f>
        <v>11.0</v>
      </c>
      <c r="U13" s="103">
        <f> U$10</f>
        <v>12.0</v>
      </c>
      <c r="V13" s="103">
        <f> V$10</f>
        <v>13.0</v>
      </c>
      <c r="W13" s="103">
        <f> W$10</f>
        <v>14.0</v>
      </c>
      <c r="X13" s="103">
        <f> X$10</f>
        <v>15.0</v>
      </c>
      <c r="Y13" s="103">
        <f> Y$10</f>
        <v>16.0</v>
      </c>
      <c r="Z13" s="103">
        <f> Z$10</f>
        <v>17.0</v>
      </c>
      <c r="AA13" s="103">
        <f> AA$10</f>
        <v>18.0</v>
      </c>
      <c r="AB13" s="103">
        <f> AB$10</f>
        <v>19.0</v>
      </c>
      <c r="AC13" s="103">
        <f> AC$10</f>
        <v>20.0</v>
      </c>
      <c r="AD13" s="103">
        <f> AD$10</f>
        <v>21.0</v>
      </c>
      <c r="AE13" s="103">
        <f> AE$10</f>
        <v>22.0</v>
      </c>
      <c r="AF13" s="103">
        <f> AF$10</f>
        <v>23.0</v>
      </c>
      <c r="AG13" s="103">
        <f> AG$10</f>
        <v>24.0</v>
      </c>
      <c r="AH13" s="103">
        <f> AH$10</f>
        <v>25.0</v>
      </c>
      <c r="AI13" s="103">
        <f> AI$10</f>
        <v>26.0</v>
      </c>
      <c r="AJ13" s="103">
        <f> AJ$10</f>
        <v>27.0</v>
      </c>
      <c r="AK13" s="103">
        <f> AK$10</f>
        <v>28.0</v>
      </c>
      <c r="AL13" s="103">
        <f> AL$10</f>
        <v>29.0</v>
      </c>
      <c r="AM13" s="103">
        <f> AM$10</f>
        <v>30.0</v>
      </c>
      <c r="AN13" s="103">
        <f> AN$10</f>
        <v>31.0</v>
      </c>
      <c r="AO13" s="103">
        <f> AO$10</f>
        <v>32.0</v>
      </c>
      <c r="AP13" s="103">
        <f> AP$10</f>
        <v>33.0</v>
      </c>
      <c r="AQ13" s="103">
        <f> AQ$10</f>
        <v>34.0</v>
      </c>
      <c r="AR13" s="103">
        <f> AR$10</f>
        <v>35.0</v>
      </c>
      <c r="AS13" s="103">
        <f> AS$10</f>
        <v>36.0</v>
      </c>
      <c r="AT13" s="103">
        <f> AT$10</f>
        <v>37.0</v>
      </c>
      <c r="AU13" s="103">
        <f> AU$10</f>
        <v>38.0</v>
      </c>
      <c r="AV13" s="103">
        <f> AV$10</f>
        <v>39.0</v>
      </c>
      <c r="AW13" s="103">
        <f> AW$10</f>
        <v>40.0</v>
      </c>
      <c r="AX13" s="103">
        <f> AX$10</f>
        <v>41.0</v>
      </c>
      <c r="AY13" s="103">
        <f> AY$10</f>
        <v>42.0</v>
      </c>
      <c r="AZ13" s="103">
        <f> AZ$10</f>
        <v>43.0</v>
      </c>
      <c r="BA13" s="103">
        <f> BA$10</f>
        <v>44.0</v>
      </c>
      <c r="BB13" s="103">
        <f> BB$10</f>
        <v>45.0</v>
      </c>
      <c r="BC13" s="103">
        <f> BC$10</f>
        <v>46.0</v>
      </c>
      <c r="BD13" s="103">
        <f> BD$10</f>
        <v>47.0</v>
      </c>
      <c r="BE13" s="103">
        <f> BE$10</f>
        <v>48.0</v>
      </c>
      <c r="BF13" s="103">
        <f> BF$10</f>
        <v>49.0</v>
      </c>
      <c r="BG13" s="103">
        <f> BG$10</f>
        <v>50.0</v>
      </c>
      <c r="BH13" s="103">
        <f> BH$10</f>
        <v>51.0</v>
      </c>
      <c r="BI13" s="103">
        <f> BI$10</f>
        <v>52.0</v>
      </c>
      <c r="BJ13" s="103">
        <f> BJ$10</f>
        <v>53.0</v>
      </c>
      <c r="BK13" s="103">
        <f> BK$10</f>
        <v>54.0</v>
      </c>
      <c r="BL13" s="103">
        <f> BL$10</f>
        <v>55.0</v>
      </c>
      <c r="BM13" s="103">
        <f> BM$10</f>
        <v>56.0</v>
      </c>
      <c r="BN13" s="103">
        <f> BN$10</f>
        <v>57.0</v>
      </c>
      <c r="BO13" s="103">
        <f> BO$10</f>
        <v>58.0</v>
      </c>
      <c r="BP13" s="103">
        <f> BP$10</f>
        <v>59.0</v>
      </c>
      <c r="BQ13" s="103">
        <f> BQ$10</f>
        <v>60.0</v>
      </c>
      <c r="BR13" s="103">
        <f> BR$10</f>
        <v>61.0</v>
      </c>
      <c r="BS13" s="103">
        <f> BS$10</f>
        <v>62.0</v>
      </c>
      <c r="BT13" s="103">
        <f> BT$10</f>
        <v>63.0</v>
      </c>
      <c r="BU13" s="103">
        <f> BU$10</f>
        <v>64.0</v>
      </c>
      <c r="BV13" s="103">
        <f> BV$10</f>
        <v>65.0</v>
      </c>
      <c r="BW13" s="103">
        <f> BW$10</f>
        <v>66.0</v>
      </c>
      <c r="BX13" s="103">
        <f> BX$10</f>
        <v>67.0</v>
      </c>
      <c r="BY13" s="103">
        <f> BY$10</f>
        <v>68.0</v>
      </c>
      <c r="BZ13" s="103">
        <f> BZ$10</f>
        <v>69.0</v>
      </c>
      <c r="CA13" s="103">
        <f> CA$10</f>
        <v>70.0</v>
      </c>
      <c r="CB13" s="103">
        <f> CB$10</f>
        <v>71.0</v>
      </c>
      <c r="CC13" s="103">
        <f> CC$10</f>
        <v>72.0</v>
      </c>
      <c r="CD13" s="103">
        <f> CD$10</f>
        <v>73.0</v>
      </c>
      <c r="CE13" s="103">
        <f> CE$10</f>
        <v>74.0</v>
      </c>
      <c r="CF13" s="103">
        <f> CF$10</f>
        <v>75.0</v>
      </c>
      <c r="CG13" s="103">
        <f> CG$10</f>
        <v>76.0</v>
      </c>
      <c r="CH13" s="103">
        <f> CH$10</f>
        <v>77.0</v>
      </c>
      <c r="CI13" s="103">
        <f> CI$10</f>
        <v>78.0</v>
      </c>
      <c r="CJ13" s="103">
        <f> CJ$10</f>
        <v>79.0</v>
      </c>
      <c r="CK13" s="103">
        <f> CK$10</f>
        <v>80.0</v>
      </c>
      <c r="CL13" s="103">
        <f> CL$10</f>
        <v>81.0</v>
      </c>
      <c r="CM13" s="103">
        <f> CM$10</f>
        <v>82.0</v>
      </c>
      <c r="CN13" s="103">
        <f> CN$10</f>
        <v>83.0</v>
      </c>
      <c r="CO13" s="103">
        <f> CO$10</f>
        <v>84.0</v>
      </c>
    </row>
    <row r="14" customFormat="1" s="330">
      <c r="A14" s="326" t="n"/>
      <c r="B14" s="326" t="n"/>
      <c r="C14" s="327" t="n"/>
      <c r="D14" s="328" t="n"/>
      <c r="E14" s="345" t="inlineStr">
        <is>
          <t>First model column flag</t>
        </is>
      </c>
      <c r="F14" s="345" t="n"/>
      <c r="G14" s="345" t="inlineStr">
        <is>
          <t>flag</t>
        </is>
      </c>
      <c r="H14" s="345">
        <f>SUM(J14:CO14)</f>
        <v>1.0</v>
      </c>
      <c r="I14" s="345" t="n"/>
      <c r="J14" s="345">
        <f> IF(J13 = 1, 1, 0)</f>
        <v>1.0</v>
      </c>
      <c r="K14" s="345">
        <f> IF(K13 = 1, 1, 0)</f>
        <v>0.0</v>
      </c>
      <c r="L14" s="345">
        <f> IF(L13 = 1, 1, 0)</f>
        <v>0.0</v>
      </c>
      <c r="M14" s="345">
        <f> IF(M13 = 1, 1, 0)</f>
        <v>0.0</v>
      </c>
      <c r="N14" s="345">
        <f> IF(N13 = 1, 1, 0)</f>
        <v>0.0</v>
      </c>
      <c r="O14" s="345">
        <f> IF(O13 = 1, 1, 0)</f>
        <v>0.0</v>
      </c>
      <c r="P14" s="345">
        <f> IF(P13 = 1, 1, 0)</f>
        <v>0.0</v>
      </c>
      <c r="Q14" s="345">
        <f> IF(Q13 = 1, 1, 0)</f>
        <v>0.0</v>
      </c>
      <c r="R14" s="345">
        <f> IF(R13 = 1, 1, 0)</f>
        <v>0.0</v>
      </c>
      <c r="S14" s="345">
        <f> IF(S13 = 1, 1, 0)</f>
        <v>0.0</v>
      </c>
      <c r="T14" s="345">
        <f> IF(T13 = 1, 1, 0)</f>
        <v>0.0</v>
      </c>
      <c r="U14" s="345">
        <f> IF(U13 = 1, 1, 0)</f>
        <v>0.0</v>
      </c>
      <c r="V14" s="345">
        <f> IF(V13 = 1, 1, 0)</f>
        <v>0.0</v>
      </c>
      <c r="W14" s="345">
        <f> IF(W13 = 1, 1, 0)</f>
        <v>0.0</v>
      </c>
      <c r="X14" s="345">
        <f> IF(X13 = 1, 1, 0)</f>
        <v>0.0</v>
      </c>
      <c r="Y14" s="345">
        <f> IF(Y13 = 1, 1, 0)</f>
        <v>0.0</v>
      </c>
      <c r="Z14" s="345">
        <f> IF(Z13 = 1, 1, 0)</f>
        <v>0.0</v>
      </c>
      <c r="AA14" s="345">
        <f> IF(AA13 = 1, 1, 0)</f>
        <v>0.0</v>
      </c>
      <c r="AB14" s="345">
        <f> IF(AB13 = 1, 1, 0)</f>
        <v>0.0</v>
      </c>
      <c r="AC14" s="345">
        <f> IF(AC13 = 1, 1, 0)</f>
        <v>0.0</v>
      </c>
      <c r="AD14" s="345">
        <f> IF(AD13 = 1, 1, 0)</f>
        <v>0.0</v>
      </c>
      <c r="AE14" s="345">
        <f> IF(AE13 = 1, 1, 0)</f>
        <v>0.0</v>
      </c>
      <c r="AF14" s="345">
        <f> IF(AF13 = 1, 1, 0)</f>
        <v>0.0</v>
      </c>
      <c r="AG14" s="345">
        <f> IF(AG13 = 1, 1, 0)</f>
        <v>0.0</v>
      </c>
      <c r="AH14" s="345">
        <f> IF(AH13 = 1, 1, 0)</f>
        <v>0.0</v>
      </c>
      <c r="AI14" s="345">
        <f> IF(AI13 = 1, 1, 0)</f>
        <v>0.0</v>
      </c>
      <c r="AJ14" s="345">
        <f> IF(AJ13 = 1, 1, 0)</f>
        <v>0.0</v>
      </c>
      <c r="AK14" s="345">
        <f> IF(AK13 = 1, 1, 0)</f>
        <v>0.0</v>
      </c>
      <c r="AL14" s="345">
        <f> IF(AL13 = 1, 1, 0)</f>
        <v>0.0</v>
      </c>
      <c r="AM14" s="345">
        <f> IF(AM13 = 1, 1, 0)</f>
        <v>0.0</v>
      </c>
      <c r="AN14" s="345">
        <f> IF(AN13 = 1, 1, 0)</f>
        <v>0.0</v>
      </c>
      <c r="AO14" s="345">
        <f> IF(AO13 = 1, 1, 0)</f>
        <v>0.0</v>
      </c>
      <c r="AP14" s="345">
        <f> IF(AP13 = 1, 1, 0)</f>
        <v>0.0</v>
      </c>
      <c r="AQ14" s="345">
        <f> IF(AQ13 = 1, 1, 0)</f>
        <v>0.0</v>
      </c>
      <c r="AR14" s="345">
        <f> IF(AR13 = 1, 1, 0)</f>
        <v>0.0</v>
      </c>
      <c r="AS14" s="345">
        <f> IF(AS13 = 1, 1, 0)</f>
        <v>0.0</v>
      </c>
      <c r="AT14" s="345">
        <f> IF(AT13 = 1, 1, 0)</f>
        <v>0.0</v>
      </c>
      <c r="AU14" s="345">
        <f> IF(AU13 = 1, 1, 0)</f>
        <v>0.0</v>
      </c>
      <c r="AV14" s="345">
        <f> IF(AV13 = 1, 1, 0)</f>
        <v>0.0</v>
      </c>
      <c r="AW14" s="345">
        <f> IF(AW13 = 1, 1, 0)</f>
        <v>0.0</v>
      </c>
      <c r="AX14" s="345">
        <f> IF(AX13 = 1, 1, 0)</f>
        <v>0.0</v>
      </c>
      <c r="AY14" s="345">
        <f> IF(AY13 = 1, 1, 0)</f>
        <v>0.0</v>
      </c>
      <c r="AZ14" s="345">
        <f> IF(AZ13 = 1, 1, 0)</f>
        <v>0.0</v>
      </c>
      <c r="BA14" s="345">
        <f> IF(BA13 = 1, 1, 0)</f>
        <v>0.0</v>
      </c>
      <c r="BB14" s="345">
        <f> IF(BB13 = 1, 1, 0)</f>
        <v>0.0</v>
      </c>
      <c r="BC14" s="345">
        <f> IF(BC13 = 1, 1, 0)</f>
        <v>0.0</v>
      </c>
      <c r="BD14" s="345">
        <f> IF(BD13 = 1, 1, 0)</f>
        <v>0.0</v>
      </c>
      <c r="BE14" s="345">
        <f> IF(BE13 = 1, 1, 0)</f>
        <v>0.0</v>
      </c>
      <c r="BF14" s="345">
        <f> IF(BF13 = 1, 1, 0)</f>
        <v>0.0</v>
      </c>
      <c r="BG14" s="345">
        <f> IF(BG13 = 1, 1, 0)</f>
        <v>0.0</v>
      </c>
      <c r="BH14" s="345">
        <f> IF(BH13 = 1, 1, 0)</f>
        <v>0.0</v>
      </c>
      <c r="BI14" s="345">
        <f> IF(BI13 = 1, 1, 0)</f>
        <v>0.0</v>
      </c>
      <c r="BJ14" s="345">
        <f> IF(BJ13 = 1, 1, 0)</f>
        <v>0.0</v>
      </c>
      <c r="BK14" s="345">
        <f> IF(BK13 = 1, 1, 0)</f>
        <v>0.0</v>
      </c>
      <c r="BL14" s="345">
        <f> IF(BL13 = 1, 1, 0)</f>
        <v>0.0</v>
      </c>
      <c r="BM14" s="345">
        <f> IF(BM13 = 1, 1, 0)</f>
        <v>0.0</v>
      </c>
      <c r="BN14" s="345">
        <f> IF(BN13 = 1, 1, 0)</f>
        <v>0.0</v>
      </c>
      <c r="BO14" s="345">
        <f> IF(BO13 = 1, 1, 0)</f>
        <v>0.0</v>
      </c>
      <c r="BP14" s="345">
        <f> IF(BP13 = 1, 1, 0)</f>
        <v>0.0</v>
      </c>
      <c r="BQ14" s="345">
        <f> IF(BQ13 = 1, 1, 0)</f>
        <v>0.0</v>
      </c>
      <c r="BR14" s="345">
        <f> IF(BR13 = 1, 1, 0)</f>
        <v>0.0</v>
      </c>
      <c r="BS14" s="345">
        <f> IF(BS13 = 1, 1, 0)</f>
        <v>0.0</v>
      </c>
      <c r="BT14" s="345">
        <f> IF(BT13 = 1, 1, 0)</f>
        <v>0.0</v>
      </c>
      <c r="BU14" s="345">
        <f> IF(BU13 = 1, 1, 0)</f>
        <v>0.0</v>
      </c>
      <c r="BV14" s="345">
        <f> IF(BV13 = 1, 1, 0)</f>
        <v>0.0</v>
      </c>
      <c r="BW14" s="345">
        <f> IF(BW13 = 1, 1, 0)</f>
        <v>0.0</v>
      </c>
      <c r="BX14" s="345">
        <f> IF(BX13 = 1, 1, 0)</f>
        <v>0.0</v>
      </c>
      <c r="BY14" s="345">
        <f> IF(BY13 = 1, 1, 0)</f>
        <v>0.0</v>
      </c>
      <c r="BZ14" s="345">
        <f> IF(BZ13 = 1, 1, 0)</f>
        <v>0.0</v>
      </c>
      <c r="CA14" s="345">
        <f> IF(CA13 = 1, 1, 0)</f>
        <v>0.0</v>
      </c>
      <c r="CB14" s="345">
        <f> IF(CB13 = 1, 1, 0)</f>
        <v>0.0</v>
      </c>
      <c r="CC14" s="345">
        <f> IF(CC13 = 1, 1, 0)</f>
        <v>0.0</v>
      </c>
      <c r="CD14" s="345">
        <f> IF(CD13 = 1, 1, 0)</f>
        <v>0.0</v>
      </c>
      <c r="CE14" s="345">
        <f> IF(CE13 = 1, 1, 0)</f>
        <v>0.0</v>
      </c>
      <c r="CF14" s="345">
        <f> IF(CF13 = 1, 1, 0)</f>
        <v>0.0</v>
      </c>
      <c r="CG14" s="345">
        <f> IF(CG13 = 1, 1, 0)</f>
        <v>0.0</v>
      </c>
      <c r="CH14" s="345">
        <f> IF(CH13 = 1, 1, 0)</f>
        <v>0.0</v>
      </c>
      <c r="CI14" s="345">
        <f> IF(CI13 = 1, 1, 0)</f>
        <v>0.0</v>
      </c>
      <c r="CJ14" s="345">
        <f> IF(CJ13 = 1, 1, 0)</f>
        <v>0.0</v>
      </c>
      <c r="CK14" s="345">
        <f> IF(CK13 = 1, 1, 0)</f>
        <v>0.0</v>
      </c>
      <c r="CL14" s="345">
        <f> IF(CL13 = 1, 1, 0)</f>
        <v>0.0</v>
      </c>
      <c r="CM14" s="345">
        <f> IF(CM13 = 1, 1, 0)</f>
        <v>0.0</v>
      </c>
      <c r="CN14" s="345">
        <f> IF(CN13 = 1, 1, 0)</f>
        <v>0.0</v>
      </c>
      <c r="CO14" s="345">
        <f> IF(CO13 = 1, 1, 0)</f>
        <v>0.0</v>
      </c>
    </row>
    <row r="16">
      <c r="B16" s="294" t="inlineStr">
        <is>
          <t>Model period beginning</t>
        </is>
      </c>
    </row>
    <row r="17" customFormat="1" s="106">
      <c r="A17" s="125" t="n"/>
      <c r="B17" s="125" t="n"/>
      <c r="C17" s="126" t="n"/>
      <c r="D17" s="24" t="n"/>
      <c r="E17" s="173" t="str">
        <f> InpC!E$9</f>
        <v>First date of time rulers</v>
      </c>
      <c r="F17" s="173">
        <f> InpC!F$9</f>
        <v>44378.0</v>
      </c>
      <c r="G17" s="173" t="str">
        <f> InpC!G$9</f>
        <v>date</v>
      </c>
      <c r="H17" s="61" t="n"/>
      <c r="I17" s="61" t="n"/>
      <c r="J17" s="61" t="n"/>
      <c r="K17" s="61" t="n"/>
      <c r="L17" s="61" t="n"/>
      <c r="M17" s="61" t="n"/>
      <c r="N17" s="61" t="n"/>
      <c r="O17" s="61" t="n"/>
      <c r="P17" s="61" t="n"/>
      <c r="Q17" s="61" t="n"/>
      <c r="R17" s="61" t="n"/>
      <c r="S17" s="61" t="n"/>
      <c r="T17" s="61" t="n"/>
      <c r="U17" s="61" t="n"/>
      <c r="V17" s="61" t="n"/>
      <c r="W17" s="61" t="n"/>
      <c r="X17" s="61" t="n"/>
      <c r="Y17" s="61" t="n"/>
      <c r="Z17" s="61" t="n"/>
      <c r="AA17" s="61" t="n"/>
      <c r="AB17" s="61" t="n"/>
      <c r="AC17" s="61" t="n"/>
      <c r="AD17" s="61" t="n"/>
      <c r="AE17" s="61" t="n"/>
      <c r="AF17" s="61" t="n"/>
      <c r="AG17" s="61" t="n"/>
      <c r="AH17" s="61" t="n"/>
      <c r="AI17" s="61" t="n"/>
      <c r="AJ17" s="61" t="n"/>
      <c r="AK17" s="61" t="n"/>
      <c r="AL17" s="61" t="n"/>
      <c r="AM17" s="61" t="n"/>
      <c r="AN17" s="61" t="n"/>
      <c r="AO17" s="61" t="n"/>
      <c r="AP17" s="61" t="n"/>
      <c r="AQ17" s="61" t="n"/>
      <c r="AR17" s="61" t="n"/>
      <c r="AS17" s="61" t="n"/>
      <c r="AT17" s="61" t="n"/>
      <c r="AU17" s="61" t="n"/>
      <c r="AV17" s="61" t="n"/>
      <c r="AW17" s="61" t="n"/>
      <c r="AX17" s="61" t="n"/>
      <c r="AY17" s="61" t="n"/>
      <c r="AZ17" s="61" t="n"/>
      <c r="BA17" s="61" t="n"/>
      <c r="BB17" s="61" t="n"/>
      <c r="BC17" s="61" t="n"/>
      <c r="BD17" s="61" t="n"/>
      <c r="BE17" s="61" t="n"/>
      <c r="BF17" s="61" t="n"/>
      <c r="BG17" s="61" t="n"/>
      <c r="BH17" s="61" t="n"/>
      <c r="BI17" s="61" t="n"/>
      <c r="BJ17" s="61" t="n"/>
      <c r="BK17" s="61" t="n"/>
      <c r="BL17" s="61" t="n"/>
      <c r="BM17" s="61" t="n"/>
      <c r="BN17" s="61" t="n"/>
      <c r="BO17" s="61" t="n"/>
      <c r="BP17" s="61" t="n"/>
      <c r="BQ17" s="61" t="n"/>
      <c r="BR17" s="61" t="n"/>
      <c r="BS17" s="61" t="n"/>
      <c r="BT17" s="61" t="n"/>
      <c r="BU17" s="61" t="n"/>
      <c r="BV17" s="61" t="n"/>
      <c r="BW17" s="61" t="n"/>
      <c r="BX17" s="61" t="n"/>
      <c r="BY17" s="61" t="n"/>
      <c r="BZ17" s="61" t="n"/>
      <c r="CA17" s="61" t="n"/>
      <c r="CB17" s="61" t="n"/>
      <c r="CC17" s="61" t="n"/>
      <c r="CD17" s="61" t="n"/>
      <c r="CE17" s="61" t="n"/>
      <c r="CF17" s="61" t="n"/>
      <c r="CG17" s="61" t="n"/>
      <c r="CH17" s="61" t="n"/>
      <c r="CI17" s="61" t="n"/>
      <c r="CJ17" s="61" t="n"/>
      <c r="CK17" s="61" t="n"/>
      <c r="CL17" s="61" t="n"/>
      <c r="CM17" s="61" t="n"/>
      <c r="CN17" s="61" t="n"/>
      <c r="CO17" s="61" t="n"/>
    </row>
    <row r="18" customFormat="1" s="107">
      <c r="A18" s="61" t="n"/>
      <c r="B18" s="61" t="n"/>
      <c r="C18" s="61" t="n"/>
      <c r="D18" s="61" t="n"/>
      <c r="E18" s="325" t="str">
        <f> InpC!E$12</f>
        <v>Months per model period</v>
      </c>
      <c r="F18" s="325">
        <f> InpC!F$12</f>
        <v>3.0</v>
      </c>
      <c r="G18" s="325" t="str">
        <f> InpC!G$12</f>
        <v>months</v>
      </c>
      <c r="H18" s="61" t="n"/>
      <c r="I18" s="61" t="n"/>
      <c r="J18" s="61" t="n"/>
      <c r="K18" s="61" t="n"/>
      <c r="L18" s="61" t="n"/>
      <c r="M18" s="61" t="n"/>
      <c r="N18" s="61" t="n"/>
      <c r="O18" s="61" t="n"/>
      <c r="P18" s="61" t="n"/>
      <c r="Q18" s="61" t="n"/>
      <c r="R18" s="61" t="n"/>
      <c r="S18" s="61" t="n"/>
      <c r="T18" s="61" t="n"/>
      <c r="U18" s="61" t="n"/>
      <c r="V18" s="61" t="n"/>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n"/>
      <c r="AZ18" s="61" t="n"/>
      <c r="BA18" s="61" t="n"/>
      <c r="BB18" s="61" t="n"/>
      <c r="BC18" s="61" t="n"/>
      <c r="BD18" s="61" t="n"/>
      <c r="BE18" s="61" t="n"/>
      <c r="BF18" s="61" t="n"/>
      <c r="BG18" s="61" t="n"/>
      <c r="BH18" s="61" t="n"/>
      <c r="BI18" s="61" t="n"/>
      <c r="BJ18" s="61" t="n"/>
      <c r="BK18" s="61" t="n"/>
      <c r="BL18" s="61" t="n"/>
      <c r="BM18" s="61" t="n"/>
      <c r="BN18" s="61" t="n"/>
      <c r="BO18" s="61" t="n"/>
      <c r="BP18" s="61" t="n"/>
      <c r="BQ18" s="61" t="n"/>
      <c r="BR18" s="61" t="n"/>
      <c r="BS18" s="61" t="n"/>
      <c r="BT18" s="61" t="n"/>
      <c r="BU18" s="61" t="n"/>
      <c r="BV18" s="61" t="n"/>
      <c r="BW18" s="61" t="n"/>
      <c r="BX18" s="61" t="n"/>
      <c r="BY18" s="61" t="n"/>
      <c r="BZ18" s="61" t="n"/>
      <c r="CA18" s="61" t="n"/>
      <c r="CB18" s="61" t="n"/>
      <c r="CC18" s="61" t="n"/>
      <c r="CD18" s="61" t="n"/>
      <c r="CE18" s="61" t="n"/>
      <c r="CF18" s="61" t="n"/>
      <c r="CG18" s="61" t="n"/>
      <c r="CH18" s="61" t="n"/>
      <c r="CI18" s="61" t="n"/>
      <c r="CJ18" s="61" t="n"/>
      <c r="CK18" s="61" t="n"/>
      <c r="CL18" s="61" t="n"/>
      <c r="CM18" s="61" t="n"/>
      <c r="CN18" s="61" t="n"/>
      <c r="CO18" s="61" t="n"/>
    </row>
    <row r="19">
      <c r="E19" s="61" t="str">
        <f> E$14</f>
        <v>First model column flag</v>
      </c>
      <c r="F19" s="61">
        <f> F$14</f>
        <v>0.0</v>
      </c>
      <c r="G19" s="61" t="str">
        <f> G$14</f>
        <v>flag</v>
      </c>
      <c r="H19" s="61">
        <f> H$14</f>
        <v>1.0</v>
      </c>
      <c r="I19" s="61">
        <f> I$14</f>
        <v>0.0</v>
      </c>
      <c r="J19" s="61">
        <f> J$14</f>
        <v>1.0</v>
      </c>
      <c r="K19" s="61">
        <f> K$14</f>
        <v>0.0</v>
      </c>
      <c r="L19" s="61">
        <f> L$14</f>
        <v>0.0</v>
      </c>
      <c r="M19" s="61">
        <f> M$14</f>
        <v>0.0</v>
      </c>
      <c r="N19" s="61">
        <f> N$14</f>
        <v>0.0</v>
      </c>
      <c r="O19" s="61">
        <f> O$14</f>
        <v>0.0</v>
      </c>
      <c r="P19" s="61">
        <f> P$14</f>
        <v>0.0</v>
      </c>
      <c r="Q19" s="61">
        <f> Q$14</f>
        <v>0.0</v>
      </c>
      <c r="R19" s="61">
        <f> R$14</f>
        <v>0.0</v>
      </c>
      <c r="S19" s="61">
        <f> S$14</f>
        <v>0.0</v>
      </c>
      <c r="T19" s="61">
        <f> T$14</f>
        <v>0.0</v>
      </c>
      <c r="U19" s="61">
        <f> U$14</f>
        <v>0.0</v>
      </c>
      <c r="V19" s="61">
        <f> V$14</f>
        <v>0.0</v>
      </c>
      <c r="W19" s="61">
        <f> W$14</f>
        <v>0.0</v>
      </c>
      <c r="X19" s="61">
        <f> X$14</f>
        <v>0.0</v>
      </c>
      <c r="Y19" s="61">
        <f> Y$14</f>
        <v>0.0</v>
      </c>
      <c r="Z19" s="61">
        <f> Z$14</f>
        <v>0.0</v>
      </c>
      <c r="AA19" s="61">
        <f> AA$14</f>
        <v>0.0</v>
      </c>
      <c r="AB19" s="61">
        <f> AB$14</f>
        <v>0.0</v>
      </c>
      <c r="AC19" s="61">
        <f> AC$14</f>
        <v>0.0</v>
      </c>
      <c r="AD19" s="61">
        <f> AD$14</f>
        <v>0.0</v>
      </c>
      <c r="AE19" s="61">
        <f> AE$14</f>
        <v>0.0</v>
      </c>
      <c r="AF19" s="61">
        <f> AF$14</f>
        <v>0.0</v>
      </c>
      <c r="AG19" s="61">
        <f> AG$14</f>
        <v>0.0</v>
      </c>
      <c r="AH19" s="61">
        <f> AH$14</f>
        <v>0.0</v>
      </c>
      <c r="AI19" s="61">
        <f> AI$14</f>
        <v>0.0</v>
      </c>
      <c r="AJ19" s="61">
        <f> AJ$14</f>
        <v>0.0</v>
      </c>
      <c r="AK19" s="61">
        <f> AK$14</f>
        <v>0.0</v>
      </c>
      <c r="AL19" s="61">
        <f> AL$14</f>
        <v>0.0</v>
      </c>
      <c r="AM19" s="61">
        <f> AM$14</f>
        <v>0.0</v>
      </c>
      <c r="AN19" s="61">
        <f> AN$14</f>
        <v>0.0</v>
      </c>
      <c r="AO19" s="61">
        <f> AO$14</f>
        <v>0.0</v>
      </c>
      <c r="AP19" s="61">
        <f> AP$14</f>
        <v>0.0</v>
      </c>
      <c r="AQ19" s="61">
        <f> AQ$14</f>
        <v>0.0</v>
      </c>
      <c r="AR19" s="61">
        <f> AR$14</f>
        <v>0.0</v>
      </c>
      <c r="AS19" s="61">
        <f> AS$14</f>
        <v>0.0</v>
      </c>
      <c r="AT19" s="61">
        <f> AT$14</f>
        <v>0.0</v>
      </c>
      <c r="AU19" s="61">
        <f> AU$14</f>
        <v>0.0</v>
      </c>
      <c r="AV19" s="61">
        <f> AV$14</f>
        <v>0.0</v>
      </c>
      <c r="AW19" s="61">
        <f> AW$14</f>
        <v>0.0</v>
      </c>
      <c r="AX19" s="61">
        <f> AX$14</f>
        <v>0.0</v>
      </c>
      <c r="AY19" s="61">
        <f> AY$14</f>
        <v>0.0</v>
      </c>
      <c r="AZ19" s="61">
        <f> AZ$14</f>
        <v>0.0</v>
      </c>
      <c r="BA19" s="61">
        <f> BA$14</f>
        <v>0.0</v>
      </c>
      <c r="BB19" s="61">
        <f> BB$14</f>
        <v>0.0</v>
      </c>
      <c r="BC19" s="61">
        <f> BC$14</f>
        <v>0.0</v>
      </c>
      <c r="BD19" s="61">
        <f> BD$14</f>
        <v>0.0</v>
      </c>
      <c r="BE19" s="61">
        <f> BE$14</f>
        <v>0.0</v>
      </c>
      <c r="BF19" s="61">
        <f> BF$14</f>
        <v>0.0</v>
      </c>
      <c r="BG19" s="61">
        <f> BG$14</f>
        <v>0.0</v>
      </c>
      <c r="BH19" s="61">
        <f> BH$14</f>
        <v>0.0</v>
      </c>
      <c r="BI19" s="61">
        <f> BI$14</f>
        <v>0.0</v>
      </c>
      <c r="BJ19" s="61">
        <f> BJ$14</f>
        <v>0.0</v>
      </c>
      <c r="BK19" s="61">
        <f> BK$14</f>
        <v>0.0</v>
      </c>
      <c r="BL19" s="61">
        <f> BL$14</f>
        <v>0.0</v>
      </c>
      <c r="BM19" s="61">
        <f> BM$14</f>
        <v>0.0</v>
      </c>
      <c r="BN19" s="61">
        <f> BN$14</f>
        <v>0.0</v>
      </c>
      <c r="BO19" s="61">
        <f> BO$14</f>
        <v>0.0</v>
      </c>
      <c r="BP19" s="61">
        <f> BP$14</f>
        <v>0.0</v>
      </c>
      <c r="BQ19" s="61">
        <f> BQ$14</f>
        <v>0.0</v>
      </c>
      <c r="BR19" s="61">
        <f> BR$14</f>
        <v>0.0</v>
      </c>
      <c r="BS19" s="61">
        <f> BS$14</f>
        <v>0.0</v>
      </c>
      <c r="BT19" s="61">
        <f> BT$14</f>
        <v>0.0</v>
      </c>
      <c r="BU19" s="61">
        <f> BU$14</f>
        <v>0.0</v>
      </c>
      <c r="BV19" s="61">
        <f> BV$14</f>
        <v>0.0</v>
      </c>
      <c r="BW19" s="61">
        <f> BW$14</f>
        <v>0.0</v>
      </c>
      <c r="BX19" s="61">
        <f> BX$14</f>
        <v>0.0</v>
      </c>
      <c r="BY19" s="61">
        <f> BY$14</f>
        <v>0.0</v>
      </c>
      <c r="BZ19" s="61">
        <f> BZ$14</f>
        <v>0.0</v>
      </c>
      <c r="CA19" s="61">
        <f> CA$14</f>
        <v>0.0</v>
      </c>
      <c r="CB19" s="61">
        <f> CB$14</f>
        <v>0.0</v>
      </c>
      <c r="CC19" s="61">
        <f> CC$14</f>
        <v>0.0</v>
      </c>
      <c r="CD19" s="61">
        <f> CD$14</f>
        <v>0.0</v>
      </c>
      <c r="CE19" s="61">
        <f> CE$14</f>
        <v>0.0</v>
      </c>
      <c r="CF19" s="61">
        <f> CF$14</f>
        <v>0.0</v>
      </c>
      <c r="CG19" s="61">
        <f> CG$14</f>
        <v>0.0</v>
      </c>
      <c r="CH19" s="61">
        <f> CH$14</f>
        <v>0.0</v>
      </c>
      <c r="CI19" s="61">
        <f> CI$14</f>
        <v>0.0</v>
      </c>
      <c r="CJ19" s="61">
        <f> CJ$14</f>
        <v>0.0</v>
      </c>
      <c r="CK19" s="61">
        <f> CK$14</f>
        <v>0.0</v>
      </c>
      <c r="CL19" s="61">
        <f> CL$14</f>
        <v>0.0</v>
      </c>
      <c r="CM19" s="61">
        <f> CM$14</f>
        <v>0.0</v>
      </c>
      <c r="CN19" s="61">
        <f> CN$14</f>
        <v>0.0</v>
      </c>
      <c r="CO19" s="61">
        <f> CO$14</f>
        <v>0.0</v>
      </c>
    </row>
    <row r="20" customFormat="1" s="119">
      <c r="A20" s="167" t="n"/>
      <c r="B20" s="167" t="n"/>
      <c r="C20" s="237" t="n"/>
      <c r="D20" s="170" t="n"/>
      <c r="E20" s="205" t="inlineStr">
        <is>
          <t xml:space="preserve">Model period beginning </t>
        </is>
      </c>
      <c r="F20" s="205" t="n"/>
      <c r="G20" s="205" t="inlineStr">
        <is>
          <t>date</t>
        </is>
      </c>
      <c r="H20" s="205" t="n"/>
      <c r="I20" s="203" t="n"/>
      <c r="J20" s="205">
        <f> IF(J19 = 1, $F17, DATE(YEAR(I20), MONTH(I20) + $F18, DAY(1)))</f>
        <v>44378.0</v>
      </c>
      <c r="K20" s="205">
        <f> IF(K19 = 1, $F17, DATE(YEAR(J20), MONTH(J20) + $F18, DAY(1)))</f>
        <v>44470.0</v>
      </c>
      <c r="L20" s="205">
        <f> IF(L19 = 1, $F17, DATE(YEAR(K20), MONTH(K20) + $F18, DAY(1)))</f>
        <v>44562.0</v>
      </c>
      <c r="M20" s="205">
        <f> IF(M19 = 1, $F17, DATE(YEAR(L20), MONTH(L20) + $F18, DAY(1)))</f>
        <v>44652.0</v>
      </c>
      <c r="N20" s="205">
        <f> IF(N19 = 1, $F17, DATE(YEAR(M20), MONTH(M20) + $F18, DAY(1)))</f>
        <v>44743.0</v>
      </c>
      <c r="O20" s="205">
        <f> IF(O19 = 1, $F17, DATE(YEAR(N20), MONTH(N20) + $F18, DAY(1)))</f>
        <v>44835.0</v>
      </c>
      <c r="P20" s="205">
        <f> IF(P19 = 1, $F17, DATE(YEAR(O20), MONTH(O20) + $F18, DAY(1)))</f>
        <v>44927.0</v>
      </c>
      <c r="Q20" s="205">
        <f> IF(Q19 = 1, $F17, DATE(YEAR(P20), MONTH(P20) + $F18, DAY(1)))</f>
        <v>45017.0</v>
      </c>
      <c r="R20" s="205">
        <f> IF(R19 = 1, $F17, DATE(YEAR(Q20), MONTH(Q20) + $F18, DAY(1)))</f>
        <v>45108.0</v>
      </c>
      <c r="S20" s="205">
        <f> IF(S19 = 1, $F17, DATE(YEAR(R20), MONTH(R20) + $F18, DAY(1)))</f>
        <v>45200.0</v>
      </c>
      <c r="T20" s="205">
        <f> IF(T19 = 1, $F17, DATE(YEAR(S20), MONTH(S20) + $F18, DAY(1)))</f>
        <v>45292.0</v>
      </c>
      <c r="U20" s="205">
        <f> IF(U19 = 1, $F17, DATE(YEAR(T20), MONTH(T20) + $F18, DAY(1)))</f>
        <v>45383.0</v>
      </c>
      <c r="V20" s="205">
        <f> IF(V19 = 1, $F17, DATE(YEAR(U20), MONTH(U20) + $F18, DAY(1)))</f>
        <v>45474.0</v>
      </c>
      <c r="W20" s="205">
        <f> IF(W19 = 1, $F17, DATE(YEAR(V20), MONTH(V20) + $F18, DAY(1)))</f>
        <v>45566.0</v>
      </c>
      <c r="X20" s="205">
        <f> IF(X19 = 1, $F17, DATE(YEAR(W20), MONTH(W20) + $F18, DAY(1)))</f>
        <v>45658.0</v>
      </c>
      <c r="Y20" s="205">
        <f> IF(Y19 = 1, $F17, DATE(YEAR(X20), MONTH(X20) + $F18, DAY(1)))</f>
        <v>45748.0</v>
      </c>
      <c r="Z20" s="205">
        <f> IF(Z19 = 1, $F17, DATE(YEAR(Y20), MONTH(Y20) + $F18, DAY(1)))</f>
        <v>45839.0</v>
      </c>
      <c r="AA20" s="205">
        <f> IF(AA19 = 1, $F17, DATE(YEAR(Z20), MONTH(Z20) + $F18, DAY(1)))</f>
        <v>45931.0</v>
      </c>
      <c r="AB20" s="205">
        <f> IF(AB19 = 1, $F17, DATE(YEAR(AA20), MONTH(AA20) + $F18, DAY(1)))</f>
        <v>46023.0</v>
      </c>
      <c r="AC20" s="205">
        <f> IF(AC19 = 1, $F17, DATE(YEAR(AB20), MONTH(AB20) + $F18, DAY(1)))</f>
        <v>46113.0</v>
      </c>
      <c r="AD20" s="205">
        <f> IF(AD19 = 1, $F17, DATE(YEAR(AC20), MONTH(AC20) + $F18, DAY(1)))</f>
        <v>46204.0</v>
      </c>
      <c r="AE20" s="205">
        <f> IF(AE19 = 1, $F17, DATE(YEAR(AD20), MONTH(AD20) + $F18, DAY(1)))</f>
        <v>46296.0</v>
      </c>
      <c r="AF20" s="205">
        <f> IF(AF19 = 1, $F17, DATE(YEAR(AE20), MONTH(AE20) + $F18, DAY(1)))</f>
        <v>46388.0</v>
      </c>
      <c r="AG20" s="205">
        <f> IF(AG19 = 1, $F17, DATE(YEAR(AF20), MONTH(AF20) + $F18, DAY(1)))</f>
        <v>46478.0</v>
      </c>
      <c r="AH20" s="205">
        <f> IF(AH19 = 1, $F17, DATE(YEAR(AG20), MONTH(AG20) + $F18, DAY(1)))</f>
        <v>46569.0</v>
      </c>
      <c r="AI20" s="205">
        <f> IF(AI19 = 1, $F17, DATE(YEAR(AH20), MONTH(AH20) + $F18, DAY(1)))</f>
        <v>46661.0</v>
      </c>
      <c r="AJ20" s="205">
        <f> IF(AJ19 = 1, $F17, DATE(YEAR(AI20), MONTH(AI20) + $F18, DAY(1)))</f>
        <v>46753.0</v>
      </c>
      <c r="AK20" s="205">
        <f> IF(AK19 = 1, $F17, DATE(YEAR(AJ20), MONTH(AJ20) + $F18, DAY(1)))</f>
        <v>46844.0</v>
      </c>
      <c r="AL20" s="205">
        <f> IF(AL19 = 1, $F17, DATE(YEAR(AK20), MONTH(AK20) + $F18, DAY(1)))</f>
        <v>46935.0</v>
      </c>
      <c r="AM20" s="205">
        <f> IF(AM19 = 1, $F17, DATE(YEAR(AL20), MONTH(AL20) + $F18, DAY(1)))</f>
        <v>47027.0</v>
      </c>
      <c r="AN20" s="205">
        <f> IF(AN19 = 1, $F17, DATE(YEAR(AM20), MONTH(AM20) + $F18, DAY(1)))</f>
        <v>47119.0</v>
      </c>
      <c r="AO20" s="205">
        <f> IF(AO19 = 1, $F17, DATE(YEAR(AN20), MONTH(AN20) + $F18, DAY(1)))</f>
        <v>47209.0</v>
      </c>
      <c r="AP20" s="205">
        <f> IF(AP19 = 1, $F17, DATE(YEAR(AO20), MONTH(AO20) + $F18, DAY(1)))</f>
        <v>47300.0</v>
      </c>
      <c r="AQ20" s="205">
        <f> IF(AQ19 = 1, $F17, DATE(YEAR(AP20), MONTH(AP20) + $F18, DAY(1)))</f>
        <v>47392.0</v>
      </c>
      <c r="AR20" s="205">
        <f> IF(AR19 = 1, $F17, DATE(YEAR(AQ20), MONTH(AQ20) + $F18, DAY(1)))</f>
        <v>47484.0</v>
      </c>
      <c r="AS20" s="205">
        <f> IF(AS19 = 1, $F17, DATE(YEAR(AR20), MONTH(AR20) + $F18, DAY(1)))</f>
        <v>47574.0</v>
      </c>
      <c r="AT20" s="205">
        <f> IF(AT19 = 1, $F17, DATE(YEAR(AS20), MONTH(AS20) + $F18, DAY(1)))</f>
        <v>47665.0</v>
      </c>
      <c r="AU20" s="205">
        <f> IF(AU19 = 1, $F17, DATE(YEAR(AT20), MONTH(AT20) + $F18, DAY(1)))</f>
        <v>47757.0</v>
      </c>
      <c r="AV20" s="205">
        <f> IF(AV19 = 1, $F17, DATE(YEAR(AU20), MONTH(AU20) + $F18, DAY(1)))</f>
        <v>47849.0</v>
      </c>
      <c r="AW20" s="205">
        <f> IF(AW19 = 1, $F17, DATE(YEAR(AV20), MONTH(AV20) + $F18, DAY(1)))</f>
        <v>47939.0</v>
      </c>
      <c r="AX20" s="205">
        <f> IF(AX19 = 1, $F17, DATE(YEAR(AW20), MONTH(AW20) + $F18, DAY(1)))</f>
        <v>48030.0</v>
      </c>
      <c r="AY20" s="205">
        <f> IF(AY19 = 1, $F17, DATE(YEAR(AX20), MONTH(AX20) + $F18, DAY(1)))</f>
        <v>48122.0</v>
      </c>
      <c r="AZ20" s="205">
        <f> IF(AZ19 = 1, $F17, DATE(YEAR(AY20), MONTH(AY20) + $F18, DAY(1)))</f>
        <v>48214.0</v>
      </c>
      <c r="BA20" s="205">
        <f> IF(BA19 = 1, $F17, DATE(YEAR(AZ20), MONTH(AZ20) + $F18, DAY(1)))</f>
        <v>48305.0</v>
      </c>
      <c r="BB20" s="205">
        <f> IF(BB19 = 1, $F17, DATE(YEAR(BA20), MONTH(BA20) + $F18, DAY(1)))</f>
        <v>48396.0</v>
      </c>
      <c r="BC20" s="205">
        <f> IF(BC19 = 1, $F17, DATE(YEAR(BB20), MONTH(BB20) + $F18, DAY(1)))</f>
        <v>48488.0</v>
      </c>
      <c r="BD20" s="205">
        <f> IF(BD19 = 1, $F17, DATE(YEAR(BC20), MONTH(BC20) + $F18, DAY(1)))</f>
        <v>48580.0</v>
      </c>
      <c r="BE20" s="205">
        <f> IF(BE19 = 1, $F17, DATE(YEAR(BD20), MONTH(BD20) + $F18, DAY(1)))</f>
        <v>48670.0</v>
      </c>
      <c r="BF20" s="205">
        <f> IF(BF19 = 1, $F17, DATE(YEAR(BE20), MONTH(BE20) + $F18, DAY(1)))</f>
        <v>48761.0</v>
      </c>
      <c r="BG20" s="205">
        <f> IF(BG19 = 1, $F17, DATE(YEAR(BF20), MONTH(BF20) + $F18, DAY(1)))</f>
        <v>48853.0</v>
      </c>
      <c r="BH20" s="205">
        <f> IF(BH19 = 1, $F17, DATE(YEAR(BG20), MONTH(BG20) + $F18, DAY(1)))</f>
        <v>48945.0</v>
      </c>
      <c r="BI20" s="205">
        <f> IF(BI19 = 1, $F17, DATE(YEAR(BH20), MONTH(BH20) + $F18, DAY(1)))</f>
        <v>49035.0</v>
      </c>
      <c r="BJ20" s="205">
        <f> IF(BJ19 = 1, $F17, DATE(YEAR(BI20), MONTH(BI20) + $F18, DAY(1)))</f>
        <v>49126.0</v>
      </c>
      <c r="BK20" s="205">
        <f> IF(BK19 = 1, $F17, DATE(YEAR(BJ20), MONTH(BJ20) + $F18, DAY(1)))</f>
        <v>49218.0</v>
      </c>
      <c r="BL20" s="205">
        <f> IF(BL19 = 1, $F17, DATE(YEAR(BK20), MONTH(BK20) + $F18, DAY(1)))</f>
        <v>49310.0</v>
      </c>
      <c r="BM20" s="205">
        <f> IF(BM19 = 1, $F17, DATE(YEAR(BL20), MONTH(BL20) + $F18, DAY(1)))</f>
        <v>49400.0</v>
      </c>
      <c r="BN20" s="205">
        <f> IF(BN19 = 1, $F17, DATE(YEAR(BM20), MONTH(BM20) + $F18, DAY(1)))</f>
        <v>49491.0</v>
      </c>
      <c r="BO20" s="205">
        <f> IF(BO19 = 1, $F17, DATE(YEAR(BN20), MONTH(BN20) + $F18, DAY(1)))</f>
        <v>49583.0</v>
      </c>
      <c r="BP20" s="205">
        <f> IF(BP19 = 1, $F17, DATE(YEAR(BO20), MONTH(BO20) + $F18, DAY(1)))</f>
        <v>49675.0</v>
      </c>
      <c r="BQ20" s="205">
        <f> IF(BQ19 = 1, $F17, DATE(YEAR(BP20), MONTH(BP20) + $F18, DAY(1)))</f>
        <v>49766.0</v>
      </c>
      <c r="BR20" s="205">
        <f> IF(BR19 = 1, $F17, DATE(YEAR(BQ20), MONTH(BQ20) + $F18, DAY(1)))</f>
        <v>49857.0</v>
      </c>
      <c r="BS20" s="205">
        <f> IF(BS19 = 1, $F17, DATE(YEAR(BR20), MONTH(BR20) + $F18, DAY(1)))</f>
        <v>49949.0</v>
      </c>
      <c r="BT20" s="205">
        <f> IF(BT19 = 1, $F17, DATE(YEAR(BS20), MONTH(BS20) + $F18, DAY(1)))</f>
        <v>50041.0</v>
      </c>
      <c r="BU20" s="205">
        <f> IF(BU19 = 1, $F17, DATE(YEAR(BT20), MONTH(BT20) + $F18, DAY(1)))</f>
        <v>50131.0</v>
      </c>
      <c r="BV20" s="205">
        <f> IF(BV19 = 1, $F17, DATE(YEAR(BU20), MONTH(BU20) + $F18, DAY(1)))</f>
        <v>50222.0</v>
      </c>
      <c r="BW20" s="205">
        <f> IF(BW19 = 1, $F17, DATE(YEAR(BV20), MONTH(BV20) + $F18, DAY(1)))</f>
        <v>50314.0</v>
      </c>
      <c r="BX20" s="205">
        <f> IF(BX19 = 1, $F17, DATE(YEAR(BW20), MONTH(BW20) + $F18, DAY(1)))</f>
        <v>50406.0</v>
      </c>
      <c r="BY20" s="205">
        <f> IF(BY19 = 1, $F17, DATE(YEAR(BX20), MONTH(BX20) + $F18, DAY(1)))</f>
        <v>50496.0</v>
      </c>
      <c r="BZ20" s="205">
        <f> IF(BZ19 = 1, $F17, DATE(YEAR(BY20), MONTH(BY20) + $F18, DAY(1)))</f>
        <v>50587.0</v>
      </c>
      <c r="CA20" s="205">
        <f> IF(CA19 = 1, $F17, DATE(YEAR(BZ20), MONTH(BZ20) + $F18, DAY(1)))</f>
        <v>50679.0</v>
      </c>
      <c r="CB20" s="205">
        <f> IF(CB19 = 1, $F17, DATE(YEAR(CA20), MONTH(CA20) + $F18, DAY(1)))</f>
        <v>50771.0</v>
      </c>
      <c r="CC20" s="205">
        <f> IF(CC19 = 1, $F17, DATE(YEAR(CB20), MONTH(CB20) + $F18, DAY(1)))</f>
        <v>50861.0</v>
      </c>
      <c r="CD20" s="205">
        <f> IF(CD19 = 1, $F17, DATE(YEAR(CC20), MONTH(CC20) + $F18, DAY(1)))</f>
        <v>50952.0</v>
      </c>
      <c r="CE20" s="205">
        <f> IF(CE19 = 1, $F17, DATE(YEAR(CD20), MONTH(CD20) + $F18, DAY(1)))</f>
        <v>51044.0</v>
      </c>
      <c r="CF20" s="205">
        <f> IF(CF19 = 1, $F17, DATE(YEAR(CE20), MONTH(CE20) + $F18, DAY(1)))</f>
        <v>51136.0</v>
      </c>
      <c r="CG20" s="205">
        <f> IF(CG19 = 1, $F17, DATE(YEAR(CF20), MONTH(CF20) + $F18, DAY(1)))</f>
        <v>51227.0</v>
      </c>
      <c r="CH20" s="205">
        <f> IF(CH19 = 1, $F17, DATE(YEAR(CG20), MONTH(CG20) + $F18, DAY(1)))</f>
        <v>51318.0</v>
      </c>
      <c r="CI20" s="205">
        <f> IF(CI19 = 1, $F17, DATE(YEAR(CH20), MONTH(CH20) + $F18, DAY(1)))</f>
        <v>51410.0</v>
      </c>
      <c r="CJ20" s="205">
        <f> IF(CJ19 = 1, $F17, DATE(YEAR(CI20), MONTH(CI20) + $F18, DAY(1)))</f>
        <v>51502.0</v>
      </c>
      <c r="CK20" s="205">
        <f> IF(CK19 = 1, $F17, DATE(YEAR(CJ20), MONTH(CJ20) + $F18, DAY(1)))</f>
        <v>51592.0</v>
      </c>
      <c r="CL20" s="205">
        <f> IF(CL19 = 1, $F17, DATE(YEAR(CK20), MONTH(CK20) + $F18, DAY(1)))</f>
        <v>51683.0</v>
      </c>
      <c r="CM20" s="205">
        <f> IF(CM19 = 1, $F17, DATE(YEAR(CL20), MONTH(CL20) + $F18, DAY(1)))</f>
        <v>51775.0</v>
      </c>
      <c r="CN20" s="205">
        <f> IF(CN19 = 1, $F17, DATE(YEAR(CM20), MONTH(CM20) + $F18, DAY(1)))</f>
        <v>51867.0</v>
      </c>
      <c r="CO20" s="205">
        <f> IF(CO19 = 1, $F17, DATE(YEAR(CN20), MONTH(CN20) + $F18, DAY(1)))</f>
        <v>51957.0</v>
      </c>
    </row>
    <row r="21" customFormat="1" s="146">
      <c r="A21" s="163" t="n"/>
      <c r="B21" s="163" t="n"/>
      <c r="C21" s="172" t="n"/>
      <c r="D21" s="169" t="n"/>
      <c r="E21" s="169" t="n"/>
      <c r="F21" s="169" t="n"/>
      <c r="G21" s="169"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c r="AA21" s="169" t="n"/>
      <c r="AB21" s="169" t="n"/>
      <c r="AC21" s="169" t="n"/>
      <c r="AD21" s="169" t="n"/>
      <c r="AE21" s="169" t="n"/>
      <c r="AF21" s="169" t="n"/>
      <c r="AG21" s="169" t="n"/>
      <c r="AH21" s="169" t="n"/>
      <c r="AI21" s="169" t="n"/>
      <c r="AJ21" s="169" t="n"/>
      <c r="AK21" s="169" t="n"/>
      <c r="AL21" s="169" t="n"/>
      <c r="AM21" s="169" t="n"/>
      <c r="AN21" s="169" t="n"/>
      <c r="AO21" s="169" t="n"/>
      <c r="AP21" s="169" t="n"/>
      <c r="AQ21" s="169" t="n"/>
      <c r="AR21" s="169" t="n"/>
      <c r="AS21" s="169" t="n"/>
      <c r="AT21" s="169" t="n"/>
      <c r="AU21" s="169" t="n"/>
      <c r="AV21" s="169" t="n"/>
      <c r="AW21" s="169" t="n"/>
      <c r="AX21" s="169" t="n"/>
      <c r="AY21" s="169" t="n"/>
      <c r="AZ21" s="169" t="n"/>
      <c r="BA21" s="169" t="n"/>
      <c r="BB21" s="169" t="n"/>
      <c r="BC21" s="169" t="n"/>
      <c r="BD21" s="169" t="n"/>
      <c r="BE21" s="169" t="n"/>
      <c r="BF21" s="169" t="n"/>
      <c r="BG21" s="169" t="n"/>
      <c r="BH21" s="169" t="n"/>
      <c r="BI21" s="169" t="n"/>
      <c r="BJ21" s="169" t="n"/>
      <c r="BK21" s="169" t="n"/>
      <c r="BL21" s="169" t="n"/>
      <c r="BM21" s="169" t="n"/>
      <c r="BN21" s="169" t="n"/>
      <c r="BO21" s="169" t="n"/>
      <c r="BP21" s="169" t="n"/>
      <c r="BQ21" s="169" t="n"/>
      <c r="BR21" s="169" t="n"/>
      <c r="BS21" s="169" t="n"/>
      <c r="BT21" s="169" t="n"/>
      <c r="BU21" s="169" t="n"/>
      <c r="BV21" s="169" t="n"/>
      <c r="BW21" s="169" t="n"/>
      <c r="BX21" s="169" t="n"/>
      <c r="BY21" s="169" t="n"/>
      <c r="BZ21" s="169" t="n"/>
      <c r="CA21" s="169" t="n"/>
      <c r="CB21" s="169" t="n"/>
      <c r="CC21" s="169" t="n"/>
      <c r="CD21" s="169" t="n"/>
      <c r="CE21" s="169" t="n"/>
      <c r="CF21" s="169" t="n"/>
      <c r="CG21" s="169" t="n"/>
      <c r="CH21" s="169" t="n"/>
      <c r="CI21" s="169" t="n"/>
      <c r="CJ21" s="169" t="n"/>
      <c r="CK21" s="169" t="n"/>
      <c r="CL21" s="169" t="n"/>
      <c r="CM21" s="169" t="n"/>
      <c r="CN21" s="169" t="n"/>
      <c r="CO21" s="169" t="n"/>
    </row>
    <row r="22" customFormat="1" s="146">
      <c r="A22" s="163" t="n"/>
      <c r="B22" s="163" t="inlineStr">
        <is>
          <t>Model period ending</t>
        </is>
      </c>
      <c r="C22" s="172" t="n"/>
      <c r="D22" s="169" t="n"/>
      <c r="E22" s="169" t="n"/>
      <c r="F22" s="169" t="n"/>
      <c r="G22" s="169" t="n"/>
      <c r="H22" s="169" t="n"/>
      <c r="I22" s="169" t="n"/>
      <c r="J22" s="169" t="n"/>
      <c r="K22" s="169" t="n"/>
      <c r="L22" s="169" t="n"/>
      <c r="M22" s="169" t="n"/>
      <c r="N22" s="169" t="n"/>
      <c r="O22" s="169" t="n"/>
      <c r="P22" s="169" t="n"/>
      <c r="Q22" s="169" t="n"/>
      <c r="R22" s="169" t="n"/>
      <c r="S22" s="169" t="n"/>
      <c r="T22" s="169" t="n"/>
      <c r="U22" s="169" t="n"/>
      <c r="V22" s="169" t="n"/>
      <c r="W22" s="169" t="n"/>
      <c r="X22" s="169" t="n"/>
      <c r="Y22" s="169" t="n"/>
      <c r="Z22" s="169" t="n"/>
      <c r="AA22" s="169" t="n"/>
      <c r="AB22" s="169" t="n"/>
      <c r="AC22" s="169" t="n"/>
      <c r="AD22" s="169" t="n"/>
      <c r="AE22" s="169" t="n"/>
      <c r="AF22" s="169" t="n"/>
      <c r="AG22" s="169" t="n"/>
      <c r="AH22" s="169" t="n"/>
      <c r="AI22" s="169" t="n"/>
      <c r="AJ22" s="169" t="n"/>
      <c r="AK22" s="169" t="n"/>
      <c r="AL22" s="169" t="n"/>
      <c r="AM22" s="169" t="n"/>
      <c r="AN22" s="169" t="n"/>
      <c r="AO22" s="169" t="n"/>
      <c r="AP22" s="169" t="n"/>
      <c r="AQ22" s="169" t="n"/>
      <c r="AR22" s="169" t="n"/>
      <c r="AS22" s="169" t="n"/>
      <c r="AT22" s="169" t="n"/>
      <c r="AU22" s="169" t="n"/>
      <c r="AV22" s="169" t="n"/>
      <c r="AW22" s="169" t="n"/>
      <c r="AX22" s="169" t="n"/>
      <c r="AY22" s="169" t="n"/>
      <c r="AZ22" s="169" t="n"/>
      <c r="BA22" s="169" t="n"/>
      <c r="BB22" s="169" t="n"/>
      <c r="BC22" s="169" t="n"/>
      <c r="BD22" s="169" t="n"/>
      <c r="BE22" s="169" t="n"/>
      <c r="BF22" s="169" t="n"/>
      <c r="BG22" s="169" t="n"/>
      <c r="BH22" s="169" t="n"/>
      <c r="BI22" s="169" t="n"/>
      <c r="BJ22" s="169" t="n"/>
      <c r="BK22" s="169" t="n"/>
      <c r="BL22" s="169" t="n"/>
      <c r="BM22" s="169" t="n"/>
      <c r="BN22" s="169" t="n"/>
      <c r="BO22" s="169" t="n"/>
      <c r="BP22" s="169" t="n"/>
      <c r="BQ22" s="169" t="n"/>
      <c r="BR22" s="169" t="n"/>
      <c r="BS22" s="169" t="n"/>
      <c r="BT22" s="169" t="n"/>
      <c r="BU22" s="169" t="n"/>
      <c r="BV22" s="169" t="n"/>
      <c r="BW22" s="169" t="n"/>
      <c r="BX22" s="169" t="n"/>
      <c r="BY22" s="169" t="n"/>
      <c r="BZ22" s="169" t="n"/>
      <c r="CA22" s="169" t="n"/>
      <c r="CB22" s="169" t="n"/>
      <c r="CC22" s="169" t="n"/>
      <c r="CD22" s="169" t="n"/>
      <c r="CE22" s="169" t="n"/>
      <c r="CF22" s="169" t="n"/>
      <c r="CG22" s="169" t="n"/>
      <c r="CH22" s="169" t="n"/>
      <c r="CI22" s="169" t="n"/>
      <c r="CJ22" s="169" t="n"/>
      <c r="CK22" s="169" t="n"/>
      <c r="CL22" s="169" t="n"/>
      <c r="CM22" s="169" t="n"/>
      <c r="CN22" s="169" t="n"/>
      <c r="CO22" s="169" t="n"/>
    </row>
    <row r="23" customFormat="1" s="107">
      <c r="A23" s="61" t="n"/>
      <c r="B23" s="61" t="n"/>
      <c r="C23" s="61" t="n"/>
      <c r="D23" s="61" t="n"/>
      <c r="E23" s="325" t="str">
        <f> InpC!E$12</f>
        <v>Months per model period</v>
      </c>
      <c r="F23" s="325">
        <f> InpC!F$12</f>
        <v>3.0</v>
      </c>
      <c r="G23" s="325" t="str">
        <f> InpC!G$12</f>
        <v>months</v>
      </c>
      <c r="H23" s="61" t="n"/>
      <c r="I23" s="61" t="n"/>
      <c r="J23" s="61" t="n"/>
      <c r="K23" s="61" t="n"/>
      <c r="L23" s="61" t="n"/>
      <c r="M23" s="61" t="n"/>
      <c r="N23" s="61" t="n"/>
      <c r="O23" s="61" t="n"/>
      <c r="P23" s="61" t="n"/>
      <c r="Q23" s="61" t="n"/>
      <c r="R23" s="61" t="n"/>
      <c r="S23" s="61" t="n"/>
      <c r="T23" s="61" t="n"/>
      <c r="U23" s="61" t="n"/>
      <c r="V23" s="61" t="n"/>
      <c r="W23" s="61" t="n"/>
      <c r="X23" s="61" t="n"/>
      <c r="Y23" s="61" t="n"/>
      <c r="Z23" s="61" t="n"/>
      <c r="AA23" s="61" t="n"/>
      <c r="AB23" s="61" t="n"/>
      <c r="AC23" s="61" t="n"/>
      <c r="AD23" s="61" t="n"/>
      <c r="AE23" s="61" t="n"/>
      <c r="AF23" s="61" t="n"/>
      <c r="AG23" s="61" t="n"/>
      <c r="AH23" s="61" t="n"/>
      <c r="AI23" s="61" t="n"/>
      <c r="AJ23" s="61" t="n"/>
      <c r="AK23" s="61" t="n"/>
      <c r="AL23" s="61" t="n"/>
      <c r="AM23" s="61" t="n"/>
      <c r="AN23" s="61" t="n"/>
      <c r="AO23" s="61" t="n"/>
      <c r="AP23" s="61" t="n"/>
      <c r="AQ23" s="61" t="n"/>
      <c r="AR23" s="61" t="n"/>
      <c r="AS23" s="61" t="n"/>
      <c r="AT23" s="61" t="n"/>
      <c r="AU23" s="61" t="n"/>
      <c r="AV23" s="61" t="n"/>
      <c r="AW23" s="61" t="n"/>
      <c r="AX23" s="61" t="n"/>
      <c r="AY23" s="61" t="n"/>
      <c r="AZ23" s="61" t="n"/>
      <c r="BA23" s="61" t="n"/>
      <c r="BB23" s="61" t="n"/>
      <c r="BC23" s="61" t="n"/>
      <c r="BD23" s="61" t="n"/>
      <c r="BE23" s="61" t="n"/>
      <c r="BF23" s="61" t="n"/>
      <c r="BG23" s="61" t="n"/>
      <c r="BH23" s="61" t="n"/>
      <c r="BI23" s="61" t="n"/>
      <c r="BJ23" s="61" t="n"/>
      <c r="BK23" s="61" t="n"/>
      <c r="BL23" s="61" t="n"/>
      <c r="BM23" s="61" t="n"/>
      <c r="BN23" s="61" t="n"/>
      <c r="BO23" s="61" t="n"/>
      <c r="BP23" s="61" t="n"/>
      <c r="BQ23" s="61" t="n"/>
      <c r="BR23" s="61" t="n"/>
      <c r="BS23" s="61" t="n"/>
      <c r="BT23" s="61" t="n"/>
      <c r="BU23" s="61" t="n"/>
      <c r="BV23" s="61" t="n"/>
      <c r="BW23" s="61" t="n"/>
      <c r="BX23" s="61" t="n"/>
      <c r="BY23" s="61" t="n"/>
      <c r="BZ23" s="61" t="n"/>
      <c r="CA23" s="61" t="n"/>
      <c r="CB23" s="61" t="n"/>
      <c r="CC23" s="61" t="n"/>
      <c r="CD23" s="61" t="n"/>
      <c r="CE23" s="61" t="n"/>
      <c r="CF23" s="61" t="n"/>
      <c r="CG23" s="61" t="n"/>
      <c r="CH23" s="61" t="n"/>
      <c r="CI23" s="61" t="n"/>
      <c r="CJ23" s="61" t="n"/>
      <c r="CK23" s="61" t="n"/>
      <c r="CL23" s="61" t="n"/>
      <c r="CM23" s="61" t="n"/>
      <c r="CN23" s="61" t="n"/>
      <c r="CO23" s="61" t="n"/>
    </row>
    <row r="24" customFormat="1" s="119">
      <c r="A24" s="167" t="n"/>
      <c r="B24" s="167" t="n"/>
      <c r="C24" s="237" t="n"/>
      <c r="D24" s="170" t="n"/>
      <c r="E24" s="205" t="str">
        <f> E$20</f>
        <v>Model period beginning </v>
      </c>
      <c r="F24" s="205">
        <f> F$20</f>
        <v>0.0</v>
      </c>
      <c r="G24" s="205" t="str">
        <f> G$20</f>
        <v>date</v>
      </c>
      <c r="H24" s="205">
        <f> H$20</f>
        <v>0.0</v>
      </c>
      <c r="I24" s="205">
        <f> I$20</f>
        <v>0.0</v>
      </c>
      <c r="J24" s="205">
        <f> J$20</f>
        <v>44378.0</v>
      </c>
      <c r="K24" s="205">
        <f> K$20</f>
        <v>44470.0</v>
      </c>
      <c r="L24" s="205">
        <f> L$20</f>
        <v>44562.0</v>
      </c>
      <c r="M24" s="205">
        <f> M$20</f>
        <v>44652.0</v>
      </c>
      <c r="N24" s="205">
        <f> N$20</f>
        <v>44743.0</v>
      </c>
      <c r="O24" s="205">
        <f> O$20</f>
        <v>44835.0</v>
      </c>
      <c r="P24" s="205">
        <f> P$20</f>
        <v>44927.0</v>
      </c>
      <c r="Q24" s="205">
        <f> Q$20</f>
        <v>45017.0</v>
      </c>
      <c r="R24" s="205">
        <f> R$20</f>
        <v>45108.0</v>
      </c>
      <c r="S24" s="205">
        <f> S$20</f>
        <v>45200.0</v>
      </c>
      <c r="T24" s="205">
        <f> T$20</f>
        <v>45292.0</v>
      </c>
      <c r="U24" s="205">
        <f> U$20</f>
        <v>45383.0</v>
      </c>
      <c r="V24" s="205">
        <f> V$20</f>
        <v>45474.0</v>
      </c>
      <c r="W24" s="205">
        <f> W$20</f>
        <v>45566.0</v>
      </c>
      <c r="X24" s="205">
        <f> X$20</f>
        <v>45658.0</v>
      </c>
      <c r="Y24" s="205">
        <f> Y$20</f>
        <v>45748.0</v>
      </c>
      <c r="Z24" s="205">
        <f> Z$20</f>
        <v>45839.0</v>
      </c>
      <c r="AA24" s="205">
        <f> AA$20</f>
        <v>45931.0</v>
      </c>
      <c r="AB24" s="205">
        <f> AB$20</f>
        <v>46023.0</v>
      </c>
      <c r="AC24" s="205">
        <f> AC$20</f>
        <v>46113.0</v>
      </c>
      <c r="AD24" s="205">
        <f> AD$20</f>
        <v>46204.0</v>
      </c>
      <c r="AE24" s="205">
        <f> AE$20</f>
        <v>46296.0</v>
      </c>
      <c r="AF24" s="205">
        <f> AF$20</f>
        <v>46388.0</v>
      </c>
      <c r="AG24" s="205">
        <f> AG$20</f>
        <v>46478.0</v>
      </c>
      <c r="AH24" s="205">
        <f> AH$20</f>
        <v>46569.0</v>
      </c>
      <c r="AI24" s="205">
        <f> AI$20</f>
        <v>46661.0</v>
      </c>
      <c r="AJ24" s="205">
        <f> AJ$20</f>
        <v>46753.0</v>
      </c>
      <c r="AK24" s="205">
        <f> AK$20</f>
        <v>46844.0</v>
      </c>
      <c r="AL24" s="205">
        <f> AL$20</f>
        <v>46935.0</v>
      </c>
      <c r="AM24" s="205">
        <f> AM$20</f>
        <v>47027.0</v>
      </c>
      <c r="AN24" s="205">
        <f> AN$20</f>
        <v>47119.0</v>
      </c>
      <c r="AO24" s="205">
        <f> AO$20</f>
        <v>47209.0</v>
      </c>
      <c r="AP24" s="205">
        <f> AP$20</f>
        <v>47300.0</v>
      </c>
      <c r="AQ24" s="205">
        <f> AQ$20</f>
        <v>47392.0</v>
      </c>
      <c r="AR24" s="205">
        <f> AR$20</f>
        <v>47484.0</v>
      </c>
      <c r="AS24" s="205">
        <f> AS$20</f>
        <v>47574.0</v>
      </c>
      <c r="AT24" s="205">
        <f> AT$20</f>
        <v>47665.0</v>
      </c>
      <c r="AU24" s="205">
        <f> AU$20</f>
        <v>47757.0</v>
      </c>
      <c r="AV24" s="205">
        <f> AV$20</f>
        <v>47849.0</v>
      </c>
      <c r="AW24" s="205">
        <f> AW$20</f>
        <v>47939.0</v>
      </c>
      <c r="AX24" s="205">
        <f> AX$20</f>
        <v>48030.0</v>
      </c>
      <c r="AY24" s="205">
        <f> AY$20</f>
        <v>48122.0</v>
      </c>
      <c r="AZ24" s="205">
        <f> AZ$20</f>
        <v>48214.0</v>
      </c>
      <c r="BA24" s="205">
        <f> BA$20</f>
        <v>48305.0</v>
      </c>
      <c r="BB24" s="205">
        <f> BB$20</f>
        <v>48396.0</v>
      </c>
      <c r="BC24" s="205">
        <f> BC$20</f>
        <v>48488.0</v>
      </c>
      <c r="BD24" s="205">
        <f> BD$20</f>
        <v>48580.0</v>
      </c>
      <c r="BE24" s="205">
        <f> BE$20</f>
        <v>48670.0</v>
      </c>
      <c r="BF24" s="205">
        <f> BF$20</f>
        <v>48761.0</v>
      </c>
      <c r="BG24" s="205">
        <f> BG$20</f>
        <v>48853.0</v>
      </c>
      <c r="BH24" s="205">
        <f> BH$20</f>
        <v>48945.0</v>
      </c>
      <c r="BI24" s="205">
        <f> BI$20</f>
        <v>49035.0</v>
      </c>
      <c r="BJ24" s="205">
        <f> BJ$20</f>
        <v>49126.0</v>
      </c>
      <c r="BK24" s="205">
        <f> BK$20</f>
        <v>49218.0</v>
      </c>
      <c r="BL24" s="205">
        <f> BL$20</f>
        <v>49310.0</v>
      </c>
      <c r="BM24" s="205">
        <f> BM$20</f>
        <v>49400.0</v>
      </c>
      <c r="BN24" s="205">
        <f> BN$20</f>
        <v>49491.0</v>
      </c>
      <c r="BO24" s="205">
        <f> BO$20</f>
        <v>49583.0</v>
      </c>
      <c r="BP24" s="205">
        <f> BP$20</f>
        <v>49675.0</v>
      </c>
      <c r="BQ24" s="205">
        <f> BQ$20</f>
        <v>49766.0</v>
      </c>
      <c r="BR24" s="205">
        <f> BR$20</f>
        <v>49857.0</v>
      </c>
      <c r="BS24" s="205">
        <f> BS$20</f>
        <v>49949.0</v>
      </c>
      <c r="BT24" s="205">
        <f> BT$20</f>
        <v>50041.0</v>
      </c>
      <c r="BU24" s="205">
        <f> BU$20</f>
        <v>50131.0</v>
      </c>
      <c r="BV24" s="205">
        <f> BV$20</f>
        <v>50222.0</v>
      </c>
      <c r="BW24" s="205">
        <f> BW$20</f>
        <v>50314.0</v>
      </c>
      <c r="BX24" s="205">
        <f> BX$20</f>
        <v>50406.0</v>
      </c>
      <c r="BY24" s="205">
        <f> BY$20</f>
        <v>50496.0</v>
      </c>
      <c r="BZ24" s="205">
        <f> BZ$20</f>
        <v>50587.0</v>
      </c>
      <c r="CA24" s="205">
        <f> CA$20</f>
        <v>50679.0</v>
      </c>
      <c r="CB24" s="205">
        <f> CB$20</f>
        <v>50771.0</v>
      </c>
      <c r="CC24" s="205">
        <f> CC$20</f>
        <v>50861.0</v>
      </c>
      <c r="CD24" s="205">
        <f> CD$20</f>
        <v>50952.0</v>
      </c>
      <c r="CE24" s="205">
        <f> CE$20</f>
        <v>51044.0</v>
      </c>
      <c r="CF24" s="205">
        <f> CF$20</f>
        <v>51136.0</v>
      </c>
      <c r="CG24" s="205">
        <f> CG$20</f>
        <v>51227.0</v>
      </c>
      <c r="CH24" s="205">
        <f> CH$20</f>
        <v>51318.0</v>
      </c>
      <c r="CI24" s="205">
        <f> CI$20</f>
        <v>51410.0</v>
      </c>
      <c r="CJ24" s="205">
        <f> CJ$20</f>
        <v>51502.0</v>
      </c>
      <c r="CK24" s="205">
        <f> CK$20</f>
        <v>51592.0</v>
      </c>
      <c r="CL24" s="205">
        <f> CL$20</f>
        <v>51683.0</v>
      </c>
      <c r="CM24" s="205">
        <f> CM$20</f>
        <v>51775.0</v>
      </c>
      <c r="CN24" s="205">
        <f> CN$20</f>
        <v>51867.0</v>
      </c>
      <c r="CO24" s="205">
        <f> CO$20</f>
        <v>51957.0</v>
      </c>
    </row>
    <row r="25" customFormat="1" s="315">
      <c r="A25" s="311" t="n"/>
      <c r="B25" s="311" t="n"/>
      <c r="C25" s="312" t="n"/>
      <c r="D25" s="313" t="n"/>
      <c r="E25" s="314" t="inlineStr">
        <is>
          <t xml:space="preserve">Model period ending </t>
        </is>
      </c>
      <c r="F25" s="314" t="n"/>
      <c r="G25" s="314" t="inlineStr">
        <is>
          <t>date</t>
        </is>
      </c>
      <c r="H25" s="314" t="n"/>
      <c r="I25" s="314" t="n"/>
      <c r="J25" s="314">
        <f> DATE(YEAR(J24), MONTH(J24) + $F23, DAY(J24) -1)</f>
        <v>44469.0</v>
      </c>
      <c r="K25" s="314">
        <f> DATE(YEAR(K24), MONTH(K24) + $F23, DAY(K24) -1)</f>
        <v>44561.0</v>
      </c>
      <c r="L25" s="314">
        <f> DATE(YEAR(L24), MONTH(L24) + $F23, DAY(L24) -1)</f>
        <v>44651.0</v>
      </c>
      <c r="M25" s="314">
        <f> DATE(YEAR(M24), MONTH(M24) + $F23, DAY(M24) -1)</f>
        <v>44742.0</v>
      </c>
      <c r="N25" s="314">
        <f> DATE(YEAR(N24), MONTH(N24) + $F23, DAY(N24) -1)</f>
        <v>44834.0</v>
      </c>
      <c r="O25" s="314">
        <f> DATE(YEAR(O24), MONTH(O24) + $F23, DAY(O24) -1)</f>
        <v>44926.0</v>
      </c>
      <c r="P25" s="314">
        <f> DATE(YEAR(P24), MONTH(P24) + $F23, DAY(P24) -1)</f>
        <v>45016.0</v>
      </c>
      <c r="Q25" s="314">
        <f> DATE(YEAR(Q24), MONTH(Q24) + $F23, DAY(Q24) -1)</f>
        <v>45107.0</v>
      </c>
      <c r="R25" s="314">
        <f> DATE(YEAR(R24), MONTH(R24) + $F23, DAY(R24) -1)</f>
        <v>45199.0</v>
      </c>
      <c r="S25" s="314">
        <f> DATE(YEAR(S24), MONTH(S24) + $F23, DAY(S24) -1)</f>
        <v>45291.0</v>
      </c>
      <c r="T25" s="314">
        <f> DATE(YEAR(T24), MONTH(T24) + $F23, DAY(T24) -1)</f>
        <v>45382.0</v>
      </c>
      <c r="U25" s="314">
        <f> DATE(YEAR(U24), MONTH(U24) + $F23, DAY(U24) -1)</f>
        <v>45473.0</v>
      </c>
      <c r="V25" s="314">
        <f> DATE(YEAR(V24), MONTH(V24) + $F23, DAY(V24) -1)</f>
        <v>45565.0</v>
      </c>
      <c r="W25" s="314">
        <f> DATE(YEAR(W24), MONTH(W24) + $F23, DAY(W24) -1)</f>
        <v>45657.0</v>
      </c>
      <c r="X25" s="314">
        <f> DATE(YEAR(X24), MONTH(X24) + $F23, DAY(X24) -1)</f>
        <v>45747.0</v>
      </c>
      <c r="Y25" s="314">
        <f> DATE(YEAR(Y24), MONTH(Y24) + $F23, DAY(Y24) -1)</f>
        <v>45838.0</v>
      </c>
      <c r="Z25" s="314">
        <f> DATE(YEAR(Z24), MONTH(Z24) + $F23, DAY(Z24) -1)</f>
        <v>45930.0</v>
      </c>
      <c r="AA25" s="314">
        <f> DATE(YEAR(AA24), MONTH(AA24) + $F23, DAY(AA24) -1)</f>
        <v>46022.0</v>
      </c>
      <c r="AB25" s="314">
        <f> DATE(YEAR(AB24), MONTH(AB24) + $F23, DAY(AB24) -1)</f>
        <v>46112.0</v>
      </c>
      <c r="AC25" s="314">
        <f> DATE(YEAR(AC24), MONTH(AC24) + $F23, DAY(AC24) -1)</f>
        <v>46203.0</v>
      </c>
      <c r="AD25" s="314">
        <f> DATE(YEAR(AD24), MONTH(AD24) + $F23, DAY(AD24) -1)</f>
        <v>46295.0</v>
      </c>
      <c r="AE25" s="314">
        <f> DATE(YEAR(AE24), MONTH(AE24) + $F23, DAY(AE24) -1)</f>
        <v>46387.0</v>
      </c>
      <c r="AF25" s="314">
        <f> DATE(YEAR(AF24), MONTH(AF24) + $F23, DAY(AF24) -1)</f>
        <v>46477.0</v>
      </c>
      <c r="AG25" s="314">
        <f> DATE(YEAR(AG24), MONTH(AG24) + $F23, DAY(AG24) -1)</f>
        <v>46568.0</v>
      </c>
      <c r="AH25" s="314">
        <f> DATE(YEAR(AH24), MONTH(AH24) + $F23, DAY(AH24) -1)</f>
        <v>46660.0</v>
      </c>
      <c r="AI25" s="314">
        <f> DATE(YEAR(AI24), MONTH(AI24) + $F23, DAY(AI24) -1)</f>
        <v>46752.0</v>
      </c>
      <c r="AJ25" s="314">
        <f> DATE(YEAR(AJ24), MONTH(AJ24) + $F23, DAY(AJ24) -1)</f>
        <v>46843.0</v>
      </c>
      <c r="AK25" s="314">
        <f> DATE(YEAR(AK24), MONTH(AK24) + $F23, DAY(AK24) -1)</f>
        <v>46934.0</v>
      </c>
      <c r="AL25" s="314">
        <f> DATE(YEAR(AL24), MONTH(AL24) + $F23, DAY(AL24) -1)</f>
        <v>47026.0</v>
      </c>
      <c r="AM25" s="314">
        <f> DATE(YEAR(AM24), MONTH(AM24) + $F23, DAY(AM24) -1)</f>
        <v>47118.0</v>
      </c>
      <c r="AN25" s="314">
        <f> DATE(YEAR(AN24), MONTH(AN24) + $F23, DAY(AN24) -1)</f>
        <v>47208.0</v>
      </c>
      <c r="AO25" s="314">
        <f> DATE(YEAR(AO24), MONTH(AO24) + $F23, DAY(AO24) -1)</f>
        <v>47299.0</v>
      </c>
      <c r="AP25" s="314">
        <f> DATE(YEAR(AP24), MONTH(AP24) + $F23, DAY(AP24) -1)</f>
        <v>47391.0</v>
      </c>
      <c r="AQ25" s="314">
        <f> DATE(YEAR(AQ24), MONTH(AQ24) + $F23, DAY(AQ24) -1)</f>
        <v>47483.0</v>
      </c>
      <c r="AR25" s="314">
        <f> DATE(YEAR(AR24), MONTH(AR24) + $F23, DAY(AR24) -1)</f>
        <v>47573.0</v>
      </c>
      <c r="AS25" s="314">
        <f> DATE(YEAR(AS24), MONTH(AS24) + $F23, DAY(AS24) -1)</f>
        <v>47664.0</v>
      </c>
      <c r="AT25" s="314">
        <f> DATE(YEAR(AT24), MONTH(AT24) + $F23, DAY(AT24) -1)</f>
        <v>47756.0</v>
      </c>
      <c r="AU25" s="314">
        <f> DATE(YEAR(AU24), MONTH(AU24) + $F23, DAY(AU24) -1)</f>
        <v>47848.0</v>
      </c>
      <c r="AV25" s="314">
        <f> DATE(YEAR(AV24), MONTH(AV24) + $F23, DAY(AV24) -1)</f>
        <v>47938.0</v>
      </c>
      <c r="AW25" s="314">
        <f> DATE(YEAR(AW24), MONTH(AW24) + $F23, DAY(AW24) -1)</f>
        <v>48029.0</v>
      </c>
      <c r="AX25" s="314">
        <f> DATE(YEAR(AX24), MONTH(AX24) + $F23, DAY(AX24) -1)</f>
        <v>48121.0</v>
      </c>
      <c r="AY25" s="314">
        <f> DATE(YEAR(AY24), MONTH(AY24) + $F23, DAY(AY24) -1)</f>
        <v>48213.0</v>
      </c>
      <c r="AZ25" s="314">
        <f> DATE(YEAR(AZ24), MONTH(AZ24) + $F23, DAY(AZ24) -1)</f>
        <v>48304.0</v>
      </c>
      <c r="BA25" s="314">
        <f> DATE(YEAR(BA24), MONTH(BA24) + $F23, DAY(BA24) -1)</f>
        <v>48395.0</v>
      </c>
      <c r="BB25" s="314">
        <f> DATE(YEAR(BB24), MONTH(BB24) + $F23, DAY(BB24) -1)</f>
        <v>48487.0</v>
      </c>
      <c r="BC25" s="314">
        <f> DATE(YEAR(BC24), MONTH(BC24) + $F23, DAY(BC24) -1)</f>
        <v>48579.0</v>
      </c>
      <c r="BD25" s="314">
        <f> DATE(YEAR(BD24), MONTH(BD24) + $F23, DAY(BD24) -1)</f>
        <v>48669.0</v>
      </c>
      <c r="BE25" s="314">
        <f> DATE(YEAR(BE24), MONTH(BE24) + $F23, DAY(BE24) -1)</f>
        <v>48760.0</v>
      </c>
      <c r="BF25" s="314">
        <f> DATE(YEAR(BF24), MONTH(BF24) + $F23, DAY(BF24) -1)</f>
        <v>48852.0</v>
      </c>
      <c r="BG25" s="314">
        <f> DATE(YEAR(BG24), MONTH(BG24) + $F23, DAY(BG24) -1)</f>
        <v>48944.0</v>
      </c>
      <c r="BH25" s="314">
        <f> DATE(YEAR(BH24), MONTH(BH24) + $F23, DAY(BH24) -1)</f>
        <v>49034.0</v>
      </c>
      <c r="BI25" s="314">
        <f> DATE(YEAR(BI24), MONTH(BI24) + $F23, DAY(BI24) -1)</f>
        <v>49125.0</v>
      </c>
      <c r="BJ25" s="314">
        <f> DATE(YEAR(BJ24), MONTH(BJ24) + $F23, DAY(BJ24) -1)</f>
        <v>49217.0</v>
      </c>
      <c r="BK25" s="314">
        <f> DATE(YEAR(BK24), MONTH(BK24) + $F23, DAY(BK24) -1)</f>
        <v>49309.0</v>
      </c>
      <c r="BL25" s="314">
        <f> DATE(YEAR(BL24), MONTH(BL24) + $F23, DAY(BL24) -1)</f>
        <v>49399.0</v>
      </c>
      <c r="BM25" s="314">
        <f> DATE(YEAR(BM24), MONTH(BM24) + $F23, DAY(BM24) -1)</f>
        <v>49490.0</v>
      </c>
      <c r="BN25" s="314">
        <f> DATE(YEAR(BN24), MONTH(BN24) + $F23, DAY(BN24) -1)</f>
        <v>49582.0</v>
      </c>
      <c r="BO25" s="314">
        <f> DATE(YEAR(BO24), MONTH(BO24) + $F23, DAY(BO24) -1)</f>
        <v>49674.0</v>
      </c>
      <c r="BP25" s="314">
        <f> DATE(YEAR(BP24), MONTH(BP24) + $F23, DAY(BP24) -1)</f>
        <v>49765.0</v>
      </c>
      <c r="BQ25" s="314">
        <f> DATE(YEAR(BQ24), MONTH(BQ24) + $F23, DAY(BQ24) -1)</f>
        <v>49856.0</v>
      </c>
      <c r="BR25" s="314">
        <f> DATE(YEAR(BR24), MONTH(BR24) + $F23, DAY(BR24) -1)</f>
        <v>49948.0</v>
      </c>
      <c r="BS25" s="314">
        <f> DATE(YEAR(BS24), MONTH(BS24) + $F23, DAY(BS24) -1)</f>
        <v>50040.0</v>
      </c>
      <c r="BT25" s="314">
        <f> DATE(YEAR(BT24), MONTH(BT24) + $F23, DAY(BT24) -1)</f>
        <v>50130.0</v>
      </c>
      <c r="BU25" s="314">
        <f> DATE(YEAR(BU24), MONTH(BU24) + $F23, DAY(BU24) -1)</f>
        <v>50221.0</v>
      </c>
      <c r="BV25" s="314">
        <f> DATE(YEAR(BV24), MONTH(BV24) + $F23, DAY(BV24) -1)</f>
        <v>50313.0</v>
      </c>
      <c r="BW25" s="314">
        <f> DATE(YEAR(BW24), MONTH(BW24) + $F23, DAY(BW24) -1)</f>
        <v>50405.0</v>
      </c>
      <c r="BX25" s="314">
        <f> DATE(YEAR(BX24), MONTH(BX24) + $F23, DAY(BX24) -1)</f>
        <v>50495.0</v>
      </c>
      <c r="BY25" s="314">
        <f> DATE(YEAR(BY24), MONTH(BY24) + $F23, DAY(BY24) -1)</f>
        <v>50586.0</v>
      </c>
      <c r="BZ25" s="314">
        <f> DATE(YEAR(BZ24), MONTH(BZ24) + $F23, DAY(BZ24) -1)</f>
        <v>50678.0</v>
      </c>
      <c r="CA25" s="314">
        <f> DATE(YEAR(CA24), MONTH(CA24) + $F23, DAY(CA24) -1)</f>
        <v>50770.0</v>
      </c>
      <c r="CB25" s="314">
        <f> DATE(YEAR(CB24), MONTH(CB24) + $F23, DAY(CB24) -1)</f>
        <v>50860.0</v>
      </c>
      <c r="CC25" s="314">
        <f> DATE(YEAR(CC24), MONTH(CC24) + $F23, DAY(CC24) -1)</f>
        <v>50951.0</v>
      </c>
      <c r="CD25" s="314">
        <f> DATE(YEAR(CD24), MONTH(CD24) + $F23, DAY(CD24) -1)</f>
        <v>51043.0</v>
      </c>
      <c r="CE25" s="314">
        <f> DATE(YEAR(CE24), MONTH(CE24) + $F23, DAY(CE24) -1)</f>
        <v>51135.0</v>
      </c>
      <c r="CF25" s="314">
        <f> DATE(YEAR(CF24), MONTH(CF24) + $F23, DAY(CF24) -1)</f>
        <v>51226.0</v>
      </c>
      <c r="CG25" s="314">
        <f> DATE(YEAR(CG24), MONTH(CG24) + $F23, DAY(CG24) -1)</f>
        <v>51317.0</v>
      </c>
      <c r="CH25" s="314">
        <f> DATE(YEAR(CH24), MONTH(CH24) + $F23, DAY(CH24) -1)</f>
        <v>51409.0</v>
      </c>
      <c r="CI25" s="314">
        <f> DATE(YEAR(CI24), MONTH(CI24) + $F23, DAY(CI24) -1)</f>
        <v>51501.0</v>
      </c>
      <c r="CJ25" s="314">
        <f> DATE(YEAR(CJ24), MONTH(CJ24) + $F23, DAY(CJ24) -1)</f>
        <v>51591.0</v>
      </c>
      <c r="CK25" s="314">
        <f> DATE(YEAR(CK24), MONTH(CK24) + $F23, DAY(CK24) -1)</f>
        <v>51682.0</v>
      </c>
      <c r="CL25" s="314">
        <f> DATE(YEAR(CL24), MONTH(CL24) + $F23, DAY(CL24) -1)</f>
        <v>51774.0</v>
      </c>
      <c r="CM25" s="314">
        <f> DATE(YEAR(CM24), MONTH(CM24) + $F23, DAY(CM24) -1)</f>
        <v>51866.0</v>
      </c>
      <c r="CN25" s="314">
        <f> DATE(YEAR(CN24), MONTH(CN24) + $F23, DAY(CN24) -1)</f>
        <v>51956.0</v>
      </c>
      <c r="CO25" s="314">
        <f> DATE(YEAR(CO24), MONTH(CO24) + $F23, DAY(CO24) -1)</f>
        <v>52047.0</v>
      </c>
    </row>
    <row r="26" customFormat="1" s="146">
      <c r="A26" s="163" t="n"/>
      <c r="B26" s="163" t="n"/>
      <c r="C26" s="172" t="n"/>
      <c r="D26" s="169" t="n"/>
      <c r="E26" s="169" t="n"/>
      <c r="F26" s="169" t="n"/>
      <c r="G26" s="169" t="n"/>
      <c r="H26" s="169" t="n"/>
      <c r="I26" s="169" t="n"/>
      <c r="J26" s="169" t="n"/>
      <c r="K26" s="169" t="n"/>
      <c r="L26" s="169" t="n"/>
      <c r="M26" s="169" t="n"/>
      <c r="N26" s="169" t="n"/>
      <c r="O26" s="169" t="n"/>
      <c r="P26" s="169" t="n"/>
      <c r="Q26" s="169" t="n"/>
      <c r="R26" s="169" t="n"/>
      <c r="S26" s="169" t="n"/>
      <c r="T26" s="169" t="n"/>
      <c r="U26" s="169" t="n"/>
      <c r="V26" s="169" t="n"/>
      <c r="W26" s="169" t="n"/>
      <c r="X26" s="169" t="n"/>
      <c r="Y26" s="169" t="n"/>
      <c r="Z26" s="169" t="n"/>
      <c r="AA26" s="169" t="n"/>
      <c r="AB26" s="169" t="n"/>
      <c r="AC26" s="169" t="n"/>
      <c r="AD26" s="169" t="n"/>
      <c r="AE26" s="169" t="n"/>
      <c r="AF26" s="169" t="n"/>
      <c r="AG26" s="169" t="n"/>
      <c r="AH26" s="169" t="n"/>
      <c r="AI26" s="169" t="n"/>
      <c r="AJ26" s="169" t="n"/>
      <c r="AK26" s="169" t="n"/>
      <c r="AL26" s="169" t="n"/>
      <c r="AM26" s="169" t="n"/>
      <c r="AN26" s="169" t="n"/>
      <c r="AO26" s="169" t="n"/>
      <c r="AP26" s="169" t="n"/>
      <c r="AQ26" s="169" t="n"/>
      <c r="AR26" s="169" t="n"/>
      <c r="AS26" s="169" t="n"/>
      <c r="AT26" s="169" t="n"/>
      <c r="AU26" s="169" t="n"/>
      <c r="AV26" s="169" t="n"/>
      <c r="AW26" s="169" t="n"/>
      <c r="AX26" s="169" t="n"/>
      <c r="AY26" s="169" t="n"/>
      <c r="AZ26" s="169" t="n"/>
      <c r="BA26" s="169" t="n"/>
      <c r="BB26" s="169" t="n"/>
      <c r="BC26" s="169" t="n"/>
      <c r="BD26" s="169" t="n"/>
      <c r="BE26" s="169" t="n"/>
      <c r="BF26" s="169" t="n"/>
      <c r="BG26" s="169" t="n"/>
      <c r="BH26" s="169" t="n"/>
      <c r="BI26" s="169" t="n"/>
      <c r="BJ26" s="169" t="n"/>
      <c r="BK26" s="169" t="n"/>
      <c r="BL26" s="169" t="n"/>
      <c r="BM26" s="169" t="n"/>
      <c r="BN26" s="169" t="n"/>
      <c r="BO26" s="169" t="n"/>
      <c r="BP26" s="169" t="n"/>
      <c r="BQ26" s="169" t="n"/>
      <c r="BR26" s="169" t="n"/>
      <c r="BS26" s="169" t="n"/>
      <c r="BT26" s="169" t="n"/>
      <c r="BU26" s="169" t="n"/>
      <c r="BV26" s="169" t="n"/>
      <c r="BW26" s="169" t="n"/>
      <c r="BX26" s="169" t="n"/>
      <c r="BY26" s="169" t="n"/>
      <c r="BZ26" s="169" t="n"/>
      <c r="CA26" s="169" t="n"/>
      <c r="CB26" s="169" t="n"/>
      <c r="CC26" s="169" t="n"/>
      <c r="CD26" s="169" t="n"/>
      <c r="CE26" s="169" t="n"/>
      <c r="CF26" s="169" t="n"/>
      <c r="CG26" s="169" t="n"/>
      <c r="CH26" s="169" t="n"/>
      <c r="CI26" s="169" t="n"/>
      <c r="CJ26" s="169" t="n"/>
      <c r="CK26" s="169" t="n"/>
      <c r="CL26" s="169" t="n"/>
      <c r="CM26" s="169" t="n"/>
      <c r="CN26" s="169" t="n"/>
      <c r="CO26" s="169" t="n"/>
    </row>
    <row r="27" customFormat="1" s="146">
      <c r="A27" s="163" t="n"/>
      <c r="B27" s="163" t="inlineStr">
        <is>
          <t>Days in model period</t>
        </is>
      </c>
      <c r="C27" s="172" t="n"/>
      <c r="D27" s="169" t="n"/>
      <c r="E27" s="169" t="n"/>
      <c r="F27" s="169" t="n"/>
      <c r="G27" s="169" t="n"/>
      <c r="H27" s="169" t="n"/>
      <c r="I27" s="169" t="n"/>
      <c r="J27" s="169" t="n"/>
      <c r="K27" s="169" t="n"/>
      <c r="L27" s="169" t="n"/>
      <c r="M27" s="169" t="n"/>
      <c r="N27" s="169" t="n"/>
      <c r="O27" s="169" t="n"/>
      <c r="P27" s="169" t="n"/>
      <c r="Q27" s="169" t="n"/>
      <c r="R27" s="169" t="n"/>
      <c r="S27" s="169" t="n"/>
      <c r="T27" s="169" t="n"/>
      <c r="U27" s="169" t="n"/>
      <c r="V27" s="169" t="n"/>
      <c r="W27" s="169" t="n"/>
      <c r="X27" s="169" t="n"/>
      <c r="Y27" s="169" t="n"/>
      <c r="Z27" s="169" t="n"/>
      <c r="AA27" s="169" t="n"/>
      <c r="AB27" s="169" t="n"/>
      <c r="AC27" s="169" t="n"/>
      <c r="AD27" s="169" t="n"/>
      <c r="AE27" s="169" t="n"/>
      <c r="AF27" s="169" t="n"/>
      <c r="AG27" s="169" t="n"/>
      <c r="AH27" s="169" t="n"/>
      <c r="AI27" s="169" t="n"/>
      <c r="AJ27" s="169" t="n"/>
      <c r="AK27" s="169" t="n"/>
      <c r="AL27" s="169" t="n"/>
      <c r="AM27" s="169" t="n"/>
      <c r="AN27" s="169" t="n"/>
      <c r="AO27" s="169" t="n"/>
      <c r="AP27" s="169" t="n"/>
      <c r="AQ27" s="169" t="n"/>
      <c r="AR27" s="169" t="n"/>
      <c r="AS27" s="169" t="n"/>
      <c r="AT27" s="169" t="n"/>
      <c r="AU27" s="169" t="n"/>
      <c r="AV27" s="169" t="n"/>
      <c r="AW27" s="169" t="n"/>
      <c r="AX27" s="169" t="n"/>
      <c r="AY27" s="169" t="n"/>
      <c r="AZ27" s="169" t="n"/>
      <c r="BA27" s="169" t="n"/>
      <c r="BB27" s="169" t="n"/>
      <c r="BC27" s="169" t="n"/>
      <c r="BD27" s="169" t="n"/>
      <c r="BE27" s="169" t="n"/>
      <c r="BF27" s="169" t="n"/>
      <c r="BG27" s="169" t="n"/>
      <c r="BH27" s="169" t="n"/>
      <c r="BI27" s="169" t="n"/>
      <c r="BJ27" s="169" t="n"/>
      <c r="BK27" s="169" t="n"/>
      <c r="BL27" s="169" t="n"/>
      <c r="BM27" s="169" t="n"/>
      <c r="BN27" s="169" t="n"/>
      <c r="BO27" s="169" t="n"/>
      <c r="BP27" s="169" t="n"/>
      <c r="BQ27" s="169" t="n"/>
      <c r="BR27" s="169" t="n"/>
      <c r="BS27" s="169" t="n"/>
      <c r="BT27" s="169" t="n"/>
      <c r="BU27" s="169" t="n"/>
      <c r="BV27" s="169" t="n"/>
      <c r="BW27" s="169" t="n"/>
      <c r="BX27" s="169" t="n"/>
      <c r="BY27" s="169" t="n"/>
      <c r="BZ27" s="169" t="n"/>
      <c r="CA27" s="169" t="n"/>
      <c r="CB27" s="169" t="n"/>
      <c r="CC27" s="169" t="n"/>
      <c r="CD27" s="169" t="n"/>
      <c r="CE27" s="169" t="n"/>
      <c r="CF27" s="169" t="n"/>
      <c r="CG27" s="169" t="n"/>
      <c r="CH27" s="169" t="n"/>
      <c r="CI27" s="169" t="n"/>
      <c r="CJ27" s="169" t="n"/>
      <c r="CK27" s="169" t="n"/>
      <c r="CL27" s="169" t="n"/>
      <c r="CM27" s="169" t="n"/>
      <c r="CN27" s="169" t="n"/>
      <c r="CO27" s="169" t="n"/>
    </row>
    <row r="28" customFormat="1" s="146">
      <c r="A28" s="163" t="n"/>
      <c r="B28" s="163" t="n"/>
      <c r="C28" s="172" t="n"/>
      <c r="D28" s="169" t="n"/>
      <c r="E28" s="114" t="str">
        <f> E$25</f>
        <v>Model period ending </v>
      </c>
      <c r="F28" s="114">
        <f> F$25</f>
        <v>0.0</v>
      </c>
      <c r="G28" s="114" t="str">
        <f> G$25</f>
        <v>date</v>
      </c>
      <c r="H28" s="114">
        <f> H$25</f>
        <v>0.0</v>
      </c>
      <c r="I28" s="114">
        <f> I$25</f>
        <v>0.0</v>
      </c>
      <c r="J28" s="114">
        <f> J$25</f>
        <v>44469.0</v>
      </c>
      <c r="K28" s="114">
        <f> K$25</f>
        <v>44561.0</v>
      </c>
      <c r="L28" s="114">
        <f> L$25</f>
        <v>44651.0</v>
      </c>
      <c r="M28" s="114">
        <f> M$25</f>
        <v>44742.0</v>
      </c>
      <c r="N28" s="114">
        <f> N$25</f>
        <v>44834.0</v>
      </c>
      <c r="O28" s="114">
        <f> O$25</f>
        <v>44926.0</v>
      </c>
      <c r="P28" s="114">
        <f> P$25</f>
        <v>45016.0</v>
      </c>
      <c r="Q28" s="114">
        <f> Q$25</f>
        <v>45107.0</v>
      </c>
      <c r="R28" s="114">
        <f> R$25</f>
        <v>45199.0</v>
      </c>
      <c r="S28" s="114">
        <f> S$25</f>
        <v>45291.0</v>
      </c>
      <c r="T28" s="114">
        <f> T$25</f>
        <v>45382.0</v>
      </c>
      <c r="U28" s="114">
        <f> U$25</f>
        <v>45473.0</v>
      </c>
      <c r="V28" s="114">
        <f> V$25</f>
        <v>45565.0</v>
      </c>
      <c r="W28" s="114">
        <f> W$25</f>
        <v>45657.0</v>
      </c>
      <c r="X28" s="114">
        <f> X$25</f>
        <v>45747.0</v>
      </c>
      <c r="Y28" s="114">
        <f> Y$25</f>
        <v>45838.0</v>
      </c>
      <c r="Z28" s="114">
        <f> Z$25</f>
        <v>45930.0</v>
      </c>
      <c r="AA28" s="114">
        <f> AA$25</f>
        <v>46022.0</v>
      </c>
      <c r="AB28" s="114">
        <f> AB$25</f>
        <v>46112.0</v>
      </c>
      <c r="AC28" s="114">
        <f> AC$25</f>
        <v>46203.0</v>
      </c>
      <c r="AD28" s="114">
        <f> AD$25</f>
        <v>46295.0</v>
      </c>
      <c r="AE28" s="114">
        <f> AE$25</f>
        <v>46387.0</v>
      </c>
      <c r="AF28" s="114">
        <f> AF$25</f>
        <v>46477.0</v>
      </c>
      <c r="AG28" s="114">
        <f> AG$25</f>
        <v>46568.0</v>
      </c>
      <c r="AH28" s="114">
        <f> AH$25</f>
        <v>46660.0</v>
      </c>
      <c r="AI28" s="114">
        <f> AI$25</f>
        <v>46752.0</v>
      </c>
      <c r="AJ28" s="114">
        <f> AJ$25</f>
        <v>46843.0</v>
      </c>
      <c r="AK28" s="114">
        <f> AK$25</f>
        <v>46934.0</v>
      </c>
      <c r="AL28" s="114">
        <f> AL$25</f>
        <v>47026.0</v>
      </c>
      <c r="AM28" s="114">
        <f> AM$25</f>
        <v>47118.0</v>
      </c>
      <c r="AN28" s="114">
        <f> AN$25</f>
        <v>47208.0</v>
      </c>
      <c r="AO28" s="114">
        <f> AO$25</f>
        <v>47299.0</v>
      </c>
      <c r="AP28" s="114">
        <f> AP$25</f>
        <v>47391.0</v>
      </c>
      <c r="AQ28" s="114">
        <f> AQ$25</f>
        <v>47483.0</v>
      </c>
      <c r="AR28" s="114">
        <f> AR$25</f>
        <v>47573.0</v>
      </c>
      <c r="AS28" s="114">
        <f> AS$25</f>
        <v>47664.0</v>
      </c>
      <c r="AT28" s="114">
        <f> AT$25</f>
        <v>47756.0</v>
      </c>
      <c r="AU28" s="114">
        <f> AU$25</f>
        <v>47848.0</v>
      </c>
      <c r="AV28" s="114">
        <f> AV$25</f>
        <v>47938.0</v>
      </c>
      <c r="AW28" s="114">
        <f> AW$25</f>
        <v>48029.0</v>
      </c>
      <c r="AX28" s="114">
        <f> AX$25</f>
        <v>48121.0</v>
      </c>
      <c r="AY28" s="114">
        <f> AY$25</f>
        <v>48213.0</v>
      </c>
      <c r="AZ28" s="114">
        <f> AZ$25</f>
        <v>48304.0</v>
      </c>
      <c r="BA28" s="114">
        <f> BA$25</f>
        <v>48395.0</v>
      </c>
      <c r="BB28" s="114">
        <f> BB$25</f>
        <v>48487.0</v>
      </c>
      <c r="BC28" s="114">
        <f> BC$25</f>
        <v>48579.0</v>
      </c>
      <c r="BD28" s="114">
        <f> BD$25</f>
        <v>48669.0</v>
      </c>
      <c r="BE28" s="114">
        <f> BE$25</f>
        <v>48760.0</v>
      </c>
      <c r="BF28" s="114">
        <f> BF$25</f>
        <v>48852.0</v>
      </c>
      <c r="BG28" s="114">
        <f> BG$25</f>
        <v>48944.0</v>
      </c>
      <c r="BH28" s="114">
        <f> BH$25</f>
        <v>49034.0</v>
      </c>
      <c r="BI28" s="114">
        <f> BI$25</f>
        <v>49125.0</v>
      </c>
      <c r="BJ28" s="114">
        <f> BJ$25</f>
        <v>49217.0</v>
      </c>
      <c r="BK28" s="114">
        <f> BK$25</f>
        <v>49309.0</v>
      </c>
      <c r="BL28" s="114">
        <f> BL$25</f>
        <v>49399.0</v>
      </c>
      <c r="BM28" s="114">
        <f> BM$25</f>
        <v>49490.0</v>
      </c>
      <c r="BN28" s="114">
        <f> BN$25</f>
        <v>49582.0</v>
      </c>
      <c r="BO28" s="114">
        <f> BO$25</f>
        <v>49674.0</v>
      </c>
      <c r="BP28" s="114">
        <f> BP$25</f>
        <v>49765.0</v>
      </c>
      <c r="BQ28" s="114">
        <f> BQ$25</f>
        <v>49856.0</v>
      </c>
      <c r="BR28" s="114">
        <f> BR$25</f>
        <v>49948.0</v>
      </c>
      <c r="BS28" s="114">
        <f> BS$25</f>
        <v>50040.0</v>
      </c>
      <c r="BT28" s="114">
        <f> BT$25</f>
        <v>50130.0</v>
      </c>
      <c r="BU28" s="114">
        <f> BU$25</f>
        <v>50221.0</v>
      </c>
      <c r="BV28" s="114">
        <f> BV$25</f>
        <v>50313.0</v>
      </c>
      <c r="BW28" s="114">
        <f> BW$25</f>
        <v>50405.0</v>
      </c>
      <c r="BX28" s="114">
        <f> BX$25</f>
        <v>50495.0</v>
      </c>
      <c r="BY28" s="114">
        <f> BY$25</f>
        <v>50586.0</v>
      </c>
      <c r="BZ28" s="114">
        <f> BZ$25</f>
        <v>50678.0</v>
      </c>
      <c r="CA28" s="114">
        <f> CA$25</f>
        <v>50770.0</v>
      </c>
      <c r="CB28" s="114">
        <f> CB$25</f>
        <v>50860.0</v>
      </c>
      <c r="CC28" s="114">
        <f> CC$25</f>
        <v>50951.0</v>
      </c>
      <c r="CD28" s="114">
        <f> CD$25</f>
        <v>51043.0</v>
      </c>
      <c r="CE28" s="114">
        <f> CE$25</f>
        <v>51135.0</v>
      </c>
      <c r="CF28" s="114">
        <f> CF$25</f>
        <v>51226.0</v>
      </c>
      <c r="CG28" s="114">
        <f> CG$25</f>
        <v>51317.0</v>
      </c>
      <c r="CH28" s="114">
        <f> CH$25</f>
        <v>51409.0</v>
      </c>
      <c r="CI28" s="114">
        <f> CI$25</f>
        <v>51501.0</v>
      </c>
      <c r="CJ28" s="114">
        <f> CJ$25</f>
        <v>51591.0</v>
      </c>
      <c r="CK28" s="114">
        <f> CK$25</f>
        <v>51682.0</v>
      </c>
      <c r="CL28" s="114">
        <f> CL$25</f>
        <v>51774.0</v>
      </c>
      <c r="CM28" s="114">
        <f> CM$25</f>
        <v>51866.0</v>
      </c>
      <c r="CN28" s="114">
        <f> CN$25</f>
        <v>51956.0</v>
      </c>
      <c r="CO28" s="114">
        <f> CO$25</f>
        <v>52047.0</v>
      </c>
    </row>
    <row r="29" customFormat="1" s="119">
      <c r="A29" s="167" t="n"/>
      <c r="B29" s="167" t="n"/>
      <c r="C29" s="237" t="n"/>
      <c r="D29" s="170" t="inlineStr">
        <is>
          <t>less</t>
        </is>
      </c>
      <c r="E29" s="205" t="str">
        <f> E$20</f>
        <v>Model period beginning </v>
      </c>
      <c r="F29" s="205">
        <f> F$20</f>
        <v>0.0</v>
      </c>
      <c r="G29" s="205" t="str">
        <f> G$20</f>
        <v>date</v>
      </c>
      <c r="H29" s="205">
        <f> H$20</f>
        <v>0.0</v>
      </c>
      <c r="I29" s="205">
        <f> I$20</f>
        <v>0.0</v>
      </c>
      <c r="J29" s="205">
        <f> J$20</f>
        <v>44378.0</v>
      </c>
      <c r="K29" s="205">
        <f> K$20</f>
        <v>44470.0</v>
      </c>
      <c r="L29" s="205">
        <f> L$20</f>
        <v>44562.0</v>
      </c>
      <c r="M29" s="205">
        <f> M$20</f>
        <v>44652.0</v>
      </c>
      <c r="N29" s="205">
        <f> N$20</f>
        <v>44743.0</v>
      </c>
      <c r="O29" s="205">
        <f> O$20</f>
        <v>44835.0</v>
      </c>
      <c r="P29" s="205">
        <f> P$20</f>
        <v>44927.0</v>
      </c>
      <c r="Q29" s="205">
        <f> Q$20</f>
        <v>45017.0</v>
      </c>
      <c r="R29" s="205">
        <f> R$20</f>
        <v>45108.0</v>
      </c>
      <c r="S29" s="205">
        <f> S$20</f>
        <v>45200.0</v>
      </c>
      <c r="T29" s="205">
        <f> T$20</f>
        <v>45292.0</v>
      </c>
      <c r="U29" s="205">
        <f> U$20</f>
        <v>45383.0</v>
      </c>
      <c r="V29" s="205">
        <f> V$20</f>
        <v>45474.0</v>
      </c>
      <c r="W29" s="205">
        <f> W$20</f>
        <v>45566.0</v>
      </c>
      <c r="X29" s="205">
        <f> X$20</f>
        <v>45658.0</v>
      </c>
      <c r="Y29" s="205">
        <f> Y$20</f>
        <v>45748.0</v>
      </c>
      <c r="Z29" s="205">
        <f> Z$20</f>
        <v>45839.0</v>
      </c>
      <c r="AA29" s="205">
        <f> AA$20</f>
        <v>45931.0</v>
      </c>
      <c r="AB29" s="205">
        <f> AB$20</f>
        <v>46023.0</v>
      </c>
      <c r="AC29" s="205">
        <f> AC$20</f>
        <v>46113.0</v>
      </c>
      <c r="AD29" s="205">
        <f> AD$20</f>
        <v>46204.0</v>
      </c>
      <c r="AE29" s="205">
        <f> AE$20</f>
        <v>46296.0</v>
      </c>
      <c r="AF29" s="205">
        <f> AF$20</f>
        <v>46388.0</v>
      </c>
      <c r="AG29" s="205">
        <f> AG$20</f>
        <v>46478.0</v>
      </c>
      <c r="AH29" s="205">
        <f> AH$20</f>
        <v>46569.0</v>
      </c>
      <c r="AI29" s="205">
        <f> AI$20</f>
        <v>46661.0</v>
      </c>
      <c r="AJ29" s="205">
        <f> AJ$20</f>
        <v>46753.0</v>
      </c>
      <c r="AK29" s="205">
        <f> AK$20</f>
        <v>46844.0</v>
      </c>
      <c r="AL29" s="205">
        <f> AL$20</f>
        <v>46935.0</v>
      </c>
      <c r="AM29" s="205">
        <f> AM$20</f>
        <v>47027.0</v>
      </c>
      <c r="AN29" s="205">
        <f> AN$20</f>
        <v>47119.0</v>
      </c>
      <c r="AO29" s="205">
        <f> AO$20</f>
        <v>47209.0</v>
      </c>
      <c r="AP29" s="205">
        <f> AP$20</f>
        <v>47300.0</v>
      </c>
      <c r="AQ29" s="205">
        <f> AQ$20</f>
        <v>47392.0</v>
      </c>
      <c r="AR29" s="205">
        <f> AR$20</f>
        <v>47484.0</v>
      </c>
      <c r="AS29" s="205">
        <f> AS$20</f>
        <v>47574.0</v>
      </c>
      <c r="AT29" s="205">
        <f> AT$20</f>
        <v>47665.0</v>
      </c>
      <c r="AU29" s="205">
        <f> AU$20</f>
        <v>47757.0</v>
      </c>
      <c r="AV29" s="205">
        <f> AV$20</f>
        <v>47849.0</v>
      </c>
      <c r="AW29" s="205">
        <f> AW$20</f>
        <v>47939.0</v>
      </c>
      <c r="AX29" s="205">
        <f> AX$20</f>
        <v>48030.0</v>
      </c>
      <c r="AY29" s="205">
        <f> AY$20</f>
        <v>48122.0</v>
      </c>
      <c r="AZ29" s="205">
        <f> AZ$20</f>
        <v>48214.0</v>
      </c>
      <c r="BA29" s="205">
        <f> BA$20</f>
        <v>48305.0</v>
      </c>
      <c r="BB29" s="205">
        <f> BB$20</f>
        <v>48396.0</v>
      </c>
      <c r="BC29" s="205">
        <f> BC$20</f>
        <v>48488.0</v>
      </c>
      <c r="BD29" s="205">
        <f> BD$20</f>
        <v>48580.0</v>
      </c>
      <c r="BE29" s="205">
        <f> BE$20</f>
        <v>48670.0</v>
      </c>
      <c r="BF29" s="205">
        <f> BF$20</f>
        <v>48761.0</v>
      </c>
      <c r="BG29" s="205">
        <f> BG$20</f>
        <v>48853.0</v>
      </c>
      <c r="BH29" s="205">
        <f> BH$20</f>
        <v>48945.0</v>
      </c>
      <c r="BI29" s="205">
        <f> BI$20</f>
        <v>49035.0</v>
      </c>
      <c r="BJ29" s="205">
        <f> BJ$20</f>
        <v>49126.0</v>
      </c>
      <c r="BK29" s="205">
        <f> BK$20</f>
        <v>49218.0</v>
      </c>
      <c r="BL29" s="205">
        <f> BL$20</f>
        <v>49310.0</v>
      </c>
      <c r="BM29" s="205">
        <f> BM$20</f>
        <v>49400.0</v>
      </c>
      <c r="BN29" s="205">
        <f> BN$20</f>
        <v>49491.0</v>
      </c>
      <c r="BO29" s="205">
        <f> BO$20</f>
        <v>49583.0</v>
      </c>
      <c r="BP29" s="205">
        <f> BP$20</f>
        <v>49675.0</v>
      </c>
      <c r="BQ29" s="205">
        <f> BQ$20</f>
        <v>49766.0</v>
      </c>
      <c r="BR29" s="205">
        <f> BR$20</f>
        <v>49857.0</v>
      </c>
      <c r="BS29" s="205">
        <f> BS$20</f>
        <v>49949.0</v>
      </c>
      <c r="BT29" s="205">
        <f> BT$20</f>
        <v>50041.0</v>
      </c>
      <c r="BU29" s="205">
        <f> BU$20</f>
        <v>50131.0</v>
      </c>
      <c r="BV29" s="205">
        <f> BV$20</f>
        <v>50222.0</v>
      </c>
      <c r="BW29" s="205">
        <f> BW$20</f>
        <v>50314.0</v>
      </c>
      <c r="BX29" s="205">
        <f> BX$20</f>
        <v>50406.0</v>
      </c>
      <c r="BY29" s="205">
        <f> BY$20</f>
        <v>50496.0</v>
      </c>
      <c r="BZ29" s="205">
        <f> BZ$20</f>
        <v>50587.0</v>
      </c>
      <c r="CA29" s="205">
        <f> CA$20</f>
        <v>50679.0</v>
      </c>
      <c r="CB29" s="205">
        <f> CB$20</f>
        <v>50771.0</v>
      </c>
      <c r="CC29" s="205">
        <f> CC$20</f>
        <v>50861.0</v>
      </c>
      <c r="CD29" s="205">
        <f> CD$20</f>
        <v>50952.0</v>
      </c>
      <c r="CE29" s="205">
        <f> CE$20</f>
        <v>51044.0</v>
      </c>
      <c r="CF29" s="205">
        <f> CF$20</f>
        <v>51136.0</v>
      </c>
      <c r="CG29" s="205">
        <f> CG$20</f>
        <v>51227.0</v>
      </c>
      <c r="CH29" s="205">
        <f> CH$20</f>
        <v>51318.0</v>
      </c>
      <c r="CI29" s="205">
        <f> CI$20</f>
        <v>51410.0</v>
      </c>
      <c r="CJ29" s="205">
        <f> CJ$20</f>
        <v>51502.0</v>
      </c>
      <c r="CK29" s="205">
        <f> CK$20</f>
        <v>51592.0</v>
      </c>
      <c r="CL29" s="205">
        <f> CL$20</f>
        <v>51683.0</v>
      </c>
      <c r="CM29" s="205">
        <f> CM$20</f>
        <v>51775.0</v>
      </c>
      <c r="CN29" s="205">
        <f> CN$20</f>
        <v>51867.0</v>
      </c>
      <c r="CO29" s="205">
        <f> CO$20</f>
        <v>51957.0</v>
      </c>
    </row>
    <row r="30" customFormat="1" s="369">
      <c r="A30" s="348" t="n"/>
      <c r="B30" s="348" t="n"/>
      <c r="C30" s="349" t="n"/>
      <c r="D30" s="150" t="n"/>
      <c r="E30" s="150" t="inlineStr">
        <is>
          <t>Days in model period</t>
        </is>
      </c>
      <c r="F30" s="150" t="n"/>
      <c r="G30" s="150" t="inlineStr">
        <is>
          <t>days</t>
        </is>
      </c>
      <c r="H30" s="150" t="n"/>
      <c r="I30" s="150" t="n"/>
      <c r="J30" s="150">
        <f>J28-J29+1</f>
        <v>92.0</v>
      </c>
      <c r="K30" s="150">
        <f>K28-K29+1</f>
        <v>92.0</v>
      </c>
      <c r="L30" s="150">
        <f>L28-L29+1</f>
        <v>90.0</v>
      </c>
      <c r="M30" s="150">
        <f>M28-M29+1</f>
        <v>91.0</v>
      </c>
      <c r="N30" s="150">
        <f>N28-N29+1</f>
        <v>92.0</v>
      </c>
      <c r="O30" s="150">
        <f>O28-O29+1</f>
        <v>92.0</v>
      </c>
      <c r="P30" s="150">
        <f>P28-P29+1</f>
        <v>90.0</v>
      </c>
      <c r="Q30" s="150">
        <f>Q28-Q29+1</f>
        <v>91.0</v>
      </c>
      <c r="R30" s="150">
        <f>R28-R29+1</f>
        <v>92.0</v>
      </c>
      <c r="S30" s="150">
        <f>S28-S29+1</f>
        <v>92.0</v>
      </c>
      <c r="T30" s="150">
        <f>T28-T29+1</f>
        <v>91.0</v>
      </c>
      <c r="U30" s="150">
        <f>U28-U29+1</f>
        <v>91.0</v>
      </c>
      <c r="V30" s="150">
        <f>V28-V29+1</f>
        <v>92.0</v>
      </c>
      <c r="W30" s="150">
        <f>W28-W29+1</f>
        <v>92.0</v>
      </c>
      <c r="X30" s="150">
        <f>X28-X29+1</f>
        <v>90.0</v>
      </c>
      <c r="Y30" s="150">
        <f>Y28-Y29+1</f>
        <v>91.0</v>
      </c>
      <c r="Z30" s="150">
        <f>Z28-Z29+1</f>
        <v>92.0</v>
      </c>
      <c r="AA30" s="150">
        <f>AA28-AA29+1</f>
        <v>92.0</v>
      </c>
      <c r="AB30" s="150">
        <f>AB28-AB29+1</f>
        <v>90.0</v>
      </c>
      <c r="AC30" s="150">
        <f>AC28-AC29+1</f>
        <v>91.0</v>
      </c>
      <c r="AD30" s="150">
        <f>AD28-AD29+1</f>
        <v>92.0</v>
      </c>
      <c r="AE30" s="150">
        <f>AE28-AE29+1</f>
        <v>92.0</v>
      </c>
      <c r="AF30" s="150">
        <f>AF28-AF29+1</f>
        <v>90.0</v>
      </c>
      <c r="AG30" s="150">
        <f>AG28-AG29+1</f>
        <v>91.0</v>
      </c>
      <c r="AH30" s="150">
        <f>AH28-AH29+1</f>
        <v>92.0</v>
      </c>
      <c r="AI30" s="150">
        <f>AI28-AI29+1</f>
        <v>92.0</v>
      </c>
      <c r="AJ30" s="150">
        <f>AJ28-AJ29+1</f>
        <v>91.0</v>
      </c>
      <c r="AK30" s="150">
        <f>AK28-AK29+1</f>
        <v>91.0</v>
      </c>
      <c r="AL30" s="150">
        <f>AL28-AL29+1</f>
        <v>92.0</v>
      </c>
      <c r="AM30" s="150">
        <f>AM28-AM29+1</f>
        <v>92.0</v>
      </c>
      <c r="AN30" s="150">
        <f>AN28-AN29+1</f>
        <v>90.0</v>
      </c>
      <c r="AO30" s="150">
        <f>AO28-AO29+1</f>
        <v>91.0</v>
      </c>
      <c r="AP30" s="150">
        <f>AP28-AP29+1</f>
        <v>92.0</v>
      </c>
      <c r="AQ30" s="150">
        <f>AQ28-AQ29+1</f>
        <v>92.0</v>
      </c>
      <c r="AR30" s="150">
        <f>AR28-AR29+1</f>
        <v>90.0</v>
      </c>
      <c r="AS30" s="150">
        <f>AS28-AS29+1</f>
        <v>91.0</v>
      </c>
      <c r="AT30" s="150">
        <f>AT28-AT29+1</f>
        <v>92.0</v>
      </c>
      <c r="AU30" s="150">
        <f>AU28-AU29+1</f>
        <v>92.0</v>
      </c>
      <c r="AV30" s="150">
        <f>AV28-AV29+1</f>
        <v>90.0</v>
      </c>
      <c r="AW30" s="150">
        <f>AW28-AW29+1</f>
        <v>91.0</v>
      </c>
      <c r="AX30" s="150">
        <f>AX28-AX29+1</f>
        <v>92.0</v>
      </c>
      <c r="AY30" s="150">
        <f>AY28-AY29+1</f>
        <v>92.0</v>
      </c>
      <c r="AZ30" s="150">
        <f>AZ28-AZ29+1</f>
        <v>91.0</v>
      </c>
      <c r="BA30" s="150">
        <f>BA28-BA29+1</f>
        <v>91.0</v>
      </c>
      <c r="BB30" s="150">
        <f>BB28-BB29+1</f>
        <v>92.0</v>
      </c>
      <c r="BC30" s="150">
        <f>BC28-BC29+1</f>
        <v>92.0</v>
      </c>
      <c r="BD30" s="150">
        <f>BD28-BD29+1</f>
        <v>90.0</v>
      </c>
      <c r="BE30" s="150">
        <f>BE28-BE29+1</f>
        <v>91.0</v>
      </c>
      <c r="BF30" s="150">
        <f>BF28-BF29+1</f>
        <v>92.0</v>
      </c>
      <c r="BG30" s="150">
        <f>BG28-BG29+1</f>
        <v>92.0</v>
      </c>
      <c r="BH30" s="150">
        <f>BH28-BH29+1</f>
        <v>90.0</v>
      </c>
      <c r="BI30" s="150">
        <f>BI28-BI29+1</f>
        <v>91.0</v>
      </c>
      <c r="BJ30" s="150">
        <f>BJ28-BJ29+1</f>
        <v>92.0</v>
      </c>
      <c r="BK30" s="150">
        <f>BK28-BK29+1</f>
        <v>92.0</v>
      </c>
      <c r="BL30" s="150">
        <f>BL28-BL29+1</f>
        <v>90.0</v>
      </c>
      <c r="BM30" s="150">
        <f>BM28-BM29+1</f>
        <v>91.0</v>
      </c>
      <c r="BN30" s="150">
        <f>BN28-BN29+1</f>
        <v>92.0</v>
      </c>
      <c r="BO30" s="150">
        <f>BO28-BO29+1</f>
        <v>92.0</v>
      </c>
      <c r="BP30" s="150">
        <f>BP28-BP29+1</f>
        <v>91.0</v>
      </c>
      <c r="BQ30" s="150">
        <f>BQ28-BQ29+1</f>
        <v>91.0</v>
      </c>
      <c r="BR30" s="150">
        <f>BR28-BR29+1</f>
        <v>92.0</v>
      </c>
      <c r="BS30" s="150">
        <f>BS28-BS29+1</f>
        <v>92.0</v>
      </c>
      <c r="BT30" s="150">
        <f>BT28-BT29+1</f>
        <v>90.0</v>
      </c>
      <c r="BU30" s="150">
        <f>BU28-BU29+1</f>
        <v>91.0</v>
      </c>
      <c r="BV30" s="150">
        <f>BV28-BV29+1</f>
        <v>92.0</v>
      </c>
      <c r="BW30" s="150">
        <f>BW28-BW29+1</f>
        <v>92.0</v>
      </c>
      <c r="BX30" s="150">
        <f>BX28-BX29+1</f>
        <v>90.0</v>
      </c>
      <c r="BY30" s="150">
        <f>BY28-BY29+1</f>
        <v>91.0</v>
      </c>
      <c r="BZ30" s="150">
        <f>BZ28-BZ29+1</f>
        <v>92.0</v>
      </c>
      <c r="CA30" s="150">
        <f>CA28-CA29+1</f>
        <v>92.0</v>
      </c>
      <c r="CB30" s="150">
        <f>CB28-CB29+1</f>
        <v>90.0</v>
      </c>
      <c r="CC30" s="150">
        <f>CC28-CC29+1</f>
        <v>91.0</v>
      </c>
      <c r="CD30" s="150">
        <f>CD28-CD29+1</f>
        <v>92.0</v>
      </c>
      <c r="CE30" s="150">
        <f>CE28-CE29+1</f>
        <v>92.0</v>
      </c>
      <c r="CF30" s="150">
        <f>CF28-CF29+1</f>
        <v>91.0</v>
      </c>
      <c r="CG30" s="150">
        <f>CG28-CG29+1</f>
        <v>91.0</v>
      </c>
      <c r="CH30" s="150">
        <f>CH28-CH29+1</f>
        <v>92.0</v>
      </c>
      <c r="CI30" s="150">
        <f>CI28-CI29+1</f>
        <v>92.0</v>
      </c>
      <c r="CJ30" s="150">
        <f>CJ28-CJ29+1</f>
        <v>90.0</v>
      </c>
      <c r="CK30" s="150">
        <f>CK28-CK29+1</f>
        <v>91.0</v>
      </c>
      <c r="CL30" s="150">
        <f>CL28-CL29+1</f>
        <v>92.0</v>
      </c>
      <c r="CM30" s="150">
        <f>CM28-CM29+1</f>
        <v>92.0</v>
      </c>
      <c r="CN30" s="150">
        <f>CN28-CN29+1</f>
        <v>90.0</v>
      </c>
      <c r="CO30" s="150">
        <f>CO28-CO29+1</f>
        <v>91.0</v>
      </c>
    </row>
    <row r="31" customFormat="1" s="146">
      <c r="A31" s="163" t="n"/>
      <c r="B31" s="163" t="n"/>
      <c r="C31" s="172" t="n"/>
      <c r="D31" s="169" t="n"/>
      <c r="E31" s="169" t="n"/>
      <c r="F31" s="169" t="n"/>
      <c r="G31" s="169" t="n"/>
      <c r="H31" s="169" t="n"/>
      <c r="I31" s="169" t="n"/>
      <c r="J31" s="169" t="n"/>
      <c r="K31" s="169" t="n"/>
      <c r="L31" s="169" t="n"/>
      <c r="M31" s="169" t="n"/>
      <c r="N31" s="169" t="n"/>
      <c r="O31" s="169" t="n"/>
      <c r="P31" s="169" t="n"/>
      <c r="Q31" s="169" t="n"/>
      <c r="R31" s="169" t="n"/>
      <c r="S31" s="169" t="n"/>
      <c r="T31" s="169" t="n"/>
      <c r="U31" s="169" t="n"/>
      <c r="V31" s="169" t="n"/>
      <c r="W31" s="169" t="n"/>
      <c r="X31" s="169" t="n"/>
      <c r="Y31" s="169" t="n"/>
      <c r="Z31" s="169" t="n"/>
      <c r="AA31" s="169" t="n"/>
      <c r="AB31" s="169" t="n"/>
      <c r="AC31" s="169" t="n"/>
      <c r="AD31" s="169" t="n"/>
      <c r="AE31" s="169" t="n"/>
      <c r="AF31" s="169" t="n"/>
      <c r="AG31" s="169" t="n"/>
      <c r="AH31" s="169" t="n"/>
      <c r="AI31" s="169" t="n"/>
      <c r="AJ31" s="169" t="n"/>
      <c r="AK31" s="169" t="n"/>
      <c r="AL31" s="169" t="n"/>
      <c r="AM31" s="169" t="n"/>
      <c r="AN31" s="169" t="n"/>
      <c r="AO31" s="169" t="n"/>
      <c r="AP31" s="169" t="n"/>
      <c r="AQ31" s="169" t="n"/>
      <c r="AR31" s="169" t="n"/>
      <c r="AS31" s="169" t="n"/>
      <c r="AT31" s="169" t="n"/>
      <c r="AU31" s="169" t="n"/>
      <c r="AV31" s="169" t="n"/>
      <c r="AW31" s="169" t="n"/>
      <c r="AX31" s="169" t="n"/>
      <c r="AY31" s="169" t="n"/>
      <c r="AZ31" s="169" t="n"/>
      <c r="BA31" s="169" t="n"/>
      <c r="BB31" s="169" t="n"/>
      <c r="BC31" s="169" t="n"/>
      <c r="BD31" s="169" t="n"/>
      <c r="BE31" s="169" t="n"/>
      <c r="BF31" s="169" t="n"/>
      <c r="BG31" s="169" t="n"/>
      <c r="BH31" s="169" t="n"/>
      <c r="BI31" s="169" t="n"/>
      <c r="BJ31" s="169" t="n"/>
      <c r="BK31" s="169" t="n"/>
      <c r="BL31" s="169" t="n"/>
      <c r="BM31" s="169" t="n"/>
      <c r="BN31" s="169" t="n"/>
      <c r="BO31" s="169" t="n"/>
      <c r="BP31" s="169" t="n"/>
      <c r="BQ31" s="169" t="n"/>
      <c r="BR31" s="169" t="n"/>
      <c r="BS31" s="169" t="n"/>
      <c r="BT31" s="169" t="n"/>
      <c r="BU31" s="169" t="n"/>
      <c r="BV31" s="169" t="n"/>
      <c r="BW31" s="169" t="n"/>
      <c r="BX31" s="169" t="n"/>
      <c r="BY31" s="169" t="n"/>
      <c r="BZ31" s="169" t="n"/>
      <c r="CA31" s="169" t="n"/>
      <c r="CB31" s="169" t="n"/>
      <c r="CC31" s="169" t="n"/>
      <c r="CD31" s="169" t="n"/>
      <c r="CE31" s="169" t="n"/>
      <c r="CF31" s="169" t="n"/>
      <c r="CG31" s="169" t="n"/>
      <c r="CH31" s="169" t="n"/>
      <c r="CI31" s="169" t="n"/>
      <c r="CJ31" s="169" t="n"/>
      <c r="CK31" s="169" t="n"/>
      <c r="CL31" s="169" t="n"/>
      <c r="CM31" s="169" t="n"/>
      <c r="CN31" s="169" t="n"/>
      <c r="CO31" s="169" t="n"/>
    </row>
    <row r="32" customFormat="1" s="119">
      <c r="A32" s="167" t="n"/>
      <c r="B32" s="163" t="inlineStr">
        <is>
          <t>Financial year ending</t>
        </is>
      </c>
      <c r="C32" s="237" t="n"/>
      <c r="D32" s="170" t="n"/>
      <c r="E32" s="205" t="n"/>
      <c r="F32" s="205" t="n"/>
      <c r="G32" s="205" t="n"/>
      <c r="H32" s="61" t="n"/>
      <c r="I32" s="61" t="n"/>
      <c r="J32" s="61" t="n"/>
      <c r="K32" s="61" t="n"/>
      <c r="L32" s="61" t="n"/>
      <c r="M32" s="61" t="n"/>
      <c r="N32" s="61" t="n"/>
      <c r="O32" s="61" t="n"/>
      <c r="P32" s="61" t="n"/>
      <c r="Q32" s="61" t="n"/>
      <c r="R32" s="61" t="n"/>
      <c r="S32" s="61" t="n"/>
      <c r="T32" s="61" t="n"/>
      <c r="U32" s="61" t="n"/>
      <c r="V32" s="61" t="n"/>
      <c r="W32" s="61" t="n"/>
      <c r="X32" s="61" t="n"/>
      <c r="Y32" s="61" t="n"/>
      <c r="Z32" s="61" t="n"/>
      <c r="AA32" s="61" t="n"/>
      <c r="AB32" s="61" t="n"/>
      <c r="AC32" s="61" t="n"/>
      <c r="AD32" s="61" t="n"/>
      <c r="AE32" s="61" t="n"/>
      <c r="AF32" s="61" t="n"/>
      <c r="AG32" s="61" t="n"/>
      <c r="AH32" s="61" t="n"/>
      <c r="AI32" s="61" t="n"/>
      <c r="AJ32" s="61" t="n"/>
      <c r="AK32" s="61" t="n"/>
      <c r="AL32" s="61" t="n"/>
      <c r="AM32" s="61" t="n"/>
      <c r="AN32" s="61" t="n"/>
      <c r="AO32" s="61" t="n"/>
      <c r="AP32" s="61" t="n"/>
      <c r="AQ32" s="61" t="n"/>
      <c r="AR32" s="61" t="n"/>
      <c r="AS32" s="61" t="n"/>
      <c r="AT32" s="61" t="n"/>
      <c r="AU32" s="61" t="n"/>
      <c r="AV32" s="61" t="n"/>
      <c r="AW32" s="61" t="n"/>
      <c r="AX32" s="61" t="n"/>
      <c r="AY32" s="61" t="n"/>
      <c r="AZ32" s="61" t="n"/>
      <c r="BA32" s="61" t="n"/>
      <c r="BB32" s="61" t="n"/>
      <c r="BC32" s="61" t="n"/>
      <c r="BD32" s="61" t="n"/>
      <c r="BE32" s="61" t="n"/>
      <c r="BF32" s="61" t="n"/>
      <c r="BG32" s="61" t="n"/>
      <c r="BH32" s="61" t="n"/>
      <c r="BI32" s="61" t="n"/>
      <c r="BJ32" s="61" t="n"/>
      <c r="BK32" s="61" t="n"/>
      <c r="BL32" s="61" t="n"/>
      <c r="BM32" s="61" t="n"/>
      <c r="BN32" s="61" t="n"/>
      <c r="BO32" s="61" t="n"/>
      <c r="BP32" s="61" t="n"/>
      <c r="BQ32" s="61" t="n"/>
      <c r="BR32" s="61" t="n"/>
      <c r="BS32" s="61" t="n"/>
      <c r="BT32" s="61" t="n"/>
      <c r="BU32" s="61" t="n"/>
      <c r="BV32" s="61" t="n"/>
      <c r="BW32" s="61" t="n"/>
      <c r="BX32" s="61" t="n"/>
      <c r="BY32" s="61" t="n"/>
      <c r="BZ32" s="61" t="n"/>
      <c r="CA32" s="61" t="n"/>
      <c r="CB32" s="61" t="n"/>
      <c r="CC32" s="61" t="n"/>
      <c r="CD32" s="61" t="n"/>
      <c r="CE32" s="61" t="n"/>
      <c r="CF32" s="61" t="n"/>
      <c r="CG32" s="61" t="n"/>
      <c r="CH32" s="61" t="n"/>
      <c r="CI32" s="61" t="n"/>
      <c r="CJ32" s="61" t="n"/>
      <c r="CK32" s="61" t="n"/>
      <c r="CL32" s="61" t="n"/>
      <c r="CM32" s="61" t="n"/>
      <c r="CN32" s="61" t="n"/>
      <c r="CO32" s="61" t="n"/>
    </row>
    <row r="33" customFormat="1" s="119">
      <c r="A33" s="167" t="n"/>
      <c r="B33" s="163" t="n"/>
      <c r="C33" s="237" t="n"/>
      <c r="D33" s="170" t="n"/>
      <c r="E33" s="343" t="str">
        <f> InpC!E$100</f>
        <v>First modelling column financial year number</v>
      </c>
      <c r="F33" s="398">
        <f> InpC!F$100</f>
        <v>2021.0</v>
      </c>
      <c r="G33" s="286" t="str">
        <f> InpC!G$100</f>
        <v>year #</v>
      </c>
      <c r="H33" s="61" t="n"/>
      <c r="I33" s="61" t="n"/>
      <c r="J33" s="61" t="n"/>
      <c r="K33" s="61" t="n"/>
      <c r="L33" s="61" t="n"/>
      <c r="M33" s="61" t="n"/>
      <c r="N33" s="61" t="n"/>
      <c r="O33" s="61" t="n"/>
      <c r="P33" s="61" t="n"/>
      <c r="Q33" s="61" t="n"/>
      <c r="R33" s="61" t="n"/>
      <c r="S33" s="61" t="n"/>
      <c r="T33" s="61" t="n"/>
      <c r="U33" s="61" t="n"/>
      <c r="V33" s="61" t="n"/>
      <c r="W33" s="61" t="n"/>
      <c r="X33" s="61" t="n"/>
      <c r="Y33" s="61" t="n"/>
      <c r="Z33" s="61" t="n"/>
      <c r="AA33" s="61" t="n"/>
      <c r="AB33" s="61" t="n"/>
      <c r="AC33" s="61" t="n"/>
      <c r="AD33" s="61" t="n"/>
      <c r="AE33" s="61" t="n"/>
      <c r="AF33" s="61" t="n"/>
      <c r="AG33" s="61" t="n"/>
      <c r="AH33" s="61" t="n"/>
      <c r="AI33" s="61" t="n"/>
      <c r="AJ33" s="61" t="n"/>
      <c r="AK33" s="61" t="n"/>
      <c r="AL33" s="61" t="n"/>
      <c r="AM33" s="61" t="n"/>
      <c r="AN33" s="61" t="n"/>
      <c r="AO33" s="61" t="n"/>
      <c r="AP33" s="61" t="n"/>
      <c r="AQ33" s="61" t="n"/>
      <c r="AR33" s="61" t="n"/>
      <c r="AS33" s="61" t="n"/>
      <c r="AT33" s="61" t="n"/>
      <c r="AU33" s="61" t="n"/>
      <c r="AV33" s="61" t="n"/>
      <c r="AW33" s="61" t="n"/>
      <c r="AX33" s="61" t="n"/>
      <c r="AY33" s="61" t="n"/>
      <c r="AZ33" s="61" t="n"/>
      <c r="BA33" s="61" t="n"/>
      <c r="BB33" s="61" t="n"/>
      <c r="BC33" s="61" t="n"/>
      <c r="BD33" s="61" t="n"/>
      <c r="BE33" s="61" t="n"/>
      <c r="BF33" s="61" t="n"/>
      <c r="BG33" s="61" t="n"/>
      <c r="BH33" s="61" t="n"/>
      <c r="BI33" s="61" t="n"/>
      <c r="BJ33" s="61" t="n"/>
      <c r="BK33" s="61" t="n"/>
      <c r="BL33" s="61" t="n"/>
      <c r="BM33" s="61" t="n"/>
      <c r="BN33" s="61" t="n"/>
      <c r="BO33" s="61" t="n"/>
      <c r="BP33" s="61" t="n"/>
      <c r="BQ33" s="61" t="n"/>
      <c r="BR33" s="61" t="n"/>
      <c r="BS33" s="61" t="n"/>
      <c r="BT33" s="61" t="n"/>
      <c r="BU33" s="61" t="n"/>
      <c r="BV33" s="61" t="n"/>
      <c r="BW33" s="61" t="n"/>
      <c r="BX33" s="61" t="n"/>
      <c r="BY33" s="61" t="n"/>
      <c r="BZ33" s="61" t="n"/>
      <c r="CA33" s="61" t="n"/>
      <c r="CB33" s="61" t="n"/>
      <c r="CC33" s="61" t="n"/>
      <c r="CD33" s="61" t="n"/>
      <c r="CE33" s="61" t="n"/>
      <c r="CF33" s="61" t="n"/>
      <c r="CG33" s="61" t="n"/>
      <c r="CH33" s="61" t="n"/>
      <c r="CI33" s="61" t="n"/>
      <c r="CJ33" s="61" t="n"/>
      <c r="CK33" s="61" t="n"/>
      <c r="CL33" s="61" t="n"/>
      <c r="CM33" s="61" t="n"/>
      <c r="CN33" s="61" t="n"/>
      <c r="CO33" s="61" t="n"/>
    </row>
    <row r="34" customFormat="1" s="154">
      <c r="A34" s="163" t="n"/>
      <c r="B34" s="163" t="n"/>
      <c r="C34" s="172" t="n"/>
      <c r="D34" s="169" t="n"/>
      <c r="E34" s="309" t="str">
        <f> InpC!E$98</f>
        <v>Financial year end month number</v>
      </c>
      <c r="F34" s="308">
        <f> InpC!F$98</f>
        <v>12.0</v>
      </c>
      <c r="G34" s="309" t="str">
        <f> InpC!G$98</f>
        <v>month #</v>
      </c>
      <c r="H34" s="61" t="n"/>
      <c r="I34" s="61" t="n"/>
      <c r="J34" s="61" t="n"/>
      <c r="K34" s="61" t="n"/>
      <c r="L34" s="61" t="n"/>
      <c r="M34" s="61" t="n"/>
      <c r="N34" s="61" t="n"/>
      <c r="O34" s="61" t="n"/>
      <c r="P34" s="61" t="n"/>
      <c r="Q34" s="61" t="n"/>
      <c r="R34" s="61" t="n"/>
      <c r="S34" s="61" t="n"/>
      <c r="T34" s="61" t="n"/>
      <c r="U34" s="61" t="n"/>
      <c r="V34" s="61" t="n"/>
      <c r="W34" s="61" t="n"/>
      <c r="X34" s="61" t="n"/>
      <c r="Y34" s="61" t="n"/>
      <c r="Z34" s="61" t="n"/>
      <c r="AA34" s="61" t="n"/>
      <c r="AB34" s="61" t="n"/>
      <c r="AC34" s="61" t="n"/>
      <c r="AD34" s="61" t="n"/>
      <c r="AE34" s="61" t="n"/>
      <c r="AF34" s="61" t="n"/>
      <c r="AG34" s="61" t="n"/>
      <c r="AH34" s="61" t="n"/>
      <c r="AI34" s="61" t="n"/>
      <c r="AJ34" s="61" t="n"/>
      <c r="AK34" s="61" t="n"/>
      <c r="AL34" s="61" t="n"/>
      <c r="AM34" s="61" t="n"/>
      <c r="AN34" s="61" t="n"/>
      <c r="AO34" s="61" t="n"/>
      <c r="AP34" s="61" t="n"/>
      <c r="AQ34" s="61" t="n"/>
      <c r="AR34" s="61" t="n"/>
      <c r="AS34" s="61" t="n"/>
      <c r="AT34" s="61" t="n"/>
      <c r="AU34" s="61" t="n"/>
      <c r="AV34" s="61" t="n"/>
      <c r="AW34" s="61" t="n"/>
      <c r="AX34" s="61" t="n"/>
      <c r="AY34" s="61" t="n"/>
      <c r="AZ34" s="61" t="n"/>
      <c r="BA34" s="61" t="n"/>
      <c r="BB34" s="61" t="n"/>
      <c r="BC34" s="61" t="n"/>
      <c r="BD34" s="61" t="n"/>
      <c r="BE34" s="61" t="n"/>
      <c r="BF34" s="61" t="n"/>
      <c r="BG34" s="61" t="n"/>
      <c r="BH34" s="61" t="n"/>
      <c r="BI34" s="61" t="n"/>
      <c r="BJ34" s="61" t="n"/>
      <c r="BK34" s="61" t="n"/>
      <c r="BL34" s="61" t="n"/>
      <c r="BM34" s="61" t="n"/>
      <c r="BN34" s="61" t="n"/>
      <c r="BO34" s="61" t="n"/>
      <c r="BP34" s="61" t="n"/>
      <c r="BQ34" s="61" t="n"/>
      <c r="BR34" s="61" t="n"/>
      <c r="BS34" s="61" t="n"/>
      <c r="BT34" s="61" t="n"/>
      <c r="BU34" s="61" t="n"/>
      <c r="BV34" s="61" t="n"/>
      <c r="BW34" s="61" t="n"/>
      <c r="BX34" s="61" t="n"/>
      <c r="BY34" s="61" t="n"/>
      <c r="BZ34" s="61" t="n"/>
      <c r="CA34" s="61" t="n"/>
      <c r="CB34" s="61" t="n"/>
      <c r="CC34" s="61" t="n"/>
      <c r="CD34" s="61" t="n"/>
      <c r="CE34" s="61" t="n"/>
      <c r="CF34" s="61" t="n"/>
      <c r="CG34" s="61" t="n"/>
      <c r="CH34" s="61" t="n"/>
      <c r="CI34" s="61" t="n"/>
      <c r="CJ34" s="61" t="n"/>
      <c r="CK34" s="61" t="n"/>
      <c r="CL34" s="61" t="n"/>
      <c r="CM34" s="61" t="n"/>
      <c r="CN34" s="61" t="n"/>
      <c r="CO34" s="61" t="n"/>
    </row>
    <row r="35" customFormat="1" s="119">
      <c r="A35" s="167" t="n"/>
      <c r="B35" s="167" t="n"/>
      <c r="C35" s="237" t="n"/>
      <c r="D35" s="170" t="n"/>
      <c r="E35" s="205" t="str">
        <f> E$25</f>
        <v>Model period ending </v>
      </c>
      <c r="F35" s="205">
        <f> F$25</f>
        <v>0.0</v>
      </c>
      <c r="G35" s="205" t="str">
        <f> G$25</f>
        <v>date</v>
      </c>
      <c r="H35" s="205">
        <f> H$25</f>
        <v>0.0</v>
      </c>
      <c r="I35" s="205">
        <f> I$25</f>
        <v>0.0</v>
      </c>
      <c r="J35" s="205">
        <f> J$25</f>
        <v>44469.0</v>
      </c>
      <c r="K35" s="205">
        <f> K$25</f>
        <v>44561.0</v>
      </c>
      <c r="L35" s="205">
        <f> L$25</f>
        <v>44651.0</v>
      </c>
      <c r="M35" s="205">
        <f> M$25</f>
        <v>44742.0</v>
      </c>
      <c r="N35" s="205">
        <f> N$25</f>
        <v>44834.0</v>
      </c>
      <c r="O35" s="205">
        <f> O$25</f>
        <v>44926.0</v>
      </c>
      <c r="P35" s="205">
        <f> P$25</f>
        <v>45016.0</v>
      </c>
      <c r="Q35" s="205">
        <f> Q$25</f>
        <v>45107.0</v>
      </c>
      <c r="R35" s="205">
        <f> R$25</f>
        <v>45199.0</v>
      </c>
      <c r="S35" s="205">
        <f> S$25</f>
        <v>45291.0</v>
      </c>
      <c r="T35" s="205">
        <f> T$25</f>
        <v>45382.0</v>
      </c>
      <c r="U35" s="205">
        <f> U$25</f>
        <v>45473.0</v>
      </c>
      <c r="V35" s="205">
        <f> V$25</f>
        <v>45565.0</v>
      </c>
      <c r="W35" s="205">
        <f> W$25</f>
        <v>45657.0</v>
      </c>
      <c r="X35" s="205">
        <f> X$25</f>
        <v>45747.0</v>
      </c>
      <c r="Y35" s="205">
        <f> Y$25</f>
        <v>45838.0</v>
      </c>
      <c r="Z35" s="205">
        <f> Z$25</f>
        <v>45930.0</v>
      </c>
      <c r="AA35" s="205">
        <f> AA$25</f>
        <v>46022.0</v>
      </c>
      <c r="AB35" s="205">
        <f> AB$25</f>
        <v>46112.0</v>
      </c>
      <c r="AC35" s="205">
        <f> AC$25</f>
        <v>46203.0</v>
      </c>
      <c r="AD35" s="205">
        <f> AD$25</f>
        <v>46295.0</v>
      </c>
      <c r="AE35" s="205">
        <f> AE$25</f>
        <v>46387.0</v>
      </c>
      <c r="AF35" s="205">
        <f> AF$25</f>
        <v>46477.0</v>
      </c>
      <c r="AG35" s="205">
        <f> AG$25</f>
        <v>46568.0</v>
      </c>
      <c r="AH35" s="205">
        <f> AH$25</f>
        <v>46660.0</v>
      </c>
      <c r="AI35" s="205">
        <f> AI$25</f>
        <v>46752.0</v>
      </c>
      <c r="AJ35" s="205">
        <f> AJ$25</f>
        <v>46843.0</v>
      </c>
      <c r="AK35" s="205">
        <f> AK$25</f>
        <v>46934.0</v>
      </c>
      <c r="AL35" s="205">
        <f> AL$25</f>
        <v>47026.0</v>
      </c>
      <c r="AM35" s="205">
        <f> AM$25</f>
        <v>47118.0</v>
      </c>
      <c r="AN35" s="205">
        <f> AN$25</f>
        <v>47208.0</v>
      </c>
      <c r="AO35" s="205">
        <f> AO$25</f>
        <v>47299.0</v>
      </c>
      <c r="AP35" s="205">
        <f> AP$25</f>
        <v>47391.0</v>
      </c>
      <c r="AQ35" s="205">
        <f> AQ$25</f>
        <v>47483.0</v>
      </c>
      <c r="AR35" s="205">
        <f> AR$25</f>
        <v>47573.0</v>
      </c>
      <c r="AS35" s="205">
        <f> AS$25</f>
        <v>47664.0</v>
      </c>
      <c r="AT35" s="205">
        <f> AT$25</f>
        <v>47756.0</v>
      </c>
      <c r="AU35" s="205">
        <f> AU$25</f>
        <v>47848.0</v>
      </c>
      <c r="AV35" s="205">
        <f> AV$25</f>
        <v>47938.0</v>
      </c>
      <c r="AW35" s="205">
        <f> AW$25</f>
        <v>48029.0</v>
      </c>
      <c r="AX35" s="205">
        <f> AX$25</f>
        <v>48121.0</v>
      </c>
      <c r="AY35" s="205">
        <f> AY$25</f>
        <v>48213.0</v>
      </c>
      <c r="AZ35" s="205">
        <f> AZ$25</f>
        <v>48304.0</v>
      </c>
      <c r="BA35" s="205">
        <f> BA$25</f>
        <v>48395.0</v>
      </c>
      <c r="BB35" s="205">
        <f> BB$25</f>
        <v>48487.0</v>
      </c>
      <c r="BC35" s="205">
        <f> BC$25</f>
        <v>48579.0</v>
      </c>
      <c r="BD35" s="205">
        <f> BD$25</f>
        <v>48669.0</v>
      </c>
      <c r="BE35" s="205">
        <f> BE$25</f>
        <v>48760.0</v>
      </c>
      <c r="BF35" s="205">
        <f> BF$25</f>
        <v>48852.0</v>
      </c>
      <c r="BG35" s="205">
        <f> BG$25</f>
        <v>48944.0</v>
      </c>
      <c r="BH35" s="205">
        <f> BH$25</f>
        <v>49034.0</v>
      </c>
      <c r="BI35" s="205">
        <f> BI$25</f>
        <v>49125.0</v>
      </c>
      <c r="BJ35" s="205">
        <f> BJ$25</f>
        <v>49217.0</v>
      </c>
      <c r="BK35" s="205">
        <f> BK$25</f>
        <v>49309.0</v>
      </c>
      <c r="BL35" s="205">
        <f> BL$25</f>
        <v>49399.0</v>
      </c>
      <c r="BM35" s="205">
        <f> BM$25</f>
        <v>49490.0</v>
      </c>
      <c r="BN35" s="205">
        <f> BN$25</f>
        <v>49582.0</v>
      </c>
      <c r="BO35" s="205">
        <f> BO$25</f>
        <v>49674.0</v>
      </c>
      <c r="BP35" s="205">
        <f> BP$25</f>
        <v>49765.0</v>
      </c>
      <c r="BQ35" s="205">
        <f> BQ$25</f>
        <v>49856.0</v>
      </c>
      <c r="BR35" s="205">
        <f> BR$25</f>
        <v>49948.0</v>
      </c>
      <c r="BS35" s="205">
        <f> BS$25</f>
        <v>50040.0</v>
      </c>
      <c r="BT35" s="205">
        <f> BT$25</f>
        <v>50130.0</v>
      </c>
      <c r="BU35" s="205">
        <f> BU$25</f>
        <v>50221.0</v>
      </c>
      <c r="BV35" s="205">
        <f> BV$25</f>
        <v>50313.0</v>
      </c>
      <c r="BW35" s="205">
        <f> BW$25</f>
        <v>50405.0</v>
      </c>
      <c r="BX35" s="205">
        <f> BX$25</f>
        <v>50495.0</v>
      </c>
      <c r="BY35" s="205">
        <f> BY$25</f>
        <v>50586.0</v>
      </c>
      <c r="BZ35" s="205">
        <f> BZ$25</f>
        <v>50678.0</v>
      </c>
      <c r="CA35" s="205">
        <f> CA$25</f>
        <v>50770.0</v>
      </c>
      <c r="CB35" s="205">
        <f> CB$25</f>
        <v>50860.0</v>
      </c>
      <c r="CC35" s="205">
        <f> CC$25</f>
        <v>50951.0</v>
      </c>
      <c r="CD35" s="205">
        <f> CD$25</f>
        <v>51043.0</v>
      </c>
      <c r="CE35" s="205">
        <f> CE$25</f>
        <v>51135.0</v>
      </c>
      <c r="CF35" s="205">
        <f> CF$25</f>
        <v>51226.0</v>
      </c>
      <c r="CG35" s="205">
        <f> CG$25</f>
        <v>51317.0</v>
      </c>
      <c r="CH35" s="205">
        <f> CH$25</f>
        <v>51409.0</v>
      </c>
      <c r="CI35" s="205">
        <f> CI$25</f>
        <v>51501.0</v>
      </c>
      <c r="CJ35" s="205">
        <f> CJ$25</f>
        <v>51591.0</v>
      </c>
      <c r="CK35" s="205">
        <f> CK$25</f>
        <v>51682.0</v>
      </c>
      <c r="CL35" s="205">
        <f> CL$25</f>
        <v>51774.0</v>
      </c>
      <c r="CM35" s="205">
        <f> CM$25</f>
        <v>51866.0</v>
      </c>
      <c r="CN35" s="205">
        <f> CN$25</f>
        <v>51956.0</v>
      </c>
      <c r="CO35" s="205">
        <f> CO$25</f>
        <v>52047.0</v>
      </c>
    </row>
    <row r="36">
      <c r="E36" s="61" t="str">
        <f> E$14</f>
        <v>First model column flag</v>
      </c>
      <c r="F36" s="61">
        <f> F$14</f>
        <v>0.0</v>
      </c>
      <c r="G36" s="61" t="str">
        <f> G$14</f>
        <v>flag</v>
      </c>
      <c r="H36" s="61">
        <f> H$14</f>
        <v>1.0</v>
      </c>
      <c r="I36" s="61">
        <f> I$14</f>
        <v>0.0</v>
      </c>
      <c r="J36" s="61">
        <f> J$14</f>
        <v>1.0</v>
      </c>
      <c r="K36" s="61">
        <f> K$14</f>
        <v>0.0</v>
      </c>
      <c r="L36" s="61">
        <f> L$14</f>
        <v>0.0</v>
      </c>
      <c r="M36" s="61">
        <f> M$14</f>
        <v>0.0</v>
      </c>
      <c r="N36" s="61">
        <f> N$14</f>
        <v>0.0</v>
      </c>
      <c r="O36" s="61">
        <f> O$14</f>
        <v>0.0</v>
      </c>
      <c r="P36" s="61">
        <f> P$14</f>
        <v>0.0</v>
      </c>
      <c r="Q36" s="61">
        <f> Q$14</f>
        <v>0.0</v>
      </c>
      <c r="R36" s="61">
        <f> R$14</f>
        <v>0.0</v>
      </c>
      <c r="S36" s="61">
        <f> S$14</f>
        <v>0.0</v>
      </c>
      <c r="T36" s="61">
        <f> T$14</f>
        <v>0.0</v>
      </c>
      <c r="U36" s="61">
        <f> U$14</f>
        <v>0.0</v>
      </c>
      <c r="V36" s="61">
        <f> V$14</f>
        <v>0.0</v>
      </c>
      <c r="W36" s="61">
        <f> W$14</f>
        <v>0.0</v>
      </c>
      <c r="X36" s="61">
        <f> X$14</f>
        <v>0.0</v>
      </c>
      <c r="Y36" s="61">
        <f> Y$14</f>
        <v>0.0</v>
      </c>
      <c r="Z36" s="61">
        <f> Z$14</f>
        <v>0.0</v>
      </c>
      <c r="AA36" s="61">
        <f> AA$14</f>
        <v>0.0</v>
      </c>
      <c r="AB36" s="61">
        <f> AB$14</f>
        <v>0.0</v>
      </c>
      <c r="AC36" s="61">
        <f> AC$14</f>
        <v>0.0</v>
      </c>
      <c r="AD36" s="61">
        <f> AD$14</f>
        <v>0.0</v>
      </c>
      <c r="AE36" s="61">
        <f> AE$14</f>
        <v>0.0</v>
      </c>
      <c r="AF36" s="61">
        <f> AF$14</f>
        <v>0.0</v>
      </c>
      <c r="AG36" s="61">
        <f> AG$14</f>
        <v>0.0</v>
      </c>
      <c r="AH36" s="61">
        <f> AH$14</f>
        <v>0.0</v>
      </c>
      <c r="AI36" s="61">
        <f> AI$14</f>
        <v>0.0</v>
      </c>
      <c r="AJ36" s="61">
        <f> AJ$14</f>
        <v>0.0</v>
      </c>
      <c r="AK36" s="61">
        <f> AK$14</f>
        <v>0.0</v>
      </c>
      <c r="AL36" s="61">
        <f> AL$14</f>
        <v>0.0</v>
      </c>
      <c r="AM36" s="61">
        <f> AM$14</f>
        <v>0.0</v>
      </c>
      <c r="AN36" s="61">
        <f> AN$14</f>
        <v>0.0</v>
      </c>
      <c r="AO36" s="61">
        <f> AO$14</f>
        <v>0.0</v>
      </c>
      <c r="AP36" s="61">
        <f> AP$14</f>
        <v>0.0</v>
      </c>
      <c r="AQ36" s="61">
        <f> AQ$14</f>
        <v>0.0</v>
      </c>
      <c r="AR36" s="61">
        <f> AR$14</f>
        <v>0.0</v>
      </c>
      <c r="AS36" s="61">
        <f> AS$14</f>
        <v>0.0</v>
      </c>
      <c r="AT36" s="61">
        <f> AT$14</f>
        <v>0.0</v>
      </c>
      <c r="AU36" s="61">
        <f> AU$14</f>
        <v>0.0</v>
      </c>
      <c r="AV36" s="61">
        <f> AV$14</f>
        <v>0.0</v>
      </c>
      <c r="AW36" s="61">
        <f> AW$14</f>
        <v>0.0</v>
      </c>
      <c r="AX36" s="61">
        <f> AX$14</f>
        <v>0.0</v>
      </c>
      <c r="AY36" s="61">
        <f> AY$14</f>
        <v>0.0</v>
      </c>
      <c r="AZ36" s="61">
        <f> AZ$14</f>
        <v>0.0</v>
      </c>
      <c r="BA36" s="61">
        <f> BA$14</f>
        <v>0.0</v>
      </c>
      <c r="BB36" s="61">
        <f> BB$14</f>
        <v>0.0</v>
      </c>
      <c r="BC36" s="61">
        <f> BC$14</f>
        <v>0.0</v>
      </c>
      <c r="BD36" s="61">
        <f> BD$14</f>
        <v>0.0</v>
      </c>
      <c r="BE36" s="61">
        <f> BE$14</f>
        <v>0.0</v>
      </c>
      <c r="BF36" s="61">
        <f> BF$14</f>
        <v>0.0</v>
      </c>
      <c r="BG36" s="61">
        <f> BG$14</f>
        <v>0.0</v>
      </c>
      <c r="BH36" s="61">
        <f> BH$14</f>
        <v>0.0</v>
      </c>
      <c r="BI36" s="61">
        <f> BI$14</f>
        <v>0.0</v>
      </c>
      <c r="BJ36" s="61">
        <f> BJ$14</f>
        <v>0.0</v>
      </c>
      <c r="BK36" s="61">
        <f> BK$14</f>
        <v>0.0</v>
      </c>
      <c r="BL36" s="61">
        <f> BL$14</f>
        <v>0.0</v>
      </c>
      <c r="BM36" s="61">
        <f> BM$14</f>
        <v>0.0</v>
      </c>
      <c r="BN36" s="61">
        <f> BN$14</f>
        <v>0.0</v>
      </c>
      <c r="BO36" s="61">
        <f> BO$14</f>
        <v>0.0</v>
      </c>
      <c r="BP36" s="61">
        <f> BP$14</f>
        <v>0.0</v>
      </c>
      <c r="BQ36" s="61">
        <f> BQ$14</f>
        <v>0.0</v>
      </c>
      <c r="BR36" s="61">
        <f> BR$14</f>
        <v>0.0</v>
      </c>
      <c r="BS36" s="61">
        <f> BS$14</f>
        <v>0.0</v>
      </c>
      <c r="BT36" s="61">
        <f> BT$14</f>
        <v>0.0</v>
      </c>
      <c r="BU36" s="61">
        <f> BU$14</f>
        <v>0.0</v>
      </c>
      <c r="BV36" s="61">
        <f> BV$14</f>
        <v>0.0</v>
      </c>
      <c r="BW36" s="61">
        <f> BW$14</f>
        <v>0.0</v>
      </c>
      <c r="BX36" s="61">
        <f> BX$14</f>
        <v>0.0</v>
      </c>
      <c r="BY36" s="61">
        <f> BY$14</f>
        <v>0.0</v>
      </c>
      <c r="BZ36" s="61">
        <f> BZ$14</f>
        <v>0.0</v>
      </c>
      <c r="CA36" s="61">
        <f> CA$14</f>
        <v>0.0</v>
      </c>
      <c r="CB36" s="61">
        <f> CB$14</f>
        <v>0.0</v>
      </c>
      <c r="CC36" s="61">
        <f> CC$14</f>
        <v>0.0</v>
      </c>
      <c r="CD36" s="61">
        <f> CD$14</f>
        <v>0.0</v>
      </c>
      <c r="CE36" s="61">
        <f> CE$14</f>
        <v>0.0</v>
      </c>
      <c r="CF36" s="61">
        <f> CF$14</f>
        <v>0.0</v>
      </c>
      <c r="CG36" s="61">
        <f> CG$14</f>
        <v>0.0</v>
      </c>
      <c r="CH36" s="61">
        <f> CH$14</f>
        <v>0.0</v>
      </c>
      <c r="CI36" s="61">
        <f> CI$14</f>
        <v>0.0</v>
      </c>
      <c r="CJ36" s="61">
        <f> CJ$14</f>
        <v>0.0</v>
      </c>
      <c r="CK36" s="61">
        <f> CK$14</f>
        <v>0.0</v>
      </c>
      <c r="CL36" s="61">
        <f> CL$14</f>
        <v>0.0</v>
      </c>
      <c r="CM36" s="61">
        <f> CM$14</f>
        <v>0.0</v>
      </c>
      <c r="CN36" s="61">
        <f> CN$14</f>
        <v>0.0</v>
      </c>
      <c r="CO36" s="61">
        <f> CO$14</f>
        <v>0.0</v>
      </c>
    </row>
    <row r="37" customFormat="1" s="99">
      <c r="A37" s="82" t="n"/>
      <c r="B37" s="82" t="n"/>
      <c r="C37" s="83" t="n"/>
      <c r="D37" s="84" t="n"/>
      <c r="E37" s="61" t="inlineStr">
        <is>
          <t>Financial year ending</t>
        </is>
      </c>
      <c r="F37" s="85" t="n"/>
      <c r="G37" s="85" t="inlineStr">
        <is>
          <t>year #</t>
        </is>
      </c>
      <c r="H37" s="85" t="n"/>
      <c r="I37" s="120" t="n"/>
      <c r="J37" s="85">
        <f> IF(J36 = 1, $F33, IF(J35 &gt; (DATE(I37, $F34 + 1, 1) - 1), I37 + 1, I37))</f>
        <v>2021.0</v>
      </c>
      <c r="K37" s="85">
        <f> IF(K36 = 1, $F33, IF(K35 &gt; (DATE(J37, $F34 + 1, 1) - 1), J37 + 1, J37))</f>
        <v>2021.0</v>
      </c>
      <c r="L37" s="85">
        <f> IF(L36 = 1, $F33, IF(L35 &gt; (DATE(K37, $F34 + 1, 1) - 1), K37 + 1, K37))</f>
        <v>2022.0</v>
      </c>
      <c r="M37" s="85">
        <f> IF(M36 = 1, $F33, IF(M35 &gt; (DATE(L37, $F34 + 1, 1) - 1), L37 + 1, L37))</f>
        <v>2022.0</v>
      </c>
      <c r="N37" s="85">
        <f> IF(N36 = 1, $F33, IF(N35 &gt; (DATE(M37, $F34 + 1, 1) - 1), M37 + 1, M37))</f>
        <v>2022.0</v>
      </c>
      <c r="O37" s="85">
        <f> IF(O36 = 1, $F33, IF(O35 &gt; (DATE(N37, $F34 + 1, 1) - 1), N37 + 1, N37))</f>
        <v>2022.0</v>
      </c>
      <c r="P37" s="85">
        <f> IF(P36 = 1, $F33, IF(P35 &gt; (DATE(O37, $F34 + 1, 1) - 1), O37 + 1, O37))</f>
        <v>2023.0</v>
      </c>
      <c r="Q37" s="85">
        <f> IF(Q36 = 1, $F33, IF(Q35 &gt; (DATE(P37, $F34 + 1, 1) - 1), P37 + 1, P37))</f>
        <v>2023.0</v>
      </c>
      <c r="R37" s="85">
        <f> IF(R36 = 1, $F33, IF(R35 &gt; (DATE(Q37, $F34 + 1, 1) - 1), Q37 + 1, Q37))</f>
        <v>2023.0</v>
      </c>
      <c r="S37" s="85">
        <f> IF(S36 = 1, $F33, IF(S35 &gt; (DATE(R37, $F34 + 1, 1) - 1), R37 + 1, R37))</f>
        <v>2023.0</v>
      </c>
      <c r="T37" s="85">
        <f> IF(T36 = 1, $F33, IF(T35 &gt; (DATE(S37, $F34 + 1, 1) - 1), S37 + 1, S37))</f>
        <v>2024.0</v>
      </c>
      <c r="U37" s="85">
        <f> IF(U36 = 1, $F33, IF(U35 &gt; (DATE(T37, $F34 + 1, 1) - 1), T37 + 1, T37))</f>
        <v>2024.0</v>
      </c>
      <c r="V37" s="85">
        <f> IF(V36 = 1, $F33, IF(V35 &gt; (DATE(U37, $F34 + 1, 1) - 1), U37 + 1, U37))</f>
        <v>2024.0</v>
      </c>
      <c r="W37" s="85">
        <f> IF(W36 = 1, $F33, IF(W35 &gt; (DATE(V37, $F34 + 1, 1) - 1), V37 + 1, V37))</f>
        <v>2024.0</v>
      </c>
      <c r="X37" s="85">
        <f> IF(X36 = 1, $F33, IF(X35 &gt; (DATE(W37, $F34 + 1, 1) - 1), W37 + 1, W37))</f>
        <v>2025.0</v>
      </c>
      <c r="Y37" s="85">
        <f> IF(Y36 = 1, $F33, IF(Y35 &gt; (DATE(X37, $F34 + 1, 1) - 1), X37 + 1, X37))</f>
        <v>2025.0</v>
      </c>
      <c r="Z37" s="85">
        <f> IF(Z36 = 1, $F33, IF(Z35 &gt; (DATE(Y37, $F34 + 1, 1) - 1), Y37 + 1, Y37))</f>
        <v>2025.0</v>
      </c>
      <c r="AA37" s="85">
        <f> IF(AA36 = 1, $F33, IF(AA35 &gt; (DATE(Z37, $F34 + 1, 1) - 1), Z37 + 1, Z37))</f>
        <v>2025.0</v>
      </c>
      <c r="AB37" s="85">
        <f> IF(AB36 = 1, $F33, IF(AB35 &gt; (DATE(AA37, $F34 + 1, 1) - 1), AA37 + 1, AA37))</f>
        <v>2026.0</v>
      </c>
      <c r="AC37" s="85">
        <f> IF(AC36 = 1, $F33, IF(AC35 &gt; (DATE(AB37, $F34 + 1, 1) - 1), AB37 + 1, AB37))</f>
        <v>2026.0</v>
      </c>
      <c r="AD37" s="85">
        <f> IF(AD36 = 1, $F33, IF(AD35 &gt; (DATE(AC37, $F34 + 1, 1) - 1), AC37 + 1, AC37))</f>
        <v>2026.0</v>
      </c>
      <c r="AE37" s="85">
        <f> IF(AE36 = 1, $F33, IF(AE35 &gt; (DATE(AD37, $F34 + 1, 1) - 1), AD37 + 1, AD37))</f>
        <v>2026.0</v>
      </c>
      <c r="AF37" s="85">
        <f> IF(AF36 = 1, $F33, IF(AF35 &gt; (DATE(AE37, $F34 + 1, 1) - 1), AE37 + 1, AE37))</f>
        <v>2027.0</v>
      </c>
      <c r="AG37" s="85">
        <f> IF(AG36 = 1, $F33, IF(AG35 &gt; (DATE(AF37, $F34 + 1, 1) - 1), AF37 + 1, AF37))</f>
        <v>2027.0</v>
      </c>
      <c r="AH37" s="85">
        <f> IF(AH36 = 1, $F33, IF(AH35 &gt; (DATE(AG37, $F34 + 1, 1) - 1), AG37 + 1, AG37))</f>
        <v>2027.0</v>
      </c>
      <c r="AI37" s="85">
        <f> IF(AI36 = 1, $F33, IF(AI35 &gt; (DATE(AH37, $F34 + 1, 1) - 1), AH37 + 1, AH37))</f>
        <v>2027.0</v>
      </c>
      <c r="AJ37" s="85">
        <f> IF(AJ36 = 1, $F33, IF(AJ35 &gt; (DATE(AI37, $F34 + 1, 1) - 1), AI37 + 1, AI37))</f>
        <v>2028.0</v>
      </c>
      <c r="AK37" s="85">
        <f> IF(AK36 = 1, $F33, IF(AK35 &gt; (DATE(AJ37, $F34 + 1, 1) - 1), AJ37 + 1, AJ37))</f>
        <v>2028.0</v>
      </c>
      <c r="AL37" s="85">
        <f> IF(AL36 = 1, $F33, IF(AL35 &gt; (DATE(AK37, $F34 + 1, 1) - 1), AK37 + 1, AK37))</f>
        <v>2028.0</v>
      </c>
      <c r="AM37" s="85">
        <f> IF(AM36 = 1, $F33, IF(AM35 &gt; (DATE(AL37, $F34 + 1, 1) - 1), AL37 + 1, AL37))</f>
        <v>2028.0</v>
      </c>
      <c r="AN37" s="85">
        <f> IF(AN36 = 1, $F33, IF(AN35 &gt; (DATE(AM37, $F34 + 1, 1) - 1), AM37 + 1, AM37))</f>
        <v>2029.0</v>
      </c>
      <c r="AO37" s="85">
        <f> IF(AO36 = 1, $F33, IF(AO35 &gt; (DATE(AN37, $F34 + 1, 1) - 1), AN37 + 1, AN37))</f>
        <v>2029.0</v>
      </c>
      <c r="AP37" s="85">
        <f> IF(AP36 = 1, $F33, IF(AP35 &gt; (DATE(AO37, $F34 + 1, 1) - 1), AO37 + 1, AO37))</f>
        <v>2029.0</v>
      </c>
      <c r="AQ37" s="85">
        <f> IF(AQ36 = 1, $F33, IF(AQ35 &gt; (DATE(AP37, $F34 + 1, 1) - 1), AP37 + 1, AP37))</f>
        <v>2029.0</v>
      </c>
      <c r="AR37" s="85">
        <f> IF(AR36 = 1, $F33, IF(AR35 &gt; (DATE(AQ37, $F34 + 1, 1) - 1), AQ37 + 1, AQ37))</f>
        <v>2030.0</v>
      </c>
      <c r="AS37" s="85">
        <f> IF(AS36 = 1, $F33, IF(AS35 &gt; (DATE(AR37, $F34 + 1, 1) - 1), AR37 + 1, AR37))</f>
        <v>2030.0</v>
      </c>
      <c r="AT37" s="85">
        <f> IF(AT36 = 1, $F33, IF(AT35 &gt; (DATE(AS37, $F34 + 1, 1) - 1), AS37 + 1, AS37))</f>
        <v>2030.0</v>
      </c>
      <c r="AU37" s="85">
        <f> IF(AU36 = 1, $F33, IF(AU35 &gt; (DATE(AT37, $F34 + 1, 1) - 1), AT37 + 1, AT37))</f>
        <v>2030.0</v>
      </c>
      <c r="AV37" s="85">
        <f> IF(AV36 = 1, $F33, IF(AV35 &gt; (DATE(AU37, $F34 + 1, 1) - 1), AU37 + 1, AU37))</f>
        <v>2031.0</v>
      </c>
      <c r="AW37" s="85">
        <f> IF(AW36 = 1, $F33, IF(AW35 &gt; (DATE(AV37, $F34 + 1, 1) - 1), AV37 + 1, AV37))</f>
        <v>2031.0</v>
      </c>
      <c r="AX37" s="85">
        <f> IF(AX36 = 1, $F33, IF(AX35 &gt; (DATE(AW37, $F34 + 1, 1) - 1), AW37 + 1, AW37))</f>
        <v>2031.0</v>
      </c>
      <c r="AY37" s="85">
        <f> IF(AY36 = 1, $F33, IF(AY35 &gt; (DATE(AX37, $F34 + 1, 1) - 1), AX37 + 1, AX37))</f>
        <v>2031.0</v>
      </c>
      <c r="AZ37" s="85">
        <f> IF(AZ36 = 1, $F33, IF(AZ35 &gt; (DATE(AY37, $F34 + 1, 1) - 1), AY37 + 1, AY37))</f>
        <v>2032.0</v>
      </c>
      <c r="BA37" s="85">
        <f> IF(BA36 = 1, $F33, IF(BA35 &gt; (DATE(AZ37, $F34 + 1, 1) - 1), AZ37 + 1, AZ37))</f>
        <v>2032.0</v>
      </c>
      <c r="BB37" s="85">
        <f> IF(BB36 = 1, $F33, IF(BB35 &gt; (DATE(BA37, $F34 + 1, 1) - 1), BA37 + 1, BA37))</f>
        <v>2032.0</v>
      </c>
      <c r="BC37" s="85">
        <f> IF(BC36 = 1, $F33, IF(BC35 &gt; (DATE(BB37, $F34 + 1, 1) - 1), BB37 + 1, BB37))</f>
        <v>2032.0</v>
      </c>
      <c r="BD37" s="85">
        <f> IF(BD36 = 1, $F33, IF(BD35 &gt; (DATE(BC37, $F34 + 1, 1) - 1), BC37 + 1, BC37))</f>
        <v>2033.0</v>
      </c>
      <c r="BE37" s="85">
        <f> IF(BE36 = 1, $F33, IF(BE35 &gt; (DATE(BD37, $F34 + 1, 1) - 1), BD37 + 1, BD37))</f>
        <v>2033.0</v>
      </c>
      <c r="BF37" s="85">
        <f> IF(BF36 = 1, $F33, IF(BF35 &gt; (DATE(BE37, $F34 + 1, 1) - 1), BE37 + 1, BE37))</f>
        <v>2033.0</v>
      </c>
      <c r="BG37" s="85">
        <f> IF(BG36 = 1, $F33, IF(BG35 &gt; (DATE(BF37, $F34 + 1, 1) - 1), BF37 + 1, BF37))</f>
        <v>2033.0</v>
      </c>
      <c r="BH37" s="85">
        <f> IF(BH36 = 1, $F33, IF(BH35 &gt; (DATE(BG37, $F34 + 1, 1) - 1), BG37 + 1, BG37))</f>
        <v>2034.0</v>
      </c>
      <c r="BI37" s="85">
        <f> IF(BI36 = 1, $F33, IF(BI35 &gt; (DATE(BH37, $F34 + 1, 1) - 1), BH37 + 1, BH37))</f>
        <v>2034.0</v>
      </c>
      <c r="BJ37" s="85">
        <f> IF(BJ36 = 1, $F33, IF(BJ35 &gt; (DATE(BI37, $F34 + 1, 1) - 1), BI37 + 1, BI37))</f>
        <v>2034.0</v>
      </c>
      <c r="BK37" s="85">
        <f> IF(BK36 = 1, $F33, IF(BK35 &gt; (DATE(BJ37, $F34 + 1, 1) - 1), BJ37 + 1, BJ37))</f>
        <v>2034.0</v>
      </c>
      <c r="BL37" s="85">
        <f> IF(BL36 = 1, $F33, IF(BL35 &gt; (DATE(BK37, $F34 + 1, 1) - 1), BK37 + 1, BK37))</f>
        <v>2035.0</v>
      </c>
      <c r="BM37" s="85">
        <f> IF(BM36 = 1, $F33, IF(BM35 &gt; (DATE(BL37, $F34 + 1, 1) - 1), BL37 + 1, BL37))</f>
        <v>2035.0</v>
      </c>
      <c r="BN37" s="85">
        <f> IF(BN36 = 1, $F33, IF(BN35 &gt; (DATE(BM37, $F34 + 1, 1) - 1), BM37 + 1, BM37))</f>
        <v>2035.0</v>
      </c>
      <c r="BO37" s="85">
        <f> IF(BO36 = 1, $F33, IF(BO35 &gt; (DATE(BN37, $F34 + 1, 1) - 1), BN37 + 1, BN37))</f>
        <v>2035.0</v>
      </c>
      <c r="BP37" s="85">
        <f> IF(BP36 = 1, $F33, IF(BP35 &gt; (DATE(BO37, $F34 + 1, 1) - 1), BO37 + 1, BO37))</f>
        <v>2036.0</v>
      </c>
      <c r="BQ37" s="85">
        <f> IF(BQ36 = 1, $F33, IF(BQ35 &gt; (DATE(BP37, $F34 + 1, 1) - 1), BP37 + 1, BP37))</f>
        <v>2036.0</v>
      </c>
      <c r="BR37" s="85">
        <f> IF(BR36 = 1, $F33, IF(BR35 &gt; (DATE(BQ37, $F34 + 1, 1) - 1), BQ37 + 1, BQ37))</f>
        <v>2036.0</v>
      </c>
      <c r="BS37" s="85">
        <f> IF(BS36 = 1, $F33, IF(BS35 &gt; (DATE(BR37, $F34 + 1, 1) - 1), BR37 + 1, BR37))</f>
        <v>2036.0</v>
      </c>
      <c r="BT37" s="85">
        <f> IF(BT36 = 1, $F33, IF(BT35 &gt; (DATE(BS37, $F34 + 1, 1) - 1), BS37 + 1, BS37))</f>
        <v>2037.0</v>
      </c>
      <c r="BU37" s="85">
        <f> IF(BU36 = 1, $F33, IF(BU35 &gt; (DATE(BT37, $F34 + 1, 1) - 1), BT37 + 1, BT37))</f>
        <v>2037.0</v>
      </c>
      <c r="BV37" s="85">
        <f> IF(BV36 = 1, $F33, IF(BV35 &gt; (DATE(BU37, $F34 + 1, 1) - 1), BU37 + 1, BU37))</f>
        <v>2037.0</v>
      </c>
      <c r="BW37" s="85">
        <f> IF(BW36 = 1, $F33, IF(BW35 &gt; (DATE(BV37, $F34 + 1, 1) - 1), BV37 + 1, BV37))</f>
        <v>2037.0</v>
      </c>
      <c r="BX37" s="85">
        <f> IF(BX36 = 1, $F33, IF(BX35 &gt; (DATE(BW37, $F34 + 1, 1) - 1), BW37 + 1, BW37))</f>
        <v>2038.0</v>
      </c>
      <c r="BY37" s="85">
        <f> IF(BY36 = 1, $F33, IF(BY35 &gt; (DATE(BX37, $F34 + 1, 1) - 1), BX37 + 1, BX37))</f>
        <v>2038.0</v>
      </c>
      <c r="BZ37" s="85">
        <f> IF(BZ36 = 1, $F33, IF(BZ35 &gt; (DATE(BY37, $F34 + 1, 1) - 1), BY37 + 1, BY37))</f>
        <v>2038.0</v>
      </c>
      <c r="CA37" s="85">
        <f> IF(CA36 = 1, $F33, IF(CA35 &gt; (DATE(BZ37, $F34 + 1, 1) - 1), BZ37 + 1, BZ37))</f>
        <v>2038.0</v>
      </c>
      <c r="CB37" s="85">
        <f> IF(CB36 = 1, $F33, IF(CB35 &gt; (DATE(CA37, $F34 + 1, 1) - 1), CA37 + 1, CA37))</f>
        <v>2039.0</v>
      </c>
      <c r="CC37" s="85">
        <f> IF(CC36 = 1, $F33, IF(CC35 &gt; (DATE(CB37, $F34 + 1, 1) - 1), CB37 + 1, CB37))</f>
        <v>2039.0</v>
      </c>
      <c r="CD37" s="85">
        <f> IF(CD36 = 1, $F33, IF(CD35 &gt; (DATE(CC37, $F34 + 1, 1) - 1), CC37 + 1, CC37))</f>
        <v>2039.0</v>
      </c>
      <c r="CE37" s="85">
        <f> IF(CE36 = 1, $F33, IF(CE35 &gt; (DATE(CD37, $F34 + 1, 1) - 1), CD37 + 1, CD37))</f>
        <v>2039.0</v>
      </c>
      <c r="CF37" s="85">
        <f> IF(CF36 = 1, $F33, IF(CF35 &gt; (DATE(CE37, $F34 + 1, 1) - 1), CE37 + 1, CE37))</f>
        <v>2040.0</v>
      </c>
      <c r="CG37" s="85">
        <f> IF(CG36 = 1, $F33, IF(CG35 &gt; (DATE(CF37, $F34 + 1, 1) - 1), CF37 + 1, CF37))</f>
        <v>2040.0</v>
      </c>
      <c r="CH37" s="85">
        <f> IF(CH36 = 1, $F33, IF(CH35 &gt; (DATE(CG37, $F34 + 1, 1) - 1), CG37 + 1, CG37))</f>
        <v>2040.0</v>
      </c>
      <c r="CI37" s="85">
        <f> IF(CI36 = 1, $F33, IF(CI35 &gt; (DATE(CH37, $F34 + 1, 1) - 1), CH37 + 1, CH37))</f>
        <v>2040.0</v>
      </c>
      <c r="CJ37" s="85">
        <f> IF(CJ36 = 1, $F33, IF(CJ35 &gt; (DATE(CI37, $F34 + 1, 1) - 1), CI37 + 1, CI37))</f>
        <v>2041.0</v>
      </c>
      <c r="CK37" s="85">
        <f> IF(CK36 = 1, $F33, IF(CK35 &gt; (DATE(CJ37, $F34 + 1, 1) - 1), CJ37 + 1, CJ37))</f>
        <v>2041.0</v>
      </c>
      <c r="CL37" s="85">
        <f> IF(CL36 = 1, $F33, IF(CL35 &gt; (DATE(CK37, $F34 + 1, 1) - 1), CK37 + 1, CK37))</f>
        <v>2041.0</v>
      </c>
      <c r="CM37" s="85">
        <f> IF(CM36 = 1, $F33, IF(CM35 &gt; (DATE(CL37, $F34 + 1, 1) - 1), CL37 + 1, CL37))</f>
        <v>2041.0</v>
      </c>
      <c r="CN37" s="85">
        <f> IF(CN36 = 1, $F33, IF(CN35 &gt; (DATE(CM37, $F34 + 1, 1) - 1), CM37 + 1, CM37))</f>
        <v>2042.0</v>
      </c>
      <c r="CO37" s="85">
        <f> IF(CO36 = 1, $F33, IF(CO35 &gt; (DATE(CN37, $F34 + 1, 1) - 1), CN37 + 1, CN37))</f>
        <v>2042.0</v>
      </c>
    </row>
    <row r="38" customFormat="1" s="146">
      <c r="A38" s="163" t="n"/>
      <c r="B38" s="163" t="n"/>
      <c r="C38" s="172" t="n"/>
      <c r="D38" s="169" t="n"/>
      <c r="E38" s="169" t="n"/>
      <c r="F38" s="169" t="n"/>
      <c r="G38" s="169" t="n"/>
      <c r="H38" s="169" t="n"/>
      <c r="I38" s="169" t="n"/>
      <c r="J38" s="169" t="n"/>
      <c r="K38" s="169" t="n"/>
      <c r="L38" s="169" t="n"/>
      <c r="M38" s="169" t="n"/>
      <c r="N38" s="169" t="n"/>
      <c r="O38" s="169" t="n"/>
      <c r="P38" s="169" t="n"/>
      <c r="Q38" s="169" t="n"/>
      <c r="R38" s="169" t="n"/>
      <c r="S38" s="169" t="n"/>
      <c r="T38" s="169" t="n"/>
      <c r="U38" s="169" t="n"/>
      <c r="V38" s="169" t="n"/>
      <c r="W38" s="169" t="n"/>
      <c r="X38" s="169" t="n"/>
      <c r="Y38" s="169" t="n"/>
      <c r="Z38" s="169" t="n"/>
      <c r="AA38" s="169" t="n"/>
      <c r="AB38" s="169" t="n"/>
      <c r="AC38" s="169" t="n"/>
      <c r="AD38" s="169" t="n"/>
      <c r="AE38" s="169" t="n"/>
      <c r="AF38" s="169" t="n"/>
      <c r="AG38" s="169" t="n"/>
      <c r="AH38" s="169" t="n"/>
      <c r="AI38" s="169" t="n"/>
      <c r="AJ38" s="169" t="n"/>
      <c r="AK38" s="169" t="n"/>
      <c r="AL38" s="169" t="n"/>
      <c r="AM38" s="169" t="n"/>
      <c r="AN38" s="169" t="n"/>
      <c r="AO38" s="169" t="n"/>
      <c r="AP38" s="169" t="n"/>
      <c r="AQ38" s="169" t="n"/>
      <c r="AR38" s="169" t="n"/>
      <c r="AS38" s="169" t="n"/>
      <c r="AT38" s="169" t="n"/>
      <c r="AU38" s="169" t="n"/>
      <c r="AV38" s="169" t="n"/>
      <c r="AW38" s="169" t="n"/>
      <c r="AX38" s="169" t="n"/>
      <c r="AY38" s="169" t="n"/>
      <c r="AZ38" s="169" t="n"/>
      <c r="BA38" s="169" t="n"/>
      <c r="BB38" s="169" t="n"/>
      <c r="BC38" s="169" t="n"/>
      <c r="BD38" s="169" t="n"/>
      <c r="BE38" s="169" t="n"/>
      <c r="BF38" s="169" t="n"/>
      <c r="BG38" s="169" t="n"/>
      <c r="BH38" s="169" t="n"/>
      <c r="BI38" s="169" t="n"/>
      <c r="BJ38" s="169" t="n"/>
      <c r="BK38" s="169" t="n"/>
      <c r="BL38" s="169" t="n"/>
      <c r="BM38" s="169" t="n"/>
      <c r="BN38" s="169" t="n"/>
      <c r="BO38" s="169" t="n"/>
      <c r="BP38" s="169" t="n"/>
      <c r="BQ38" s="169" t="n"/>
      <c r="BR38" s="169" t="n"/>
      <c r="BS38" s="169" t="n"/>
      <c r="BT38" s="169" t="n"/>
      <c r="BU38" s="169" t="n"/>
      <c r="BV38" s="169" t="n"/>
      <c r="BW38" s="169" t="n"/>
      <c r="BX38" s="169" t="n"/>
      <c r="BY38" s="169" t="n"/>
      <c r="BZ38" s="169" t="n"/>
      <c r="CA38" s="169" t="n"/>
      <c r="CB38" s="169" t="n"/>
      <c r="CC38" s="169" t="n"/>
      <c r="CD38" s="169" t="n"/>
      <c r="CE38" s="169" t="n"/>
      <c r="CF38" s="169" t="n"/>
      <c r="CG38" s="169" t="n"/>
      <c r="CH38" s="169" t="n"/>
      <c r="CI38" s="169" t="n"/>
      <c r="CJ38" s="169" t="n"/>
      <c r="CK38" s="169" t="n"/>
      <c r="CL38" s="169" t="n"/>
      <c r="CM38" s="169" t="n"/>
      <c r="CN38" s="169" t="n"/>
      <c r="CO38" s="169" t="n"/>
    </row>
    <row r="39" customFormat="1" s="146">
      <c r="A39" s="163" t="n"/>
      <c r="B39" s="163" t="n"/>
      <c r="C39" s="172" t="n"/>
      <c r="D39" s="169" t="n"/>
      <c r="E39" s="169" t="n"/>
      <c r="F39" s="169" t="n"/>
      <c r="G39" s="169" t="n"/>
      <c r="H39" s="169" t="n"/>
      <c r="I39" s="169" t="n"/>
      <c r="J39" s="169" t="n"/>
      <c r="K39" s="169" t="n"/>
      <c r="L39" s="169" t="n"/>
      <c r="M39" s="169" t="n"/>
      <c r="N39" s="169" t="n"/>
      <c r="O39" s="169" t="n"/>
      <c r="P39" s="169" t="n"/>
      <c r="Q39" s="169" t="n"/>
      <c r="R39" s="169" t="n"/>
      <c r="S39" s="169" t="n"/>
      <c r="T39" s="169" t="n"/>
      <c r="U39" s="169" t="n"/>
      <c r="V39" s="169" t="n"/>
      <c r="W39" s="169" t="n"/>
      <c r="X39" s="169" t="n"/>
      <c r="Y39" s="169" t="n"/>
      <c r="Z39" s="169" t="n"/>
      <c r="AA39" s="169" t="n"/>
      <c r="AB39" s="169" t="n"/>
      <c r="AC39" s="169" t="n"/>
      <c r="AD39" s="169" t="n"/>
      <c r="AE39" s="169" t="n"/>
      <c r="AF39" s="169" t="n"/>
      <c r="AG39" s="169" t="n"/>
      <c r="AH39" s="169" t="n"/>
      <c r="AI39" s="169" t="n"/>
      <c r="AJ39" s="169" t="n"/>
      <c r="AK39" s="169" t="n"/>
      <c r="AL39" s="169" t="n"/>
      <c r="AM39" s="169" t="n"/>
      <c r="AN39" s="169" t="n"/>
      <c r="AO39" s="169" t="n"/>
      <c r="AP39" s="169" t="n"/>
      <c r="AQ39" s="169" t="n"/>
      <c r="AR39" s="169" t="n"/>
      <c r="AS39" s="169" t="n"/>
      <c r="AT39" s="169" t="n"/>
      <c r="AU39" s="169" t="n"/>
      <c r="AV39" s="169"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row>
    <row r="40" customFormat="1" s="146">
      <c r="A40" s="163" t="inlineStr">
        <is>
          <t>FLAGS</t>
        </is>
      </c>
      <c r="B40" s="163" t="n"/>
      <c r="C40" s="172" t="n"/>
      <c r="D40" s="169" t="n"/>
      <c r="E40" s="169" t="n"/>
      <c r="F40" s="169" t="n"/>
      <c r="G40" s="169" t="n"/>
      <c r="H40" s="169" t="n"/>
      <c r="I40" s="169" t="n"/>
      <c r="J40" s="169" t="n"/>
      <c r="K40" s="169" t="n"/>
      <c r="L40" s="169" t="n"/>
      <c r="M40" s="169" t="n"/>
      <c r="N40" s="169" t="n"/>
      <c r="O40" s="169" t="n"/>
      <c r="P40" s="169" t="n"/>
      <c r="Q40" s="169" t="n"/>
      <c r="R40" s="169" t="n"/>
      <c r="S40" s="169" t="n"/>
      <c r="T40" s="169" t="n"/>
      <c r="U40" s="169" t="n"/>
      <c r="V40" s="169" t="n"/>
      <c r="W40" s="169" t="n"/>
      <c r="X40" s="169" t="n"/>
      <c r="Y40" s="169" t="n"/>
      <c r="Z40" s="169" t="n"/>
      <c r="AA40" s="169" t="n"/>
      <c r="AB40" s="169" t="n"/>
      <c r="AC40" s="169" t="n"/>
      <c r="AD40" s="169" t="n"/>
      <c r="AE40" s="169" t="n"/>
      <c r="AF40" s="169" t="n"/>
      <c r="AG40" s="169" t="n"/>
      <c r="AH40" s="169" t="n"/>
      <c r="AI40" s="169" t="n"/>
      <c r="AJ40" s="169" t="n"/>
      <c r="AK40" s="169" t="n"/>
      <c r="AL40" s="169" t="n"/>
      <c r="AM40" s="169" t="n"/>
      <c r="AN40" s="169" t="n"/>
      <c r="AO40" s="169" t="n"/>
      <c r="AP40" s="169" t="n"/>
      <c r="AQ40" s="169" t="n"/>
      <c r="AR40" s="169"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row>
    <row r="41" customFormat="1" s="146">
      <c r="A41" s="163" t="n"/>
      <c r="B41" s="163" t="n"/>
      <c r="C41" s="172" t="n"/>
      <c r="D41" s="169" t="n"/>
      <c r="E41" s="169" t="n"/>
      <c r="F41" s="169" t="n"/>
      <c r="G41" s="169" t="n"/>
      <c r="H41" s="169" t="n"/>
      <c r="I41" s="169" t="n"/>
      <c r="J41" s="169" t="n"/>
      <c r="K41" s="169" t="n"/>
      <c r="L41" s="169" t="n"/>
      <c r="M41" s="169" t="n"/>
      <c r="N41" s="169" t="n"/>
      <c r="O41" s="169" t="n"/>
      <c r="P41" s="169" t="n"/>
      <c r="Q41" s="169" t="n"/>
      <c r="R41" s="169" t="n"/>
      <c r="S41" s="169" t="n"/>
      <c r="T41" s="169" t="n"/>
      <c r="U41" s="169" t="n"/>
      <c r="V41" s="169" t="n"/>
      <c r="W41" s="169" t="n"/>
      <c r="X41" s="169" t="n"/>
      <c r="Y41" s="169" t="n"/>
      <c r="Z41" s="169" t="n"/>
      <c r="AA41" s="169" t="n"/>
      <c r="AB41" s="169" t="n"/>
      <c r="AC41" s="169" t="n"/>
      <c r="AD41" s="169" t="n"/>
      <c r="AE41" s="169" t="n"/>
      <c r="AF41" s="169" t="n"/>
      <c r="AG41" s="169" t="n"/>
      <c r="AH41" s="169" t="n"/>
      <c r="AI41" s="169" t="n"/>
      <c r="AJ41" s="169" t="n"/>
      <c r="AK41" s="169" t="n"/>
      <c r="AL41" s="169" t="n"/>
      <c r="AM41" s="169" t="n"/>
      <c r="AN41" s="169" t="n"/>
      <c r="AO41" s="169" t="n"/>
      <c r="AP41" s="169" t="n"/>
      <c r="AQ41" s="169" t="n"/>
      <c r="AR41" s="169"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row>
    <row r="42" customFormat="1" s="146">
      <c r="A42" s="163" t="n"/>
      <c r="B42" s="163" t="inlineStr">
        <is>
          <t>Acquisition / initial balance date flag</t>
        </is>
      </c>
      <c r="C42" s="172" t="n"/>
      <c r="D42" s="169" t="n"/>
      <c r="E42" s="169" t="n"/>
      <c r="F42" s="169" t="n"/>
      <c r="G42" s="169" t="n"/>
      <c r="H42" s="169" t="n"/>
      <c r="I42" s="169" t="n"/>
      <c r="J42" s="169" t="n"/>
      <c r="K42" s="169" t="n"/>
      <c r="L42" s="169" t="n"/>
      <c r="M42" s="169" t="n"/>
      <c r="N42" s="169" t="n"/>
      <c r="O42" s="169" t="n"/>
      <c r="P42" s="169" t="n"/>
      <c r="Q42" s="169" t="n"/>
      <c r="R42" s="169" t="n"/>
      <c r="S42" s="169" t="n"/>
      <c r="T42" s="169" t="n"/>
      <c r="U42" s="169" t="n"/>
      <c r="V42" s="169" t="n"/>
      <c r="W42" s="169" t="n"/>
      <c r="X42" s="169" t="n"/>
      <c r="Y42" s="169" t="n"/>
      <c r="Z42" s="169" t="n"/>
      <c r="AA42" s="169" t="n"/>
      <c r="AB42" s="169" t="n"/>
      <c r="AC42" s="169" t="n"/>
      <c r="AD42" s="169" t="n"/>
      <c r="AE42" s="169" t="n"/>
      <c r="AF42" s="169" t="n"/>
      <c r="AG42" s="169" t="n"/>
      <c r="AH42" s="169" t="n"/>
      <c r="AI42" s="169" t="n"/>
      <c r="AJ42" s="169" t="n"/>
      <c r="AK42" s="169" t="n"/>
      <c r="AL42" s="169" t="n"/>
      <c r="AM42" s="169" t="n"/>
      <c r="AN42" s="169" t="n"/>
      <c r="AO42" s="169" t="n"/>
      <c r="AP42" s="169" t="n"/>
      <c r="AQ42" s="169" t="n"/>
      <c r="AR42" s="169" t="n"/>
      <c r="AS42" s="169" t="n"/>
      <c r="AT42" s="169" t="n"/>
      <c r="AU42" s="169" t="n"/>
      <c r="AV42" s="169" t="n"/>
      <c r="AW42" s="169" t="n"/>
      <c r="AX42" s="169" t="n"/>
      <c r="AY42" s="169" t="n"/>
      <c r="AZ42" s="169" t="n"/>
      <c r="BA42" s="169" t="n"/>
      <c r="BB42" s="169" t="n"/>
      <c r="BC42" s="169" t="n"/>
      <c r="BD42" s="169" t="n"/>
      <c r="BE42" s="169" t="n"/>
      <c r="BF42" s="169" t="n"/>
      <c r="BG42" s="169" t="n"/>
      <c r="BH42" s="169"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row>
    <row r="43" customFormat="1" s="106">
      <c r="A43" s="125" t="n"/>
      <c r="B43" s="125" t="n"/>
      <c r="C43" s="126" t="n"/>
      <c r="D43" s="127" t="n"/>
      <c r="E43" s="173" t="str">
        <f> InpC!E$10</f>
        <v>Acquisition / initial balance date</v>
      </c>
      <c r="F43" s="173">
        <f> InpC!F$10</f>
        <v>44561.0</v>
      </c>
      <c r="G43" s="173" t="str">
        <f> InpC!G$10</f>
        <v>date</v>
      </c>
      <c r="H43" s="61" t="n"/>
      <c r="I43" s="61" t="n"/>
      <c r="J43" s="61" t="n"/>
      <c r="K43" s="61" t="n"/>
      <c r="L43" s="61" t="n"/>
      <c r="M43" s="61" t="n"/>
      <c r="N43" s="61" t="n"/>
      <c r="O43" s="61" t="n"/>
      <c r="P43" s="61" t="n"/>
      <c r="Q43" s="61" t="n"/>
      <c r="R43" s="61" t="n"/>
      <c r="S43" s="61" t="n"/>
      <c r="T43" s="61" t="n"/>
      <c r="U43" s="61" t="n"/>
      <c r="V43" s="61" t="n"/>
      <c r="W43" s="61" t="n"/>
      <c r="X43" s="61" t="n"/>
      <c r="Y43" s="61" t="n"/>
      <c r="Z43" s="61" t="n"/>
      <c r="AA43" s="61" t="n"/>
      <c r="AB43" s="61" t="n"/>
      <c r="AC43" s="61" t="n"/>
      <c r="AD43" s="61" t="n"/>
      <c r="AE43" s="61" t="n"/>
      <c r="AF43" s="61" t="n"/>
      <c r="AG43" s="61" t="n"/>
      <c r="AH43" s="61" t="n"/>
      <c r="AI43" s="61" t="n"/>
      <c r="AJ43" s="61" t="n"/>
      <c r="AK43" s="61" t="n"/>
      <c r="AL43" s="61" t="n"/>
      <c r="AM43" s="61" t="n"/>
      <c r="AN43" s="61" t="n"/>
      <c r="AO43" s="61" t="n"/>
      <c r="AP43" s="61" t="n"/>
      <c r="AQ43" s="61" t="n"/>
      <c r="AR43" s="61" t="n"/>
      <c r="AS43" s="61" t="n"/>
      <c r="AT43" s="61" t="n"/>
      <c r="AU43" s="61" t="n"/>
      <c r="AV43" s="61" t="n"/>
      <c r="AW43" s="61" t="n"/>
      <c r="AX43" s="61" t="n"/>
      <c r="AY43" s="61" t="n"/>
      <c r="AZ43" s="61" t="n"/>
      <c r="BA43" s="61" t="n"/>
      <c r="BB43" s="61" t="n"/>
      <c r="BC43" s="61" t="n"/>
      <c r="BD43" s="61" t="n"/>
      <c r="BE43" s="61" t="n"/>
      <c r="BF43" s="61" t="n"/>
      <c r="BG43" s="61" t="n"/>
      <c r="BH43" s="61" t="n"/>
      <c r="BI43" s="61" t="n"/>
      <c r="BJ43" s="61" t="n"/>
      <c r="BK43" s="61" t="n"/>
      <c r="BL43" s="61" t="n"/>
      <c r="BM43" s="61" t="n"/>
      <c r="BN43" s="61" t="n"/>
      <c r="BO43" s="61" t="n"/>
      <c r="BP43" s="61" t="n"/>
      <c r="BQ43" s="61" t="n"/>
      <c r="BR43" s="61" t="n"/>
      <c r="BS43" s="61" t="n"/>
      <c r="BT43" s="61" t="n"/>
      <c r="BU43" s="61" t="n"/>
      <c r="BV43" s="61" t="n"/>
      <c r="BW43" s="61" t="n"/>
      <c r="BX43" s="61" t="n"/>
      <c r="BY43" s="61" t="n"/>
      <c r="BZ43" s="61" t="n"/>
      <c r="CA43" s="61" t="n"/>
      <c r="CB43" s="61" t="n"/>
      <c r="CC43" s="61" t="n"/>
      <c r="CD43" s="61" t="n"/>
      <c r="CE43" s="61" t="n"/>
      <c r="CF43" s="61" t="n"/>
      <c r="CG43" s="61" t="n"/>
      <c r="CH43" s="61" t="n"/>
      <c r="CI43" s="61" t="n"/>
      <c r="CJ43" s="61" t="n"/>
      <c r="CK43" s="61" t="n"/>
      <c r="CL43" s="61" t="n"/>
      <c r="CM43" s="61" t="n"/>
      <c r="CN43" s="61" t="n"/>
      <c r="CO43" s="61" t="n"/>
    </row>
    <row r="44" ht="15" customFormat="1" customHeight="1" s="123">
      <c r="A44" s="167" t="n"/>
      <c r="B44" s="167" t="n"/>
      <c r="C44" s="237" t="n"/>
      <c r="D44" s="121" t="n"/>
      <c r="E44" s="140" t="str">
        <f> E$25</f>
        <v>Model period ending </v>
      </c>
      <c r="F44" s="140">
        <f> F$25</f>
        <v>0.0</v>
      </c>
      <c r="G44" s="140" t="str">
        <f> G$25</f>
        <v>date</v>
      </c>
      <c r="H44" s="140">
        <f> H$25</f>
        <v>0.0</v>
      </c>
      <c r="I44" s="140">
        <f> I$25</f>
        <v>0.0</v>
      </c>
      <c r="J44" s="140">
        <f> J$25</f>
        <v>44469.0</v>
      </c>
      <c r="K44" s="140">
        <f> K$25</f>
        <v>44561.0</v>
      </c>
      <c r="L44" s="140">
        <f> L$25</f>
        <v>44651.0</v>
      </c>
      <c r="M44" s="140">
        <f> M$25</f>
        <v>44742.0</v>
      </c>
      <c r="N44" s="140">
        <f> N$25</f>
        <v>44834.0</v>
      </c>
      <c r="O44" s="140">
        <f> O$25</f>
        <v>44926.0</v>
      </c>
      <c r="P44" s="140">
        <f> P$25</f>
        <v>45016.0</v>
      </c>
      <c r="Q44" s="140">
        <f> Q$25</f>
        <v>45107.0</v>
      </c>
      <c r="R44" s="140">
        <f> R$25</f>
        <v>45199.0</v>
      </c>
      <c r="S44" s="140">
        <f> S$25</f>
        <v>45291.0</v>
      </c>
      <c r="T44" s="140">
        <f> T$25</f>
        <v>45382.0</v>
      </c>
      <c r="U44" s="140">
        <f> U$25</f>
        <v>45473.0</v>
      </c>
      <c r="V44" s="140">
        <f> V$25</f>
        <v>45565.0</v>
      </c>
      <c r="W44" s="140">
        <f> W$25</f>
        <v>45657.0</v>
      </c>
      <c r="X44" s="140">
        <f> X$25</f>
        <v>45747.0</v>
      </c>
      <c r="Y44" s="140">
        <f> Y$25</f>
        <v>45838.0</v>
      </c>
      <c r="Z44" s="140">
        <f> Z$25</f>
        <v>45930.0</v>
      </c>
      <c r="AA44" s="140">
        <f> AA$25</f>
        <v>46022.0</v>
      </c>
      <c r="AB44" s="140">
        <f> AB$25</f>
        <v>46112.0</v>
      </c>
      <c r="AC44" s="140">
        <f> AC$25</f>
        <v>46203.0</v>
      </c>
      <c r="AD44" s="140">
        <f> AD$25</f>
        <v>46295.0</v>
      </c>
      <c r="AE44" s="140">
        <f> AE$25</f>
        <v>46387.0</v>
      </c>
      <c r="AF44" s="140">
        <f> AF$25</f>
        <v>46477.0</v>
      </c>
      <c r="AG44" s="140">
        <f> AG$25</f>
        <v>46568.0</v>
      </c>
      <c r="AH44" s="140">
        <f> AH$25</f>
        <v>46660.0</v>
      </c>
      <c r="AI44" s="140">
        <f> AI$25</f>
        <v>46752.0</v>
      </c>
      <c r="AJ44" s="140">
        <f> AJ$25</f>
        <v>46843.0</v>
      </c>
      <c r="AK44" s="140">
        <f> AK$25</f>
        <v>46934.0</v>
      </c>
      <c r="AL44" s="140">
        <f> AL$25</f>
        <v>47026.0</v>
      </c>
      <c r="AM44" s="140">
        <f> AM$25</f>
        <v>47118.0</v>
      </c>
      <c r="AN44" s="140">
        <f> AN$25</f>
        <v>47208.0</v>
      </c>
      <c r="AO44" s="140">
        <f> AO$25</f>
        <v>47299.0</v>
      </c>
      <c r="AP44" s="140">
        <f> AP$25</f>
        <v>47391.0</v>
      </c>
      <c r="AQ44" s="140">
        <f> AQ$25</f>
        <v>47483.0</v>
      </c>
      <c r="AR44" s="140">
        <f> AR$25</f>
        <v>47573.0</v>
      </c>
      <c r="AS44" s="140">
        <f> AS$25</f>
        <v>47664.0</v>
      </c>
      <c r="AT44" s="140">
        <f> AT$25</f>
        <v>47756.0</v>
      </c>
      <c r="AU44" s="140">
        <f> AU$25</f>
        <v>47848.0</v>
      </c>
      <c r="AV44" s="140">
        <f> AV$25</f>
        <v>47938.0</v>
      </c>
      <c r="AW44" s="140">
        <f> AW$25</f>
        <v>48029.0</v>
      </c>
      <c r="AX44" s="140">
        <f> AX$25</f>
        <v>48121.0</v>
      </c>
      <c r="AY44" s="140">
        <f> AY$25</f>
        <v>48213.0</v>
      </c>
      <c r="AZ44" s="140">
        <f> AZ$25</f>
        <v>48304.0</v>
      </c>
      <c r="BA44" s="140">
        <f> BA$25</f>
        <v>48395.0</v>
      </c>
      <c r="BB44" s="140">
        <f> BB$25</f>
        <v>48487.0</v>
      </c>
      <c r="BC44" s="140">
        <f> BC$25</f>
        <v>48579.0</v>
      </c>
      <c r="BD44" s="140">
        <f> BD$25</f>
        <v>48669.0</v>
      </c>
      <c r="BE44" s="140">
        <f> BE$25</f>
        <v>48760.0</v>
      </c>
      <c r="BF44" s="140">
        <f> BF$25</f>
        <v>48852.0</v>
      </c>
      <c r="BG44" s="140">
        <f> BG$25</f>
        <v>48944.0</v>
      </c>
      <c r="BH44" s="140">
        <f> BH$25</f>
        <v>49034.0</v>
      </c>
      <c r="BI44" s="140">
        <f> BI$25</f>
        <v>49125.0</v>
      </c>
      <c r="BJ44" s="140">
        <f> BJ$25</f>
        <v>49217.0</v>
      </c>
      <c r="BK44" s="140">
        <f> BK$25</f>
        <v>49309.0</v>
      </c>
      <c r="BL44" s="140">
        <f> BL$25</f>
        <v>49399.0</v>
      </c>
      <c r="BM44" s="140">
        <f> BM$25</f>
        <v>49490.0</v>
      </c>
      <c r="BN44" s="140">
        <f> BN$25</f>
        <v>49582.0</v>
      </c>
      <c r="BO44" s="140">
        <f> BO$25</f>
        <v>49674.0</v>
      </c>
      <c r="BP44" s="140">
        <f> BP$25</f>
        <v>49765.0</v>
      </c>
      <c r="BQ44" s="140">
        <f> BQ$25</f>
        <v>49856.0</v>
      </c>
      <c r="BR44" s="140">
        <f> BR$25</f>
        <v>49948.0</v>
      </c>
      <c r="BS44" s="140">
        <f> BS$25</f>
        <v>50040.0</v>
      </c>
      <c r="BT44" s="140">
        <f> BT$25</f>
        <v>50130.0</v>
      </c>
      <c r="BU44" s="140">
        <f> BU$25</f>
        <v>50221.0</v>
      </c>
      <c r="BV44" s="140">
        <f> BV$25</f>
        <v>50313.0</v>
      </c>
      <c r="BW44" s="140">
        <f> BW$25</f>
        <v>50405.0</v>
      </c>
      <c r="BX44" s="140">
        <f> BX$25</f>
        <v>50495.0</v>
      </c>
      <c r="BY44" s="140">
        <f> BY$25</f>
        <v>50586.0</v>
      </c>
      <c r="BZ44" s="140">
        <f> BZ$25</f>
        <v>50678.0</v>
      </c>
      <c r="CA44" s="140">
        <f> CA$25</f>
        <v>50770.0</v>
      </c>
      <c r="CB44" s="140">
        <f> CB$25</f>
        <v>50860.0</v>
      </c>
      <c r="CC44" s="140">
        <f> CC$25</f>
        <v>50951.0</v>
      </c>
      <c r="CD44" s="140">
        <f> CD$25</f>
        <v>51043.0</v>
      </c>
      <c r="CE44" s="140">
        <f> CE$25</f>
        <v>51135.0</v>
      </c>
      <c r="CF44" s="140">
        <f> CF$25</f>
        <v>51226.0</v>
      </c>
      <c r="CG44" s="140">
        <f> CG$25</f>
        <v>51317.0</v>
      </c>
      <c r="CH44" s="140">
        <f> CH$25</f>
        <v>51409.0</v>
      </c>
      <c r="CI44" s="140">
        <f> CI$25</f>
        <v>51501.0</v>
      </c>
      <c r="CJ44" s="140">
        <f> CJ$25</f>
        <v>51591.0</v>
      </c>
      <c r="CK44" s="140">
        <f> CK$25</f>
        <v>51682.0</v>
      </c>
      <c r="CL44" s="140">
        <f> CL$25</f>
        <v>51774.0</v>
      </c>
      <c r="CM44" s="140">
        <f> CM$25</f>
        <v>51866.0</v>
      </c>
      <c r="CN44" s="140">
        <f> CN$25</f>
        <v>51956.0</v>
      </c>
      <c r="CO44" s="140">
        <f> CO$25</f>
        <v>52047.0</v>
      </c>
    </row>
    <row r="45" customFormat="1" s="330">
      <c r="A45" s="326" t="n"/>
      <c r="B45" s="326" t="n"/>
      <c r="C45" s="327" t="n"/>
      <c r="D45" s="328" t="n"/>
      <c r="E45" s="345" t="inlineStr">
        <is>
          <t>Acquisition / initial balance date flag</t>
        </is>
      </c>
      <c r="F45" s="345" t="n"/>
      <c r="G45" s="345" t="inlineStr">
        <is>
          <t>flag</t>
        </is>
      </c>
      <c r="H45" s="345">
        <f>SUM(J45:CO45)</f>
        <v>1.0</v>
      </c>
      <c r="I45" s="345" t="n"/>
      <c r="J45" s="345">
        <f> IF(J44 = $F43, 1, 0)</f>
        <v>0.0</v>
      </c>
      <c r="K45" s="345">
        <f> IF(K44 = $F43, 1, 0)</f>
        <v>1.0</v>
      </c>
      <c r="L45" s="345">
        <f> IF(L44 = $F43, 1, 0)</f>
        <v>0.0</v>
      </c>
      <c r="M45" s="345">
        <f> IF(M44 = $F43, 1, 0)</f>
        <v>0.0</v>
      </c>
      <c r="N45" s="345">
        <f> IF(N44 = $F43, 1, 0)</f>
        <v>0.0</v>
      </c>
      <c r="O45" s="345">
        <f> IF(O44 = $F43, 1, 0)</f>
        <v>0.0</v>
      </c>
      <c r="P45" s="345">
        <f> IF(P44 = $F43, 1, 0)</f>
        <v>0.0</v>
      </c>
      <c r="Q45" s="345">
        <f> IF(Q44 = $F43, 1, 0)</f>
        <v>0.0</v>
      </c>
      <c r="R45" s="345">
        <f> IF(R44 = $F43, 1, 0)</f>
        <v>0.0</v>
      </c>
      <c r="S45" s="345">
        <f> IF(S44 = $F43, 1, 0)</f>
        <v>0.0</v>
      </c>
      <c r="T45" s="345">
        <f> IF(T44 = $F43, 1, 0)</f>
        <v>0.0</v>
      </c>
      <c r="U45" s="345">
        <f> IF(U44 = $F43, 1, 0)</f>
        <v>0.0</v>
      </c>
      <c r="V45" s="345">
        <f> IF(V44 = $F43, 1, 0)</f>
        <v>0.0</v>
      </c>
      <c r="W45" s="345">
        <f> IF(W44 = $F43, 1, 0)</f>
        <v>0.0</v>
      </c>
      <c r="X45" s="345">
        <f> IF(X44 = $F43, 1, 0)</f>
        <v>0.0</v>
      </c>
      <c r="Y45" s="345">
        <f> IF(Y44 = $F43, 1, 0)</f>
        <v>0.0</v>
      </c>
      <c r="Z45" s="345">
        <f> IF(Z44 = $F43, 1, 0)</f>
        <v>0.0</v>
      </c>
      <c r="AA45" s="345">
        <f> IF(AA44 = $F43, 1, 0)</f>
        <v>0.0</v>
      </c>
      <c r="AB45" s="345">
        <f> IF(AB44 = $F43, 1, 0)</f>
        <v>0.0</v>
      </c>
      <c r="AC45" s="345">
        <f> IF(AC44 = $F43, 1, 0)</f>
        <v>0.0</v>
      </c>
      <c r="AD45" s="345">
        <f> IF(AD44 = $F43, 1, 0)</f>
        <v>0.0</v>
      </c>
      <c r="AE45" s="345">
        <f> IF(AE44 = $F43, 1, 0)</f>
        <v>0.0</v>
      </c>
      <c r="AF45" s="345">
        <f> IF(AF44 = $F43, 1, 0)</f>
        <v>0.0</v>
      </c>
      <c r="AG45" s="345">
        <f> IF(AG44 = $F43, 1, 0)</f>
        <v>0.0</v>
      </c>
      <c r="AH45" s="345">
        <f> IF(AH44 = $F43, 1, 0)</f>
        <v>0.0</v>
      </c>
      <c r="AI45" s="345">
        <f> IF(AI44 = $F43, 1, 0)</f>
        <v>0.0</v>
      </c>
      <c r="AJ45" s="345">
        <f> IF(AJ44 = $F43, 1, 0)</f>
        <v>0.0</v>
      </c>
      <c r="AK45" s="345">
        <f> IF(AK44 = $F43, 1, 0)</f>
        <v>0.0</v>
      </c>
      <c r="AL45" s="345">
        <f> IF(AL44 = $F43, 1, 0)</f>
        <v>0.0</v>
      </c>
      <c r="AM45" s="345">
        <f> IF(AM44 = $F43, 1, 0)</f>
        <v>0.0</v>
      </c>
      <c r="AN45" s="345">
        <f> IF(AN44 = $F43, 1, 0)</f>
        <v>0.0</v>
      </c>
      <c r="AO45" s="345">
        <f> IF(AO44 = $F43, 1, 0)</f>
        <v>0.0</v>
      </c>
      <c r="AP45" s="345">
        <f> IF(AP44 = $F43, 1, 0)</f>
        <v>0.0</v>
      </c>
      <c r="AQ45" s="345">
        <f> IF(AQ44 = $F43, 1, 0)</f>
        <v>0.0</v>
      </c>
      <c r="AR45" s="345">
        <f> IF(AR44 = $F43, 1, 0)</f>
        <v>0.0</v>
      </c>
      <c r="AS45" s="345">
        <f> IF(AS44 = $F43, 1, 0)</f>
        <v>0.0</v>
      </c>
      <c r="AT45" s="345">
        <f> IF(AT44 = $F43, 1, 0)</f>
        <v>0.0</v>
      </c>
      <c r="AU45" s="345">
        <f> IF(AU44 = $F43, 1, 0)</f>
        <v>0.0</v>
      </c>
      <c r="AV45" s="345">
        <f> IF(AV44 = $F43, 1, 0)</f>
        <v>0.0</v>
      </c>
      <c r="AW45" s="345">
        <f> IF(AW44 = $F43, 1, 0)</f>
        <v>0.0</v>
      </c>
      <c r="AX45" s="345">
        <f> IF(AX44 = $F43, 1, 0)</f>
        <v>0.0</v>
      </c>
      <c r="AY45" s="345">
        <f> IF(AY44 = $F43, 1, 0)</f>
        <v>0.0</v>
      </c>
      <c r="AZ45" s="345">
        <f> IF(AZ44 = $F43, 1, 0)</f>
        <v>0.0</v>
      </c>
      <c r="BA45" s="345">
        <f> IF(BA44 = $F43, 1, 0)</f>
        <v>0.0</v>
      </c>
      <c r="BB45" s="345">
        <f> IF(BB44 = $F43, 1, 0)</f>
        <v>0.0</v>
      </c>
      <c r="BC45" s="345">
        <f> IF(BC44 = $F43, 1, 0)</f>
        <v>0.0</v>
      </c>
      <c r="BD45" s="345">
        <f> IF(BD44 = $F43, 1, 0)</f>
        <v>0.0</v>
      </c>
      <c r="BE45" s="345">
        <f> IF(BE44 = $F43, 1, 0)</f>
        <v>0.0</v>
      </c>
      <c r="BF45" s="345">
        <f> IF(BF44 = $F43, 1, 0)</f>
        <v>0.0</v>
      </c>
      <c r="BG45" s="345">
        <f> IF(BG44 = $F43, 1, 0)</f>
        <v>0.0</v>
      </c>
      <c r="BH45" s="345">
        <f> IF(BH44 = $F43, 1, 0)</f>
        <v>0.0</v>
      </c>
      <c r="BI45" s="345">
        <f> IF(BI44 = $F43, 1, 0)</f>
        <v>0.0</v>
      </c>
      <c r="BJ45" s="345">
        <f> IF(BJ44 = $F43, 1, 0)</f>
        <v>0.0</v>
      </c>
      <c r="BK45" s="345">
        <f> IF(BK44 = $F43, 1, 0)</f>
        <v>0.0</v>
      </c>
      <c r="BL45" s="345">
        <f> IF(BL44 = $F43, 1, 0)</f>
        <v>0.0</v>
      </c>
      <c r="BM45" s="345">
        <f> IF(BM44 = $F43, 1, 0)</f>
        <v>0.0</v>
      </c>
      <c r="BN45" s="345">
        <f> IF(BN44 = $F43, 1, 0)</f>
        <v>0.0</v>
      </c>
      <c r="BO45" s="345">
        <f> IF(BO44 = $F43, 1, 0)</f>
        <v>0.0</v>
      </c>
      <c r="BP45" s="345">
        <f> IF(BP44 = $F43, 1, 0)</f>
        <v>0.0</v>
      </c>
      <c r="BQ45" s="345">
        <f> IF(BQ44 = $F43, 1, 0)</f>
        <v>0.0</v>
      </c>
      <c r="BR45" s="345">
        <f> IF(BR44 = $F43, 1, 0)</f>
        <v>0.0</v>
      </c>
      <c r="BS45" s="345">
        <f> IF(BS44 = $F43, 1, 0)</f>
        <v>0.0</v>
      </c>
      <c r="BT45" s="345">
        <f> IF(BT44 = $F43, 1, 0)</f>
        <v>0.0</v>
      </c>
      <c r="BU45" s="345">
        <f> IF(BU44 = $F43, 1, 0)</f>
        <v>0.0</v>
      </c>
      <c r="BV45" s="345">
        <f> IF(BV44 = $F43, 1, 0)</f>
        <v>0.0</v>
      </c>
      <c r="BW45" s="345">
        <f> IF(BW44 = $F43, 1, 0)</f>
        <v>0.0</v>
      </c>
      <c r="BX45" s="345">
        <f> IF(BX44 = $F43, 1, 0)</f>
        <v>0.0</v>
      </c>
      <c r="BY45" s="345">
        <f> IF(BY44 = $F43, 1, 0)</f>
        <v>0.0</v>
      </c>
      <c r="BZ45" s="345">
        <f> IF(BZ44 = $F43, 1, 0)</f>
        <v>0.0</v>
      </c>
      <c r="CA45" s="345">
        <f> IF(CA44 = $F43, 1, 0)</f>
        <v>0.0</v>
      </c>
      <c r="CB45" s="345">
        <f> IF(CB44 = $F43, 1, 0)</f>
        <v>0.0</v>
      </c>
      <c r="CC45" s="345">
        <f> IF(CC44 = $F43, 1, 0)</f>
        <v>0.0</v>
      </c>
      <c r="CD45" s="345">
        <f> IF(CD44 = $F43, 1, 0)</f>
        <v>0.0</v>
      </c>
      <c r="CE45" s="345">
        <f> IF(CE44 = $F43, 1, 0)</f>
        <v>0.0</v>
      </c>
      <c r="CF45" s="345">
        <f> IF(CF44 = $F43, 1, 0)</f>
        <v>0.0</v>
      </c>
      <c r="CG45" s="345">
        <f> IF(CG44 = $F43, 1, 0)</f>
        <v>0.0</v>
      </c>
      <c r="CH45" s="345">
        <f> IF(CH44 = $F43, 1, 0)</f>
        <v>0.0</v>
      </c>
      <c r="CI45" s="345">
        <f> IF(CI44 = $F43, 1, 0)</f>
        <v>0.0</v>
      </c>
      <c r="CJ45" s="345">
        <f> IF(CJ44 = $F43, 1, 0)</f>
        <v>0.0</v>
      </c>
      <c r="CK45" s="345">
        <f> IF(CK44 = $F43, 1, 0)</f>
        <v>0.0</v>
      </c>
      <c r="CL45" s="345">
        <f> IF(CL44 = $F43, 1, 0)</f>
        <v>0.0</v>
      </c>
      <c r="CM45" s="345">
        <f> IF(CM44 = $F43, 1, 0)</f>
        <v>0.0</v>
      </c>
      <c r="CN45" s="345">
        <f> IF(CN44 = $F43, 1, 0)</f>
        <v>0.0</v>
      </c>
      <c r="CO45" s="345">
        <f> IF(CO44 = $F43, 1, 0)</f>
        <v>0.0</v>
      </c>
    </row>
    <row r="47" ht="15" customFormat="1" customHeight="1" s="142">
      <c r="A47" s="163" t="n"/>
      <c r="B47" s="163" t="inlineStr">
        <is>
          <t>First forecast period flag</t>
        </is>
      </c>
      <c r="C47" s="172" t="n"/>
      <c r="D47" s="88" t="n"/>
      <c r="E47" s="169" t="n"/>
      <c r="F47" s="169" t="n"/>
      <c r="G47" s="169" t="n"/>
      <c r="H47" s="61" t="n"/>
      <c r="I47" s="61" t="n"/>
      <c r="J47" s="61" t="n"/>
      <c r="K47" s="61" t="n"/>
      <c r="L47" s="61" t="n"/>
      <c r="M47" s="61" t="n"/>
      <c r="N47" s="61" t="n"/>
      <c r="O47" s="61" t="n"/>
      <c r="P47" s="61" t="n"/>
      <c r="Q47" s="61" t="n"/>
      <c r="R47" s="61" t="n"/>
      <c r="S47" s="61" t="n"/>
      <c r="T47" s="61" t="n"/>
      <c r="U47" s="61" t="n"/>
      <c r="V47" s="61" t="n"/>
      <c r="W47" s="61" t="n"/>
      <c r="X47" s="61" t="n"/>
      <c r="Y47" s="61" t="n"/>
      <c r="Z47" s="61" t="n"/>
      <c r="AA47" s="61" t="n"/>
      <c r="AB47" s="61" t="n"/>
      <c r="AC47" s="61" t="n"/>
      <c r="AD47" s="61" t="n"/>
      <c r="AE47" s="61" t="n"/>
      <c r="AF47" s="61" t="n"/>
      <c r="AG47" s="61" t="n"/>
      <c r="AH47" s="61" t="n"/>
      <c r="AI47" s="61" t="n"/>
      <c r="AJ47" s="61" t="n"/>
      <c r="AK47" s="61" t="n"/>
      <c r="AL47" s="61" t="n"/>
      <c r="AM47" s="61" t="n"/>
      <c r="AN47" s="61" t="n"/>
      <c r="AO47" s="61" t="n"/>
      <c r="AP47" s="61" t="n"/>
      <c r="AQ47" s="61" t="n"/>
      <c r="AR47" s="61" t="n"/>
      <c r="AS47" s="61" t="n"/>
      <c r="AT47" s="61" t="n"/>
      <c r="AU47" s="61" t="n"/>
      <c r="AV47" s="61" t="n"/>
      <c r="AW47" s="61" t="n"/>
      <c r="AX47" s="61" t="n"/>
      <c r="AY47" s="61" t="n"/>
      <c r="AZ47" s="61" t="n"/>
      <c r="BA47" s="61" t="n"/>
      <c r="BB47" s="61" t="n"/>
      <c r="BC47" s="61" t="n"/>
      <c r="BD47" s="61" t="n"/>
      <c r="BE47" s="61" t="n"/>
      <c r="BF47" s="61" t="n"/>
      <c r="BG47" s="61" t="n"/>
      <c r="BH47" s="61" t="n"/>
      <c r="BI47" s="61" t="n"/>
      <c r="BJ47" s="61" t="n"/>
      <c r="BK47" s="61" t="n"/>
      <c r="BL47" s="61" t="n"/>
      <c r="BM47" s="61" t="n"/>
      <c r="BN47" s="61" t="n"/>
      <c r="BO47" s="61" t="n"/>
      <c r="BP47" s="61" t="n"/>
      <c r="BQ47" s="61" t="n"/>
      <c r="BR47" s="61" t="n"/>
      <c r="BS47" s="61" t="n"/>
      <c r="BT47" s="61" t="n"/>
      <c r="BU47" s="61" t="n"/>
      <c r="BV47" s="61" t="n"/>
      <c r="BW47" s="61" t="n"/>
      <c r="BX47" s="61" t="n"/>
      <c r="BY47" s="61" t="n"/>
      <c r="BZ47" s="61" t="n"/>
      <c r="CA47" s="61" t="n"/>
      <c r="CB47" s="61" t="n"/>
      <c r="CC47" s="61" t="n"/>
      <c r="CD47" s="61" t="n"/>
      <c r="CE47" s="61" t="n"/>
      <c r="CF47" s="61" t="n"/>
      <c r="CG47" s="61" t="n"/>
      <c r="CH47" s="61" t="n"/>
      <c r="CI47" s="61" t="n"/>
      <c r="CJ47" s="61" t="n"/>
      <c r="CK47" s="61" t="n"/>
      <c r="CL47" s="61" t="n"/>
      <c r="CM47" s="61" t="n"/>
      <c r="CN47" s="61" t="n"/>
      <c r="CO47" s="61" t="n"/>
    </row>
    <row r="48" customFormat="1" s="106">
      <c r="A48" s="125" t="n"/>
      <c r="B48" s="125" t="n"/>
      <c r="C48" s="126" t="n"/>
      <c r="D48" s="127" t="n"/>
      <c r="E48" s="173" t="str">
        <f> InpC!E$10</f>
        <v>Acquisition / initial balance date</v>
      </c>
      <c r="F48" s="173">
        <f> InpC!F$10</f>
        <v>44561.0</v>
      </c>
      <c r="G48" s="173" t="str">
        <f> InpC!G$10</f>
        <v>date</v>
      </c>
      <c r="H48" s="61" t="n"/>
      <c r="I48" s="61" t="n"/>
      <c r="J48" s="61" t="n"/>
      <c r="K48" s="61" t="n"/>
      <c r="L48" s="61" t="n"/>
      <c r="M48" s="61" t="n"/>
      <c r="N48" s="61" t="n"/>
      <c r="O48" s="61" t="n"/>
      <c r="P48" s="61" t="n"/>
      <c r="Q48" s="61" t="n"/>
      <c r="R48" s="61" t="n"/>
      <c r="S48" s="61" t="n"/>
      <c r="T48" s="61" t="n"/>
      <c r="U48" s="61" t="n"/>
      <c r="V48" s="61" t="n"/>
      <c r="W48" s="61" t="n"/>
      <c r="X48" s="61" t="n"/>
      <c r="Y48" s="61" t="n"/>
      <c r="Z48" s="61" t="n"/>
      <c r="AA48" s="61" t="n"/>
      <c r="AB48" s="61" t="n"/>
      <c r="AC48" s="61" t="n"/>
      <c r="AD48" s="61" t="n"/>
      <c r="AE48" s="61" t="n"/>
      <c r="AF48" s="61" t="n"/>
      <c r="AG48" s="61" t="n"/>
      <c r="AH48" s="61" t="n"/>
      <c r="AI48" s="61" t="n"/>
      <c r="AJ48" s="61" t="n"/>
      <c r="AK48" s="61" t="n"/>
      <c r="AL48" s="61" t="n"/>
      <c r="AM48" s="61" t="n"/>
      <c r="AN48" s="61" t="n"/>
      <c r="AO48" s="61" t="n"/>
      <c r="AP48" s="61" t="n"/>
      <c r="AQ48" s="61" t="n"/>
      <c r="AR48" s="61" t="n"/>
      <c r="AS48" s="61" t="n"/>
      <c r="AT48" s="61" t="n"/>
      <c r="AU48" s="61" t="n"/>
      <c r="AV48" s="61" t="n"/>
      <c r="AW48" s="61" t="n"/>
      <c r="AX48" s="61" t="n"/>
      <c r="AY48" s="61" t="n"/>
      <c r="AZ48" s="61" t="n"/>
      <c r="BA48" s="61" t="n"/>
      <c r="BB48" s="61" t="n"/>
      <c r="BC48" s="61" t="n"/>
      <c r="BD48" s="61" t="n"/>
      <c r="BE48" s="61" t="n"/>
      <c r="BF48" s="61" t="n"/>
      <c r="BG48" s="61" t="n"/>
      <c r="BH48" s="61" t="n"/>
      <c r="BI48" s="61" t="n"/>
      <c r="BJ48" s="61" t="n"/>
      <c r="BK48" s="61" t="n"/>
      <c r="BL48" s="61" t="n"/>
      <c r="BM48" s="61" t="n"/>
      <c r="BN48" s="61" t="n"/>
      <c r="BO48" s="61" t="n"/>
      <c r="BP48" s="61" t="n"/>
      <c r="BQ48" s="61" t="n"/>
      <c r="BR48" s="61" t="n"/>
      <c r="BS48" s="61" t="n"/>
      <c r="BT48" s="61" t="n"/>
      <c r="BU48" s="61" t="n"/>
      <c r="BV48" s="61" t="n"/>
      <c r="BW48" s="61" t="n"/>
      <c r="BX48" s="61" t="n"/>
      <c r="BY48" s="61" t="n"/>
      <c r="BZ48" s="61" t="n"/>
      <c r="CA48" s="61" t="n"/>
      <c r="CB48" s="61" t="n"/>
      <c r="CC48" s="61" t="n"/>
      <c r="CD48" s="61" t="n"/>
      <c r="CE48" s="61" t="n"/>
      <c r="CF48" s="61" t="n"/>
      <c r="CG48" s="61" t="n"/>
      <c r="CH48" s="61" t="n"/>
      <c r="CI48" s="61" t="n"/>
      <c r="CJ48" s="61" t="n"/>
      <c r="CK48" s="61" t="n"/>
      <c r="CL48" s="61" t="n"/>
      <c r="CM48" s="61" t="n"/>
      <c r="CN48" s="61" t="n"/>
      <c r="CO48" s="61" t="n"/>
    </row>
    <row r="49" ht="15" customFormat="1" customHeight="1" s="128">
      <c r="A49" s="125" t="n"/>
      <c r="B49" s="125" t="n"/>
      <c r="C49" s="126" t="n"/>
      <c r="D49" s="127" t="n"/>
      <c r="E49" s="127" t="inlineStr">
        <is>
          <t>First forecast period start date</t>
        </is>
      </c>
      <c r="F49" s="127">
        <f> F48 + 1</f>
        <v>44562.0</v>
      </c>
      <c r="G49" s="127" t="inlineStr">
        <is>
          <t>date</t>
        </is>
      </c>
      <c r="H49" s="61" t="n"/>
      <c r="I49" s="61" t="n"/>
      <c r="J49" s="61" t="n"/>
      <c r="K49" s="61" t="n"/>
      <c r="L49" s="61" t="n"/>
      <c r="M49" s="61" t="n"/>
      <c r="N49" s="61" t="n"/>
      <c r="O49" s="61" t="n"/>
      <c r="P49" s="61" t="n"/>
      <c r="Q49" s="61" t="n"/>
      <c r="R49" s="61" t="n"/>
      <c r="S49" s="61" t="n"/>
      <c r="T49" s="61" t="n"/>
      <c r="U49" s="61" t="n"/>
      <c r="V49" s="61" t="n"/>
      <c r="W49" s="61" t="n"/>
      <c r="X49" s="61" t="n"/>
      <c r="Y49" s="61" t="n"/>
      <c r="Z49" s="61" t="n"/>
      <c r="AA49" s="61" t="n"/>
      <c r="AB49" s="61" t="n"/>
      <c r="AC49" s="61" t="n"/>
      <c r="AD49" s="61" t="n"/>
      <c r="AE49" s="61" t="n"/>
      <c r="AF49" s="61" t="n"/>
      <c r="AG49" s="61" t="n"/>
      <c r="AH49" s="61" t="n"/>
      <c r="AI49" s="61" t="n"/>
      <c r="AJ49" s="61" t="n"/>
      <c r="AK49" s="61" t="n"/>
      <c r="AL49" s="61" t="n"/>
      <c r="AM49" s="61" t="n"/>
      <c r="AN49" s="61" t="n"/>
      <c r="AO49" s="61" t="n"/>
      <c r="AP49" s="61" t="n"/>
      <c r="AQ49" s="61" t="n"/>
      <c r="AR49" s="61" t="n"/>
      <c r="AS49" s="61" t="n"/>
      <c r="AT49" s="61" t="n"/>
      <c r="AU49" s="61" t="n"/>
      <c r="AV49" s="61" t="n"/>
      <c r="AW49" s="61" t="n"/>
      <c r="AX49" s="61" t="n"/>
      <c r="AY49" s="61" t="n"/>
      <c r="AZ49" s="61" t="n"/>
      <c r="BA49" s="61" t="n"/>
      <c r="BB49" s="61" t="n"/>
      <c r="BC49" s="61" t="n"/>
      <c r="BD49" s="61" t="n"/>
      <c r="BE49" s="61" t="n"/>
      <c r="BF49" s="61" t="n"/>
      <c r="BG49" s="61" t="n"/>
      <c r="BH49" s="61" t="n"/>
      <c r="BI49" s="61" t="n"/>
      <c r="BJ49" s="61" t="n"/>
      <c r="BK49" s="61" t="n"/>
      <c r="BL49" s="61" t="n"/>
      <c r="BM49" s="61" t="n"/>
      <c r="BN49" s="61" t="n"/>
      <c r="BO49" s="61" t="n"/>
      <c r="BP49" s="61" t="n"/>
      <c r="BQ49" s="61" t="n"/>
      <c r="BR49" s="61" t="n"/>
      <c r="BS49" s="61" t="n"/>
      <c r="BT49" s="61" t="n"/>
      <c r="BU49" s="61" t="n"/>
      <c r="BV49" s="61" t="n"/>
      <c r="BW49" s="61" t="n"/>
      <c r="BX49" s="61" t="n"/>
      <c r="BY49" s="61" t="n"/>
      <c r="BZ49" s="61" t="n"/>
      <c r="CA49" s="61" t="n"/>
      <c r="CB49" s="61" t="n"/>
      <c r="CC49" s="61" t="n"/>
      <c r="CD49" s="61" t="n"/>
      <c r="CE49" s="61" t="n"/>
      <c r="CF49" s="61" t="n"/>
      <c r="CG49" s="61" t="n"/>
      <c r="CH49" s="61" t="n"/>
      <c r="CI49" s="61" t="n"/>
      <c r="CJ49" s="61" t="n"/>
      <c r="CK49" s="61" t="n"/>
      <c r="CL49" s="61" t="n"/>
      <c r="CM49" s="61" t="n"/>
      <c r="CN49" s="61" t="n"/>
      <c r="CO49" s="61" t="n"/>
    </row>
    <row r="50" ht="15" customFormat="1" customHeight="1" s="142">
      <c r="A50" s="163" t="n"/>
      <c r="B50" s="163" t="n"/>
      <c r="C50" s="172" t="n"/>
      <c r="D50" s="88" t="n"/>
      <c r="E50" s="169" t="n"/>
      <c r="F50" s="169" t="n"/>
      <c r="G50" s="169" t="n"/>
      <c r="H50" s="61" t="n"/>
      <c r="I50" s="61" t="n"/>
      <c r="J50" s="61" t="n"/>
      <c r="K50" s="61" t="n"/>
      <c r="L50" s="61" t="n"/>
      <c r="M50" s="61" t="n"/>
      <c r="N50" s="61" t="n"/>
      <c r="O50" s="61" t="n"/>
      <c r="P50" s="61" t="n"/>
      <c r="Q50" s="61" t="n"/>
      <c r="R50" s="61" t="n"/>
      <c r="S50" s="61" t="n"/>
      <c r="T50" s="61" t="n"/>
      <c r="U50" s="61" t="n"/>
      <c r="V50" s="61" t="n"/>
      <c r="W50" s="61" t="n"/>
      <c r="X50" s="61" t="n"/>
      <c r="Y50" s="61" t="n"/>
      <c r="Z50" s="61" t="n"/>
      <c r="AA50" s="61" t="n"/>
      <c r="AB50" s="61" t="n"/>
      <c r="AC50" s="61" t="n"/>
      <c r="AD50" s="61" t="n"/>
      <c r="AE50" s="61" t="n"/>
      <c r="AF50" s="61" t="n"/>
      <c r="AG50" s="61" t="n"/>
      <c r="AH50" s="61" t="n"/>
      <c r="AI50" s="61" t="n"/>
      <c r="AJ50" s="61" t="n"/>
      <c r="AK50" s="61" t="n"/>
      <c r="AL50" s="61" t="n"/>
      <c r="AM50" s="61" t="n"/>
      <c r="AN50" s="61" t="n"/>
      <c r="AO50" s="61" t="n"/>
      <c r="AP50" s="61" t="n"/>
      <c r="AQ50" s="61" t="n"/>
      <c r="AR50" s="61" t="n"/>
      <c r="AS50" s="61" t="n"/>
      <c r="AT50" s="61" t="n"/>
      <c r="AU50" s="61" t="n"/>
      <c r="AV50" s="61" t="n"/>
      <c r="AW50" s="61" t="n"/>
      <c r="AX50" s="61" t="n"/>
      <c r="AY50" s="61" t="n"/>
      <c r="AZ50" s="61" t="n"/>
      <c r="BA50" s="61" t="n"/>
      <c r="BB50" s="61" t="n"/>
      <c r="BC50" s="61" t="n"/>
      <c r="BD50" s="61" t="n"/>
      <c r="BE50" s="61" t="n"/>
      <c r="BF50" s="61" t="n"/>
      <c r="BG50" s="61" t="n"/>
      <c r="BH50" s="61" t="n"/>
      <c r="BI50" s="61" t="n"/>
      <c r="BJ50" s="61" t="n"/>
      <c r="BK50" s="61" t="n"/>
      <c r="BL50" s="61" t="n"/>
      <c r="BM50" s="61" t="n"/>
      <c r="BN50" s="61" t="n"/>
      <c r="BO50" s="61" t="n"/>
      <c r="BP50" s="61" t="n"/>
      <c r="BQ50" s="61" t="n"/>
      <c r="BR50" s="61" t="n"/>
      <c r="BS50" s="61" t="n"/>
      <c r="BT50" s="61" t="n"/>
      <c r="BU50" s="61" t="n"/>
      <c r="BV50" s="61" t="n"/>
      <c r="BW50" s="61" t="n"/>
      <c r="BX50" s="61" t="n"/>
      <c r="BY50" s="61" t="n"/>
      <c r="BZ50" s="61" t="n"/>
      <c r="CA50" s="61" t="n"/>
      <c r="CB50" s="61" t="n"/>
      <c r="CC50" s="61" t="n"/>
      <c r="CD50" s="61" t="n"/>
      <c r="CE50" s="61" t="n"/>
      <c r="CF50" s="61" t="n"/>
      <c r="CG50" s="61" t="n"/>
      <c r="CH50" s="61" t="n"/>
      <c r="CI50" s="61" t="n"/>
      <c r="CJ50" s="61" t="n"/>
      <c r="CK50" s="61" t="n"/>
      <c r="CL50" s="61" t="n"/>
      <c r="CM50" s="61" t="n"/>
      <c r="CN50" s="61" t="n"/>
      <c r="CO50" s="61" t="n"/>
    </row>
    <row r="51" customFormat="1" s="133">
      <c r="A51" s="129" t="n"/>
      <c r="B51" s="129" t="n"/>
      <c r="C51" s="130" t="n"/>
      <c r="D51" s="131" t="n"/>
      <c r="E51" s="399" t="str">
        <f> E$49</f>
        <v>First forecast period start date</v>
      </c>
      <c r="F51" s="399">
        <f> F$49</f>
        <v>44562.0</v>
      </c>
      <c r="G51" s="399" t="str">
        <f> G$49</f>
        <v>date</v>
      </c>
      <c r="H51" s="61" t="n"/>
      <c r="I51" s="61" t="n"/>
      <c r="J51" s="61" t="n"/>
      <c r="K51" s="61" t="n"/>
      <c r="L51" s="61" t="n"/>
      <c r="M51" s="61" t="n"/>
      <c r="N51" s="61" t="n"/>
      <c r="O51" s="61" t="n"/>
      <c r="P51" s="61" t="n"/>
      <c r="Q51" s="61" t="n"/>
      <c r="R51" s="61" t="n"/>
      <c r="S51" s="61" t="n"/>
      <c r="T51" s="61" t="n"/>
      <c r="U51" s="61" t="n"/>
      <c r="V51" s="61" t="n"/>
      <c r="W51" s="61" t="n"/>
      <c r="X51" s="61" t="n"/>
      <c r="Y51" s="61" t="n"/>
      <c r="Z51" s="61" t="n"/>
      <c r="AA51" s="61" t="n"/>
      <c r="AB51" s="61" t="n"/>
      <c r="AC51" s="61" t="n"/>
      <c r="AD51" s="61" t="n"/>
      <c r="AE51" s="61" t="n"/>
      <c r="AF51" s="61" t="n"/>
      <c r="AG51" s="61" t="n"/>
      <c r="AH51" s="61" t="n"/>
      <c r="AI51" s="61" t="n"/>
      <c r="AJ51" s="61" t="n"/>
      <c r="AK51" s="61" t="n"/>
      <c r="AL51" s="61" t="n"/>
      <c r="AM51" s="61" t="n"/>
      <c r="AN51" s="61" t="n"/>
      <c r="AO51" s="61" t="n"/>
      <c r="AP51" s="61" t="n"/>
      <c r="AQ51" s="61" t="n"/>
      <c r="AR51" s="61" t="n"/>
      <c r="AS51" s="61" t="n"/>
      <c r="AT51" s="61" t="n"/>
      <c r="AU51" s="61" t="n"/>
      <c r="AV51" s="61" t="n"/>
      <c r="AW51" s="61" t="n"/>
      <c r="AX51" s="61" t="n"/>
      <c r="AY51" s="61" t="n"/>
      <c r="AZ51" s="61" t="n"/>
      <c r="BA51" s="61" t="n"/>
      <c r="BB51" s="61" t="n"/>
      <c r="BC51" s="61" t="n"/>
      <c r="BD51" s="61" t="n"/>
      <c r="BE51" s="61" t="n"/>
      <c r="BF51" s="61" t="n"/>
      <c r="BG51" s="61" t="n"/>
      <c r="BH51" s="61" t="n"/>
      <c r="BI51" s="61" t="n"/>
      <c r="BJ51" s="61" t="n"/>
      <c r="BK51" s="61" t="n"/>
      <c r="BL51" s="61" t="n"/>
      <c r="BM51" s="61" t="n"/>
      <c r="BN51" s="61" t="n"/>
      <c r="BO51" s="61" t="n"/>
      <c r="BP51" s="61" t="n"/>
      <c r="BQ51" s="61" t="n"/>
      <c r="BR51" s="61" t="n"/>
      <c r="BS51" s="61" t="n"/>
      <c r="BT51" s="61" t="n"/>
      <c r="BU51" s="61" t="n"/>
      <c r="BV51" s="61" t="n"/>
      <c r="BW51" s="61" t="n"/>
      <c r="BX51" s="61" t="n"/>
      <c r="BY51" s="61" t="n"/>
      <c r="BZ51" s="61" t="n"/>
      <c r="CA51" s="61" t="n"/>
      <c r="CB51" s="61" t="n"/>
      <c r="CC51" s="61" t="n"/>
      <c r="CD51" s="61" t="n"/>
      <c r="CE51" s="61" t="n"/>
      <c r="CF51" s="61" t="n"/>
      <c r="CG51" s="61" t="n"/>
      <c r="CH51" s="61" t="n"/>
      <c r="CI51" s="61" t="n"/>
      <c r="CJ51" s="61" t="n"/>
      <c r="CK51" s="61" t="n"/>
      <c r="CL51" s="61" t="n"/>
      <c r="CM51" s="61" t="n"/>
      <c r="CN51" s="61" t="n"/>
      <c r="CO51" s="61" t="n"/>
    </row>
    <row r="52" ht="15" customFormat="1" customHeight="1" s="123">
      <c r="A52" s="167" t="n"/>
      <c r="B52" s="167" t="n"/>
      <c r="C52" s="237" t="n"/>
      <c r="D52" s="121" t="n"/>
      <c r="E52" s="140" t="str">
        <f> E$25</f>
        <v>Model period ending </v>
      </c>
      <c r="F52" s="140">
        <f> F$25</f>
        <v>0.0</v>
      </c>
      <c r="G52" s="140" t="str">
        <f> G$25</f>
        <v>date</v>
      </c>
      <c r="H52" s="140">
        <f> H$25</f>
        <v>0.0</v>
      </c>
      <c r="I52" s="134">
        <f> I$25</f>
        <v>0.0</v>
      </c>
      <c r="J52" s="140">
        <f> J$25</f>
        <v>44469.0</v>
      </c>
      <c r="K52" s="140">
        <f> K$25</f>
        <v>44561.0</v>
      </c>
      <c r="L52" s="140">
        <f> L$25</f>
        <v>44651.0</v>
      </c>
      <c r="M52" s="140">
        <f> M$25</f>
        <v>44742.0</v>
      </c>
      <c r="N52" s="140">
        <f> N$25</f>
        <v>44834.0</v>
      </c>
      <c r="O52" s="140">
        <f> O$25</f>
        <v>44926.0</v>
      </c>
      <c r="P52" s="140">
        <f> P$25</f>
        <v>45016.0</v>
      </c>
      <c r="Q52" s="140">
        <f> Q$25</f>
        <v>45107.0</v>
      </c>
      <c r="R52" s="140">
        <f> R$25</f>
        <v>45199.0</v>
      </c>
      <c r="S52" s="140">
        <f> S$25</f>
        <v>45291.0</v>
      </c>
      <c r="T52" s="140">
        <f> T$25</f>
        <v>45382.0</v>
      </c>
      <c r="U52" s="140">
        <f> U$25</f>
        <v>45473.0</v>
      </c>
      <c r="V52" s="140">
        <f> V$25</f>
        <v>45565.0</v>
      </c>
      <c r="W52" s="140">
        <f> W$25</f>
        <v>45657.0</v>
      </c>
      <c r="X52" s="140">
        <f> X$25</f>
        <v>45747.0</v>
      </c>
      <c r="Y52" s="140">
        <f> Y$25</f>
        <v>45838.0</v>
      </c>
      <c r="Z52" s="140">
        <f> Z$25</f>
        <v>45930.0</v>
      </c>
      <c r="AA52" s="140">
        <f> AA$25</f>
        <v>46022.0</v>
      </c>
      <c r="AB52" s="140">
        <f> AB$25</f>
        <v>46112.0</v>
      </c>
      <c r="AC52" s="140">
        <f> AC$25</f>
        <v>46203.0</v>
      </c>
      <c r="AD52" s="140">
        <f> AD$25</f>
        <v>46295.0</v>
      </c>
      <c r="AE52" s="140">
        <f> AE$25</f>
        <v>46387.0</v>
      </c>
      <c r="AF52" s="140">
        <f> AF$25</f>
        <v>46477.0</v>
      </c>
      <c r="AG52" s="140">
        <f> AG$25</f>
        <v>46568.0</v>
      </c>
      <c r="AH52" s="140">
        <f> AH$25</f>
        <v>46660.0</v>
      </c>
      <c r="AI52" s="140">
        <f> AI$25</f>
        <v>46752.0</v>
      </c>
      <c r="AJ52" s="140">
        <f> AJ$25</f>
        <v>46843.0</v>
      </c>
      <c r="AK52" s="140">
        <f> AK$25</f>
        <v>46934.0</v>
      </c>
      <c r="AL52" s="140">
        <f> AL$25</f>
        <v>47026.0</v>
      </c>
      <c r="AM52" s="140">
        <f> AM$25</f>
        <v>47118.0</v>
      </c>
      <c r="AN52" s="140">
        <f> AN$25</f>
        <v>47208.0</v>
      </c>
      <c r="AO52" s="140">
        <f> AO$25</f>
        <v>47299.0</v>
      </c>
      <c r="AP52" s="140">
        <f> AP$25</f>
        <v>47391.0</v>
      </c>
      <c r="AQ52" s="140">
        <f> AQ$25</f>
        <v>47483.0</v>
      </c>
      <c r="AR52" s="140">
        <f> AR$25</f>
        <v>47573.0</v>
      </c>
      <c r="AS52" s="140">
        <f> AS$25</f>
        <v>47664.0</v>
      </c>
      <c r="AT52" s="140">
        <f> AT$25</f>
        <v>47756.0</v>
      </c>
      <c r="AU52" s="140">
        <f> AU$25</f>
        <v>47848.0</v>
      </c>
      <c r="AV52" s="140">
        <f> AV$25</f>
        <v>47938.0</v>
      </c>
      <c r="AW52" s="140">
        <f> AW$25</f>
        <v>48029.0</v>
      </c>
      <c r="AX52" s="140">
        <f> AX$25</f>
        <v>48121.0</v>
      </c>
      <c r="AY52" s="140">
        <f> AY$25</f>
        <v>48213.0</v>
      </c>
      <c r="AZ52" s="140">
        <f> AZ$25</f>
        <v>48304.0</v>
      </c>
      <c r="BA52" s="140">
        <f> BA$25</f>
        <v>48395.0</v>
      </c>
      <c r="BB52" s="140">
        <f> BB$25</f>
        <v>48487.0</v>
      </c>
      <c r="BC52" s="140">
        <f> BC$25</f>
        <v>48579.0</v>
      </c>
      <c r="BD52" s="140">
        <f> BD$25</f>
        <v>48669.0</v>
      </c>
      <c r="BE52" s="140">
        <f> BE$25</f>
        <v>48760.0</v>
      </c>
      <c r="BF52" s="140">
        <f> BF$25</f>
        <v>48852.0</v>
      </c>
      <c r="BG52" s="140">
        <f> BG$25</f>
        <v>48944.0</v>
      </c>
      <c r="BH52" s="140">
        <f> BH$25</f>
        <v>49034.0</v>
      </c>
      <c r="BI52" s="140">
        <f> BI$25</f>
        <v>49125.0</v>
      </c>
      <c r="BJ52" s="140">
        <f> BJ$25</f>
        <v>49217.0</v>
      </c>
      <c r="BK52" s="140">
        <f> BK$25</f>
        <v>49309.0</v>
      </c>
      <c r="BL52" s="140">
        <f> BL$25</f>
        <v>49399.0</v>
      </c>
      <c r="BM52" s="140">
        <f> BM$25</f>
        <v>49490.0</v>
      </c>
      <c r="BN52" s="140">
        <f> BN$25</f>
        <v>49582.0</v>
      </c>
      <c r="BO52" s="140">
        <f> BO$25</f>
        <v>49674.0</v>
      </c>
      <c r="BP52" s="140">
        <f> BP$25</f>
        <v>49765.0</v>
      </c>
      <c r="BQ52" s="140">
        <f> BQ$25</f>
        <v>49856.0</v>
      </c>
      <c r="BR52" s="140">
        <f> BR$25</f>
        <v>49948.0</v>
      </c>
      <c r="BS52" s="140">
        <f> BS$25</f>
        <v>50040.0</v>
      </c>
      <c r="BT52" s="140">
        <f> BT$25</f>
        <v>50130.0</v>
      </c>
      <c r="BU52" s="140">
        <f> BU$25</f>
        <v>50221.0</v>
      </c>
      <c r="BV52" s="140">
        <f> BV$25</f>
        <v>50313.0</v>
      </c>
      <c r="BW52" s="140">
        <f> BW$25</f>
        <v>50405.0</v>
      </c>
      <c r="BX52" s="140">
        <f> BX$25</f>
        <v>50495.0</v>
      </c>
      <c r="BY52" s="140">
        <f> BY$25</f>
        <v>50586.0</v>
      </c>
      <c r="BZ52" s="140">
        <f> BZ$25</f>
        <v>50678.0</v>
      </c>
      <c r="CA52" s="140">
        <f> CA$25</f>
        <v>50770.0</v>
      </c>
      <c r="CB52" s="140">
        <f> CB$25</f>
        <v>50860.0</v>
      </c>
      <c r="CC52" s="140">
        <f> CC$25</f>
        <v>50951.0</v>
      </c>
      <c r="CD52" s="140">
        <f> CD$25</f>
        <v>51043.0</v>
      </c>
      <c r="CE52" s="140">
        <f> CE$25</f>
        <v>51135.0</v>
      </c>
      <c r="CF52" s="140">
        <f> CF$25</f>
        <v>51226.0</v>
      </c>
      <c r="CG52" s="140">
        <f> CG$25</f>
        <v>51317.0</v>
      </c>
      <c r="CH52" s="140">
        <f> CH$25</f>
        <v>51409.0</v>
      </c>
      <c r="CI52" s="140">
        <f> CI$25</f>
        <v>51501.0</v>
      </c>
      <c r="CJ52" s="140">
        <f> CJ$25</f>
        <v>51591.0</v>
      </c>
      <c r="CK52" s="140">
        <f> CK$25</f>
        <v>51682.0</v>
      </c>
      <c r="CL52" s="140">
        <f> CL$25</f>
        <v>51774.0</v>
      </c>
      <c r="CM52" s="140">
        <f> CM$25</f>
        <v>51866.0</v>
      </c>
      <c r="CN52" s="140">
        <f> CN$25</f>
        <v>51956.0</v>
      </c>
      <c r="CO52" s="140">
        <f> CO$25</f>
        <v>52047.0</v>
      </c>
    </row>
    <row r="53" customFormat="1" s="29">
      <c r="A53" s="294" t="n"/>
      <c r="B53" s="294" t="n"/>
      <c r="C53" s="212" t="n"/>
      <c r="D53" s="61" t="n"/>
      <c r="E53" s="61" t="inlineStr">
        <is>
          <t>First forecast period flag</t>
        </is>
      </c>
      <c r="F53" s="61" t="n"/>
      <c r="G53" s="61" t="inlineStr">
        <is>
          <t>flag</t>
        </is>
      </c>
      <c r="H53" s="61">
        <f> SUM(J53:CO53)</f>
        <v>1.0</v>
      </c>
      <c r="I53" s="61" t="n"/>
      <c r="J53" s="61">
        <f> IF(AND(I52 &lt; $F51, J52 &gt;= $F51), 1, 0)</f>
        <v>0.0</v>
      </c>
      <c r="K53" s="61">
        <f> IF(AND(J52 &lt; $F51, K52 &gt;= $F51), 1, 0)</f>
        <v>0.0</v>
      </c>
      <c r="L53" s="61">
        <f> IF(AND(K52 &lt; $F51, L52 &gt;= $F51), 1, 0)</f>
        <v>1.0</v>
      </c>
      <c r="M53" s="61">
        <f> IF(AND(L52 &lt; $F51, M52 &gt;= $F51), 1, 0)</f>
        <v>0.0</v>
      </c>
      <c r="N53" s="61">
        <f> IF(AND(M52 &lt; $F51, N52 &gt;= $F51), 1, 0)</f>
        <v>0.0</v>
      </c>
      <c r="O53" s="61">
        <f> IF(AND(N52 &lt; $F51, O52 &gt;= $F51), 1, 0)</f>
        <v>0.0</v>
      </c>
      <c r="P53" s="61">
        <f> IF(AND(O52 &lt; $F51, P52 &gt;= $F51), 1, 0)</f>
        <v>0.0</v>
      </c>
      <c r="Q53" s="61">
        <f> IF(AND(P52 &lt; $F51, Q52 &gt;= $F51), 1, 0)</f>
        <v>0.0</v>
      </c>
      <c r="R53" s="61">
        <f> IF(AND(Q52 &lt; $F51, R52 &gt;= $F51), 1, 0)</f>
        <v>0.0</v>
      </c>
      <c r="S53" s="61">
        <f> IF(AND(R52 &lt; $F51, S52 &gt;= $F51), 1, 0)</f>
        <v>0.0</v>
      </c>
      <c r="T53" s="61">
        <f> IF(AND(S52 &lt; $F51, T52 &gt;= $F51), 1, 0)</f>
        <v>0.0</v>
      </c>
      <c r="U53" s="61">
        <f> IF(AND(T52 &lt; $F51, U52 &gt;= $F51), 1, 0)</f>
        <v>0.0</v>
      </c>
      <c r="V53" s="61">
        <f> IF(AND(U52 &lt; $F51, V52 &gt;= $F51), 1, 0)</f>
        <v>0.0</v>
      </c>
      <c r="W53" s="61">
        <f> IF(AND(V52 &lt; $F51, W52 &gt;= $F51), 1, 0)</f>
        <v>0.0</v>
      </c>
      <c r="X53" s="61">
        <f> IF(AND(W52 &lt; $F51, X52 &gt;= $F51), 1, 0)</f>
        <v>0.0</v>
      </c>
      <c r="Y53" s="61">
        <f> IF(AND(X52 &lt; $F51, Y52 &gt;= $F51), 1, 0)</f>
        <v>0.0</v>
      </c>
      <c r="Z53" s="61">
        <f> IF(AND(Y52 &lt; $F51, Z52 &gt;= $F51), 1, 0)</f>
        <v>0.0</v>
      </c>
      <c r="AA53" s="61">
        <f> IF(AND(Z52 &lt; $F51, AA52 &gt;= $F51), 1, 0)</f>
        <v>0.0</v>
      </c>
      <c r="AB53" s="61">
        <f> IF(AND(AA52 &lt; $F51, AB52 &gt;= $F51), 1, 0)</f>
        <v>0.0</v>
      </c>
      <c r="AC53" s="61">
        <f> IF(AND(AB52 &lt; $F51, AC52 &gt;= $F51), 1, 0)</f>
        <v>0.0</v>
      </c>
      <c r="AD53" s="61">
        <f> IF(AND(AC52 &lt; $F51, AD52 &gt;= $F51), 1, 0)</f>
        <v>0.0</v>
      </c>
      <c r="AE53" s="61">
        <f> IF(AND(AD52 &lt; $F51, AE52 &gt;= $F51), 1, 0)</f>
        <v>0.0</v>
      </c>
      <c r="AF53" s="61">
        <f> IF(AND(AE52 &lt; $F51, AF52 &gt;= $F51), 1, 0)</f>
        <v>0.0</v>
      </c>
      <c r="AG53" s="61">
        <f> IF(AND(AF52 &lt; $F51, AG52 &gt;= $F51), 1, 0)</f>
        <v>0.0</v>
      </c>
      <c r="AH53" s="61">
        <f> IF(AND(AG52 &lt; $F51, AH52 &gt;= $F51), 1, 0)</f>
        <v>0.0</v>
      </c>
      <c r="AI53" s="61">
        <f> IF(AND(AH52 &lt; $F51, AI52 &gt;= $F51), 1, 0)</f>
        <v>0.0</v>
      </c>
      <c r="AJ53" s="61">
        <f> IF(AND(AI52 &lt; $F51, AJ52 &gt;= $F51), 1, 0)</f>
        <v>0.0</v>
      </c>
      <c r="AK53" s="61">
        <f> IF(AND(AJ52 &lt; $F51, AK52 &gt;= $F51), 1, 0)</f>
        <v>0.0</v>
      </c>
      <c r="AL53" s="61">
        <f> IF(AND(AK52 &lt; $F51, AL52 &gt;= $F51), 1, 0)</f>
        <v>0.0</v>
      </c>
      <c r="AM53" s="61">
        <f> IF(AND(AL52 &lt; $F51, AM52 &gt;= $F51), 1, 0)</f>
        <v>0.0</v>
      </c>
      <c r="AN53" s="61">
        <f> IF(AND(AM52 &lt; $F51, AN52 &gt;= $F51), 1, 0)</f>
        <v>0.0</v>
      </c>
      <c r="AO53" s="61">
        <f> IF(AND(AN52 &lt; $F51, AO52 &gt;= $F51), 1, 0)</f>
        <v>0.0</v>
      </c>
      <c r="AP53" s="61">
        <f> IF(AND(AO52 &lt; $F51, AP52 &gt;= $F51), 1, 0)</f>
        <v>0.0</v>
      </c>
      <c r="AQ53" s="61">
        <f> IF(AND(AP52 &lt; $F51, AQ52 &gt;= $F51), 1, 0)</f>
        <v>0.0</v>
      </c>
      <c r="AR53" s="61">
        <f> IF(AND(AQ52 &lt; $F51, AR52 &gt;= $F51), 1, 0)</f>
        <v>0.0</v>
      </c>
      <c r="AS53" s="61">
        <f> IF(AND(AR52 &lt; $F51, AS52 &gt;= $F51), 1, 0)</f>
        <v>0.0</v>
      </c>
      <c r="AT53" s="61">
        <f> IF(AND(AS52 &lt; $F51, AT52 &gt;= $F51), 1, 0)</f>
        <v>0.0</v>
      </c>
      <c r="AU53" s="61">
        <f> IF(AND(AT52 &lt; $F51, AU52 &gt;= $F51), 1, 0)</f>
        <v>0.0</v>
      </c>
      <c r="AV53" s="61">
        <f> IF(AND(AU52 &lt; $F51, AV52 &gt;= $F51), 1, 0)</f>
        <v>0.0</v>
      </c>
      <c r="AW53" s="61">
        <f> IF(AND(AV52 &lt; $F51, AW52 &gt;= $F51), 1, 0)</f>
        <v>0.0</v>
      </c>
      <c r="AX53" s="61">
        <f> IF(AND(AW52 &lt; $F51, AX52 &gt;= $F51), 1, 0)</f>
        <v>0.0</v>
      </c>
      <c r="AY53" s="61">
        <f> IF(AND(AX52 &lt; $F51, AY52 &gt;= $F51), 1, 0)</f>
        <v>0.0</v>
      </c>
      <c r="AZ53" s="61">
        <f> IF(AND(AY52 &lt; $F51, AZ52 &gt;= $F51), 1, 0)</f>
        <v>0.0</v>
      </c>
      <c r="BA53" s="61">
        <f> IF(AND(AZ52 &lt; $F51, BA52 &gt;= $F51), 1, 0)</f>
        <v>0.0</v>
      </c>
      <c r="BB53" s="61">
        <f> IF(AND(BA52 &lt; $F51, BB52 &gt;= $F51), 1, 0)</f>
        <v>0.0</v>
      </c>
      <c r="BC53" s="61">
        <f> IF(AND(BB52 &lt; $F51, BC52 &gt;= $F51), 1, 0)</f>
        <v>0.0</v>
      </c>
      <c r="BD53" s="61">
        <f> IF(AND(BC52 &lt; $F51, BD52 &gt;= $F51), 1, 0)</f>
        <v>0.0</v>
      </c>
      <c r="BE53" s="61">
        <f> IF(AND(BD52 &lt; $F51, BE52 &gt;= $F51), 1, 0)</f>
        <v>0.0</v>
      </c>
      <c r="BF53" s="61">
        <f> IF(AND(BE52 &lt; $F51, BF52 &gt;= $F51), 1, 0)</f>
        <v>0.0</v>
      </c>
      <c r="BG53" s="61">
        <f> IF(AND(BF52 &lt; $F51, BG52 &gt;= $F51), 1, 0)</f>
        <v>0.0</v>
      </c>
      <c r="BH53" s="61">
        <f> IF(AND(BG52 &lt; $F51, BH52 &gt;= $F51), 1, 0)</f>
        <v>0.0</v>
      </c>
      <c r="BI53" s="61">
        <f> IF(AND(BH52 &lt; $F51, BI52 &gt;= $F51), 1, 0)</f>
        <v>0.0</v>
      </c>
      <c r="BJ53" s="61">
        <f> IF(AND(BI52 &lt; $F51, BJ52 &gt;= $F51), 1, 0)</f>
        <v>0.0</v>
      </c>
      <c r="BK53" s="61">
        <f> IF(AND(BJ52 &lt; $F51, BK52 &gt;= $F51), 1, 0)</f>
        <v>0.0</v>
      </c>
      <c r="BL53" s="61">
        <f> IF(AND(BK52 &lt; $F51, BL52 &gt;= $F51), 1, 0)</f>
        <v>0.0</v>
      </c>
      <c r="BM53" s="61">
        <f> IF(AND(BL52 &lt; $F51, BM52 &gt;= $F51), 1, 0)</f>
        <v>0.0</v>
      </c>
      <c r="BN53" s="61">
        <f> IF(AND(BM52 &lt; $F51, BN52 &gt;= $F51), 1, 0)</f>
        <v>0.0</v>
      </c>
      <c r="BO53" s="61">
        <f> IF(AND(BN52 &lt; $F51, BO52 &gt;= $F51), 1, 0)</f>
        <v>0.0</v>
      </c>
      <c r="BP53" s="61">
        <f> IF(AND(BO52 &lt; $F51, BP52 &gt;= $F51), 1, 0)</f>
        <v>0.0</v>
      </c>
      <c r="BQ53" s="61">
        <f> IF(AND(BP52 &lt; $F51, BQ52 &gt;= $F51), 1, 0)</f>
        <v>0.0</v>
      </c>
      <c r="BR53" s="61">
        <f> IF(AND(BQ52 &lt; $F51, BR52 &gt;= $F51), 1, 0)</f>
        <v>0.0</v>
      </c>
      <c r="BS53" s="61">
        <f> IF(AND(BR52 &lt; $F51, BS52 &gt;= $F51), 1, 0)</f>
        <v>0.0</v>
      </c>
      <c r="BT53" s="61">
        <f> IF(AND(BS52 &lt; $F51, BT52 &gt;= $F51), 1, 0)</f>
        <v>0.0</v>
      </c>
      <c r="BU53" s="61">
        <f> IF(AND(BT52 &lt; $F51, BU52 &gt;= $F51), 1, 0)</f>
        <v>0.0</v>
      </c>
      <c r="BV53" s="61">
        <f> IF(AND(BU52 &lt; $F51, BV52 &gt;= $F51), 1, 0)</f>
        <v>0.0</v>
      </c>
      <c r="BW53" s="61">
        <f> IF(AND(BV52 &lt; $F51, BW52 &gt;= $F51), 1, 0)</f>
        <v>0.0</v>
      </c>
      <c r="BX53" s="61">
        <f> IF(AND(BW52 &lt; $F51, BX52 &gt;= $F51), 1, 0)</f>
        <v>0.0</v>
      </c>
      <c r="BY53" s="61">
        <f> IF(AND(BX52 &lt; $F51, BY52 &gt;= $F51), 1, 0)</f>
        <v>0.0</v>
      </c>
      <c r="BZ53" s="61">
        <f> IF(AND(BY52 &lt; $F51, BZ52 &gt;= $F51), 1, 0)</f>
        <v>0.0</v>
      </c>
      <c r="CA53" s="61">
        <f> IF(AND(BZ52 &lt; $F51, CA52 &gt;= $F51), 1, 0)</f>
        <v>0.0</v>
      </c>
      <c r="CB53" s="61">
        <f> IF(AND(CA52 &lt; $F51, CB52 &gt;= $F51), 1, 0)</f>
        <v>0.0</v>
      </c>
      <c r="CC53" s="61">
        <f> IF(AND(CB52 &lt; $F51, CC52 &gt;= $F51), 1, 0)</f>
        <v>0.0</v>
      </c>
      <c r="CD53" s="61">
        <f> IF(AND(CC52 &lt; $F51, CD52 &gt;= $F51), 1, 0)</f>
        <v>0.0</v>
      </c>
      <c r="CE53" s="61">
        <f> IF(AND(CD52 &lt; $F51, CE52 &gt;= $F51), 1, 0)</f>
        <v>0.0</v>
      </c>
      <c r="CF53" s="61">
        <f> IF(AND(CE52 &lt; $F51, CF52 &gt;= $F51), 1, 0)</f>
        <v>0.0</v>
      </c>
      <c r="CG53" s="61">
        <f> IF(AND(CF52 &lt; $F51, CG52 &gt;= $F51), 1, 0)</f>
        <v>0.0</v>
      </c>
      <c r="CH53" s="61">
        <f> IF(AND(CG52 &lt; $F51, CH52 &gt;= $F51), 1, 0)</f>
        <v>0.0</v>
      </c>
      <c r="CI53" s="61">
        <f> IF(AND(CH52 &lt; $F51, CI52 &gt;= $F51), 1, 0)</f>
        <v>0.0</v>
      </c>
      <c r="CJ53" s="61">
        <f> IF(AND(CI52 &lt; $F51, CJ52 &gt;= $F51), 1, 0)</f>
        <v>0.0</v>
      </c>
      <c r="CK53" s="61">
        <f> IF(AND(CJ52 &lt; $F51, CK52 &gt;= $F51), 1, 0)</f>
        <v>0.0</v>
      </c>
      <c r="CL53" s="61">
        <f> IF(AND(CK52 &lt; $F51, CL52 &gt;= $F51), 1, 0)</f>
        <v>0.0</v>
      </c>
      <c r="CM53" s="61">
        <f> IF(AND(CL52 &lt; $F51, CM52 &gt;= $F51), 1, 0)</f>
        <v>0.0</v>
      </c>
      <c r="CN53" s="61">
        <f> IF(AND(CM52 &lt; $F51, CN52 &gt;= $F51), 1, 0)</f>
        <v>0.0</v>
      </c>
      <c r="CO53" s="61">
        <f> IF(AND(CN52 &lt; $F51, CO52 &gt;= $F51), 1, 0)</f>
        <v>0.0</v>
      </c>
    </row>
    <row r="54" ht="15" customFormat="1" customHeight="1" s="142">
      <c r="A54" s="163" t="n"/>
      <c r="B54" s="163" t="n"/>
      <c r="C54" s="172" t="n"/>
      <c r="D54" s="88" t="n"/>
      <c r="E54" s="169" t="n"/>
      <c r="F54" s="169" t="n"/>
      <c r="G54" s="169" t="n"/>
      <c r="H54" s="61" t="n"/>
      <c r="I54" s="61" t="n"/>
      <c r="J54" s="61" t="n"/>
      <c r="K54" s="61" t="n"/>
      <c r="L54" s="61" t="n"/>
      <c r="M54" s="61" t="n"/>
      <c r="N54" s="61" t="n"/>
      <c r="O54" s="61" t="n"/>
      <c r="P54" s="61" t="n"/>
      <c r="Q54" s="61" t="n"/>
      <c r="R54" s="61" t="n"/>
      <c r="S54" s="61" t="n"/>
      <c r="T54" s="61" t="n"/>
      <c r="U54" s="61" t="n"/>
      <c r="V54" s="61" t="n"/>
      <c r="W54" s="61" t="n"/>
      <c r="X54" s="61" t="n"/>
      <c r="Y54" s="61" t="n"/>
      <c r="Z54" s="61" t="n"/>
      <c r="AA54" s="61" t="n"/>
      <c r="AB54" s="61" t="n"/>
      <c r="AC54" s="61" t="n"/>
      <c r="AD54" s="61" t="n"/>
      <c r="AE54" s="61" t="n"/>
      <c r="AF54" s="61" t="n"/>
      <c r="AG54" s="61" t="n"/>
      <c r="AH54" s="61" t="n"/>
      <c r="AI54" s="61" t="n"/>
      <c r="AJ54" s="61" t="n"/>
      <c r="AK54" s="61" t="n"/>
      <c r="AL54" s="61" t="n"/>
      <c r="AM54" s="61" t="n"/>
      <c r="AN54" s="61" t="n"/>
      <c r="AO54" s="61" t="n"/>
      <c r="AP54" s="61" t="n"/>
      <c r="AQ54" s="61" t="n"/>
      <c r="AR54" s="61" t="n"/>
      <c r="AS54" s="61" t="n"/>
      <c r="AT54" s="61" t="n"/>
      <c r="AU54" s="61" t="n"/>
      <c r="AV54" s="61" t="n"/>
      <c r="AW54" s="61" t="n"/>
      <c r="AX54" s="61" t="n"/>
      <c r="AY54" s="61" t="n"/>
      <c r="AZ54" s="61" t="n"/>
      <c r="BA54" s="61" t="n"/>
      <c r="BB54" s="61" t="n"/>
      <c r="BC54" s="61" t="n"/>
      <c r="BD54" s="61" t="n"/>
      <c r="BE54" s="61" t="n"/>
      <c r="BF54" s="61" t="n"/>
      <c r="BG54" s="61" t="n"/>
      <c r="BH54" s="61" t="n"/>
      <c r="BI54" s="61" t="n"/>
      <c r="BJ54" s="61" t="n"/>
      <c r="BK54" s="61" t="n"/>
      <c r="BL54" s="61" t="n"/>
      <c r="BM54" s="61" t="n"/>
      <c r="BN54" s="61" t="n"/>
      <c r="BO54" s="61" t="n"/>
      <c r="BP54" s="61" t="n"/>
      <c r="BQ54" s="61" t="n"/>
      <c r="BR54" s="61" t="n"/>
      <c r="BS54" s="61" t="n"/>
      <c r="BT54" s="61" t="n"/>
      <c r="BU54" s="61" t="n"/>
      <c r="BV54" s="61" t="n"/>
      <c r="BW54" s="61" t="n"/>
      <c r="BX54" s="61" t="n"/>
      <c r="BY54" s="61" t="n"/>
      <c r="BZ54" s="61" t="n"/>
      <c r="CA54" s="61" t="n"/>
      <c r="CB54" s="61" t="n"/>
      <c r="CC54" s="61" t="n"/>
      <c r="CD54" s="61" t="n"/>
      <c r="CE54" s="61" t="n"/>
      <c r="CF54" s="61" t="n"/>
      <c r="CG54" s="61" t="n"/>
      <c r="CH54" s="61" t="n"/>
      <c r="CI54" s="61" t="n"/>
      <c r="CJ54" s="61" t="n"/>
      <c r="CK54" s="61" t="n"/>
      <c r="CL54" s="61" t="n"/>
      <c r="CM54" s="61" t="n"/>
      <c r="CN54" s="61" t="n"/>
      <c r="CO54" s="61" t="n"/>
    </row>
    <row r="55" customFormat="1" s="139">
      <c r="A55" s="135" t="n"/>
      <c r="B55" s="163" t="inlineStr">
        <is>
          <t>Pre-forecast period flag</t>
        </is>
      </c>
      <c r="C55" s="136" t="n"/>
      <c r="D55" s="137" t="n"/>
      <c r="E55" s="138" t="n"/>
      <c r="F55" s="138" t="n"/>
      <c r="G55" s="138" t="n"/>
      <c r="H55" s="138" t="n"/>
      <c r="I55" s="138" t="n"/>
      <c r="J55" s="138" t="n"/>
      <c r="K55" s="138" t="n"/>
      <c r="L55" s="138" t="n"/>
      <c r="M55" s="138" t="n"/>
      <c r="N55" s="138" t="n"/>
      <c r="O55" s="138" t="n"/>
      <c r="P55" s="138" t="n"/>
      <c r="Q55" s="138" t="n"/>
      <c r="R55" s="138" t="n"/>
      <c r="S55" s="138" t="n"/>
      <c r="T55" s="138" t="n"/>
      <c r="U55" s="138" t="n"/>
      <c r="V55" s="138" t="n"/>
      <c r="W55" s="138" t="n"/>
      <c r="X55" s="138" t="n"/>
      <c r="Y55" s="138" t="n"/>
      <c r="Z55" s="138" t="n"/>
      <c r="AA55" s="138" t="n"/>
      <c r="AB55" s="138" t="n"/>
      <c r="AC55" s="138" t="n"/>
      <c r="AD55" s="138" t="n"/>
      <c r="AE55" s="138" t="n"/>
      <c r="AF55" s="138" t="n"/>
      <c r="AG55" s="138" t="n"/>
      <c r="AH55" s="138" t="n"/>
      <c r="AI55" s="138" t="n"/>
      <c r="AJ55" s="138" t="n"/>
      <c r="AK55" s="138" t="n"/>
      <c r="AL55" s="138" t="n"/>
      <c r="AM55" s="138" t="n"/>
      <c r="AN55" s="138" t="n"/>
      <c r="AO55" s="138" t="n"/>
      <c r="AP55" s="138" t="n"/>
      <c r="AQ55" s="138" t="n"/>
      <c r="AR55" s="138" t="n"/>
      <c r="AS55" s="138" t="n"/>
      <c r="AT55" s="138" t="n"/>
      <c r="AU55" s="138" t="n"/>
      <c r="AV55" s="138" t="n"/>
      <c r="AW55" s="138" t="n"/>
      <c r="AX55" s="138" t="n"/>
      <c r="AY55" s="138" t="n"/>
      <c r="AZ55" s="138" t="n"/>
      <c r="BA55" s="138" t="n"/>
      <c r="BB55" s="138" t="n"/>
      <c r="BC55" s="138" t="n"/>
      <c r="BD55" s="138" t="n"/>
      <c r="BE55" s="138" t="n"/>
      <c r="BF55" s="138" t="n"/>
      <c r="BG55" s="138" t="n"/>
      <c r="BH55" s="138" t="n"/>
      <c r="BI55" s="138" t="n"/>
      <c r="BJ55" s="138" t="n"/>
      <c r="BK55" s="138" t="n"/>
      <c r="BL55" s="138" t="n"/>
      <c r="BM55" s="138" t="n"/>
      <c r="BN55" s="138" t="n"/>
      <c r="BO55" s="138" t="n"/>
      <c r="BP55" s="138" t="n"/>
      <c r="BQ55" s="138" t="n"/>
      <c r="BR55" s="138" t="n"/>
      <c r="BS55" s="138" t="n"/>
      <c r="BT55" s="138" t="n"/>
      <c r="BU55" s="138" t="n"/>
      <c r="BV55" s="138" t="n"/>
      <c r="BW55" s="138" t="n"/>
      <c r="BX55" s="138" t="n"/>
      <c r="BY55" s="138" t="n"/>
      <c r="BZ55" s="138" t="n"/>
      <c r="CA55" s="138" t="n"/>
      <c r="CB55" s="138" t="n"/>
      <c r="CC55" s="138" t="n"/>
      <c r="CD55" s="138" t="n"/>
      <c r="CE55" s="138" t="n"/>
      <c r="CF55" s="138" t="n"/>
      <c r="CG55" s="138" t="n"/>
      <c r="CH55" s="138" t="n"/>
      <c r="CI55" s="138" t="n"/>
      <c r="CJ55" s="138" t="n"/>
      <c r="CK55" s="138" t="n"/>
      <c r="CL55" s="138" t="n"/>
      <c r="CM55" s="138" t="n"/>
      <c r="CN55" s="138" t="n"/>
      <c r="CO55" s="138" t="n"/>
    </row>
    <row r="56" customFormat="1" s="106">
      <c r="A56" s="125" t="n"/>
      <c r="B56" s="125" t="n"/>
      <c r="C56" s="126" t="n"/>
      <c r="D56" s="127" t="n"/>
      <c r="E56" s="173" t="str">
        <f> InpC!E$10</f>
        <v>Acquisition / initial balance date</v>
      </c>
      <c r="F56" s="173">
        <f> InpC!F$10</f>
        <v>44561.0</v>
      </c>
      <c r="G56" s="173" t="str">
        <f> InpC!G$10</f>
        <v>date</v>
      </c>
      <c r="H56" s="61" t="n"/>
      <c r="I56" s="61" t="n"/>
      <c r="J56" s="61" t="n"/>
      <c r="K56" s="61" t="n"/>
      <c r="L56" s="61" t="n"/>
      <c r="M56" s="61" t="n"/>
      <c r="N56" s="61" t="n"/>
      <c r="O56" s="61" t="n"/>
      <c r="P56" s="61" t="n"/>
      <c r="Q56" s="61" t="n"/>
      <c r="R56" s="61" t="n"/>
      <c r="S56" s="61" t="n"/>
      <c r="T56" s="61" t="n"/>
      <c r="U56" s="61" t="n"/>
      <c r="V56" s="61" t="n"/>
      <c r="W56" s="61" t="n"/>
      <c r="X56" s="61" t="n"/>
      <c r="Y56" s="61" t="n"/>
      <c r="Z56" s="61" t="n"/>
      <c r="AA56" s="61" t="n"/>
      <c r="AB56" s="61" t="n"/>
      <c r="AC56" s="61" t="n"/>
      <c r="AD56" s="61" t="n"/>
      <c r="AE56" s="61" t="n"/>
      <c r="AF56" s="61" t="n"/>
      <c r="AG56" s="61" t="n"/>
      <c r="AH56" s="61" t="n"/>
      <c r="AI56" s="61" t="n"/>
      <c r="AJ56" s="61" t="n"/>
      <c r="AK56" s="61" t="n"/>
      <c r="AL56" s="61" t="n"/>
      <c r="AM56" s="61" t="n"/>
      <c r="AN56" s="61" t="n"/>
      <c r="AO56" s="61" t="n"/>
      <c r="AP56" s="61" t="n"/>
      <c r="AQ56" s="61" t="n"/>
      <c r="AR56" s="61" t="n"/>
      <c r="AS56" s="61" t="n"/>
      <c r="AT56" s="61" t="n"/>
      <c r="AU56" s="61" t="n"/>
      <c r="AV56" s="61" t="n"/>
      <c r="AW56" s="61" t="n"/>
      <c r="AX56" s="61" t="n"/>
      <c r="AY56" s="61" t="n"/>
      <c r="AZ56" s="61" t="n"/>
      <c r="BA56" s="61" t="n"/>
      <c r="BB56" s="61" t="n"/>
      <c r="BC56" s="61" t="n"/>
      <c r="BD56" s="61" t="n"/>
      <c r="BE56" s="61" t="n"/>
      <c r="BF56" s="61" t="n"/>
      <c r="BG56" s="61" t="n"/>
      <c r="BH56" s="61" t="n"/>
      <c r="BI56" s="61" t="n"/>
      <c r="BJ56" s="61" t="n"/>
      <c r="BK56" s="61" t="n"/>
      <c r="BL56" s="61" t="n"/>
      <c r="BM56" s="61" t="n"/>
      <c r="BN56" s="61" t="n"/>
      <c r="BO56" s="61" t="n"/>
      <c r="BP56" s="61" t="n"/>
      <c r="BQ56" s="61" t="n"/>
      <c r="BR56" s="61" t="n"/>
      <c r="BS56" s="61" t="n"/>
      <c r="BT56" s="61" t="n"/>
      <c r="BU56" s="61" t="n"/>
      <c r="BV56" s="61" t="n"/>
      <c r="BW56" s="61" t="n"/>
      <c r="BX56" s="61" t="n"/>
      <c r="BY56" s="61" t="n"/>
      <c r="BZ56" s="61" t="n"/>
      <c r="CA56" s="61" t="n"/>
      <c r="CB56" s="61" t="n"/>
      <c r="CC56" s="61" t="n"/>
      <c r="CD56" s="61" t="n"/>
      <c r="CE56" s="61" t="n"/>
      <c r="CF56" s="61" t="n"/>
      <c r="CG56" s="61" t="n"/>
      <c r="CH56" s="61" t="n"/>
      <c r="CI56" s="61" t="n"/>
      <c r="CJ56" s="61" t="n"/>
      <c r="CK56" s="61" t="n"/>
      <c r="CL56" s="61" t="n"/>
      <c r="CM56" s="61" t="n"/>
      <c r="CN56" s="61" t="n"/>
      <c r="CO56" s="61" t="n"/>
    </row>
    <row r="57" ht="15" customFormat="1" customHeight="1" s="123">
      <c r="A57" s="167" t="n"/>
      <c r="B57" s="167" t="n"/>
      <c r="C57" s="237" t="n"/>
      <c r="D57" s="121" t="n"/>
      <c r="E57" s="140" t="str">
        <f> E$25</f>
        <v>Model period ending </v>
      </c>
      <c r="F57" s="140">
        <f> F$25</f>
        <v>0.0</v>
      </c>
      <c r="G57" s="140" t="str">
        <f> G$25</f>
        <v>date</v>
      </c>
      <c r="H57" s="140">
        <f> H$25</f>
        <v>0.0</v>
      </c>
      <c r="I57" s="140">
        <f> I$25</f>
        <v>0.0</v>
      </c>
      <c r="J57" s="140">
        <f> J$25</f>
        <v>44469.0</v>
      </c>
      <c r="K57" s="140">
        <f> K$25</f>
        <v>44561.0</v>
      </c>
      <c r="L57" s="140">
        <f> L$25</f>
        <v>44651.0</v>
      </c>
      <c r="M57" s="140">
        <f> M$25</f>
        <v>44742.0</v>
      </c>
      <c r="N57" s="140">
        <f> N$25</f>
        <v>44834.0</v>
      </c>
      <c r="O57" s="140">
        <f> O$25</f>
        <v>44926.0</v>
      </c>
      <c r="P57" s="140">
        <f> P$25</f>
        <v>45016.0</v>
      </c>
      <c r="Q57" s="140">
        <f> Q$25</f>
        <v>45107.0</v>
      </c>
      <c r="R57" s="140">
        <f> R$25</f>
        <v>45199.0</v>
      </c>
      <c r="S57" s="140">
        <f> S$25</f>
        <v>45291.0</v>
      </c>
      <c r="T57" s="140">
        <f> T$25</f>
        <v>45382.0</v>
      </c>
      <c r="U57" s="140">
        <f> U$25</f>
        <v>45473.0</v>
      </c>
      <c r="V57" s="140">
        <f> V$25</f>
        <v>45565.0</v>
      </c>
      <c r="W57" s="140">
        <f> W$25</f>
        <v>45657.0</v>
      </c>
      <c r="X57" s="140">
        <f> X$25</f>
        <v>45747.0</v>
      </c>
      <c r="Y57" s="140">
        <f> Y$25</f>
        <v>45838.0</v>
      </c>
      <c r="Z57" s="140">
        <f> Z$25</f>
        <v>45930.0</v>
      </c>
      <c r="AA57" s="140">
        <f> AA$25</f>
        <v>46022.0</v>
      </c>
      <c r="AB57" s="140">
        <f> AB$25</f>
        <v>46112.0</v>
      </c>
      <c r="AC57" s="140">
        <f> AC$25</f>
        <v>46203.0</v>
      </c>
      <c r="AD57" s="140">
        <f> AD$25</f>
        <v>46295.0</v>
      </c>
      <c r="AE57" s="140">
        <f> AE$25</f>
        <v>46387.0</v>
      </c>
      <c r="AF57" s="140">
        <f> AF$25</f>
        <v>46477.0</v>
      </c>
      <c r="AG57" s="140">
        <f> AG$25</f>
        <v>46568.0</v>
      </c>
      <c r="AH57" s="140">
        <f> AH$25</f>
        <v>46660.0</v>
      </c>
      <c r="AI57" s="140">
        <f> AI$25</f>
        <v>46752.0</v>
      </c>
      <c r="AJ57" s="140">
        <f> AJ$25</f>
        <v>46843.0</v>
      </c>
      <c r="AK57" s="140">
        <f> AK$25</f>
        <v>46934.0</v>
      </c>
      <c r="AL57" s="140">
        <f> AL$25</f>
        <v>47026.0</v>
      </c>
      <c r="AM57" s="140">
        <f> AM$25</f>
        <v>47118.0</v>
      </c>
      <c r="AN57" s="140">
        <f> AN$25</f>
        <v>47208.0</v>
      </c>
      <c r="AO57" s="140">
        <f> AO$25</f>
        <v>47299.0</v>
      </c>
      <c r="AP57" s="140">
        <f> AP$25</f>
        <v>47391.0</v>
      </c>
      <c r="AQ57" s="140">
        <f> AQ$25</f>
        <v>47483.0</v>
      </c>
      <c r="AR57" s="140">
        <f> AR$25</f>
        <v>47573.0</v>
      </c>
      <c r="AS57" s="140">
        <f> AS$25</f>
        <v>47664.0</v>
      </c>
      <c r="AT57" s="140">
        <f> AT$25</f>
        <v>47756.0</v>
      </c>
      <c r="AU57" s="140">
        <f> AU$25</f>
        <v>47848.0</v>
      </c>
      <c r="AV57" s="140">
        <f> AV$25</f>
        <v>47938.0</v>
      </c>
      <c r="AW57" s="140">
        <f> AW$25</f>
        <v>48029.0</v>
      </c>
      <c r="AX57" s="140">
        <f> AX$25</f>
        <v>48121.0</v>
      </c>
      <c r="AY57" s="140">
        <f> AY$25</f>
        <v>48213.0</v>
      </c>
      <c r="AZ57" s="140">
        <f> AZ$25</f>
        <v>48304.0</v>
      </c>
      <c r="BA57" s="140">
        <f> BA$25</f>
        <v>48395.0</v>
      </c>
      <c r="BB57" s="140">
        <f> BB$25</f>
        <v>48487.0</v>
      </c>
      <c r="BC57" s="140">
        <f> BC$25</f>
        <v>48579.0</v>
      </c>
      <c r="BD57" s="140">
        <f> BD$25</f>
        <v>48669.0</v>
      </c>
      <c r="BE57" s="140">
        <f> BE$25</f>
        <v>48760.0</v>
      </c>
      <c r="BF57" s="140">
        <f> BF$25</f>
        <v>48852.0</v>
      </c>
      <c r="BG57" s="140">
        <f> BG$25</f>
        <v>48944.0</v>
      </c>
      <c r="BH57" s="140">
        <f> BH$25</f>
        <v>49034.0</v>
      </c>
      <c r="BI57" s="140">
        <f> BI$25</f>
        <v>49125.0</v>
      </c>
      <c r="BJ57" s="140">
        <f> BJ$25</f>
        <v>49217.0</v>
      </c>
      <c r="BK57" s="140">
        <f> BK$25</f>
        <v>49309.0</v>
      </c>
      <c r="BL57" s="140">
        <f> BL$25</f>
        <v>49399.0</v>
      </c>
      <c r="BM57" s="140">
        <f> BM$25</f>
        <v>49490.0</v>
      </c>
      <c r="BN57" s="140">
        <f> BN$25</f>
        <v>49582.0</v>
      </c>
      <c r="BO57" s="140">
        <f> BO$25</f>
        <v>49674.0</v>
      </c>
      <c r="BP57" s="140">
        <f> BP$25</f>
        <v>49765.0</v>
      </c>
      <c r="BQ57" s="140">
        <f> BQ$25</f>
        <v>49856.0</v>
      </c>
      <c r="BR57" s="140">
        <f> BR$25</f>
        <v>49948.0</v>
      </c>
      <c r="BS57" s="140">
        <f> BS$25</f>
        <v>50040.0</v>
      </c>
      <c r="BT57" s="140">
        <f> BT$25</f>
        <v>50130.0</v>
      </c>
      <c r="BU57" s="140">
        <f> BU$25</f>
        <v>50221.0</v>
      </c>
      <c r="BV57" s="140">
        <f> BV$25</f>
        <v>50313.0</v>
      </c>
      <c r="BW57" s="140">
        <f> BW$25</f>
        <v>50405.0</v>
      </c>
      <c r="BX57" s="140">
        <f> BX$25</f>
        <v>50495.0</v>
      </c>
      <c r="BY57" s="140">
        <f> BY$25</f>
        <v>50586.0</v>
      </c>
      <c r="BZ57" s="140">
        <f> BZ$25</f>
        <v>50678.0</v>
      </c>
      <c r="CA57" s="140">
        <f> CA$25</f>
        <v>50770.0</v>
      </c>
      <c r="CB57" s="140">
        <f> CB$25</f>
        <v>50860.0</v>
      </c>
      <c r="CC57" s="140">
        <f> CC$25</f>
        <v>50951.0</v>
      </c>
      <c r="CD57" s="140">
        <f> CD$25</f>
        <v>51043.0</v>
      </c>
      <c r="CE57" s="140">
        <f> CE$25</f>
        <v>51135.0</v>
      </c>
      <c r="CF57" s="140">
        <f> CF$25</f>
        <v>51226.0</v>
      </c>
      <c r="CG57" s="140">
        <f> CG$25</f>
        <v>51317.0</v>
      </c>
      <c r="CH57" s="140">
        <f> CH$25</f>
        <v>51409.0</v>
      </c>
      <c r="CI57" s="140">
        <f> CI$25</f>
        <v>51501.0</v>
      </c>
      <c r="CJ57" s="140">
        <f> CJ$25</f>
        <v>51591.0</v>
      </c>
      <c r="CK57" s="140">
        <f> CK$25</f>
        <v>51682.0</v>
      </c>
      <c r="CL57" s="140">
        <f> CL$25</f>
        <v>51774.0</v>
      </c>
      <c r="CM57" s="140">
        <f> CM$25</f>
        <v>51866.0</v>
      </c>
      <c r="CN57" s="140">
        <f> CN$25</f>
        <v>51956.0</v>
      </c>
      <c r="CO57" s="140">
        <f> CO$25</f>
        <v>52047.0</v>
      </c>
    </row>
    <row r="58" ht="15" customFormat="1" customHeight="1" s="142">
      <c r="A58" s="163" t="n"/>
      <c r="B58" s="163" t="n"/>
      <c r="C58" s="172" t="n"/>
      <c r="D58" s="141" t="n"/>
      <c r="E58" s="169" t="inlineStr">
        <is>
          <t>Pre-forecast period flag</t>
        </is>
      </c>
      <c r="F58" s="169" t="n"/>
      <c r="G58" s="169" t="inlineStr">
        <is>
          <t>flag</t>
        </is>
      </c>
      <c r="H58" s="169">
        <f> SUM(J58:CO58)</f>
        <v>2.0</v>
      </c>
      <c r="I58" s="169" t="n"/>
      <c r="J58" s="169">
        <f> IF(J57 &lt;= $F56, 1, 0)</f>
        <v>1.0</v>
      </c>
      <c r="K58" s="169">
        <f> IF(K57 &lt;= $F56, 1, 0)</f>
        <v>1.0</v>
      </c>
      <c r="L58" s="169">
        <f> IF(L57 &lt;= $F56, 1, 0)</f>
        <v>0.0</v>
      </c>
      <c r="M58" s="169">
        <f> IF(M57 &lt;= $F56, 1, 0)</f>
        <v>0.0</v>
      </c>
      <c r="N58" s="169">
        <f> IF(N57 &lt;= $F56, 1, 0)</f>
        <v>0.0</v>
      </c>
      <c r="O58" s="169">
        <f> IF(O57 &lt;= $F56, 1, 0)</f>
        <v>0.0</v>
      </c>
      <c r="P58" s="169">
        <f> IF(P57 &lt;= $F56, 1, 0)</f>
        <v>0.0</v>
      </c>
      <c r="Q58" s="169">
        <f> IF(Q57 &lt;= $F56, 1, 0)</f>
        <v>0.0</v>
      </c>
      <c r="R58" s="169">
        <f> IF(R57 &lt;= $F56, 1, 0)</f>
        <v>0.0</v>
      </c>
      <c r="S58" s="169">
        <f> IF(S57 &lt;= $F56, 1, 0)</f>
        <v>0.0</v>
      </c>
      <c r="T58" s="169">
        <f> IF(T57 &lt;= $F56, 1, 0)</f>
        <v>0.0</v>
      </c>
      <c r="U58" s="169">
        <f> IF(U57 &lt;= $F56, 1, 0)</f>
        <v>0.0</v>
      </c>
      <c r="V58" s="169">
        <f> IF(V57 &lt;= $F56, 1, 0)</f>
        <v>0.0</v>
      </c>
      <c r="W58" s="169">
        <f> IF(W57 &lt;= $F56, 1, 0)</f>
        <v>0.0</v>
      </c>
      <c r="X58" s="169">
        <f> IF(X57 &lt;= $F56, 1, 0)</f>
        <v>0.0</v>
      </c>
      <c r="Y58" s="169">
        <f> IF(Y57 &lt;= $F56, 1, 0)</f>
        <v>0.0</v>
      </c>
      <c r="Z58" s="169">
        <f> IF(Z57 &lt;= $F56, 1, 0)</f>
        <v>0.0</v>
      </c>
      <c r="AA58" s="169">
        <f> IF(AA57 &lt;= $F56, 1, 0)</f>
        <v>0.0</v>
      </c>
      <c r="AB58" s="169">
        <f> IF(AB57 &lt;= $F56, 1, 0)</f>
        <v>0.0</v>
      </c>
      <c r="AC58" s="169">
        <f> IF(AC57 &lt;= $F56, 1, 0)</f>
        <v>0.0</v>
      </c>
      <c r="AD58" s="169">
        <f> IF(AD57 &lt;= $F56, 1, 0)</f>
        <v>0.0</v>
      </c>
      <c r="AE58" s="169">
        <f> IF(AE57 &lt;= $F56, 1, 0)</f>
        <v>0.0</v>
      </c>
      <c r="AF58" s="169">
        <f> IF(AF57 &lt;= $F56, 1, 0)</f>
        <v>0.0</v>
      </c>
      <c r="AG58" s="169">
        <f> IF(AG57 &lt;= $F56, 1, 0)</f>
        <v>0.0</v>
      </c>
      <c r="AH58" s="169">
        <f> IF(AH57 &lt;= $F56, 1, 0)</f>
        <v>0.0</v>
      </c>
      <c r="AI58" s="169">
        <f> IF(AI57 &lt;= $F56, 1, 0)</f>
        <v>0.0</v>
      </c>
      <c r="AJ58" s="169">
        <f> IF(AJ57 &lt;= $F56, 1, 0)</f>
        <v>0.0</v>
      </c>
      <c r="AK58" s="169">
        <f> IF(AK57 &lt;= $F56, 1, 0)</f>
        <v>0.0</v>
      </c>
      <c r="AL58" s="169">
        <f> IF(AL57 &lt;= $F56, 1, 0)</f>
        <v>0.0</v>
      </c>
      <c r="AM58" s="169">
        <f> IF(AM57 &lt;= $F56, 1, 0)</f>
        <v>0.0</v>
      </c>
      <c r="AN58" s="169">
        <f> IF(AN57 &lt;= $F56, 1, 0)</f>
        <v>0.0</v>
      </c>
      <c r="AO58" s="169">
        <f> IF(AO57 &lt;= $F56, 1, 0)</f>
        <v>0.0</v>
      </c>
      <c r="AP58" s="169">
        <f> IF(AP57 &lt;= $F56, 1, 0)</f>
        <v>0.0</v>
      </c>
      <c r="AQ58" s="169">
        <f> IF(AQ57 &lt;= $F56, 1, 0)</f>
        <v>0.0</v>
      </c>
      <c r="AR58" s="169">
        <f> IF(AR57 &lt;= $F56, 1, 0)</f>
        <v>0.0</v>
      </c>
      <c r="AS58" s="169">
        <f> IF(AS57 &lt;= $F56, 1, 0)</f>
        <v>0.0</v>
      </c>
      <c r="AT58" s="169">
        <f> IF(AT57 &lt;= $F56, 1, 0)</f>
        <v>0.0</v>
      </c>
      <c r="AU58" s="169">
        <f> IF(AU57 &lt;= $F56, 1, 0)</f>
        <v>0.0</v>
      </c>
      <c r="AV58" s="169">
        <f> IF(AV57 &lt;= $F56, 1, 0)</f>
        <v>0.0</v>
      </c>
      <c r="AW58" s="169">
        <f> IF(AW57 &lt;= $F56, 1, 0)</f>
        <v>0.0</v>
      </c>
      <c r="AX58" s="169">
        <f> IF(AX57 &lt;= $F56, 1, 0)</f>
        <v>0.0</v>
      </c>
      <c r="AY58" s="169">
        <f> IF(AY57 &lt;= $F56, 1, 0)</f>
        <v>0.0</v>
      </c>
      <c r="AZ58" s="169">
        <f> IF(AZ57 &lt;= $F56, 1, 0)</f>
        <v>0.0</v>
      </c>
      <c r="BA58" s="169">
        <f> IF(BA57 &lt;= $F56, 1, 0)</f>
        <v>0.0</v>
      </c>
      <c r="BB58" s="169">
        <f> IF(BB57 &lt;= $F56, 1, 0)</f>
        <v>0.0</v>
      </c>
      <c r="BC58" s="169">
        <f> IF(BC57 &lt;= $F56, 1, 0)</f>
        <v>0.0</v>
      </c>
      <c r="BD58" s="169">
        <f> IF(BD57 &lt;= $F56, 1, 0)</f>
        <v>0.0</v>
      </c>
      <c r="BE58" s="169">
        <f> IF(BE57 &lt;= $F56, 1, 0)</f>
        <v>0.0</v>
      </c>
      <c r="BF58" s="169">
        <f> IF(BF57 &lt;= $F56, 1, 0)</f>
        <v>0.0</v>
      </c>
      <c r="BG58" s="169">
        <f> IF(BG57 &lt;= $F56, 1, 0)</f>
        <v>0.0</v>
      </c>
      <c r="BH58" s="169">
        <f> IF(BH57 &lt;= $F56, 1, 0)</f>
        <v>0.0</v>
      </c>
      <c r="BI58" s="169">
        <f> IF(BI57 &lt;= $F56, 1, 0)</f>
        <v>0.0</v>
      </c>
      <c r="BJ58" s="169">
        <f> IF(BJ57 &lt;= $F56, 1, 0)</f>
        <v>0.0</v>
      </c>
      <c r="BK58" s="169">
        <f> IF(BK57 &lt;= $F56, 1, 0)</f>
        <v>0.0</v>
      </c>
      <c r="BL58" s="169">
        <f> IF(BL57 &lt;= $F56, 1, 0)</f>
        <v>0.0</v>
      </c>
      <c r="BM58" s="169">
        <f> IF(BM57 &lt;= $F56, 1, 0)</f>
        <v>0.0</v>
      </c>
      <c r="BN58" s="169">
        <f> IF(BN57 &lt;= $F56, 1, 0)</f>
        <v>0.0</v>
      </c>
      <c r="BO58" s="169">
        <f> IF(BO57 &lt;= $F56, 1, 0)</f>
        <v>0.0</v>
      </c>
      <c r="BP58" s="169">
        <f> IF(BP57 &lt;= $F56, 1, 0)</f>
        <v>0.0</v>
      </c>
      <c r="BQ58" s="169">
        <f> IF(BQ57 &lt;= $F56, 1, 0)</f>
        <v>0.0</v>
      </c>
      <c r="BR58" s="169">
        <f> IF(BR57 &lt;= $F56, 1, 0)</f>
        <v>0.0</v>
      </c>
      <c r="BS58" s="169">
        <f> IF(BS57 &lt;= $F56, 1, 0)</f>
        <v>0.0</v>
      </c>
      <c r="BT58" s="169">
        <f> IF(BT57 &lt;= $F56, 1, 0)</f>
        <v>0.0</v>
      </c>
      <c r="BU58" s="169">
        <f> IF(BU57 &lt;= $F56, 1, 0)</f>
        <v>0.0</v>
      </c>
      <c r="BV58" s="169">
        <f> IF(BV57 &lt;= $F56, 1, 0)</f>
        <v>0.0</v>
      </c>
      <c r="BW58" s="169">
        <f> IF(BW57 &lt;= $F56, 1, 0)</f>
        <v>0.0</v>
      </c>
      <c r="BX58" s="169">
        <f> IF(BX57 &lt;= $F56, 1, 0)</f>
        <v>0.0</v>
      </c>
      <c r="BY58" s="169">
        <f> IF(BY57 &lt;= $F56, 1, 0)</f>
        <v>0.0</v>
      </c>
      <c r="BZ58" s="169">
        <f> IF(BZ57 &lt;= $F56, 1, 0)</f>
        <v>0.0</v>
      </c>
      <c r="CA58" s="169">
        <f> IF(CA57 &lt;= $F56, 1, 0)</f>
        <v>0.0</v>
      </c>
      <c r="CB58" s="169">
        <f> IF(CB57 &lt;= $F56, 1, 0)</f>
        <v>0.0</v>
      </c>
      <c r="CC58" s="169">
        <f> IF(CC57 &lt;= $F56, 1, 0)</f>
        <v>0.0</v>
      </c>
      <c r="CD58" s="169">
        <f> IF(CD57 &lt;= $F56, 1, 0)</f>
        <v>0.0</v>
      </c>
      <c r="CE58" s="169">
        <f> IF(CE57 &lt;= $F56, 1, 0)</f>
        <v>0.0</v>
      </c>
      <c r="CF58" s="169">
        <f> IF(CF57 &lt;= $F56, 1, 0)</f>
        <v>0.0</v>
      </c>
      <c r="CG58" s="169">
        <f> IF(CG57 &lt;= $F56, 1, 0)</f>
        <v>0.0</v>
      </c>
      <c r="CH58" s="169">
        <f> IF(CH57 &lt;= $F56, 1, 0)</f>
        <v>0.0</v>
      </c>
      <c r="CI58" s="169">
        <f> IF(CI57 &lt;= $F56, 1, 0)</f>
        <v>0.0</v>
      </c>
      <c r="CJ58" s="169">
        <f> IF(CJ57 &lt;= $F56, 1, 0)</f>
        <v>0.0</v>
      </c>
      <c r="CK58" s="169">
        <f> IF(CK57 &lt;= $F56, 1, 0)</f>
        <v>0.0</v>
      </c>
      <c r="CL58" s="169">
        <f> IF(CL57 &lt;= $F56, 1, 0)</f>
        <v>0.0</v>
      </c>
      <c r="CM58" s="169">
        <f> IF(CM57 &lt;= $F56, 1, 0)</f>
        <v>0.0</v>
      </c>
      <c r="CN58" s="169">
        <f> IF(CN57 &lt;= $F56, 1, 0)</f>
        <v>0.0</v>
      </c>
      <c r="CO58" s="169">
        <f> IF(CO57 &lt;= $F56, 1, 0)</f>
        <v>0.0</v>
      </c>
    </row>
    <row r="59" ht="15" customFormat="1" customHeight="1" s="142">
      <c r="A59" s="163" t="n"/>
      <c r="B59" s="163" t="n"/>
      <c r="C59" s="172" t="n"/>
      <c r="D59" s="141" t="n"/>
      <c r="E59" s="169" t="inlineStr">
        <is>
          <t>Pre-forecast period total</t>
        </is>
      </c>
      <c r="F59" s="169">
        <f> SUM(J58:CO58)</f>
        <v>2.0</v>
      </c>
      <c r="G59" s="169" t="inlineStr">
        <is>
          <t>columns</t>
        </is>
      </c>
      <c r="H59" s="169" t="n"/>
      <c r="I59" s="169" t="n"/>
      <c r="J59" s="169" t="n"/>
      <c r="K59" s="169" t="n"/>
      <c r="L59" s="169" t="n"/>
      <c r="M59" s="169" t="n"/>
      <c r="N59" s="169" t="n"/>
      <c r="O59" s="169" t="n"/>
      <c r="P59" s="169" t="n"/>
      <c r="Q59" s="169" t="n"/>
      <c r="R59" s="169" t="n"/>
      <c r="S59" s="169" t="n"/>
      <c r="T59" s="169" t="n"/>
      <c r="U59" s="169" t="n"/>
      <c r="V59" s="169" t="n"/>
      <c r="W59" s="169" t="n"/>
      <c r="X59" s="169" t="n"/>
      <c r="Y59" s="169" t="n"/>
      <c r="Z59" s="169" t="n"/>
      <c r="AA59" s="169" t="n"/>
      <c r="AB59" s="169" t="n"/>
      <c r="AC59" s="169" t="n"/>
      <c r="AD59" s="169" t="n"/>
      <c r="AE59" s="169" t="n"/>
      <c r="AF59" s="169" t="n"/>
      <c r="AG59" s="169" t="n"/>
      <c r="AH59" s="169" t="n"/>
      <c r="AI59" s="169" t="n"/>
      <c r="AJ59" s="169" t="n"/>
      <c r="AK59" s="169" t="n"/>
      <c r="AL59" s="169" t="n"/>
      <c r="AM59" s="169" t="n"/>
      <c r="AN59" s="169" t="n"/>
      <c r="AO59" s="169" t="n"/>
      <c r="AP59" s="169" t="n"/>
      <c r="AQ59" s="169" t="n"/>
      <c r="AR59" s="169" t="n"/>
      <c r="AS59" s="169" t="n"/>
      <c r="AT59" s="169" t="n"/>
      <c r="AU59" s="169" t="n"/>
      <c r="AV59" s="169" t="n"/>
      <c r="AW59" s="169" t="n"/>
      <c r="AX59" s="169" t="n"/>
      <c r="AY59" s="169" t="n"/>
      <c r="AZ59" s="169" t="n"/>
      <c r="BA59" s="169" t="n"/>
      <c r="BB59" s="169" t="n"/>
      <c r="BC59" s="169" t="n"/>
      <c r="BD59" s="169" t="n"/>
      <c r="BE59" s="169" t="n"/>
      <c r="BF59" s="169" t="n"/>
      <c r="BG59" s="169" t="n"/>
      <c r="BH59" s="169" t="n"/>
      <c r="BI59" s="169" t="n"/>
      <c r="BJ59" s="169" t="n"/>
      <c r="BK59" s="169" t="n"/>
      <c r="BL59" s="169" t="n"/>
      <c r="BM59" s="169" t="n"/>
      <c r="BN59" s="169" t="n"/>
      <c r="BO59" s="169" t="n"/>
      <c r="BP59" s="169" t="n"/>
      <c r="BQ59" s="169" t="n"/>
      <c r="BR59" s="169" t="n"/>
      <c r="BS59" s="169" t="n"/>
      <c r="BT59" s="169" t="n"/>
      <c r="BU59" s="169" t="n"/>
      <c r="BV59" s="169" t="n"/>
      <c r="BW59" s="169" t="n"/>
      <c r="BX59" s="169" t="n"/>
      <c r="BY59" s="169" t="n"/>
      <c r="BZ59" s="169" t="n"/>
      <c r="CA59" s="169" t="n"/>
      <c r="CB59" s="169" t="n"/>
      <c r="CC59" s="169" t="n"/>
      <c r="CD59" s="169" t="n"/>
      <c r="CE59" s="169" t="n"/>
      <c r="CF59" s="169" t="n"/>
      <c r="CG59" s="169" t="n"/>
      <c r="CH59" s="169" t="n"/>
      <c r="CI59" s="169" t="n"/>
      <c r="CJ59" s="169" t="n"/>
      <c r="CK59" s="169" t="n"/>
      <c r="CL59" s="169" t="n"/>
      <c r="CM59" s="169" t="n"/>
      <c r="CN59" s="169" t="n"/>
      <c r="CO59" s="169" t="n"/>
    </row>
    <row r="60" ht="15" customFormat="1" customHeight="1" s="142">
      <c r="A60" s="163" t="n"/>
      <c r="B60" s="163" t="n"/>
      <c r="C60" s="172" t="n"/>
      <c r="D60" s="141" t="n"/>
      <c r="E60" s="169" t="n"/>
      <c r="F60" s="169" t="n"/>
      <c r="G60" s="169" t="n"/>
      <c r="H60" s="169" t="n"/>
      <c r="I60" s="169" t="n"/>
      <c r="J60" s="169" t="n"/>
      <c r="K60" s="169" t="n"/>
      <c r="L60" s="169" t="n"/>
      <c r="M60" s="169" t="n"/>
      <c r="N60" s="169" t="n"/>
      <c r="O60" s="169" t="n"/>
      <c r="P60" s="169" t="n"/>
      <c r="Q60" s="169" t="n"/>
      <c r="R60" s="169" t="n"/>
      <c r="S60" s="169" t="n"/>
      <c r="T60" s="169" t="n"/>
      <c r="U60" s="169" t="n"/>
      <c r="V60" s="169" t="n"/>
      <c r="W60" s="169" t="n"/>
      <c r="X60" s="169" t="n"/>
      <c r="Y60" s="169" t="n"/>
      <c r="Z60" s="169" t="n"/>
      <c r="AA60" s="169" t="n"/>
      <c r="AB60" s="169" t="n"/>
      <c r="AC60" s="169" t="n"/>
      <c r="AD60" s="169" t="n"/>
      <c r="AE60" s="169" t="n"/>
      <c r="AF60" s="169" t="n"/>
      <c r="AG60" s="169" t="n"/>
      <c r="AH60" s="169" t="n"/>
      <c r="AI60" s="169" t="n"/>
      <c r="AJ60" s="169" t="n"/>
      <c r="AK60" s="169" t="n"/>
      <c r="AL60" s="169" t="n"/>
      <c r="AM60" s="169" t="n"/>
      <c r="AN60" s="169" t="n"/>
      <c r="AO60" s="169" t="n"/>
      <c r="AP60" s="169" t="n"/>
      <c r="AQ60" s="169" t="n"/>
      <c r="AR60" s="169" t="n"/>
      <c r="AS60" s="169" t="n"/>
      <c r="AT60" s="169" t="n"/>
      <c r="AU60" s="169" t="n"/>
      <c r="AV60" s="169" t="n"/>
      <c r="AW60" s="169" t="n"/>
      <c r="AX60" s="169" t="n"/>
      <c r="AY60" s="169" t="n"/>
      <c r="AZ60" s="169" t="n"/>
      <c r="BA60" s="169" t="n"/>
      <c r="BB60" s="169" t="n"/>
      <c r="BC60" s="169" t="n"/>
      <c r="BD60" s="169" t="n"/>
      <c r="BE60" s="169" t="n"/>
      <c r="BF60" s="169" t="n"/>
      <c r="BG60" s="169" t="n"/>
      <c r="BH60" s="169" t="n"/>
      <c r="BI60" s="169" t="n"/>
      <c r="BJ60" s="169" t="n"/>
      <c r="BK60" s="169" t="n"/>
      <c r="BL60" s="169" t="n"/>
      <c r="BM60" s="169" t="n"/>
      <c r="BN60" s="169" t="n"/>
      <c r="BO60" s="169" t="n"/>
      <c r="BP60" s="169" t="n"/>
      <c r="BQ60" s="169" t="n"/>
      <c r="BR60" s="169" t="n"/>
      <c r="BS60" s="169" t="n"/>
      <c r="BT60" s="169" t="n"/>
      <c r="BU60" s="169" t="n"/>
      <c r="BV60" s="169" t="n"/>
      <c r="BW60" s="169" t="n"/>
      <c r="BX60" s="169" t="n"/>
      <c r="BY60" s="169" t="n"/>
      <c r="BZ60" s="169" t="n"/>
      <c r="CA60" s="169" t="n"/>
      <c r="CB60" s="169" t="n"/>
      <c r="CC60" s="169" t="n"/>
      <c r="CD60" s="169" t="n"/>
      <c r="CE60" s="169" t="n"/>
      <c r="CF60" s="169" t="n"/>
      <c r="CG60" s="169" t="n"/>
      <c r="CH60" s="169" t="n"/>
      <c r="CI60" s="169" t="n"/>
      <c r="CJ60" s="169" t="n"/>
      <c r="CK60" s="169" t="n"/>
      <c r="CL60" s="169" t="n"/>
      <c r="CM60" s="169" t="n"/>
      <c r="CN60" s="169" t="n"/>
      <c r="CO60" s="169" t="n"/>
    </row>
    <row r="61">
      <c r="B61" s="294" t="inlineStr">
        <is>
          <t>Forecast period flag</t>
        </is>
      </c>
    </row>
    <row r="62" customFormat="1" s="113">
      <c r="A62" s="167" t="n"/>
      <c r="B62" s="167" t="n"/>
      <c r="C62" s="237" t="n"/>
      <c r="D62" s="170" t="n"/>
      <c r="E62" s="173" t="str">
        <f> InpC!E$10</f>
        <v>Acquisition / initial balance date</v>
      </c>
      <c r="F62" s="173">
        <f> InpC!F$10</f>
        <v>44561.0</v>
      </c>
      <c r="G62" s="173" t="str">
        <f> InpC!G$10</f>
        <v>date</v>
      </c>
      <c r="H62" s="61" t="n"/>
      <c r="I62" s="61" t="n"/>
      <c r="J62" s="61" t="n"/>
      <c r="K62" s="61" t="n"/>
      <c r="L62" s="61" t="n"/>
      <c r="M62" s="61" t="n"/>
      <c r="N62" s="61" t="n"/>
      <c r="O62" s="61" t="n"/>
      <c r="P62" s="61" t="n"/>
      <c r="Q62" s="61" t="n"/>
      <c r="R62" s="61" t="n"/>
      <c r="S62" s="61" t="n"/>
      <c r="T62" s="61" t="n"/>
      <c r="U62" s="61" t="n"/>
      <c r="V62" s="61" t="n"/>
      <c r="W62" s="61" t="n"/>
      <c r="X62" s="61" t="n"/>
      <c r="Y62" s="61" t="n"/>
      <c r="Z62" s="61" t="n"/>
      <c r="AA62" s="61" t="n"/>
      <c r="AB62" s="61" t="n"/>
      <c r="AC62" s="61" t="n"/>
      <c r="AD62" s="61" t="n"/>
      <c r="AE62" s="61" t="n"/>
      <c r="AF62" s="61" t="n"/>
      <c r="AG62" s="61" t="n"/>
      <c r="AH62" s="61" t="n"/>
      <c r="AI62" s="61" t="n"/>
      <c r="AJ62" s="61" t="n"/>
      <c r="AK62" s="61" t="n"/>
      <c r="AL62" s="61" t="n"/>
      <c r="AM62" s="61" t="n"/>
      <c r="AN62" s="61" t="n"/>
      <c r="AO62" s="61" t="n"/>
      <c r="AP62" s="61" t="n"/>
      <c r="AQ62" s="61" t="n"/>
      <c r="AR62" s="61" t="n"/>
      <c r="AS62" s="61" t="n"/>
      <c r="AT62" s="61" t="n"/>
      <c r="AU62" s="61" t="n"/>
      <c r="AV62" s="61" t="n"/>
      <c r="AW62" s="61" t="n"/>
      <c r="AX62" s="61" t="n"/>
      <c r="AY62" s="61" t="n"/>
      <c r="AZ62" s="61" t="n"/>
      <c r="BA62" s="61" t="n"/>
      <c r="BB62" s="61" t="n"/>
      <c r="BC62" s="61" t="n"/>
      <c r="BD62" s="61" t="n"/>
      <c r="BE62" s="61" t="n"/>
      <c r="BF62" s="61" t="n"/>
      <c r="BG62" s="61" t="n"/>
      <c r="BH62" s="61" t="n"/>
      <c r="BI62" s="61" t="n"/>
      <c r="BJ62" s="61" t="n"/>
      <c r="BK62" s="61" t="n"/>
      <c r="BL62" s="61" t="n"/>
      <c r="BM62" s="61" t="n"/>
      <c r="BN62" s="61" t="n"/>
      <c r="BO62" s="61" t="n"/>
      <c r="BP62" s="61" t="n"/>
      <c r="BQ62" s="61" t="n"/>
      <c r="BR62" s="61" t="n"/>
      <c r="BS62" s="61" t="n"/>
      <c r="BT62" s="61" t="n"/>
      <c r="BU62" s="61" t="n"/>
      <c r="BV62" s="61" t="n"/>
      <c r="BW62" s="61" t="n"/>
      <c r="BX62" s="61" t="n"/>
      <c r="BY62" s="61" t="n"/>
      <c r="BZ62" s="61" t="n"/>
      <c r="CA62" s="61" t="n"/>
      <c r="CB62" s="61" t="n"/>
      <c r="CC62" s="61" t="n"/>
      <c r="CD62" s="61" t="n"/>
      <c r="CE62" s="61" t="n"/>
      <c r="CF62" s="61" t="n"/>
      <c r="CG62" s="61" t="n"/>
      <c r="CH62" s="61" t="n"/>
      <c r="CI62" s="61" t="n"/>
      <c r="CJ62" s="61" t="n"/>
      <c r="CK62" s="61" t="n"/>
      <c r="CL62" s="61" t="n"/>
      <c r="CM62" s="61" t="n"/>
      <c r="CN62" s="61" t="n"/>
      <c r="CO62" s="61" t="n"/>
    </row>
    <row r="63" customFormat="1" s="154">
      <c r="A63" s="163" t="n"/>
      <c r="B63" s="163" t="n"/>
      <c r="C63" s="172" t="n"/>
      <c r="D63" s="169" t="n"/>
      <c r="E63" s="308" t="str">
        <f> InpC!E$11</f>
        <v>Length of forecast period</v>
      </c>
      <c r="F63" s="308">
        <f> InpC!F$11</f>
        <v>20.0</v>
      </c>
      <c r="G63" s="308" t="str">
        <f> InpC!G$11</f>
        <v>years</v>
      </c>
      <c r="H63" s="61" t="n"/>
      <c r="I63" s="61" t="n"/>
      <c r="J63" s="61" t="n"/>
      <c r="K63" s="61" t="n"/>
      <c r="L63" s="61" t="n"/>
      <c r="M63" s="61" t="n"/>
      <c r="N63" s="61" t="n"/>
      <c r="O63" s="61" t="n"/>
      <c r="P63" s="61" t="n"/>
      <c r="Q63" s="61" t="n"/>
      <c r="R63" s="61" t="n"/>
      <c r="S63" s="61" t="n"/>
      <c r="T63" s="61" t="n"/>
      <c r="U63" s="61" t="n"/>
      <c r="V63" s="61" t="n"/>
      <c r="W63" s="61" t="n"/>
      <c r="X63" s="61" t="n"/>
      <c r="Y63" s="61" t="n"/>
      <c r="Z63" s="61" t="n"/>
      <c r="AA63" s="61" t="n"/>
      <c r="AB63" s="61" t="n"/>
      <c r="AC63" s="61" t="n"/>
      <c r="AD63" s="61" t="n"/>
      <c r="AE63" s="61" t="n"/>
      <c r="AF63" s="61" t="n"/>
      <c r="AG63" s="61" t="n"/>
      <c r="AH63" s="61" t="n"/>
      <c r="AI63" s="61" t="n"/>
      <c r="AJ63" s="61" t="n"/>
      <c r="AK63" s="61" t="n"/>
      <c r="AL63" s="61" t="n"/>
      <c r="AM63" s="61" t="n"/>
      <c r="AN63" s="61" t="n"/>
      <c r="AO63" s="61" t="n"/>
      <c r="AP63" s="61" t="n"/>
      <c r="AQ63" s="61" t="n"/>
      <c r="AR63" s="61" t="n"/>
      <c r="AS63" s="61" t="n"/>
      <c r="AT63" s="61" t="n"/>
      <c r="AU63" s="61" t="n"/>
      <c r="AV63" s="61" t="n"/>
      <c r="AW63" s="61" t="n"/>
      <c r="AX63" s="61" t="n"/>
      <c r="AY63" s="61" t="n"/>
      <c r="AZ63" s="61" t="n"/>
      <c r="BA63" s="61" t="n"/>
      <c r="BB63" s="61" t="n"/>
      <c r="BC63" s="61" t="n"/>
      <c r="BD63" s="61" t="n"/>
      <c r="BE63" s="61" t="n"/>
      <c r="BF63" s="61" t="n"/>
      <c r="BG63" s="61" t="n"/>
      <c r="BH63" s="61" t="n"/>
      <c r="BI63" s="61" t="n"/>
      <c r="BJ63" s="61" t="n"/>
      <c r="BK63" s="61" t="n"/>
      <c r="BL63" s="61" t="n"/>
      <c r="BM63" s="61" t="n"/>
      <c r="BN63" s="61" t="n"/>
      <c r="BO63" s="61" t="n"/>
      <c r="BP63" s="61" t="n"/>
      <c r="BQ63" s="61" t="n"/>
      <c r="BR63" s="61" t="n"/>
      <c r="BS63" s="61" t="n"/>
      <c r="BT63" s="61" t="n"/>
      <c r="BU63" s="61" t="n"/>
      <c r="BV63" s="61" t="n"/>
      <c r="BW63" s="61" t="n"/>
      <c r="BX63" s="61" t="n"/>
      <c r="BY63" s="61" t="n"/>
      <c r="BZ63" s="61" t="n"/>
      <c r="CA63" s="61" t="n"/>
      <c r="CB63" s="61" t="n"/>
      <c r="CC63" s="61" t="n"/>
      <c r="CD63" s="61" t="n"/>
      <c r="CE63" s="61" t="n"/>
      <c r="CF63" s="61" t="n"/>
      <c r="CG63" s="61" t="n"/>
      <c r="CH63" s="61" t="n"/>
      <c r="CI63" s="61" t="n"/>
      <c r="CJ63" s="61" t="n"/>
      <c r="CK63" s="61" t="n"/>
      <c r="CL63" s="61" t="n"/>
      <c r="CM63" s="61" t="n"/>
      <c r="CN63" s="61" t="n"/>
      <c r="CO63" s="61" t="n"/>
    </row>
    <row r="64" customFormat="1" s="119">
      <c r="A64" s="167" t="n"/>
      <c r="B64" s="167" t="n"/>
      <c r="C64" s="237" t="n"/>
      <c r="D64" s="170" t="n"/>
      <c r="E64" s="205" t="inlineStr">
        <is>
          <t>Last forecast date</t>
        </is>
      </c>
      <c r="F64" s="127">
        <f>EOMONTH(F62,F63 * 12)</f>
        <v>51866.0</v>
      </c>
      <c r="G64" s="205" t="inlineStr">
        <is>
          <t>date</t>
        </is>
      </c>
      <c r="H64" s="61" t="n"/>
      <c r="I64" s="61" t="n"/>
      <c r="J64" s="61" t="n"/>
      <c r="K64" s="61" t="n"/>
      <c r="L64" s="61" t="n"/>
      <c r="M64" s="61" t="n"/>
      <c r="N64" s="61" t="n"/>
      <c r="O64" s="61" t="n"/>
      <c r="P64" s="61" t="n"/>
      <c r="Q64" s="61" t="n"/>
      <c r="R64" s="61" t="n"/>
      <c r="S64" s="61" t="n"/>
      <c r="T64" s="61" t="n"/>
      <c r="U64" s="61" t="n"/>
      <c r="V64" s="61" t="n"/>
      <c r="W64" s="61" t="n"/>
      <c r="X64" s="61" t="n"/>
      <c r="Y64" s="61" t="n"/>
      <c r="Z64" s="61" t="n"/>
      <c r="AA64" s="61" t="n"/>
      <c r="AB64" s="61" t="n"/>
      <c r="AC64" s="61" t="n"/>
      <c r="AD64" s="61" t="n"/>
      <c r="AE64" s="61" t="n"/>
      <c r="AF64" s="61" t="n"/>
      <c r="AG64" s="61" t="n"/>
      <c r="AH64" s="61" t="n"/>
      <c r="AI64" s="61" t="n"/>
      <c r="AJ64" s="61" t="n"/>
      <c r="AK64" s="61" t="n"/>
      <c r="AL64" s="61" t="n"/>
      <c r="AM64" s="61" t="n"/>
      <c r="AN64" s="61" t="n"/>
      <c r="AO64" s="61" t="n"/>
      <c r="AP64" s="61" t="n"/>
      <c r="AQ64" s="61" t="n"/>
      <c r="AR64" s="61" t="n"/>
      <c r="AS64" s="61" t="n"/>
      <c r="AT64" s="61" t="n"/>
      <c r="AU64" s="61" t="n"/>
      <c r="AV64" s="61" t="n"/>
      <c r="AW64" s="61" t="n"/>
      <c r="AX64" s="61" t="n"/>
      <c r="AY64" s="61" t="n"/>
      <c r="AZ64" s="61" t="n"/>
      <c r="BA64" s="61" t="n"/>
      <c r="BB64" s="61" t="n"/>
      <c r="BC64" s="61" t="n"/>
      <c r="BD64" s="61" t="n"/>
      <c r="BE64" s="61" t="n"/>
      <c r="BF64" s="61" t="n"/>
      <c r="BG64" s="61" t="n"/>
      <c r="BH64" s="61" t="n"/>
      <c r="BI64" s="61" t="n"/>
      <c r="BJ64" s="61" t="n"/>
      <c r="BK64" s="61" t="n"/>
      <c r="BL64" s="61" t="n"/>
      <c r="BM64" s="61" t="n"/>
      <c r="BN64" s="61" t="n"/>
      <c r="BO64" s="61" t="n"/>
      <c r="BP64" s="61" t="n"/>
      <c r="BQ64" s="61" t="n"/>
      <c r="BR64" s="61" t="n"/>
      <c r="BS64" s="61" t="n"/>
      <c r="BT64" s="61" t="n"/>
      <c r="BU64" s="61" t="n"/>
      <c r="BV64" s="61" t="n"/>
      <c r="BW64" s="61" t="n"/>
      <c r="BX64" s="61" t="n"/>
      <c r="BY64" s="61" t="n"/>
      <c r="BZ64" s="61" t="n"/>
      <c r="CA64" s="61" t="n"/>
      <c r="CB64" s="61" t="n"/>
      <c r="CC64" s="61" t="n"/>
      <c r="CD64" s="61" t="n"/>
      <c r="CE64" s="61" t="n"/>
      <c r="CF64" s="61" t="n"/>
      <c r="CG64" s="61" t="n"/>
      <c r="CH64" s="61" t="n"/>
      <c r="CI64" s="61" t="n"/>
      <c r="CJ64" s="61" t="n"/>
      <c r="CK64" s="61" t="n"/>
      <c r="CL64" s="61" t="n"/>
      <c r="CM64" s="61" t="n"/>
      <c r="CN64" s="61" t="n"/>
      <c r="CO64" s="61" t="n"/>
    </row>
    <row r="65" customFormat="1" s="146">
      <c r="A65" s="163" t="n"/>
      <c r="B65" s="163" t="n"/>
      <c r="C65" s="172" t="n"/>
      <c r="D65" s="169" t="n"/>
      <c r="E65" s="169" t="n"/>
      <c r="F65" s="169" t="n"/>
      <c r="G65" s="169" t="n"/>
      <c r="H65" s="61" t="n"/>
      <c r="I65" s="61" t="n"/>
      <c r="J65" s="61" t="n"/>
      <c r="K65" s="61" t="n"/>
      <c r="L65" s="61" t="n"/>
      <c r="M65" s="61" t="n"/>
      <c r="N65" s="61" t="n"/>
      <c r="O65" s="61" t="n"/>
      <c r="P65" s="61" t="n"/>
      <c r="Q65" s="61" t="n"/>
      <c r="R65" s="61" t="n"/>
      <c r="S65" s="61" t="n"/>
      <c r="T65" s="61" t="n"/>
      <c r="U65" s="61" t="n"/>
      <c r="V65" s="61" t="n"/>
      <c r="W65" s="61" t="n"/>
      <c r="X65" s="61" t="n"/>
      <c r="Y65" s="61" t="n"/>
      <c r="Z65" s="61" t="n"/>
      <c r="AA65" s="61" t="n"/>
      <c r="AB65" s="61" t="n"/>
      <c r="AC65" s="61" t="n"/>
      <c r="AD65" s="61" t="n"/>
      <c r="AE65" s="61" t="n"/>
      <c r="AF65" s="61" t="n"/>
      <c r="AG65" s="61" t="n"/>
      <c r="AH65" s="61" t="n"/>
      <c r="AI65" s="61" t="n"/>
      <c r="AJ65" s="61" t="n"/>
      <c r="AK65" s="61" t="n"/>
      <c r="AL65" s="61" t="n"/>
      <c r="AM65" s="61" t="n"/>
      <c r="AN65" s="61" t="n"/>
      <c r="AO65" s="61" t="n"/>
      <c r="AP65" s="61" t="n"/>
      <c r="AQ65" s="61" t="n"/>
      <c r="AR65" s="61" t="n"/>
      <c r="AS65" s="61" t="n"/>
      <c r="AT65" s="61" t="n"/>
      <c r="AU65" s="61" t="n"/>
      <c r="AV65" s="61" t="n"/>
      <c r="AW65" s="61" t="n"/>
      <c r="AX65" s="61" t="n"/>
      <c r="AY65" s="61" t="n"/>
      <c r="AZ65" s="61" t="n"/>
      <c r="BA65" s="61" t="n"/>
      <c r="BB65" s="61" t="n"/>
      <c r="BC65" s="61" t="n"/>
      <c r="BD65" s="61" t="n"/>
      <c r="BE65" s="61" t="n"/>
      <c r="BF65" s="61" t="n"/>
      <c r="BG65" s="61" t="n"/>
      <c r="BH65" s="61" t="n"/>
      <c r="BI65" s="61" t="n"/>
      <c r="BJ65" s="61" t="n"/>
      <c r="BK65" s="61" t="n"/>
      <c r="BL65" s="61" t="n"/>
      <c r="BM65" s="61" t="n"/>
      <c r="BN65" s="61" t="n"/>
      <c r="BO65" s="61" t="n"/>
      <c r="BP65" s="61" t="n"/>
      <c r="BQ65" s="61" t="n"/>
      <c r="BR65" s="61" t="n"/>
      <c r="BS65" s="61" t="n"/>
      <c r="BT65" s="61" t="n"/>
      <c r="BU65" s="61" t="n"/>
      <c r="BV65" s="61" t="n"/>
      <c r="BW65" s="61" t="n"/>
      <c r="BX65" s="61" t="n"/>
      <c r="BY65" s="61" t="n"/>
      <c r="BZ65" s="61" t="n"/>
      <c r="CA65" s="61" t="n"/>
      <c r="CB65" s="61" t="n"/>
      <c r="CC65" s="61" t="n"/>
      <c r="CD65" s="61" t="n"/>
      <c r="CE65" s="61" t="n"/>
      <c r="CF65" s="61" t="n"/>
      <c r="CG65" s="61" t="n"/>
      <c r="CH65" s="61" t="n"/>
      <c r="CI65" s="61" t="n"/>
      <c r="CJ65" s="61" t="n"/>
      <c r="CK65" s="61" t="n"/>
      <c r="CL65" s="61" t="n"/>
      <c r="CM65" s="61" t="n"/>
      <c r="CN65" s="61" t="n"/>
      <c r="CO65" s="61" t="n"/>
    </row>
    <row r="66" customFormat="1" s="106">
      <c r="A66" s="125" t="n"/>
      <c r="B66" s="125" t="n"/>
      <c r="C66" s="126" t="n"/>
      <c r="D66" s="24" t="n"/>
      <c r="E66" s="173" t="str">
        <f> InpC!E$10</f>
        <v>Acquisition / initial balance date</v>
      </c>
      <c r="F66" s="173">
        <f> InpC!F$10</f>
        <v>44561.0</v>
      </c>
      <c r="G66" s="173" t="str">
        <f> InpC!G$10</f>
        <v>date</v>
      </c>
      <c r="H66" s="61" t="n"/>
      <c r="I66" s="61" t="n"/>
      <c r="J66" s="61" t="n"/>
      <c r="K66" s="61" t="n"/>
      <c r="L66" s="61" t="n"/>
      <c r="M66" s="61" t="n"/>
      <c r="N66" s="61" t="n"/>
      <c r="O66" s="61" t="n"/>
      <c r="P66" s="61" t="n"/>
      <c r="Q66" s="61" t="n"/>
      <c r="R66" s="61" t="n"/>
      <c r="S66" s="61" t="n"/>
      <c r="T66" s="61" t="n"/>
      <c r="U66" s="61" t="n"/>
      <c r="V66" s="61" t="n"/>
      <c r="W66" s="61" t="n"/>
      <c r="X66" s="61" t="n"/>
      <c r="Y66" s="61" t="n"/>
      <c r="Z66" s="61" t="n"/>
      <c r="AA66" s="61" t="n"/>
      <c r="AB66" s="61" t="n"/>
      <c r="AC66" s="61" t="n"/>
      <c r="AD66" s="61" t="n"/>
      <c r="AE66" s="61" t="n"/>
      <c r="AF66" s="61" t="n"/>
      <c r="AG66" s="61" t="n"/>
      <c r="AH66" s="61" t="n"/>
      <c r="AI66" s="61" t="n"/>
      <c r="AJ66" s="61" t="n"/>
      <c r="AK66" s="61" t="n"/>
      <c r="AL66" s="61" t="n"/>
      <c r="AM66" s="61" t="n"/>
      <c r="AN66" s="61" t="n"/>
      <c r="AO66" s="61" t="n"/>
      <c r="AP66" s="61" t="n"/>
      <c r="AQ66" s="61" t="n"/>
      <c r="AR66" s="61" t="n"/>
      <c r="AS66" s="61" t="n"/>
      <c r="AT66" s="61" t="n"/>
      <c r="AU66" s="61" t="n"/>
      <c r="AV66" s="61" t="n"/>
      <c r="AW66" s="61" t="n"/>
      <c r="AX66" s="61" t="n"/>
      <c r="AY66" s="61" t="n"/>
      <c r="AZ66" s="61" t="n"/>
      <c r="BA66" s="61" t="n"/>
      <c r="BB66" s="61" t="n"/>
      <c r="BC66" s="61" t="n"/>
      <c r="BD66" s="61" t="n"/>
      <c r="BE66" s="61" t="n"/>
      <c r="BF66" s="61" t="n"/>
      <c r="BG66" s="61" t="n"/>
      <c r="BH66" s="61" t="n"/>
      <c r="BI66" s="61" t="n"/>
      <c r="BJ66" s="61" t="n"/>
      <c r="BK66" s="61" t="n"/>
      <c r="BL66" s="61" t="n"/>
      <c r="BM66" s="61" t="n"/>
      <c r="BN66" s="61" t="n"/>
      <c r="BO66" s="61" t="n"/>
      <c r="BP66" s="61" t="n"/>
      <c r="BQ66" s="61" t="n"/>
      <c r="BR66" s="61" t="n"/>
      <c r="BS66" s="61" t="n"/>
      <c r="BT66" s="61" t="n"/>
      <c r="BU66" s="61" t="n"/>
      <c r="BV66" s="61" t="n"/>
      <c r="BW66" s="61" t="n"/>
      <c r="BX66" s="61" t="n"/>
      <c r="BY66" s="61" t="n"/>
      <c r="BZ66" s="61" t="n"/>
      <c r="CA66" s="61" t="n"/>
      <c r="CB66" s="61" t="n"/>
      <c r="CC66" s="61" t="n"/>
      <c r="CD66" s="61" t="n"/>
      <c r="CE66" s="61" t="n"/>
      <c r="CF66" s="61" t="n"/>
      <c r="CG66" s="61" t="n"/>
      <c r="CH66" s="61" t="n"/>
      <c r="CI66" s="61" t="n"/>
      <c r="CJ66" s="61" t="n"/>
      <c r="CK66" s="61" t="n"/>
      <c r="CL66" s="61" t="n"/>
      <c r="CM66" s="61" t="n"/>
      <c r="CN66" s="61" t="n"/>
      <c r="CO66" s="61" t="n"/>
    </row>
    <row r="67" customFormat="1" s="26">
      <c r="A67" s="125" t="n"/>
      <c r="B67" s="125" t="n"/>
      <c r="C67" s="126" t="n"/>
      <c r="D67" s="24" t="n"/>
      <c r="E67" s="127" t="str">
        <f> E$64</f>
        <v>Last forecast date</v>
      </c>
      <c r="F67" s="127">
        <f> F$64</f>
        <v>51866.0</v>
      </c>
      <c r="G67" s="127" t="str">
        <f> G$64</f>
        <v>date</v>
      </c>
      <c r="H67" s="61" t="n"/>
      <c r="I67" s="61" t="n"/>
      <c r="J67" s="61" t="n"/>
      <c r="K67" s="61" t="n"/>
      <c r="L67" s="61" t="n"/>
      <c r="M67" s="61" t="n"/>
      <c r="N67" s="61" t="n"/>
      <c r="O67" s="61" t="n"/>
      <c r="P67" s="61" t="n"/>
      <c r="Q67" s="61" t="n"/>
      <c r="R67" s="61" t="n"/>
      <c r="S67" s="61" t="n"/>
      <c r="T67" s="61" t="n"/>
      <c r="U67" s="61" t="n"/>
      <c r="V67" s="61" t="n"/>
      <c r="W67" s="61" t="n"/>
      <c r="X67" s="61" t="n"/>
      <c r="Y67" s="61" t="n"/>
      <c r="Z67" s="61" t="n"/>
      <c r="AA67" s="61" t="n"/>
      <c r="AB67" s="61" t="n"/>
      <c r="AC67" s="61" t="n"/>
      <c r="AD67" s="61" t="n"/>
      <c r="AE67" s="61" t="n"/>
      <c r="AF67" s="61" t="n"/>
      <c r="AG67" s="61" t="n"/>
      <c r="AH67" s="61" t="n"/>
      <c r="AI67" s="61" t="n"/>
      <c r="AJ67" s="61" t="n"/>
      <c r="AK67" s="61" t="n"/>
      <c r="AL67" s="61" t="n"/>
      <c r="AM67" s="61" t="n"/>
      <c r="AN67" s="61" t="n"/>
      <c r="AO67" s="61" t="n"/>
      <c r="AP67" s="61" t="n"/>
      <c r="AQ67" s="61" t="n"/>
      <c r="AR67" s="61" t="n"/>
      <c r="AS67" s="61" t="n"/>
      <c r="AT67" s="61" t="n"/>
      <c r="AU67" s="61" t="n"/>
      <c r="AV67" s="61" t="n"/>
      <c r="AW67" s="61" t="n"/>
      <c r="AX67" s="61" t="n"/>
      <c r="AY67" s="61" t="n"/>
      <c r="AZ67" s="61" t="n"/>
      <c r="BA67" s="61" t="n"/>
      <c r="BB67" s="61" t="n"/>
      <c r="BC67" s="61" t="n"/>
      <c r="BD67" s="61" t="n"/>
      <c r="BE67" s="61" t="n"/>
      <c r="BF67" s="61" t="n"/>
      <c r="BG67" s="61" t="n"/>
      <c r="BH67" s="61" t="n"/>
      <c r="BI67" s="61" t="n"/>
      <c r="BJ67" s="61" t="n"/>
      <c r="BK67" s="61" t="n"/>
      <c r="BL67" s="61" t="n"/>
      <c r="BM67" s="61" t="n"/>
      <c r="BN67" s="61" t="n"/>
      <c r="BO67" s="61" t="n"/>
      <c r="BP67" s="61" t="n"/>
      <c r="BQ67" s="61" t="n"/>
      <c r="BR67" s="61" t="n"/>
      <c r="BS67" s="61" t="n"/>
      <c r="BT67" s="61" t="n"/>
      <c r="BU67" s="61" t="n"/>
      <c r="BV67" s="61" t="n"/>
      <c r="BW67" s="61" t="n"/>
      <c r="BX67" s="61" t="n"/>
      <c r="BY67" s="61" t="n"/>
      <c r="BZ67" s="61" t="n"/>
      <c r="CA67" s="61" t="n"/>
      <c r="CB67" s="61" t="n"/>
      <c r="CC67" s="61" t="n"/>
      <c r="CD67" s="61" t="n"/>
      <c r="CE67" s="61" t="n"/>
      <c r="CF67" s="61" t="n"/>
      <c r="CG67" s="61" t="n"/>
      <c r="CH67" s="61" t="n"/>
      <c r="CI67" s="61" t="n"/>
      <c r="CJ67" s="61" t="n"/>
      <c r="CK67" s="61" t="n"/>
      <c r="CL67" s="61" t="n"/>
      <c r="CM67" s="61" t="n"/>
      <c r="CN67" s="61" t="n"/>
      <c r="CO67" s="61" t="n"/>
    </row>
    <row r="68" ht="15" customFormat="1" customHeight="1" s="123">
      <c r="A68" s="167" t="n"/>
      <c r="B68" s="167" t="n"/>
      <c r="C68" s="237" t="n"/>
      <c r="D68" s="121" t="n"/>
      <c r="E68" s="140" t="str">
        <f> E$25</f>
        <v>Model period ending </v>
      </c>
      <c r="F68" s="140">
        <f> F$25</f>
        <v>0.0</v>
      </c>
      <c r="G68" s="140" t="str">
        <f> G$25</f>
        <v>date</v>
      </c>
      <c r="H68" s="140">
        <f> H$25</f>
        <v>0.0</v>
      </c>
      <c r="I68" s="140">
        <f> I$25</f>
        <v>0.0</v>
      </c>
      <c r="J68" s="140">
        <f> J$25</f>
        <v>44469.0</v>
      </c>
      <c r="K68" s="140">
        <f> K$25</f>
        <v>44561.0</v>
      </c>
      <c r="L68" s="140">
        <f> L$25</f>
        <v>44651.0</v>
      </c>
      <c r="M68" s="140">
        <f> M$25</f>
        <v>44742.0</v>
      </c>
      <c r="N68" s="140">
        <f> N$25</f>
        <v>44834.0</v>
      </c>
      <c r="O68" s="140">
        <f> O$25</f>
        <v>44926.0</v>
      </c>
      <c r="P68" s="140">
        <f> P$25</f>
        <v>45016.0</v>
      </c>
      <c r="Q68" s="140">
        <f> Q$25</f>
        <v>45107.0</v>
      </c>
      <c r="R68" s="140">
        <f> R$25</f>
        <v>45199.0</v>
      </c>
      <c r="S68" s="140">
        <f> S$25</f>
        <v>45291.0</v>
      </c>
      <c r="T68" s="140">
        <f> T$25</f>
        <v>45382.0</v>
      </c>
      <c r="U68" s="140">
        <f> U$25</f>
        <v>45473.0</v>
      </c>
      <c r="V68" s="140">
        <f> V$25</f>
        <v>45565.0</v>
      </c>
      <c r="W68" s="140">
        <f> W$25</f>
        <v>45657.0</v>
      </c>
      <c r="X68" s="140">
        <f> X$25</f>
        <v>45747.0</v>
      </c>
      <c r="Y68" s="140">
        <f> Y$25</f>
        <v>45838.0</v>
      </c>
      <c r="Z68" s="140">
        <f> Z$25</f>
        <v>45930.0</v>
      </c>
      <c r="AA68" s="140">
        <f> AA$25</f>
        <v>46022.0</v>
      </c>
      <c r="AB68" s="140">
        <f> AB$25</f>
        <v>46112.0</v>
      </c>
      <c r="AC68" s="140">
        <f> AC$25</f>
        <v>46203.0</v>
      </c>
      <c r="AD68" s="140">
        <f> AD$25</f>
        <v>46295.0</v>
      </c>
      <c r="AE68" s="140">
        <f> AE$25</f>
        <v>46387.0</v>
      </c>
      <c r="AF68" s="140">
        <f> AF$25</f>
        <v>46477.0</v>
      </c>
      <c r="AG68" s="140">
        <f> AG$25</f>
        <v>46568.0</v>
      </c>
      <c r="AH68" s="140">
        <f> AH$25</f>
        <v>46660.0</v>
      </c>
      <c r="AI68" s="140">
        <f> AI$25</f>
        <v>46752.0</v>
      </c>
      <c r="AJ68" s="140">
        <f> AJ$25</f>
        <v>46843.0</v>
      </c>
      <c r="AK68" s="140">
        <f> AK$25</f>
        <v>46934.0</v>
      </c>
      <c r="AL68" s="140">
        <f> AL$25</f>
        <v>47026.0</v>
      </c>
      <c r="AM68" s="140">
        <f> AM$25</f>
        <v>47118.0</v>
      </c>
      <c r="AN68" s="140">
        <f> AN$25</f>
        <v>47208.0</v>
      </c>
      <c r="AO68" s="140">
        <f> AO$25</f>
        <v>47299.0</v>
      </c>
      <c r="AP68" s="140">
        <f> AP$25</f>
        <v>47391.0</v>
      </c>
      <c r="AQ68" s="140">
        <f> AQ$25</f>
        <v>47483.0</v>
      </c>
      <c r="AR68" s="140">
        <f> AR$25</f>
        <v>47573.0</v>
      </c>
      <c r="AS68" s="140">
        <f> AS$25</f>
        <v>47664.0</v>
      </c>
      <c r="AT68" s="140">
        <f> AT$25</f>
        <v>47756.0</v>
      </c>
      <c r="AU68" s="140">
        <f> AU$25</f>
        <v>47848.0</v>
      </c>
      <c r="AV68" s="140">
        <f> AV$25</f>
        <v>47938.0</v>
      </c>
      <c r="AW68" s="140">
        <f> AW$25</f>
        <v>48029.0</v>
      </c>
      <c r="AX68" s="140">
        <f> AX$25</f>
        <v>48121.0</v>
      </c>
      <c r="AY68" s="140">
        <f> AY$25</f>
        <v>48213.0</v>
      </c>
      <c r="AZ68" s="140">
        <f> AZ$25</f>
        <v>48304.0</v>
      </c>
      <c r="BA68" s="140">
        <f> BA$25</f>
        <v>48395.0</v>
      </c>
      <c r="BB68" s="140">
        <f> BB$25</f>
        <v>48487.0</v>
      </c>
      <c r="BC68" s="140">
        <f> BC$25</f>
        <v>48579.0</v>
      </c>
      <c r="BD68" s="140">
        <f> BD$25</f>
        <v>48669.0</v>
      </c>
      <c r="BE68" s="140">
        <f> BE$25</f>
        <v>48760.0</v>
      </c>
      <c r="BF68" s="140">
        <f> BF$25</f>
        <v>48852.0</v>
      </c>
      <c r="BG68" s="140">
        <f> BG$25</f>
        <v>48944.0</v>
      </c>
      <c r="BH68" s="140">
        <f> BH$25</f>
        <v>49034.0</v>
      </c>
      <c r="BI68" s="140">
        <f> BI$25</f>
        <v>49125.0</v>
      </c>
      <c r="BJ68" s="140">
        <f> BJ$25</f>
        <v>49217.0</v>
      </c>
      <c r="BK68" s="140">
        <f> BK$25</f>
        <v>49309.0</v>
      </c>
      <c r="BL68" s="140">
        <f> BL$25</f>
        <v>49399.0</v>
      </c>
      <c r="BM68" s="140">
        <f> BM$25</f>
        <v>49490.0</v>
      </c>
      <c r="BN68" s="140">
        <f> BN$25</f>
        <v>49582.0</v>
      </c>
      <c r="BO68" s="140">
        <f> BO$25</f>
        <v>49674.0</v>
      </c>
      <c r="BP68" s="140">
        <f> BP$25</f>
        <v>49765.0</v>
      </c>
      <c r="BQ68" s="140">
        <f> BQ$25</f>
        <v>49856.0</v>
      </c>
      <c r="BR68" s="140">
        <f> BR$25</f>
        <v>49948.0</v>
      </c>
      <c r="BS68" s="140">
        <f> BS$25</f>
        <v>50040.0</v>
      </c>
      <c r="BT68" s="140">
        <f> BT$25</f>
        <v>50130.0</v>
      </c>
      <c r="BU68" s="140">
        <f> BU$25</f>
        <v>50221.0</v>
      </c>
      <c r="BV68" s="140">
        <f> BV$25</f>
        <v>50313.0</v>
      </c>
      <c r="BW68" s="140">
        <f> BW$25</f>
        <v>50405.0</v>
      </c>
      <c r="BX68" s="140">
        <f> BX$25</f>
        <v>50495.0</v>
      </c>
      <c r="BY68" s="140">
        <f> BY$25</f>
        <v>50586.0</v>
      </c>
      <c r="BZ68" s="140">
        <f> BZ$25</f>
        <v>50678.0</v>
      </c>
      <c r="CA68" s="140">
        <f> CA$25</f>
        <v>50770.0</v>
      </c>
      <c r="CB68" s="140">
        <f> CB$25</f>
        <v>50860.0</v>
      </c>
      <c r="CC68" s="140">
        <f> CC$25</f>
        <v>50951.0</v>
      </c>
      <c r="CD68" s="140">
        <f> CD$25</f>
        <v>51043.0</v>
      </c>
      <c r="CE68" s="140">
        <f> CE$25</f>
        <v>51135.0</v>
      </c>
      <c r="CF68" s="140">
        <f> CF$25</f>
        <v>51226.0</v>
      </c>
      <c r="CG68" s="140">
        <f> CG$25</f>
        <v>51317.0</v>
      </c>
      <c r="CH68" s="140">
        <f> CH$25</f>
        <v>51409.0</v>
      </c>
      <c r="CI68" s="140">
        <f> CI$25</f>
        <v>51501.0</v>
      </c>
      <c r="CJ68" s="140">
        <f> CJ$25</f>
        <v>51591.0</v>
      </c>
      <c r="CK68" s="140">
        <f> CK$25</f>
        <v>51682.0</v>
      </c>
      <c r="CL68" s="140">
        <f> CL$25</f>
        <v>51774.0</v>
      </c>
      <c r="CM68" s="140">
        <f> CM$25</f>
        <v>51866.0</v>
      </c>
      <c r="CN68" s="140">
        <f> CN$25</f>
        <v>51956.0</v>
      </c>
      <c r="CO68" s="140">
        <f> CO$25</f>
        <v>52047.0</v>
      </c>
    </row>
    <row r="69" customFormat="1" s="330">
      <c r="A69" s="326" t="n"/>
      <c r="B69" s="326" t="n"/>
      <c r="C69" s="327" t="n"/>
      <c r="D69" s="328" t="n"/>
      <c r="E69" s="345" t="inlineStr">
        <is>
          <t>Forecast period flag</t>
        </is>
      </c>
      <c r="F69" s="345" t="n"/>
      <c r="G69" s="345" t="inlineStr">
        <is>
          <t>flag</t>
        </is>
      </c>
      <c r="H69" s="345">
        <f> SUM(J69:CO69)</f>
        <v>80.0</v>
      </c>
      <c r="I69" s="345" t="n"/>
      <c r="J69" s="345">
        <f> IF(AND(J68 &gt; $F66, J68 &lt;= $F67), 1, 0)</f>
        <v>0.0</v>
      </c>
      <c r="K69" s="345">
        <f> IF(AND(K68 &gt; $F66, K68 &lt;= $F67), 1, 0)</f>
        <v>0.0</v>
      </c>
      <c r="L69" s="345">
        <f> IF(AND(L68 &gt; $F66, L68 &lt;= $F67), 1, 0)</f>
        <v>1.0</v>
      </c>
      <c r="M69" s="345">
        <f> IF(AND(M68 &gt; $F66, M68 &lt;= $F67), 1, 0)</f>
        <v>1.0</v>
      </c>
      <c r="N69" s="345">
        <f> IF(AND(N68 &gt; $F66, N68 &lt;= $F67), 1, 0)</f>
        <v>1.0</v>
      </c>
      <c r="O69" s="345">
        <f> IF(AND(O68 &gt; $F66, O68 &lt;= $F67), 1, 0)</f>
        <v>1.0</v>
      </c>
      <c r="P69" s="345">
        <f> IF(AND(P68 &gt; $F66, P68 &lt;= $F67), 1, 0)</f>
        <v>1.0</v>
      </c>
      <c r="Q69" s="345">
        <f> IF(AND(Q68 &gt; $F66, Q68 &lt;= $F67), 1, 0)</f>
        <v>1.0</v>
      </c>
      <c r="R69" s="345">
        <f> IF(AND(R68 &gt; $F66, R68 &lt;= $F67), 1, 0)</f>
        <v>1.0</v>
      </c>
      <c r="S69" s="345">
        <f> IF(AND(S68 &gt; $F66, S68 &lt;= $F67), 1, 0)</f>
        <v>1.0</v>
      </c>
      <c r="T69" s="345">
        <f> IF(AND(T68 &gt; $F66, T68 &lt;= $F67), 1, 0)</f>
        <v>1.0</v>
      </c>
      <c r="U69" s="345">
        <f> IF(AND(U68 &gt; $F66, U68 &lt;= $F67), 1, 0)</f>
        <v>1.0</v>
      </c>
      <c r="V69" s="345">
        <f> IF(AND(V68 &gt; $F66, V68 &lt;= $F67), 1, 0)</f>
        <v>1.0</v>
      </c>
      <c r="W69" s="345">
        <f> IF(AND(W68 &gt; $F66, W68 &lt;= $F67), 1, 0)</f>
        <v>1.0</v>
      </c>
      <c r="X69" s="345">
        <f> IF(AND(X68 &gt; $F66, X68 &lt;= $F67), 1, 0)</f>
        <v>1.0</v>
      </c>
      <c r="Y69" s="345">
        <f> IF(AND(Y68 &gt; $F66, Y68 &lt;= $F67), 1, 0)</f>
        <v>1.0</v>
      </c>
      <c r="Z69" s="345">
        <f> IF(AND(Z68 &gt; $F66, Z68 &lt;= $F67), 1, 0)</f>
        <v>1.0</v>
      </c>
      <c r="AA69" s="345">
        <f> IF(AND(AA68 &gt; $F66, AA68 &lt;= $F67), 1, 0)</f>
        <v>1.0</v>
      </c>
      <c r="AB69" s="345">
        <f> IF(AND(AB68 &gt; $F66, AB68 &lt;= $F67), 1, 0)</f>
        <v>1.0</v>
      </c>
      <c r="AC69" s="345">
        <f> IF(AND(AC68 &gt; $F66, AC68 &lt;= $F67), 1, 0)</f>
        <v>1.0</v>
      </c>
      <c r="AD69" s="345">
        <f> IF(AND(AD68 &gt; $F66, AD68 &lt;= $F67), 1, 0)</f>
        <v>1.0</v>
      </c>
      <c r="AE69" s="345">
        <f> IF(AND(AE68 &gt; $F66, AE68 &lt;= $F67), 1, 0)</f>
        <v>1.0</v>
      </c>
      <c r="AF69" s="345">
        <f> IF(AND(AF68 &gt; $F66, AF68 &lt;= $F67), 1, 0)</f>
        <v>1.0</v>
      </c>
      <c r="AG69" s="345">
        <f> IF(AND(AG68 &gt; $F66, AG68 &lt;= $F67), 1, 0)</f>
        <v>1.0</v>
      </c>
      <c r="AH69" s="345">
        <f> IF(AND(AH68 &gt; $F66, AH68 &lt;= $F67), 1, 0)</f>
        <v>1.0</v>
      </c>
      <c r="AI69" s="345">
        <f> IF(AND(AI68 &gt; $F66, AI68 &lt;= $F67), 1, 0)</f>
        <v>1.0</v>
      </c>
      <c r="AJ69" s="345">
        <f> IF(AND(AJ68 &gt; $F66, AJ68 &lt;= $F67), 1, 0)</f>
        <v>1.0</v>
      </c>
      <c r="AK69" s="345">
        <f> IF(AND(AK68 &gt; $F66, AK68 &lt;= $F67), 1, 0)</f>
        <v>1.0</v>
      </c>
      <c r="AL69" s="345">
        <f> IF(AND(AL68 &gt; $F66, AL68 &lt;= $F67), 1, 0)</f>
        <v>1.0</v>
      </c>
      <c r="AM69" s="345">
        <f> IF(AND(AM68 &gt; $F66, AM68 &lt;= $F67), 1, 0)</f>
        <v>1.0</v>
      </c>
      <c r="AN69" s="345">
        <f> IF(AND(AN68 &gt; $F66, AN68 &lt;= $F67), 1, 0)</f>
        <v>1.0</v>
      </c>
      <c r="AO69" s="345">
        <f> IF(AND(AO68 &gt; $F66, AO68 &lt;= $F67), 1, 0)</f>
        <v>1.0</v>
      </c>
      <c r="AP69" s="345">
        <f> IF(AND(AP68 &gt; $F66, AP68 &lt;= $F67), 1, 0)</f>
        <v>1.0</v>
      </c>
      <c r="AQ69" s="345">
        <f> IF(AND(AQ68 &gt; $F66, AQ68 &lt;= $F67), 1, 0)</f>
        <v>1.0</v>
      </c>
      <c r="AR69" s="345">
        <f> IF(AND(AR68 &gt; $F66, AR68 &lt;= $F67), 1, 0)</f>
        <v>1.0</v>
      </c>
      <c r="AS69" s="345">
        <f> IF(AND(AS68 &gt; $F66, AS68 &lt;= $F67), 1, 0)</f>
        <v>1.0</v>
      </c>
      <c r="AT69" s="345">
        <f> IF(AND(AT68 &gt; $F66, AT68 &lt;= $F67), 1, 0)</f>
        <v>1.0</v>
      </c>
      <c r="AU69" s="345">
        <f> IF(AND(AU68 &gt; $F66, AU68 &lt;= $F67), 1, 0)</f>
        <v>1.0</v>
      </c>
      <c r="AV69" s="345">
        <f> IF(AND(AV68 &gt; $F66, AV68 &lt;= $F67), 1, 0)</f>
        <v>1.0</v>
      </c>
      <c r="AW69" s="345">
        <f> IF(AND(AW68 &gt; $F66, AW68 &lt;= $F67), 1, 0)</f>
        <v>1.0</v>
      </c>
      <c r="AX69" s="345">
        <f> IF(AND(AX68 &gt; $F66, AX68 &lt;= $F67), 1, 0)</f>
        <v>1.0</v>
      </c>
      <c r="AY69" s="345">
        <f> IF(AND(AY68 &gt; $F66, AY68 &lt;= $F67), 1, 0)</f>
        <v>1.0</v>
      </c>
      <c r="AZ69" s="345">
        <f> IF(AND(AZ68 &gt; $F66, AZ68 &lt;= $F67), 1, 0)</f>
        <v>1.0</v>
      </c>
      <c r="BA69" s="345">
        <f> IF(AND(BA68 &gt; $F66, BA68 &lt;= $F67), 1, 0)</f>
        <v>1.0</v>
      </c>
      <c r="BB69" s="345">
        <f> IF(AND(BB68 &gt; $F66, BB68 &lt;= $F67), 1, 0)</f>
        <v>1.0</v>
      </c>
      <c r="BC69" s="345">
        <f> IF(AND(BC68 &gt; $F66, BC68 &lt;= $F67), 1, 0)</f>
        <v>1.0</v>
      </c>
      <c r="BD69" s="345">
        <f> IF(AND(BD68 &gt; $F66, BD68 &lt;= $F67), 1, 0)</f>
        <v>1.0</v>
      </c>
      <c r="BE69" s="345">
        <f> IF(AND(BE68 &gt; $F66, BE68 &lt;= $F67), 1, 0)</f>
        <v>1.0</v>
      </c>
      <c r="BF69" s="345">
        <f> IF(AND(BF68 &gt; $F66, BF68 &lt;= $F67), 1, 0)</f>
        <v>1.0</v>
      </c>
      <c r="BG69" s="345">
        <f> IF(AND(BG68 &gt; $F66, BG68 &lt;= $F67), 1, 0)</f>
        <v>1.0</v>
      </c>
      <c r="BH69" s="345">
        <f> IF(AND(BH68 &gt; $F66, BH68 &lt;= $F67), 1, 0)</f>
        <v>1.0</v>
      </c>
      <c r="BI69" s="345">
        <f> IF(AND(BI68 &gt; $F66, BI68 &lt;= $F67), 1, 0)</f>
        <v>1.0</v>
      </c>
      <c r="BJ69" s="345">
        <f> IF(AND(BJ68 &gt; $F66, BJ68 &lt;= $F67), 1, 0)</f>
        <v>1.0</v>
      </c>
      <c r="BK69" s="345">
        <f> IF(AND(BK68 &gt; $F66, BK68 &lt;= $F67), 1, 0)</f>
        <v>1.0</v>
      </c>
      <c r="BL69" s="345">
        <f> IF(AND(BL68 &gt; $F66, BL68 &lt;= $F67), 1, 0)</f>
        <v>1.0</v>
      </c>
      <c r="BM69" s="345">
        <f> IF(AND(BM68 &gt; $F66, BM68 &lt;= $F67), 1, 0)</f>
        <v>1.0</v>
      </c>
      <c r="BN69" s="345">
        <f> IF(AND(BN68 &gt; $F66, BN68 &lt;= $F67), 1, 0)</f>
        <v>1.0</v>
      </c>
      <c r="BO69" s="345">
        <f> IF(AND(BO68 &gt; $F66, BO68 &lt;= $F67), 1, 0)</f>
        <v>1.0</v>
      </c>
      <c r="BP69" s="345">
        <f> IF(AND(BP68 &gt; $F66, BP68 &lt;= $F67), 1, 0)</f>
        <v>1.0</v>
      </c>
      <c r="BQ69" s="345">
        <f> IF(AND(BQ68 &gt; $F66, BQ68 &lt;= $F67), 1, 0)</f>
        <v>1.0</v>
      </c>
      <c r="BR69" s="345">
        <f> IF(AND(BR68 &gt; $F66, BR68 &lt;= $F67), 1, 0)</f>
        <v>1.0</v>
      </c>
      <c r="BS69" s="345">
        <f> IF(AND(BS68 &gt; $F66, BS68 &lt;= $F67), 1, 0)</f>
        <v>1.0</v>
      </c>
      <c r="BT69" s="345">
        <f> IF(AND(BT68 &gt; $F66, BT68 &lt;= $F67), 1, 0)</f>
        <v>1.0</v>
      </c>
      <c r="BU69" s="345">
        <f> IF(AND(BU68 &gt; $F66, BU68 &lt;= $F67), 1, 0)</f>
        <v>1.0</v>
      </c>
      <c r="BV69" s="345">
        <f> IF(AND(BV68 &gt; $F66, BV68 &lt;= $F67), 1, 0)</f>
        <v>1.0</v>
      </c>
      <c r="BW69" s="345">
        <f> IF(AND(BW68 &gt; $F66, BW68 &lt;= $F67), 1, 0)</f>
        <v>1.0</v>
      </c>
      <c r="BX69" s="345">
        <f> IF(AND(BX68 &gt; $F66, BX68 &lt;= $F67), 1, 0)</f>
        <v>1.0</v>
      </c>
      <c r="BY69" s="345">
        <f> IF(AND(BY68 &gt; $F66, BY68 &lt;= $F67), 1, 0)</f>
        <v>1.0</v>
      </c>
      <c r="BZ69" s="345">
        <f> IF(AND(BZ68 &gt; $F66, BZ68 &lt;= $F67), 1, 0)</f>
        <v>1.0</v>
      </c>
      <c r="CA69" s="345">
        <f> IF(AND(CA68 &gt; $F66, CA68 &lt;= $F67), 1, 0)</f>
        <v>1.0</v>
      </c>
      <c r="CB69" s="345">
        <f> IF(AND(CB68 &gt; $F66, CB68 &lt;= $F67), 1, 0)</f>
        <v>1.0</v>
      </c>
      <c r="CC69" s="345">
        <f> IF(AND(CC68 &gt; $F66, CC68 &lt;= $F67), 1, 0)</f>
        <v>1.0</v>
      </c>
      <c r="CD69" s="345">
        <f> IF(AND(CD68 &gt; $F66, CD68 &lt;= $F67), 1, 0)</f>
        <v>1.0</v>
      </c>
      <c r="CE69" s="345">
        <f> IF(AND(CE68 &gt; $F66, CE68 &lt;= $F67), 1, 0)</f>
        <v>1.0</v>
      </c>
      <c r="CF69" s="345">
        <f> IF(AND(CF68 &gt; $F66, CF68 &lt;= $F67), 1, 0)</f>
        <v>1.0</v>
      </c>
      <c r="CG69" s="345">
        <f> IF(AND(CG68 &gt; $F66, CG68 &lt;= $F67), 1, 0)</f>
        <v>1.0</v>
      </c>
      <c r="CH69" s="345">
        <f> IF(AND(CH68 &gt; $F66, CH68 &lt;= $F67), 1, 0)</f>
        <v>1.0</v>
      </c>
      <c r="CI69" s="345">
        <f> IF(AND(CI68 &gt; $F66, CI68 &lt;= $F67), 1, 0)</f>
        <v>1.0</v>
      </c>
      <c r="CJ69" s="345">
        <f> IF(AND(CJ68 &gt; $F66, CJ68 &lt;= $F67), 1, 0)</f>
        <v>1.0</v>
      </c>
      <c r="CK69" s="345">
        <f> IF(AND(CK68 &gt; $F66, CK68 &lt;= $F67), 1, 0)</f>
        <v>1.0</v>
      </c>
      <c r="CL69" s="345">
        <f> IF(AND(CL68 &gt; $F66, CL68 &lt;= $F67), 1, 0)</f>
        <v>1.0</v>
      </c>
      <c r="CM69" s="345">
        <f> IF(AND(CM68 &gt; $F66, CM68 &lt;= $F67), 1, 0)</f>
        <v>1.0</v>
      </c>
      <c r="CN69" s="345">
        <f> IF(AND(CN68 &gt; $F66, CN68 &lt;= $F67), 1, 0)</f>
        <v>0.0</v>
      </c>
      <c r="CO69" s="345">
        <f> IF(AND(CO68 &gt; $F66, CO68 &lt;= $F67), 1, 0)</f>
        <v>0.0</v>
      </c>
    </row>
    <row r="70" customFormat="1" s="29">
      <c r="A70" s="294" t="n"/>
      <c r="B70" s="294" t="n"/>
      <c r="C70" s="212" t="n"/>
      <c r="D70" s="61" t="n"/>
      <c r="E70" s="61" t="inlineStr">
        <is>
          <t>Forecast period total</t>
        </is>
      </c>
      <c r="F70" s="61">
        <f>SUM(J69:CO69)</f>
        <v>80.0</v>
      </c>
      <c r="G70" s="61" t="inlineStr">
        <is>
          <t>columns</t>
        </is>
      </c>
      <c r="H70" s="61" t="n"/>
      <c r="I70" s="61" t="n"/>
      <c r="J70" s="61" t="n"/>
      <c r="K70" s="61" t="n"/>
      <c r="L70" s="61" t="n"/>
      <c r="M70" s="61" t="n"/>
      <c r="N70" s="61" t="n"/>
      <c r="O70" s="61" t="n"/>
      <c r="P70" s="61" t="n"/>
      <c r="Q70" s="61" t="n"/>
      <c r="R70" s="61" t="n"/>
      <c r="S70" s="61" t="n"/>
      <c r="T70" s="61" t="n"/>
      <c r="U70" s="61" t="n"/>
      <c r="V70" s="61" t="n"/>
      <c r="W70" s="61" t="n"/>
      <c r="X70" s="61" t="n"/>
      <c r="Y70" s="61" t="n"/>
      <c r="Z70" s="61" t="n"/>
      <c r="AA70" s="61" t="n"/>
      <c r="AB70" s="61" t="n"/>
      <c r="AC70" s="61" t="n"/>
      <c r="AD70" s="61" t="n"/>
      <c r="AE70" s="61" t="n"/>
      <c r="AF70" s="61" t="n"/>
      <c r="AG70" s="61" t="n"/>
      <c r="AH70" s="61" t="n"/>
      <c r="AI70" s="61" t="n"/>
      <c r="AJ70" s="61" t="n"/>
      <c r="AK70" s="61" t="n"/>
      <c r="AL70" s="61" t="n"/>
      <c r="AM70" s="61" t="n"/>
      <c r="AN70" s="61" t="n"/>
      <c r="AO70" s="61" t="n"/>
      <c r="AP70" s="61" t="n"/>
      <c r="AQ70" s="61" t="n"/>
      <c r="AR70" s="61" t="n"/>
      <c r="AS70" s="61" t="n"/>
      <c r="AT70" s="61" t="n"/>
      <c r="AU70" s="61" t="n"/>
      <c r="AV70" s="61" t="n"/>
      <c r="AW70" s="61" t="n"/>
      <c r="AX70" s="61" t="n"/>
      <c r="AY70" s="61" t="n"/>
      <c r="AZ70" s="61" t="n"/>
      <c r="BA70" s="61" t="n"/>
      <c r="BB70" s="61" t="n"/>
      <c r="BC70" s="61" t="n"/>
      <c r="BD70" s="61" t="n"/>
      <c r="BE70" s="61" t="n"/>
      <c r="BF70" s="61" t="n"/>
      <c r="BG70" s="61" t="n"/>
      <c r="BH70" s="61" t="n"/>
      <c r="BI70" s="61" t="n"/>
      <c r="BJ70" s="61" t="n"/>
      <c r="BK70" s="61" t="n"/>
      <c r="BL70" s="61" t="n"/>
      <c r="BM70" s="61" t="n"/>
      <c r="BN70" s="61" t="n"/>
      <c r="BO70" s="61" t="n"/>
      <c r="BP70" s="61" t="n"/>
      <c r="BQ70" s="61" t="n"/>
      <c r="BR70" s="61" t="n"/>
      <c r="BS70" s="61" t="n"/>
      <c r="BT70" s="61" t="n"/>
      <c r="BU70" s="61" t="n"/>
      <c r="BV70" s="61" t="n"/>
      <c r="BW70" s="61" t="n"/>
      <c r="BX70" s="61" t="n"/>
      <c r="BY70" s="61" t="n"/>
      <c r="BZ70" s="61" t="n"/>
      <c r="CA70" s="61" t="n"/>
      <c r="CB70" s="61" t="n"/>
      <c r="CC70" s="61" t="n"/>
      <c r="CD70" s="61" t="n"/>
      <c r="CE70" s="61" t="n"/>
      <c r="CF70" s="61" t="n"/>
      <c r="CG70" s="61" t="n"/>
      <c r="CH70" s="61" t="n"/>
      <c r="CI70" s="61" t="n"/>
      <c r="CJ70" s="61" t="n"/>
      <c r="CK70" s="61" t="n"/>
      <c r="CL70" s="61" t="n"/>
      <c r="CM70" s="61" t="n"/>
      <c r="CN70" s="61" t="n"/>
      <c r="CO70" s="61" t="n"/>
    </row>
    <row r="72">
      <c r="B72" s="294" t="inlineStr">
        <is>
          <t>Last forecast period flag</t>
        </is>
      </c>
    </row>
    <row r="73" customFormat="1" s="26">
      <c r="A73" s="125" t="n"/>
      <c r="B73" s="125" t="n"/>
      <c r="C73" s="126" t="n"/>
      <c r="D73" s="24" t="n"/>
      <c r="E73" s="127" t="str">
        <f> E$64</f>
        <v>Last forecast date</v>
      </c>
      <c r="F73" s="127">
        <f> F$64</f>
        <v>51866.0</v>
      </c>
      <c r="G73" s="127" t="str">
        <f> G$64</f>
        <v>date</v>
      </c>
      <c r="H73" s="61" t="n"/>
      <c r="I73" s="61" t="n"/>
      <c r="J73" s="61" t="n"/>
      <c r="K73" s="61" t="n"/>
      <c r="L73" s="61" t="n"/>
      <c r="M73" s="61" t="n"/>
      <c r="N73" s="61" t="n"/>
      <c r="O73" s="61" t="n"/>
      <c r="P73" s="61" t="n"/>
      <c r="Q73" s="61" t="n"/>
      <c r="R73" s="61" t="n"/>
      <c r="S73" s="61" t="n"/>
      <c r="T73" s="61" t="n"/>
      <c r="U73" s="61" t="n"/>
      <c r="V73" s="61" t="n"/>
      <c r="W73" s="61" t="n"/>
      <c r="X73" s="61" t="n"/>
      <c r="Y73" s="61" t="n"/>
      <c r="Z73" s="61" t="n"/>
      <c r="AA73" s="61" t="n"/>
      <c r="AB73" s="61" t="n"/>
      <c r="AC73" s="61" t="n"/>
      <c r="AD73" s="61" t="n"/>
      <c r="AE73" s="61" t="n"/>
      <c r="AF73" s="61" t="n"/>
      <c r="AG73" s="61" t="n"/>
      <c r="AH73" s="61" t="n"/>
      <c r="AI73" s="61" t="n"/>
      <c r="AJ73" s="61" t="n"/>
      <c r="AK73" s="61" t="n"/>
      <c r="AL73" s="61" t="n"/>
      <c r="AM73" s="61" t="n"/>
      <c r="AN73" s="61" t="n"/>
      <c r="AO73" s="61" t="n"/>
      <c r="AP73" s="61" t="n"/>
      <c r="AQ73" s="61" t="n"/>
      <c r="AR73" s="61" t="n"/>
      <c r="AS73" s="61" t="n"/>
      <c r="AT73" s="61" t="n"/>
      <c r="AU73" s="61" t="n"/>
      <c r="AV73" s="61" t="n"/>
      <c r="AW73" s="61" t="n"/>
      <c r="AX73" s="61" t="n"/>
      <c r="AY73" s="61" t="n"/>
      <c r="AZ73" s="61" t="n"/>
      <c r="BA73" s="61" t="n"/>
      <c r="BB73" s="61" t="n"/>
      <c r="BC73" s="61" t="n"/>
      <c r="BD73" s="61" t="n"/>
      <c r="BE73" s="61" t="n"/>
      <c r="BF73" s="61" t="n"/>
      <c r="BG73" s="61" t="n"/>
      <c r="BH73" s="61" t="n"/>
      <c r="BI73" s="61" t="n"/>
      <c r="BJ73" s="61" t="n"/>
      <c r="BK73" s="61" t="n"/>
      <c r="BL73" s="61" t="n"/>
      <c r="BM73" s="61" t="n"/>
      <c r="BN73" s="61" t="n"/>
      <c r="BO73" s="61" t="n"/>
      <c r="BP73" s="61" t="n"/>
      <c r="BQ73" s="61" t="n"/>
      <c r="BR73" s="61" t="n"/>
      <c r="BS73" s="61" t="n"/>
      <c r="BT73" s="61" t="n"/>
      <c r="BU73" s="61" t="n"/>
      <c r="BV73" s="61" t="n"/>
      <c r="BW73" s="61" t="n"/>
      <c r="BX73" s="61" t="n"/>
      <c r="BY73" s="61" t="n"/>
      <c r="BZ73" s="61" t="n"/>
      <c r="CA73" s="61" t="n"/>
      <c r="CB73" s="61" t="n"/>
      <c r="CC73" s="61" t="n"/>
      <c r="CD73" s="61" t="n"/>
      <c r="CE73" s="61" t="n"/>
      <c r="CF73" s="61" t="n"/>
      <c r="CG73" s="61" t="n"/>
      <c r="CH73" s="61" t="n"/>
      <c r="CI73" s="61" t="n"/>
      <c r="CJ73" s="61" t="n"/>
      <c r="CK73" s="61" t="n"/>
      <c r="CL73" s="61" t="n"/>
      <c r="CM73" s="61" t="n"/>
      <c r="CN73" s="61" t="n"/>
      <c r="CO73" s="61" t="n"/>
    </row>
    <row r="74" ht="15" customFormat="1" customHeight="1" s="123">
      <c r="A74" s="167" t="n"/>
      <c r="B74" s="167" t="n"/>
      <c r="C74" s="237" t="n"/>
      <c r="D74" s="121" t="n"/>
      <c r="E74" s="140" t="str">
        <f> E$25</f>
        <v>Model period ending </v>
      </c>
      <c r="F74" s="140">
        <f> F$25</f>
        <v>0.0</v>
      </c>
      <c r="G74" s="140" t="str">
        <f> G$25</f>
        <v>date</v>
      </c>
      <c r="H74" s="140">
        <f> H$25</f>
        <v>0.0</v>
      </c>
      <c r="I74" s="140">
        <f> I$25</f>
        <v>0.0</v>
      </c>
      <c r="J74" s="140">
        <f> J$25</f>
        <v>44469.0</v>
      </c>
      <c r="K74" s="140">
        <f> K$25</f>
        <v>44561.0</v>
      </c>
      <c r="L74" s="140">
        <f> L$25</f>
        <v>44651.0</v>
      </c>
      <c r="M74" s="140">
        <f> M$25</f>
        <v>44742.0</v>
      </c>
      <c r="N74" s="140">
        <f> N$25</f>
        <v>44834.0</v>
      </c>
      <c r="O74" s="140">
        <f> O$25</f>
        <v>44926.0</v>
      </c>
      <c r="P74" s="140">
        <f> P$25</f>
        <v>45016.0</v>
      </c>
      <c r="Q74" s="140">
        <f> Q$25</f>
        <v>45107.0</v>
      </c>
      <c r="R74" s="140">
        <f> R$25</f>
        <v>45199.0</v>
      </c>
      <c r="S74" s="140">
        <f> S$25</f>
        <v>45291.0</v>
      </c>
      <c r="T74" s="140">
        <f> T$25</f>
        <v>45382.0</v>
      </c>
      <c r="U74" s="140">
        <f> U$25</f>
        <v>45473.0</v>
      </c>
      <c r="V74" s="140">
        <f> V$25</f>
        <v>45565.0</v>
      </c>
      <c r="W74" s="140">
        <f> W$25</f>
        <v>45657.0</v>
      </c>
      <c r="X74" s="140">
        <f> X$25</f>
        <v>45747.0</v>
      </c>
      <c r="Y74" s="140">
        <f> Y$25</f>
        <v>45838.0</v>
      </c>
      <c r="Z74" s="140">
        <f> Z$25</f>
        <v>45930.0</v>
      </c>
      <c r="AA74" s="140">
        <f> AA$25</f>
        <v>46022.0</v>
      </c>
      <c r="AB74" s="140">
        <f> AB$25</f>
        <v>46112.0</v>
      </c>
      <c r="AC74" s="140">
        <f> AC$25</f>
        <v>46203.0</v>
      </c>
      <c r="AD74" s="140">
        <f> AD$25</f>
        <v>46295.0</v>
      </c>
      <c r="AE74" s="140">
        <f> AE$25</f>
        <v>46387.0</v>
      </c>
      <c r="AF74" s="140">
        <f> AF$25</f>
        <v>46477.0</v>
      </c>
      <c r="AG74" s="140">
        <f> AG$25</f>
        <v>46568.0</v>
      </c>
      <c r="AH74" s="140">
        <f> AH$25</f>
        <v>46660.0</v>
      </c>
      <c r="AI74" s="140">
        <f> AI$25</f>
        <v>46752.0</v>
      </c>
      <c r="AJ74" s="140">
        <f> AJ$25</f>
        <v>46843.0</v>
      </c>
      <c r="AK74" s="140">
        <f> AK$25</f>
        <v>46934.0</v>
      </c>
      <c r="AL74" s="140">
        <f> AL$25</f>
        <v>47026.0</v>
      </c>
      <c r="AM74" s="140">
        <f> AM$25</f>
        <v>47118.0</v>
      </c>
      <c r="AN74" s="140">
        <f> AN$25</f>
        <v>47208.0</v>
      </c>
      <c r="AO74" s="140">
        <f> AO$25</f>
        <v>47299.0</v>
      </c>
      <c r="AP74" s="140">
        <f> AP$25</f>
        <v>47391.0</v>
      </c>
      <c r="AQ74" s="140">
        <f> AQ$25</f>
        <v>47483.0</v>
      </c>
      <c r="AR74" s="140">
        <f> AR$25</f>
        <v>47573.0</v>
      </c>
      <c r="AS74" s="140">
        <f> AS$25</f>
        <v>47664.0</v>
      </c>
      <c r="AT74" s="140">
        <f> AT$25</f>
        <v>47756.0</v>
      </c>
      <c r="AU74" s="140">
        <f> AU$25</f>
        <v>47848.0</v>
      </c>
      <c r="AV74" s="140">
        <f> AV$25</f>
        <v>47938.0</v>
      </c>
      <c r="AW74" s="140">
        <f> AW$25</f>
        <v>48029.0</v>
      </c>
      <c r="AX74" s="140">
        <f> AX$25</f>
        <v>48121.0</v>
      </c>
      <c r="AY74" s="140">
        <f> AY$25</f>
        <v>48213.0</v>
      </c>
      <c r="AZ74" s="140">
        <f> AZ$25</f>
        <v>48304.0</v>
      </c>
      <c r="BA74" s="140">
        <f> BA$25</f>
        <v>48395.0</v>
      </c>
      <c r="BB74" s="140">
        <f> BB$25</f>
        <v>48487.0</v>
      </c>
      <c r="BC74" s="140">
        <f> BC$25</f>
        <v>48579.0</v>
      </c>
      <c r="BD74" s="140">
        <f> BD$25</f>
        <v>48669.0</v>
      </c>
      <c r="BE74" s="140">
        <f> BE$25</f>
        <v>48760.0</v>
      </c>
      <c r="BF74" s="140">
        <f> BF$25</f>
        <v>48852.0</v>
      </c>
      <c r="BG74" s="140">
        <f> BG$25</f>
        <v>48944.0</v>
      </c>
      <c r="BH74" s="140">
        <f> BH$25</f>
        <v>49034.0</v>
      </c>
      <c r="BI74" s="140">
        <f> BI$25</f>
        <v>49125.0</v>
      </c>
      <c r="BJ74" s="140">
        <f> BJ$25</f>
        <v>49217.0</v>
      </c>
      <c r="BK74" s="140">
        <f> BK$25</f>
        <v>49309.0</v>
      </c>
      <c r="BL74" s="140">
        <f> BL$25</f>
        <v>49399.0</v>
      </c>
      <c r="BM74" s="140">
        <f> BM$25</f>
        <v>49490.0</v>
      </c>
      <c r="BN74" s="140">
        <f> BN$25</f>
        <v>49582.0</v>
      </c>
      <c r="BO74" s="140">
        <f> BO$25</f>
        <v>49674.0</v>
      </c>
      <c r="BP74" s="140">
        <f> BP$25</f>
        <v>49765.0</v>
      </c>
      <c r="BQ74" s="140">
        <f> BQ$25</f>
        <v>49856.0</v>
      </c>
      <c r="BR74" s="140">
        <f> BR$25</f>
        <v>49948.0</v>
      </c>
      <c r="BS74" s="140">
        <f> BS$25</f>
        <v>50040.0</v>
      </c>
      <c r="BT74" s="140">
        <f> BT$25</f>
        <v>50130.0</v>
      </c>
      <c r="BU74" s="140">
        <f> BU$25</f>
        <v>50221.0</v>
      </c>
      <c r="BV74" s="140">
        <f> BV$25</f>
        <v>50313.0</v>
      </c>
      <c r="BW74" s="140">
        <f> BW$25</f>
        <v>50405.0</v>
      </c>
      <c r="BX74" s="140">
        <f> BX$25</f>
        <v>50495.0</v>
      </c>
      <c r="BY74" s="140">
        <f> BY$25</f>
        <v>50586.0</v>
      </c>
      <c r="BZ74" s="140">
        <f> BZ$25</f>
        <v>50678.0</v>
      </c>
      <c r="CA74" s="140">
        <f> CA$25</f>
        <v>50770.0</v>
      </c>
      <c r="CB74" s="140">
        <f> CB$25</f>
        <v>50860.0</v>
      </c>
      <c r="CC74" s="140">
        <f> CC$25</f>
        <v>50951.0</v>
      </c>
      <c r="CD74" s="140">
        <f> CD$25</f>
        <v>51043.0</v>
      </c>
      <c r="CE74" s="140">
        <f> CE$25</f>
        <v>51135.0</v>
      </c>
      <c r="CF74" s="140">
        <f> CF$25</f>
        <v>51226.0</v>
      </c>
      <c r="CG74" s="140">
        <f> CG$25</f>
        <v>51317.0</v>
      </c>
      <c r="CH74" s="140">
        <f> CH$25</f>
        <v>51409.0</v>
      </c>
      <c r="CI74" s="140">
        <f> CI$25</f>
        <v>51501.0</v>
      </c>
      <c r="CJ74" s="140">
        <f> CJ$25</f>
        <v>51591.0</v>
      </c>
      <c r="CK74" s="140">
        <f> CK$25</f>
        <v>51682.0</v>
      </c>
      <c r="CL74" s="140">
        <f> CL$25</f>
        <v>51774.0</v>
      </c>
      <c r="CM74" s="140">
        <f> CM$25</f>
        <v>51866.0</v>
      </c>
      <c r="CN74" s="140">
        <f> CN$25</f>
        <v>51956.0</v>
      </c>
      <c r="CO74" s="140">
        <f> CO$25</f>
        <v>52047.0</v>
      </c>
    </row>
    <row r="75" customFormat="1" s="330">
      <c r="A75" s="326" t="n"/>
      <c r="B75" s="326" t="n"/>
      <c r="C75" s="327" t="n"/>
      <c r="D75" s="345" t="n"/>
      <c r="E75" s="345" t="inlineStr">
        <is>
          <t>Last forecast period flag</t>
        </is>
      </c>
      <c r="F75" s="326" t="n"/>
      <c r="G75" s="345" t="inlineStr">
        <is>
          <t>flag</t>
        </is>
      </c>
      <c r="H75" s="345">
        <f> SUM(J75:CO75)</f>
        <v>1.0</v>
      </c>
      <c r="I75" s="345" t="n"/>
      <c r="J75" s="345" t="n">
        <v>0</v>
      </c>
      <c r="K75" s="345">
        <f> IF(K74 = $F73, 1, 0)</f>
        <v>0.0</v>
      </c>
      <c r="L75" s="345">
        <f> IF(L74 = $F73, 1, 0)</f>
        <v>0.0</v>
      </c>
      <c r="M75" s="345">
        <f> IF(M74 = $F73, 1, 0)</f>
        <v>0.0</v>
      </c>
      <c r="N75" s="345">
        <f> IF(N74 = $F73, 1, 0)</f>
        <v>0.0</v>
      </c>
      <c r="O75" s="345">
        <f> IF(O74 = $F73, 1, 0)</f>
        <v>0.0</v>
      </c>
      <c r="P75" s="345">
        <f> IF(P74 = $F73, 1, 0)</f>
        <v>0.0</v>
      </c>
      <c r="Q75" s="345">
        <f> IF(Q74 = $F73, 1, 0)</f>
        <v>0.0</v>
      </c>
      <c r="R75" s="345">
        <f> IF(R74 = $F73, 1, 0)</f>
        <v>0.0</v>
      </c>
      <c r="S75" s="345">
        <f> IF(S74 = $F73, 1, 0)</f>
        <v>0.0</v>
      </c>
      <c r="T75" s="345">
        <f> IF(T74 = $F73, 1, 0)</f>
        <v>0.0</v>
      </c>
      <c r="U75" s="345">
        <f> IF(U74 = $F73, 1, 0)</f>
        <v>0.0</v>
      </c>
      <c r="V75" s="345">
        <f> IF(V74 = $F73, 1, 0)</f>
        <v>0.0</v>
      </c>
      <c r="W75" s="345">
        <f> IF(W74 = $F73, 1, 0)</f>
        <v>0.0</v>
      </c>
      <c r="X75" s="345">
        <f> IF(X74 = $F73, 1, 0)</f>
        <v>0.0</v>
      </c>
      <c r="Y75" s="345">
        <f> IF(Y74 = $F73, 1, 0)</f>
        <v>0.0</v>
      </c>
      <c r="Z75" s="345">
        <f> IF(Z74 = $F73, 1, 0)</f>
        <v>0.0</v>
      </c>
      <c r="AA75" s="345">
        <f> IF(AA74 = $F73, 1, 0)</f>
        <v>0.0</v>
      </c>
      <c r="AB75" s="345">
        <f> IF(AB74 = $F73, 1, 0)</f>
        <v>0.0</v>
      </c>
      <c r="AC75" s="345">
        <f> IF(AC74 = $F73, 1, 0)</f>
        <v>0.0</v>
      </c>
      <c r="AD75" s="345">
        <f> IF(AD74 = $F73, 1, 0)</f>
        <v>0.0</v>
      </c>
      <c r="AE75" s="345">
        <f> IF(AE74 = $F73, 1, 0)</f>
        <v>0.0</v>
      </c>
      <c r="AF75" s="345">
        <f> IF(AF74 = $F73, 1, 0)</f>
        <v>0.0</v>
      </c>
      <c r="AG75" s="345">
        <f> IF(AG74 = $F73, 1, 0)</f>
        <v>0.0</v>
      </c>
      <c r="AH75" s="345">
        <f> IF(AH74 = $F73, 1, 0)</f>
        <v>0.0</v>
      </c>
      <c r="AI75" s="345">
        <f> IF(AI74 = $F73, 1, 0)</f>
        <v>0.0</v>
      </c>
      <c r="AJ75" s="345">
        <f> IF(AJ74 = $F73, 1, 0)</f>
        <v>0.0</v>
      </c>
      <c r="AK75" s="345">
        <f> IF(AK74 = $F73, 1, 0)</f>
        <v>0.0</v>
      </c>
      <c r="AL75" s="345">
        <f> IF(AL74 = $F73, 1, 0)</f>
        <v>0.0</v>
      </c>
      <c r="AM75" s="345">
        <f> IF(AM74 = $F73, 1, 0)</f>
        <v>0.0</v>
      </c>
      <c r="AN75" s="345">
        <f> IF(AN74 = $F73, 1, 0)</f>
        <v>0.0</v>
      </c>
      <c r="AO75" s="345">
        <f> IF(AO74 = $F73, 1, 0)</f>
        <v>0.0</v>
      </c>
      <c r="AP75" s="345">
        <f> IF(AP74 = $F73, 1, 0)</f>
        <v>0.0</v>
      </c>
      <c r="AQ75" s="345">
        <f> IF(AQ74 = $F73, 1, 0)</f>
        <v>0.0</v>
      </c>
      <c r="AR75" s="345">
        <f> IF(AR74 = $F73, 1, 0)</f>
        <v>0.0</v>
      </c>
      <c r="AS75" s="345">
        <f> IF(AS74 = $F73, 1, 0)</f>
        <v>0.0</v>
      </c>
      <c r="AT75" s="345">
        <f> IF(AT74 = $F73, 1, 0)</f>
        <v>0.0</v>
      </c>
      <c r="AU75" s="345">
        <f> IF(AU74 = $F73, 1, 0)</f>
        <v>0.0</v>
      </c>
      <c r="AV75" s="345">
        <f> IF(AV74 = $F73, 1, 0)</f>
        <v>0.0</v>
      </c>
      <c r="AW75" s="345">
        <f> IF(AW74 = $F73, 1, 0)</f>
        <v>0.0</v>
      </c>
      <c r="AX75" s="345">
        <f> IF(AX74 = $F73, 1, 0)</f>
        <v>0.0</v>
      </c>
      <c r="AY75" s="345">
        <f> IF(AY74 = $F73, 1, 0)</f>
        <v>0.0</v>
      </c>
      <c r="AZ75" s="345">
        <f> IF(AZ74 = $F73, 1, 0)</f>
        <v>0.0</v>
      </c>
      <c r="BA75" s="345">
        <f> IF(BA74 = $F73, 1, 0)</f>
        <v>0.0</v>
      </c>
      <c r="BB75" s="345">
        <f> IF(BB74 = $F73, 1, 0)</f>
        <v>0.0</v>
      </c>
      <c r="BC75" s="345">
        <f> IF(BC74 = $F73, 1, 0)</f>
        <v>0.0</v>
      </c>
      <c r="BD75" s="345">
        <f> IF(BD74 = $F73, 1, 0)</f>
        <v>0.0</v>
      </c>
      <c r="BE75" s="345">
        <f> IF(BE74 = $F73, 1, 0)</f>
        <v>0.0</v>
      </c>
      <c r="BF75" s="345">
        <f> IF(BF74 = $F73, 1, 0)</f>
        <v>0.0</v>
      </c>
      <c r="BG75" s="345">
        <f> IF(BG74 = $F73, 1, 0)</f>
        <v>0.0</v>
      </c>
      <c r="BH75" s="345">
        <f> IF(BH74 = $F73, 1, 0)</f>
        <v>0.0</v>
      </c>
      <c r="BI75" s="345">
        <f> IF(BI74 = $F73, 1, 0)</f>
        <v>0.0</v>
      </c>
      <c r="BJ75" s="345">
        <f> IF(BJ74 = $F73, 1, 0)</f>
        <v>0.0</v>
      </c>
      <c r="BK75" s="345">
        <f> IF(BK74 = $F73, 1, 0)</f>
        <v>0.0</v>
      </c>
      <c r="BL75" s="345">
        <f> IF(BL74 = $F73, 1, 0)</f>
        <v>0.0</v>
      </c>
      <c r="BM75" s="345">
        <f> IF(BM74 = $F73, 1, 0)</f>
        <v>0.0</v>
      </c>
      <c r="BN75" s="345">
        <f> IF(BN74 = $F73, 1, 0)</f>
        <v>0.0</v>
      </c>
      <c r="BO75" s="345">
        <f> IF(BO74 = $F73, 1, 0)</f>
        <v>0.0</v>
      </c>
      <c r="BP75" s="345">
        <f> IF(BP74 = $F73, 1, 0)</f>
        <v>0.0</v>
      </c>
      <c r="BQ75" s="345">
        <f> IF(BQ74 = $F73, 1, 0)</f>
        <v>0.0</v>
      </c>
      <c r="BR75" s="345">
        <f> IF(BR74 = $F73, 1, 0)</f>
        <v>0.0</v>
      </c>
      <c r="BS75" s="345">
        <f> IF(BS74 = $F73, 1, 0)</f>
        <v>0.0</v>
      </c>
      <c r="BT75" s="345">
        <f> IF(BT74 = $F73, 1, 0)</f>
        <v>0.0</v>
      </c>
      <c r="BU75" s="345">
        <f> IF(BU74 = $F73, 1, 0)</f>
        <v>0.0</v>
      </c>
      <c r="BV75" s="345">
        <f> IF(BV74 = $F73, 1, 0)</f>
        <v>0.0</v>
      </c>
      <c r="BW75" s="345">
        <f> IF(BW74 = $F73, 1, 0)</f>
        <v>0.0</v>
      </c>
      <c r="BX75" s="345">
        <f> IF(BX74 = $F73, 1, 0)</f>
        <v>0.0</v>
      </c>
      <c r="BY75" s="345">
        <f> IF(BY74 = $F73, 1, 0)</f>
        <v>0.0</v>
      </c>
      <c r="BZ75" s="345">
        <f> IF(BZ74 = $F73, 1, 0)</f>
        <v>0.0</v>
      </c>
      <c r="CA75" s="345">
        <f> IF(CA74 = $F73, 1, 0)</f>
        <v>0.0</v>
      </c>
      <c r="CB75" s="345">
        <f> IF(CB74 = $F73, 1, 0)</f>
        <v>0.0</v>
      </c>
      <c r="CC75" s="345">
        <f> IF(CC74 = $F73, 1, 0)</f>
        <v>0.0</v>
      </c>
      <c r="CD75" s="345">
        <f> IF(CD74 = $F73, 1, 0)</f>
        <v>0.0</v>
      </c>
      <c r="CE75" s="345">
        <f> IF(CE74 = $F73, 1, 0)</f>
        <v>0.0</v>
      </c>
      <c r="CF75" s="345">
        <f> IF(CF74 = $F73, 1, 0)</f>
        <v>0.0</v>
      </c>
      <c r="CG75" s="345">
        <f> IF(CG74 = $F73, 1, 0)</f>
        <v>0.0</v>
      </c>
      <c r="CH75" s="345">
        <f> IF(CH74 = $F73, 1, 0)</f>
        <v>0.0</v>
      </c>
      <c r="CI75" s="345">
        <f> IF(CI74 = $F73, 1, 0)</f>
        <v>0.0</v>
      </c>
      <c r="CJ75" s="345">
        <f> IF(CJ74 = $F73, 1, 0)</f>
        <v>0.0</v>
      </c>
      <c r="CK75" s="345">
        <f> IF(CK74 = $F73, 1, 0)</f>
        <v>0.0</v>
      </c>
      <c r="CL75" s="345">
        <f> IF(CL74 = $F73, 1, 0)</f>
        <v>0.0</v>
      </c>
      <c r="CM75" s="345">
        <f> IF(CM74 = $F73, 1, 0)</f>
        <v>1.0</v>
      </c>
      <c r="CN75" s="345">
        <f> IF(CN74 = $F73, 1, 0)</f>
        <v>0.0</v>
      </c>
      <c r="CO75" s="345">
        <f> IF(CO74 = $F73, 1, 0)</f>
        <v>0.0</v>
      </c>
    </row>
    <row r="76">
      <c r="E76" s="61" t="n"/>
      <c r="F76" s="61" t="n"/>
      <c r="G76" s="61" t="n"/>
      <c r="H76" s="61" t="n"/>
      <c r="I76" s="61" t="n"/>
      <c r="J76" s="61" t="n"/>
      <c r="K76" s="61" t="n"/>
      <c r="L76" s="61" t="n"/>
      <c r="M76" s="61" t="n"/>
      <c r="N76" s="61" t="n"/>
      <c r="O76" s="61" t="n"/>
      <c r="P76" s="61" t="n"/>
      <c r="Q76" s="61" t="n"/>
      <c r="R76" s="61" t="n"/>
      <c r="S76" s="61" t="n"/>
      <c r="T76" s="61" t="n"/>
      <c r="U76" s="61" t="n"/>
      <c r="V76" s="61" t="n"/>
      <c r="W76" s="61" t="n"/>
      <c r="X76" s="61" t="n"/>
      <c r="Y76" s="61" t="n"/>
      <c r="Z76" s="61" t="n"/>
      <c r="AA76" s="61" t="n"/>
      <c r="AB76" s="61" t="n"/>
      <c r="AC76" s="61" t="n"/>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n"/>
      <c r="AZ76" s="61" t="n"/>
      <c r="BA76" s="61" t="n"/>
      <c r="BB76" s="61" t="n"/>
      <c r="BC76" s="61" t="n"/>
      <c r="BD76" s="61" t="n"/>
      <c r="BE76" s="61" t="n"/>
      <c r="BF76" s="61" t="n"/>
      <c r="BG76" s="61" t="n"/>
      <c r="BH76" s="61" t="n"/>
      <c r="BI76" s="61" t="n"/>
      <c r="BJ76" s="61" t="n"/>
      <c r="BK76" s="61" t="n"/>
      <c r="BL76" s="61" t="n"/>
      <c r="BM76" s="61" t="n"/>
      <c r="BN76" s="61" t="n"/>
      <c r="BO76" s="61" t="n"/>
      <c r="BP76" s="61" t="n"/>
      <c r="BQ76" s="61" t="n"/>
      <c r="BR76" s="61" t="n"/>
      <c r="BS76" s="61" t="n"/>
      <c r="BT76" s="61" t="n"/>
      <c r="BU76" s="61" t="n"/>
      <c r="BV76" s="61" t="n"/>
      <c r="BW76" s="61" t="n"/>
      <c r="BX76" s="61" t="n"/>
      <c r="BY76" s="61" t="n"/>
      <c r="BZ76" s="61" t="n"/>
      <c r="CA76" s="61" t="n"/>
      <c r="CB76" s="61" t="n"/>
      <c r="CC76" s="61" t="n"/>
      <c r="CD76" s="61" t="n"/>
      <c r="CE76" s="61" t="n"/>
      <c r="CF76" s="61" t="n"/>
      <c r="CG76" s="61" t="n"/>
      <c r="CH76" s="61" t="n"/>
      <c r="CI76" s="61" t="n"/>
      <c r="CJ76" s="61" t="n"/>
      <c r="CK76" s="61" t="n"/>
      <c r="CL76" s="61" t="n"/>
      <c r="CM76" s="61" t="n"/>
      <c r="CN76" s="61" t="n"/>
      <c r="CO76" s="61" t="n"/>
    </row>
    <row r="77">
      <c r="B77" s="294" t="inlineStr">
        <is>
          <t>1st post forecast period flag</t>
        </is>
      </c>
      <c r="E77" s="61" t="n"/>
      <c r="F77" s="61" t="n"/>
      <c r="G77" s="61" t="n"/>
      <c r="H77" s="61" t="n"/>
      <c r="I77" s="61" t="n"/>
      <c r="J77" s="61" t="n"/>
      <c r="K77" s="61" t="n"/>
      <c r="L77" s="61" t="n"/>
      <c r="M77" s="61" t="n"/>
      <c r="N77" s="61" t="n"/>
      <c r="O77" s="61" t="n"/>
      <c r="P77" s="61" t="n"/>
      <c r="Q77" s="61" t="n"/>
      <c r="R77" s="61" t="n"/>
      <c r="S77" s="61" t="n"/>
      <c r="T77" s="61" t="n"/>
      <c r="U77" s="61" t="n"/>
      <c r="V77" s="61" t="n"/>
      <c r="W77" s="61" t="n"/>
      <c r="X77" s="61" t="n"/>
      <c r="Y77" s="61" t="n"/>
      <c r="Z77" s="61" t="n"/>
      <c r="AA77" s="61" t="n"/>
      <c r="AB77" s="61" t="n"/>
      <c r="AC77" s="61" t="n"/>
      <c r="AD77" s="61" t="n"/>
      <c r="AE77" s="61" t="n"/>
      <c r="AF77" s="61" t="n"/>
      <c r="AG77" s="61" t="n"/>
      <c r="AH77" s="61" t="n"/>
      <c r="AI77" s="61" t="n"/>
      <c r="AJ77" s="61" t="n"/>
      <c r="AK77" s="61" t="n"/>
      <c r="AL77" s="61" t="n"/>
      <c r="AM77" s="61" t="n"/>
      <c r="AN77" s="61" t="n"/>
      <c r="AO77" s="61" t="n"/>
      <c r="AP77" s="61" t="n"/>
      <c r="AQ77" s="61" t="n"/>
      <c r="AR77" s="61" t="n"/>
      <c r="AS77" s="61" t="n"/>
      <c r="AT77" s="61" t="n"/>
      <c r="AU77" s="61" t="n"/>
      <c r="AV77" s="61" t="n"/>
      <c r="AW77" s="61" t="n"/>
      <c r="AX77" s="61" t="n"/>
      <c r="AY77" s="61" t="n"/>
      <c r="AZ77" s="61" t="n"/>
      <c r="BA77" s="61" t="n"/>
      <c r="BB77" s="61" t="n"/>
      <c r="BC77" s="61" t="n"/>
      <c r="BD77" s="61" t="n"/>
      <c r="BE77" s="61" t="n"/>
      <c r="BF77" s="61" t="n"/>
      <c r="BG77" s="61" t="n"/>
      <c r="BH77" s="61" t="n"/>
      <c r="BI77" s="61" t="n"/>
      <c r="BJ77" s="61" t="n"/>
      <c r="BK77" s="61" t="n"/>
      <c r="BL77" s="61" t="n"/>
      <c r="BM77" s="61" t="n"/>
      <c r="BN77" s="61" t="n"/>
      <c r="BO77" s="61" t="n"/>
      <c r="BP77" s="61" t="n"/>
      <c r="BQ77" s="61" t="n"/>
      <c r="BR77" s="61" t="n"/>
      <c r="BS77" s="61" t="n"/>
      <c r="BT77" s="61" t="n"/>
      <c r="BU77" s="61" t="n"/>
      <c r="BV77" s="61" t="n"/>
      <c r="BW77" s="61" t="n"/>
      <c r="BX77" s="61" t="n"/>
      <c r="BY77" s="61" t="n"/>
      <c r="BZ77" s="61" t="n"/>
      <c r="CA77" s="61" t="n"/>
      <c r="CB77" s="61" t="n"/>
      <c r="CC77" s="61" t="n"/>
      <c r="CD77" s="61" t="n"/>
      <c r="CE77" s="61" t="n"/>
      <c r="CF77" s="61" t="n"/>
      <c r="CG77" s="61" t="n"/>
      <c r="CH77" s="61" t="n"/>
      <c r="CI77" s="61" t="n"/>
      <c r="CJ77" s="61" t="n"/>
      <c r="CK77" s="61" t="n"/>
      <c r="CL77" s="61" t="n"/>
      <c r="CM77" s="61" t="n"/>
      <c r="CN77" s="61" t="n"/>
      <c r="CO77" s="61" t="n"/>
    </row>
    <row r="78">
      <c r="E78" s="152" t="str">
        <f> E$75</f>
        <v>Last forecast period flag</v>
      </c>
      <c r="F78" s="152">
        <f> F$75</f>
        <v>0.0</v>
      </c>
      <c r="G78" s="152" t="str">
        <f> G$75</f>
        <v>flag</v>
      </c>
      <c r="H78" s="152">
        <f> H$75</f>
        <v>1.0</v>
      </c>
      <c r="I78" s="143">
        <f> I$75</f>
        <v>0.0</v>
      </c>
      <c r="J78" s="152">
        <f> J$75</f>
        <v>0.0</v>
      </c>
      <c r="K78" s="152">
        <f> K$75</f>
        <v>0.0</v>
      </c>
      <c r="L78" s="152">
        <f> L$75</f>
        <v>0.0</v>
      </c>
      <c r="M78" s="152">
        <f> M$75</f>
        <v>0.0</v>
      </c>
      <c r="N78" s="152">
        <f> N$75</f>
        <v>0.0</v>
      </c>
      <c r="O78" s="152">
        <f> O$75</f>
        <v>0.0</v>
      </c>
      <c r="P78" s="152">
        <f> P$75</f>
        <v>0.0</v>
      </c>
      <c r="Q78" s="152">
        <f> Q$75</f>
        <v>0.0</v>
      </c>
      <c r="R78" s="152">
        <f> R$75</f>
        <v>0.0</v>
      </c>
      <c r="S78" s="152">
        <f> S$75</f>
        <v>0.0</v>
      </c>
      <c r="T78" s="152">
        <f> T$75</f>
        <v>0.0</v>
      </c>
      <c r="U78" s="152">
        <f> U$75</f>
        <v>0.0</v>
      </c>
      <c r="V78" s="152">
        <f> V$75</f>
        <v>0.0</v>
      </c>
      <c r="W78" s="152">
        <f> W$75</f>
        <v>0.0</v>
      </c>
      <c r="X78" s="152">
        <f> X$75</f>
        <v>0.0</v>
      </c>
      <c r="Y78" s="152">
        <f> Y$75</f>
        <v>0.0</v>
      </c>
      <c r="Z78" s="152">
        <f> Z$75</f>
        <v>0.0</v>
      </c>
      <c r="AA78" s="152">
        <f> AA$75</f>
        <v>0.0</v>
      </c>
      <c r="AB78" s="152">
        <f> AB$75</f>
        <v>0.0</v>
      </c>
      <c r="AC78" s="152">
        <f> AC$75</f>
        <v>0.0</v>
      </c>
      <c r="AD78" s="152">
        <f> AD$75</f>
        <v>0.0</v>
      </c>
      <c r="AE78" s="152">
        <f> AE$75</f>
        <v>0.0</v>
      </c>
      <c r="AF78" s="152">
        <f> AF$75</f>
        <v>0.0</v>
      </c>
      <c r="AG78" s="152">
        <f> AG$75</f>
        <v>0.0</v>
      </c>
      <c r="AH78" s="152">
        <f> AH$75</f>
        <v>0.0</v>
      </c>
      <c r="AI78" s="152">
        <f> AI$75</f>
        <v>0.0</v>
      </c>
      <c r="AJ78" s="152">
        <f> AJ$75</f>
        <v>0.0</v>
      </c>
      <c r="AK78" s="152">
        <f> AK$75</f>
        <v>0.0</v>
      </c>
      <c r="AL78" s="152">
        <f> AL$75</f>
        <v>0.0</v>
      </c>
      <c r="AM78" s="152">
        <f> AM$75</f>
        <v>0.0</v>
      </c>
      <c r="AN78" s="152">
        <f> AN$75</f>
        <v>0.0</v>
      </c>
      <c r="AO78" s="152">
        <f> AO$75</f>
        <v>0.0</v>
      </c>
      <c r="AP78" s="152">
        <f> AP$75</f>
        <v>0.0</v>
      </c>
      <c r="AQ78" s="152">
        <f> AQ$75</f>
        <v>0.0</v>
      </c>
      <c r="AR78" s="152">
        <f> AR$75</f>
        <v>0.0</v>
      </c>
      <c r="AS78" s="152">
        <f> AS$75</f>
        <v>0.0</v>
      </c>
      <c r="AT78" s="152">
        <f> AT$75</f>
        <v>0.0</v>
      </c>
      <c r="AU78" s="152">
        <f> AU$75</f>
        <v>0.0</v>
      </c>
      <c r="AV78" s="152">
        <f> AV$75</f>
        <v>0.0</v>
      </c>
      <c r="AW78" s="152">
        <f> AW$75</f>
        <v>0.0</v>
      </c>
      <c r="AX78" s="152">
        <f> AX$75</f>
        <v>0.0</v>
      </c>
      <c r="AY78" s="152">
        <f> AY$75</f>
        <v>0.0</v>
      </c>
      <c r="AZ78" s="152">
        <f> AZ$75</f>
        <v>0.0</v>
      </c>
      <c r="BA78" s="152">
        <f> BA$75</f>
        <v>0.0</v>
      </c>
      <c r="BB78" s="152">
        <f> BB$75</f>
        <v>0.0</v>
      </c>
      <c r="BC78" s="152">
        <f> BC$75</f>
        <v>0.0</v>
      </c>
      <c r="BD78" s="152">
        <f> BD$75</f>
        <v>0.0</v>
      </c>
      <c r="BE78" s="152">
        <f> BE$75</f>
        <v>0.0</v>
      </c>
      <c r="BF78" s="152">
        <f> BF$75</f>
        <v>0.0</v>
      </c>
      <c r="BG78" s="152">
        <f> BG$75</f>
        <v>0.0</v>
      </c>
      <c r="BH78" s="152">
        <f> BH$75</f>
        <v>0.0</v>
      </c>
      <c r="BI78" s="152">
        <f> BI$75</f>
        <v>0.0</v>
      </c>
      <c r="BJ78" s="152">
        <f> BJ$75</f>
        <v>0.0</v>
      </c>
      <c r="BK78" s="152">
        <f> BK$75</f>
        <v>0.0</v>
      </c>
      <c r="BL78" s="152">
        <f> BL$75</f>
        <v>0.0</v>
      </c>
      <c r="BM78" s="152">
        <f> BM$75</f>
        <v>0.0</v>
      </c>
      <c r="BN78" s="152">
        <f> BN$75</f>
        <v>0.0</v>
      </c>
      <c r="BO78" s="152">
        <f> BO$75</f>
        <v>0.0</v>
      </c>
      <c r="BP78" s="152">
        <f> BP$75</f>
        <v>0.0</v>
      </c>
      <c r="BQ78" s="152">
        <f> BQ$75</f>
        <v>0.0</v>
      </c>
      <c r="BR78" s="152">
        <f> BR$75</f>
        <v>0.0</v>
      </c>
      <c r="BS78" s="152">
        <f> BS$75</f>
        <v>0.0</v>
      </c>
      <c r="BT78" s="152">
        <f> BT$75</f>
        <v>0.0</v>
      </c>
      <c r="BU78" s="152">
        <f> BU$75</f>
        <v>0.0</v>
      </c>
      <c r="BV78" s="152">
        <f> BV$75</f>
        <v>0.0</v>
      </c>
      <c r="BW78" s="152">
        <f> BW$75</f>
        <v>0.0</v>
      </c>
      <c r="BX78" s="152">
        <f> BX$75</f>
        <v>0.0</v>
      </c>
      <c r="BY78" s="152">
        <f> BY$75</f>
        <v>0.0</v>
      </c>
      <c r="BZ78" s="152">
        <f> BZ$75</f>
        <v>0.0</v>
      </c>
      <c r="CA78" s="152">
        <f> CA$75</f>
        <v>0.0</v>
      </c>
      <c r="CB78" s="152">
        <f> CB$75</f>
        <v>0.0</v>
      </c>
      <c r="CC78" s="152">
        <f> CC$75</f>
        <v>0.0</v>
      </c>
      <c r="CD78" s="152">
        <f> CD$75</f>
        <v>0.0</v>
      </c>
      <c r="CE78" s="152">
        <f> CE$75</f>
        <v>0.0</v>
      </c>
      <c r="CF78" s="152">
        <f> CF$75</f>
        <v>0.0</v>
      </c>
      <c r="CG78" s="152">
        <f> CG$75</f>
        <v>0.0</v>
      </c>
      <c r="CH78" s="152">
        <f> CH$75</f>
        <v>0.0</v>
      </c>
      <c r="CI78" s="152">
        <f> CI$75</f>
        <v>0.0</v>
      </c>
      <c r="CJ78" s="152">
        <f> CJ$75</f>
        <v>0.0</v>
      </c>
      <c r="CK78" s="152">
        <f> CK$75</f>
        <v>0.0</v>
      </c>
      <c r="CL78" s="152">
        <f> CL$75</f>
        <v>0.0</v>
      </c>
      <c r="CM78" s="152">
        <f> CM$75</f>
        <v>1.0</v>
      </c>
      <c r="CN78" s="152">
        <f> CN$75</f>
        <v>0.0</v>
      </c>
      <c r="CO78" s="152">
        <f> CO$75</f>
        <v>0.0</v>
      </c>
    </row>
    <row r="79" customFormat="1" s="29">
      <c r="A79" s="294" t="n"/>
      <c r="B79" s="144" t="n"/>
      <c r="C79" s="212" t="n"/>
      <c r="D79" s="61" t="n"/>
      <c r="E79" s="61" t="inlineStr">
        <is>
          <t>1st post forecast period flag</t>
        </is>
      </c>
      <c r="F79" s="61" t="n"/>
      <c r="G79" s="61" t="inlineStr">
        <is>
          <t>flag</t>
        </is>
      </c>
      <c r="H79" s="61">
        <f> SUM(J79:CO79)</f>
        <v>1.0</v>
      </c>
      <c r="I79" s="61" t="n"/>
      <c r="J79" s="61">
        <f> I78</f>
        <v>0.0</v>
      </c>
      <c r="K79" s="61">
        <f> J78</f>
        <v>0.0</v>
      </c>
      <c r="L79" s="61">
        <f> K78</f>
        <v>0.0</v>
      </c>
      <c r="M79" s="61">
        <f> L78</f>
        <v>0.0</v>
      </c>
      <c r="N79" s="61">
        <f> M78</f>
        <v>0.0</v>
      </c>
      <c r="O79" s="61">
        <f> N78</f>
        <v>0.0</v>
      </c>
      <c r="P79" s="61">
        <f> O78</f>
        <v>0.0</v>
      </c>
      <c r="Q79" s="61">
        <f> P78</f>
        <v>0.0</v>
      </c>
      <c r="R79" s="61">
        <f> Q78</f>
        <v>0.0</v>
      </c>
      <c r="S79" s="61">
        <f> R78</f>
        <v>0.0</v>
      </c>
      <c r="T79" s="61">
        <f> S78</f>
        <v>0.0</v>
      </c>
      <c r="U79" s="61">
        <f> T78</f>
        <v>0.0</v>
      </c>
      <c r="V79" s="61">
        <f> U78</f>
        <v>0.0</v>
      </c>
      <c r="W79" s="61">
        <f> V78</f>
        <v>0.0</v>
      </c>
      <c r="X79" s="61">
        <f> W78</f>
        <v>0.0</v>
      </c>
      <c r="Y79" s="61">
        <f> X78</f>
        <v>0.0</v>
      </c>
      <c r="Z79" s="61">
        <f> Y78</f>
        <v>0.0</v>
      </c>
      <c r="AA79" s="61">
        <f> Z78</f>
        <v>0.0</v>
      </c>
      <c r="AB79" s="61">
        <f> AA78</f>
        <v>0.0</v>
      </c>
      <c r="AC79" s="61">
        <f> AB78</f>
        <v>0.0</v>
      </c>
      <c r="AD79" s="61">
        <f> AC78</f>
        <v>0.0</v>
      </c>
      <c r="AE79" s="61">
        <f> AD78</f>
        <v>0.0</v>
      </c>
      <c r="AF79" s="61">
        <f> AE78</f>
        <v>0.0</v>
      </c>
      <c r="AG79" s="61">
        <f> AF78</f>
        <v>0.0</v>
      </c>
      <c r="AH79" s="61">
        <f> AG78</f>
        <v>0.0</v>
      </c>
      <c r="AI79" s="61">
        <f> AH78</f>
        <v>0.0</v>
      </c>
      <c r="AJ79" s="61">
        <f> AI78</f>
        <v>0.0</v>
      </c>
      <c r="AK79" s="61">
        <f> AJ78</f>
        <v>0.0</v>
      </c>
      <c r="AL79" s="61">
        <f> AK78</f>
        <v>0.0</v>
      </c>
      <c r="AM79" s="61">
        <f> AL78</f>
        <v>0.0</v>
      </c>
      <c r="AN79" s="61">
        <f> AM78</f>
        <v>0.0</v>
      </c>
      <c r="AO79" s="61">
        <f> AN78</f>
        <v>0.0</v>
      </c>
      <c r="AP79" s="61">
        <f> AO78</f>
        <v>0.0</v>
      </c>
      <c r="AQ79" s="61">
        <f> AP78</f>
        <v>0.0</v>
      </c>
      <c r="AR79" s="61">
        <f> AQ78</f>
        <v>0.0</v>
      </c>
      <c r="AS79" s="61">
        <f> AR78</f>
        <v>0.0</v>
      </c>
      <c r="AT79" s="61">
        <f> AS78</f>
        <v>0.0</v>
      </c>
      <c r="AU79" s="61">
        <f> AT78</f>
        <v>0.0</v>
      </c>
      <c r="AV79" s="61">
        <f> AU78</f>
        <v>0.0</v>
      </c>
      <c r="AW79" s="61">
        <f> AV78</f>
        <v>0.0</v>
      </c>
      <c r="AX79" s="61">
        <f> AW78</f>
        <v>0.0</v>
      </c>
      <c r="AY79" s="61">
        <f> AX78</f>
        <v>0.0</v>
      </c>
      <c r="AZ79" s="61">
        <f> AY78</f>
        <v>0.0</v>
      </c>
      <c r="BA79" s="61">
        <f> AZ78</f>
        <v>0.0</v>
      </c>
      <c r="BB79" s="61">
        <f> BA78</f>
        <v>0.0</v>
      </c>
      <c r="BC79" s="61">
        <f> BB78</f>
        <v>0.0</v>
      </c>
      <c r="BD79" s="61">
        <f> BC78</f>
        <v>0.0</v>
      </c>
      <c r="BE79" s="61">
        <f> BD78</f>
        <v>0.0</v>
      </c>
      <c r="BF79" s="61">
        <f> BE78</f>
        <v>0.0</v>
      </c>
      <c r="BG79" s="61">
        <f> BF78</f>
        <v>0.0</v>
      </c>
      <c r="BH79" s="61">
        <f> BG78</f>
        <v>0.0</v>
      </c>
      <c r="BI79" s="61">
        <f> BH78</f>
        <v>0.0</v>
      </c>
      <c r="BJ79" s="61">
        <f> BI78</f>
        <v>0.0</v>
      </c>
      <c r="BK79" s="61">
        <f> BJ78</f>
        <v>0.0</v>
      </c>
      <c r="BL79" s="61">
        <f> BK78</f>
        <v>0.0</v>
      </c>
      <c r="BM79" s="61">
        <f> BL78</f>
        <v>0.0</v>
      </c>
      <c r="BN79" s="61">
        <f> BM78</f>
        <v>0.0</v>
      </c>
      <c r="BO79" s="61">
        <f> BN78</f>
        <v>0.0</v>
      </c>
      <c r="BP79" s="61">
        <f> BO78</f>
        <v>0.0</v>
      </c>
      <c r="BQ79" s="61">
        <f> BP78</f>
        <v>0.0</v>
      </c>
      <c r="BR79" s="61">
        <f> BQ78</f>
        <v>0.0</v>
      </c>
      <c r="BS79" s="61">
        <f> BR78</f>
        <v>0.0</v>
      </c>
      <c r="BT79" s="61">
        <f> BS78</f>
        <v>0.0</v>
      </c>
      <c r="BU79" s="61">
        <f> BT78</f>
        <v>0.0</v>
      </c>
      <c r="BV79" s="61">
        <f> BU78</f>
        <v>0.0</v>
      </c>
      <c r="BW79" s="61">
        <f> BV78</f>
        <v>0.0</v>
      </c>
      <c r="BX79" s="61">
        <f> BW78</f>
        <v>0.0</v>
      </c>
      <c r="BY79" s="61">
        <f> BX78</f>
        <v>0.0</v>
      </c>
      <c r="BZ79" s="61">
        <f> BY78</f>
        <v>0.0</v>
      </c>
      <c r="CA79" s="61">
        <f> BZ78</f>
        <v>0.0</v>
      </c>
      <c r="CB79" s="61">
        <f> CA78</f>
        <v>0.0</v>
      </c>
      <c r="CC79" s="61">
        <f> CB78</f>
        <v>0.0</v>
      </c>
      <c r="CD79" s="61">
        <f> CC78</f>
        <v>0.0</v>
      </c>
      <c r="CE79" s="61">
        <f> CD78</f>
        <v>0.0</v>
      </c>
      <c r="CF79" s="61">
        <f> CE78</f>
        <v>0.0</v>
      </c>
      <c r="CG79" s="61">
        <f> CF78</f>
        <v>0.0</v>
      </c>
      <c r="CH79" s="61">
        <f> CG78</f>
        <v>0.0</v>
      </c>
      <c r="CI79" s="61">
        <f> CH78</f>
        <v>0.0</v>
      </c>
      <c r="CJ79" s="61">
        <f> CI78</f>
        <v>0.0</v>
      </c>
      <c r="CK79" s="61">
        <f> CJ78</f>
        <v>0.0</v>
      </c>
      <c r="CL79" s="61">
        <f> CK78</f>
        <v>0.0</v>
      </c>
      <c r="CM79" s="61">
        <f> CL78</f>
        <v>0.0</v>
      </c>
      <c r="CN79" s="61">
        <f> CM78</f>
        <v>1.0</v>
      </c>
      <c r="CO79" s="61">
        <f> CN78</f>
        <v>0.0</v>
      </c>
    </row>
    <row r="80">
      <c r="E80" s="61" t="n"/>
      <c r="F80" s="61" t="n"/>
      <c r="G80" s="61" t="n"/>
      <c r="H80" s="61" t="n"/>
      <c r="I80" s="61" t="n"/>
      <c r="J80" s="61" t="n"/>
      <c r="K80" s="61" t="n"/>
      <c r="L80" s="61" t="n"/>
      <c r="M80" s="61" t="n"/>
      <c r="N80" s="61" t="n"/>
      <c r="O80" s="61" t="n"/>
      <c r="P80" s="61" t="n"/>
      <c r="Q80" s="61" t="n"/>
      <c r="R80" s="61" t="n"/>
      <c r="S80" s="61" t="n"/>
      <c r="T80" s="61" t="n"/>
      <c r="U80" s="61" t="n"/>
      <c r="V80" s="61" t="n"/>
      <c r="W80" s="61" t="n"/>
      <c r="X80" s="61" t="n"/>
      <c r="Y80" s="61" t="n"/>
      <c r="Z80" s="61" t="n"/>
      <c r="AA80" s="61" t="n"/>
      <c r="AB80" s="61" t="n"/>
      <c r="AC80" s="61" t="n"/>
      <c r="AD80" s="61" t="n"/>
      <c r="AE80" s="61" t="n"/>
      <c r="AF80" s="61" t="n"/>
      <c r="AG80" s="61" t="n"/>
      <c r="AH80" s="61" t="n"/>
      <c r="AI80" s="61" t="n"/>
      <c r="AJ80" s="61" t="n"/>
      <c r="AK80" s="61" t="n"/>
      <c r="AL80" s="61" t="n"/>
      <c r="AM80" s="61" t="n"/>
      <c r="AN80" s="61" t="n"/>
      <c r="AO80" s="61" t="n"/>
      <c r="AP80" s="61" t="n"/>
      <c r="AQ80" s="61" t="n"/>
      <c r="AR80" s="61" t="n"/>
      <c r="AS80" s="61" t="n"/>
      <c r="AT80" s="61" t="n"/>
      <c r="AU80" s="61" t="n"/>
      <c r="AV80" s="61" t="n"/>
      <c r="AW80" s="61" t="n"/>
      <c r="AX80" s="61" t="n"/>
      <c r="AY80" s="61" t="n"/>
      <c r="AZ80" s="61" t="n"/>
      <c r="BA80" s="61" t="n"/>
      <c r="BB80" s="61" t="n"/>
      <c r="BC80" s="61" t="n"/>
      <c r="BD80" s="61" t="n"/>
      <c r="BE80" s="61" t="n"/>
      <c r="BF80" s="61" t="n"/>
      <c r="BG80" s="61" t="n"/>
      <c r="BH80" s="61" t="n"/>
      <c r="BI80" s="61" t="n"/>
      <c r="BJ80" s="61" t="n"/>
      <c r="BK80" s="61" t="n"/>
      <c r="BL80" s="61" t="n"/>
      <c r="BM80" s="61" t="n"/>
      <c r="BN80" s="61" t="n"/>
      <c r="BO80" s="61" t="n"/>
      <c r="BP80" s="61" t="n"/>
      <c r="BQ80" s="61" t="n"/>
      <c r="BR80" s="61" t="n"/>
      <c r="BS80" s="61" t="n"/>
      <c r="BT80" s="61" t="n"/>
      <c r="BU80" s="61" t="n"/>
      <c r="BV80" s="61" t="n"/>
      <c r="BW80" s="61" t="n"/>
      <c r="BX80" s="61" t="n"/>
      <c r="BY80" s="61" t="n"/>
      <c r="BZ80" s="61" t="n"/>
      <c r="CA80" s="61" t="n"/>
      <c r="CB80" s="61" t="n"/>
      <c r="CC80" s="61" t="n"/>
      <c r="CD80" s="61" t="n"/>
      <c r="CE80" s="61" t="n"/>
      <c r="CF80" s="61" t="n"/>
      <c r="CG80" s="61" t="n"/>
      <c r="CH80" s="61" t="n"/>
      <c r="CI80" s="61" t="n"/>
      <c r="CJ80" s="61" t="n"/>
      <c r="CK80" s="61" t="n"/>
      <c r="CL80" s="61" t="n"/>
      <c r="CM80" s="61" t="n"/>
      <c r="CN80" s="61" t="n"/>
      <c r="CO80" s="61" t="n"/>
    </row>
    <row r="81" ht="15" customFormat="1" customHeight="1" s="142">
      <c r="A81" s="163" t="n"/>
      <c r="B81" s="163" t="inlineStr">
        <is>
          <t>Post forecast period flag</t>
        </is>
      </c>
      <c r="C81" s="172" t="n"/>
      <c r="D81" s="88" t="n"/>
      <c r="E81" s="169" t="n"/>
      <c r="F81" s="169" t="n"/>
      <c r="G81" s="169" t="n"/>
      <c r="H81" s="169" t="n"/>
      <c r="I81" s="169" t="n"/>
      <c r="J81" s="169" t="n"/>
      <c r="K81" s="169" t="n"/>
      <c r="L81" s="169" t="n"/>
      <c r="M81" s="169" t="n"/>
      <c r="N81" s="169" t="n"/>
      <c r="O81" s="169" t="n"/>
      <c r="P81" s="169" t="n"/>
      <c r="Q81" s="169" t="n"/>
      <c r="R81" s="35" t="n"/>
      <c r="S81" s="35" t="n"/>
      <c r="T81" s="35" t="n"/>
      <c r="U81" s="35" t="n"/>
      <c r="V81" s="35" t="n"/>
      <c r="W81" s="35" t="n"/>
      <c r="X81" s="35" t="n"/>
      <c r="Y81" s="35" t="n"/>
      <c r="Z81" s="35" t="n"/>
      <c r="AA81" s="35" t="n"/>
      <c r="AB81" s="35" t="n"/>
      <c r="AC81" s="35" t="n"/>
      <c r="AD81" s="35" t="n"/>
      <c r="AE81" s="35" t="n"/>
      <c r="AF81" s="35" t="n"/>
      <c r="AG81" s="35" t="n"/>
      <c r="AH81" s="35" t="n"/>
      <c r="AI81" s="35" t="n"/>
      <c r="AJ81" s="35" t="n"/>
      <c r="AK81" s="35" t="n"/>
      <c r="AL81" s="35" t="n"/>
      <c r="AM81" s="35" t="n"/>
      <c r="AN81" s="35" t="n"/>
      <c r="AO81" s="35" t="n"/>
      <c r="AP81" s="35" t="n"/>
      <c r="AQ81" s="35" t="n"/>
      <c r="AR81" s="35" t="n"/>
      <c r="AS81" s="35" t="n"/>
      <c r="AT81" s="35" t="n"/>
      <c r="AU81" s="35" t="n"/>
      <c r="AV81" s="35" t="n"/>
      <c r="AW81" s="35" t="n"/>
      <c r="AX81" s="35" t="n"/>
      <c r="AY81" s="35" t="n"/>
      <c r="AZ81" s="35" t="n"/>
      <c r="BA81" s="35" t="n"/>
      <c r="BB81" s="35" t="n"/>
      <c r="BC81" s="35" t="n"/>
      <c r="BD81" s="35" t="n"/>
      <c r="BE81" s="35" t="n"/>
      <c r="BF81" s="35" t="n"/>
      <c r="BG81" s="35" t="n"/>
      <c r="BH81" s="35" t="n"/>
      <c r="BI81" s="35" t="n"/>
      <c r="BJ81" s="35" t="n"/>
      <c r="BK81" s="35" t="n"/>
      <c r="BL81" s="35" t="n"/>
      <c r="BM81" s="35" t="n"/>
      <c r="BN81" s="35" t="n"/>
      <c r="BO81" s="35" t="n"/>
      <c r="BP81" s="35" t="n"/>
      <c r="BQ81" s="35" t="n"/>
      <c r="BR81" s="35" t="n"/>
      <c r="BS81" s="35" t="n"/>
      <c r="BT81" s="35" t="n"/>
      <c r="BU81" s="35" t="n"/>
      <c r="BV81" s="35" t="n"/>
      <c r="BW81" s="35" t="n"/>
      <c r="BX81" s="35" t="n"/>
      <c r="BY81" s="35" t="n"/>
      <c r="BZ81" s="35" t="n"/>
      <c r="CA81" s="35" t="n"/>
      <c r="CB81" s="35" t="n"/>
      <c r="CC81" s="35" t="n"/>
      <c r="CD81" s="35" t="n"/>
      <c r="CE81" s="35" t="n"/>
      <c r="CF81" s="35" t="n"/>
      <c r="CG81" s="35" t="n"/>
      <c r="CH81" s="35" t="n"/>
      <c r="CI81" s="35" t="n"/>
      <c r="CJ81" s="35" t="n"/>
      <c r="CK81" s="35" t="n"/>
      <c r="CL81" s="35" t="n"/>
      <c r="CM81" s="35" t="n"/>
      <c r="CN81" s="35" t="n"/>
      <c r="CO81" s="35" t="n"/>
    </row>
    <row r="82" customFormat="1" s="29">
      <c r="A82" s="294" t="n"/>
      <c r="B82" s="294" t="n"/>
      <c r="C82" s="212" t="n"/>
      <c r="D82" s="61" t="n"/>
      <c r="E82" s="152" t="str">
        <f> E$79</f>
        <v>1st post forecast period flag</v>
      </c>
      <c r="F82" s="152">
        <f> F$79</f>
        <v>0.0</v>
      </c>
      <c r="G82" s="152" t="str">
        <f> G$79</f>
        <v>flag</v>
      </c>
      <c r="H82" s="152">
        <f> H$79</f>
        <v>1.0</v>
      </c>
      <c r="I82" s="152">
        <f> I$79</f>
        <v>0.0</v>
      </c>
      <c r="J82" s="152">
        <f> J$79</f>
        <v>0.0</v>
      </c>
      <c r="K82" s="152">
        <f> K$79</f>
        <v>0.0</v>
      </c>
      <c r="L82" s="152">
        <f> L$79</f>
        <v>0.0</v>
      </c>
      <c r="M82" s="152">
        <f> M$79</f>
        <v>0.0</v>
      </c>
      <c r="N82" s="152">
        <f> N$79</f>
        <v>0.0</v>
      </c>
      <c r="O82" s="152">
        <f> O$79</f>
        <v>0.0</v>
      </c>
      <c r="P82" s="152">
        <f> P$79</f>
        <v>0.0</v>
      </c>
      <c r="Q82" s="152">
        <f> Q$79</f>
        <v>0.0</v>
      </c>
      <c r="R82" s="152">
        <f> R$79</f>
        <v>0.0</v>
      </c>
      <c r="S82" s="152">
        <f> S$79</f>
        <v>0.0</v>
      </c>
      <c r="T82" s="152">
        <f> T$79</f>
        <v>0.0</v>
      </c>
      <c r="U82" s="152">
        <f> U$79</f>
        <v>0.0</v>
      </c>
      <c r="V82" s="152">
        <f> V$79</f>
        <v>0.0</v>
      </c>
      <c r="W82" s="152">
        <f> W$79</f>
        <v>0.0</v>
      </c>
      <c r="X82" s="152">
        <f> X$79</f>
        <v>0.0</v>
      </c>
      <c r="Y82" s="152">
        <f> Y$79</f>
        <v>0.0</v>
      </c>
      <c r="Z82" s="152">
        <f> Z$79</f>
        <v>0.0</v>
      </c>
      <c r="AA82" s="152">
        <f> AA$79</f>
        <v>0.0</v>
      </c>
      <c r="AB82" s="152">
        <f> AB$79</f>
        <v>0.0</v>
      </c>
      <c r="AC82" s="152">
        <f> AC$79</f>
        <v>0.0</v>
      </c>
      <c r="AD82" s="152">
        <f> AD$79</f>
        <v>0.0</v>
      </c>
      <c r="AE82" s="152">
        <f> AE$79</f>
        <v>0.0</v>
      </c>
      <c r="AF82" s="152">
        <f> AF$79</f>
        <v>0.0</v>
      </c>
      <c r="AG82" s="152">
        <f> AG$79</f>
        <v>0.0</v>
      </c>
      <c r="AH82" s="152">
        <f> AH$79</f>
        <v>0.0</v>
      </c>
      <c r="AI82" s="152">
        <f> AI$79</f>
        <v>0.0</v>
      </c>
      <c r="AJ82" s="152">
        <f> AJ$79</f>
        <v>0.0</v>
      </c>
      <c r="AK82" s="152">
        <f> AK$79</f>
        <v>0.0</v>
      </c>
      <c r="AL82" s="152">
        <f> AL$79</f>
        <v>0.0</v>
      </c>
      <c r="AM82" s="152">
        <f> AM$79</f>
        <v>0.0</v>
      </c>
      <c r="AN82" s="152">
        <f> AN$79</f>
        <v>0.0</v>
      </c>
      <c r="AO82" s="152">
        <f> AO$79</f>
        <v>0.0</v>
      </c>
      <c r="AP82" s="152">
        <f> AP$79</f>
        <v>0.0</v>
      </c>
      <c r="AQ82" s="152">
        <f> AQ$79</f>
        <v>0.0</v>
      </c>
      <c r="AR82" s="152">
        <f> AR$79</f>
        <v>0.0</v>
      </c>
      <c r="AS82" s="152">
        <f> AS$79</f>
        <v>0.0</v>
      </c>
      <c r="AT82" s="152">
        <f> AT$79</f>
        <v>0.0</v>
      </c>
      <c r="AU82" s="152">
        <f> AU$79</f>
        <v>0.0</v>
      </c>
      <c r="AV82" s="152">
        <f> AV$79</f>
        <v>0.0</v>
      </c>
      <c r="AW82" s="152">
        <f> AW$79</f>
        <v>0.0</v>
      </c>
      <c r="AX82" s="152">
        <f> AX$79</f>
        <v>0.0</v>
      </c>
      <c r="AY82" s="152">
        <f> AY$79</f>
        <v>0.0</v>
      </c>
      <c r="AZ82" s="152">
        <f> AZ$79</f>
        <v>0.0</v>
      </c>
      <c r="BA82" s="152">
        <f> BA$79</f>
        <v>0.0</v>
      </c>
      <c r="BB82" s="152">
        <f> BB$79</f>
        <v>0.0</v>
      </c>
      <c r="BC82" s="152">
        <f> BC$79</f>
        <v>0.0</v>
      </c>
      <c r="BD82" s="152">
        <f> BD$79</f>
        <v>0.0</v>
      </c>
      <c r="BE82" s="152">
        <f> BE$79</f>
        <v>0.0</v>
      </c>
      <c r="BF82" s="152">
        <f> BF$79</f>
        <v>0.0</v>
      </c>
      <c r="BG82" s="152">
        <f> BG$79</f>
        <v>0.0</v>
      </c>
      <c r="BH82" s="152">
        <f> BH$79</f>
        <v>0.0</v>
      </c>
      <c r="BI82" s="152">
        <f> BI$79</f>
        <v>0.0</v>
      </c>
      <c r="BJ82" s="152">
        <f> BJ$79</f>
        <v>0.0</v>
      </c>
      <c r="BK82" s="152">
        <f> BK$79</f>
        <v>0.0</v>
      </c>
      <c r="BL82" s="152">
        <f> BL$79</f>
        <v>0.0</v>
      </c>
      <c r="BM82" s="152">
        <f> BM$79</f>
        <v>0.0</v>
      </c>
      <c r="BN82" s="152">
        <f> BN$79</f>
        <v>0.0</v>
      </c>
      <c r="BO82" s="152">
        <f> BO$79</f>
        <v>0.0</v>
      </c>
      <c r="BP82" s="152">
        <f> BP$79</f>
        <v>0.0</v>
      </c>
      <c r="BQ82" s="152">
        <f> BQ$79</f>
        <v>0.0</v>
      </c>
      <c r="BR82" s="152">
        <f> BR$79</f>
        <v>0.0</v>
      </c>
      <c r="BS82" s="152">
        <f> BS$79</f>
        <v>0.0</v>
      </c>
      <c r="BT82" s="152">
        <f> BT$79</f>
        <v>0.0</v>
      </c>
      <c r="BU82" s="152">
        <f> BU$79</f>
        <v>0.0</v>
      </c>
      <c r="BV82" s="152">
        <f> BV$79</f>
        <v>0.0</v>
      </c>
      <c r="BW82" s="152">
        <f> BW$79</f>
        <v>0.0</v>
      </c>
      <c r="BX82" s="152">
        <f> BX$79</f>
        <v>0.0</v>
      </c>
      <c r="BY82" s="152">
        <f> BY$79</f>
        <v>0.0</v>
      </c>
      <c r="BZ82" s="152">
        <f> BZ$79</f>
        <v>0.0</v>
      </c>
      <c r="CA82" s="152">
        <f> CA$79</f>
        <v>0.0</v>
      </c>
      <c r="CB82" s="152">
        <f> CB$79</f>
        <v>0.0</v>
      </c>
      <c r="CC82" s="152">
        <f> CC$79</f>
        <v>0.0</v>
      </c>
      <c r="CD82" s="152">
        <f> CD$79</f>
        <v>0.0</v>
      </c>
      <c r="CE82" s="152">
        <f> CE$79</f>
        <v>0.0</v>
      </c>
      <c r="CF82" s="152">
        <f> CF$79</f>
        <v>0.0</v>
      </c>
      <c r="CG82" s="152">
        <f> CG$79</f>
        <v>0.0</v>
      </c>
      <c r="CH82" s="152">
        <f> CH$79</f>
        <v>0.0</v>
      </c>
      <c r="CI82" s="152">
        <f> CI$79</f>
        <v>0.0</v>
      </c>
      <c r="CJ82" s="152">
        <f> CJ$79</f>
        <v>0.0</v>
      </c>
      <c r="CK82" s="152">
        <f> CK$79</f>
        <v>0.0</v>
      </c>
      <c r="CL82" s="152">
        <f> CL$79</f>
        <v>0.0</v>
      </c>
      <c r="CM82" s="152">
        <f> CM$79</f>
        <v>0.0</v>
      </c>
      <c r="CN82" s="152">
        <f> CN$79</f>
        <v>1.0</v>
      </c>
      <c r="CO82" s="152">
        <f> CO$79</f>
        <v>0.0</v>
      </c>
    </row>
    <row r="83" customFormat="1" s="29">
      <c r="A83" s="294" t="n"/>
      <c r="B83" s="294" t="n"/>
      <c r="C83" s="212" t="n"/>
      <c r="D83" s="61" t="n"/>
      <c r="E83" s="61" t="inlineStr">
        <is>
          <t>Post forecast period flag</t>
        </is>
      </c>
      <c r="F83" s="61" t="n"/>
      <c r="G83" s="61" t="inlineStr">
        <is>
          <t>flag</t>
        </is>
      </c>
      <c r="H83" s="61">
        <f> SUM(J83:CO83)</f>
        <v>2.0</v>
      </c>
      <c r="I83" s="213" t="n"/>
      <c r="J83" s="61">
        <f> I83 + J82</f>
        <v>0.0</v>
      </c>
      <c r="K83" s="61">
        <f> J83 + K82</f>
        <v>0.0</v>
      </c>
      <c r="L83" s="61">
        <f> K83 + L82</f>
        <v>0.0</v>
      </c>
      <c r="M83" s="61">
        <f> L83 + M82</f>
        <v>0.0</v>
      </c>
      <c r="N83" s="61">
        <f> M83 + N82</f>
        <v>0.0</v>
      </c>
      <c r="O83" s="61">
        <f> N83 + O82</f>
        <v>0.0</v>
      </c>
      <c r="P83" s="61">
        <f> O83 + P82</f>
        <v>0.0</v>
      </c>
      <c r="Q83" s="61">
        <f> P83 + Q82</f>
        <v>0.0</v>
      </c>
      <c r="R83" s="61">
        <f> Q83 + R82</f>
        <v>0.0</v>
      </c>
      <c r="S83" s="61">
        <f> R83 + S82</f>
        <v>0.0</v>
      </c>
      <c r="T83" s="61">
        <f> S83 + T82</f>
        <v>0.0</v>
      </c>
      <c r="U83" s="61">
        <f> T83 + U82</f>
        <v>0.0</v>
      </c>
      <c r="V83" s="61">
        <f> U83 + V82</f>
        <v>0.0</v>
      </c>
      <c r="W83" s="61">
        <f> V83 + W82</f>
        <v>0.0</v>
      </c>
      <c r="X83" s="61">
        <f> W83 + X82</f>
        <v>0.0</v>
      </c>
      <c r="Y83" s="61">
        <f> X83 + Y82</f>
        <v>0.0</v>
      </c>
      <c r="Z83" s="61">
        <f> Y83 + Z82</f>
        <v>0.0</v>
      </c>
      <c r="AA83" s="61">
        <f> Z83 + AA82</f>
        <v>0.0</v>
      </c>
      <c r="AB83" s="61">
        <f> AA83 + AB82</f>
        <v>0.0</v>
      </c>
      <c r="AC83" s="61">
        <f> AB83 + AC82</f>
        <v>0.0</v>
      </c>
      <c r="AD83" s="61">
        <f> AC83 + AD82</f>
        <v>0.0</v>
      </c>
      <c r="AE83" s="61">
        <f> AD83 + AE82</f>
        <v>0.0</v>
      </c>
      <c r="AF83" s="61">
        <f> AE83 + AF82</f>
        <v>0.0</v>
      </c>
      <c r="AG83" s="61">
        <f> AF83 + AG82</f>
        <v>0.0</v>
      </c>
      <c r="AH83" s="61">
        <f> AG83 + AH82</f>
        <v>0.0</v>
      </c>
      <c r="AI83" s="61">
        <f> AH83 + AI82</f>
        <v>0.0</v>
      </c>
      <c r="AJ83" s="61">
        <f> AI83 + AJ82</f>
        <v>0.0</v>
      </c>
      <c r="AK83" s="61">
        <f> AJ83 + AK82</f>
        <v>0.0</v>
      </c>
      <c r="AL83" s="61">
        <f> AK83 + AL82</f>
        <v>0.0</v>
      </c>
      <c r="AM83" s="61">
        <f> AL83 + AM82</f>
        <v>0.0</v>
      </c>
      <c r="AN83" s="61">
        <f> AM83 + AN82</f>
        <v>0.0</v>
      </c>
      <c r="AO83" s="61">
        <f> AN83 + AO82</f>
        <v>0.0</v>
      </c>
      <c r="AP83" s="61">
        <f> AO83 + AP82</f>
        <v>0.0</v>
      </c>
      <c r="AQ83" s="61">
        <f> AP83 + AQ82</f>
        <v>0.0</v>
      </c>
      <c r="AR83" s="61">
        <f> AQ83 + AR82</f>
        <v>0.0</v>
      </c>
      <c r="AS83" s="61">
        <f> AR83 + AS82</f>
        <v>0.0</v>
      </c>
      <c r="AT83" s="61">
        <f> AS83 + AT82</f>
        <v>0.0</v>
      </c>
      <c r="AU83" s="61">
        <f> AT83 + AU82</f>
        <v>0.0</v>
      </c>
      <c r="AV83" s="61">
        <f> AU83 + AV82</f>
        <v>0.0</v>
      </c>
      <c r="AW83" s="61">
        <f> AV83 + AW82</f>
        <v>0.0</v>
      </c>
      <c r="AX83" s="61">
        <f> AW83 + AX82</f>
        <v>0.0</v>
      </c>
      <c r="AY83" s="61">
        <f> AX83 + AY82</f>
        <v>0.0</v>
      </c>
      <c r="AZ83" s="61">
        <f> AY83 + AZ82</f>
        <v>0.0</v>
      </c>
      <c r="BA83" s="61">
        <f> AZ83 + BA82</f>
        <v>0.0</v>
      </c>
      <c r="BB83" s="61">
        <f> BA83 + BB82</f>
        <v>0.0</v>
      </c>
      <c r="BC83" s="61">
        <f> BB83 + BC82</f>
        <v>0.0</v>
      </c>
      <c r="BD83" s="61">
        <f> BC83 + BD82</f>
        <v>0.0</v>
      </c>
      <c r="BE83" s="61">
        <f> BD83 + BE82</f>
        <v>0.0</v>
      </c>
      <c r="BF83" s="61">
        <f> BE83 + BF82</f>
        <v>0.0</v>
      </c>
      <c r="BG83" s="61">
        <f> BF83 + BG82</f>
        <v>0.0</v>
      </c>
      <c r="BH83" s="61">
        <f> BG83 + BH82</f>
        <v>0.0</v>
      </c>
      <c r="BI83" s="61">
        <f> BH83 + BI82</f>
        <v>0.0</v>
      </c>
      <c r="BJ83" s="61">
        <f> BI83 + BJ82</f>
        <v>0.0</v>
      </c>
      <c r="BK83" s="61">
        <f> BJ83 + BK82</f>
        <v>0.0</v>
      </c>
      <c r="BL83" s="61">
        <f> BK83 + BL82</f>
        <v>0.0</v>
      </c>
      <c r="BM83" s="61">
        <f> BL83 + BM82</f>
        <v>0.0</v>
      </c>
      <c r="BN83" s="61">
        <f> BM83 + BN82</f>
        <v>0.0</v>
      </c>
      <c r="BO83" s="61">
        <f> BN83 + BO82</f>
        <v>0.0</v>
      </c>
      <c r="BP83" s="61">
        <f> BO83 + BP82</f>
        <v>0.0</v>
      </c>
      <c r="BQ83" s="61">
        <f> BP83 + BQ82</f>
        <v>0.0</v>
      </c>
      <c r="BR83" s="61">
        <f> BQ83 + BR82</f>
        <v>0.0</v>
      </c>
      <c r="BS83" s="61">
        <f> BR83 + BS82</f>
        <v>0.0</v>
      </c>
      <c r="BT83" s="61">
        <f> BS83 + BT82</f>
        <v>0.0</v>
      </c>
      <c r="BU83" s="61">
        <f> BT83 + BU82</f>
        <v>0.0</v>
      </c>
      <c r="BV83" s="61">
        <f> BU83 + BV82</f>
        <v>0.0</v>
      </c>
      <c r="BW83" s="61">
        <f> BV83 + BW82</f>
        <v>0.0</v>
      </c>
      <c r="BX83" s="61">
        <f> BW83 + BX82</f>
        <v>0.0</v>
      </c>
      <c r="BY83" s="61">
        <f> BX83 + BY82</f>
        <v>0.0</v>
      </c>
      <c r="BZ83" s="61">
        <f> BY83 + BZ82</f>
        <v>0.0</v>
      </c>
      <c r="CA83" s="61">
        <f> BZ83 + CA82</f>
        <v>0.0</v>
      </c>
      <c r="CB83" s="61">
        <f> CA83 + CB82</f>
        <v>0.0</v>
      </c>
      <c r="CC83" s="61">
        <f> CB83 + CC82</f>
        <v>0.0</v>
      </c>
      <c r="CD83" s="61">
        <f> CC83 + CD82</f>
        <v>0.0</v>
      </c>
      <c r="CE83" s="61">
        <f> CD83 + CE82</f>
        <v>0.0</v>
      </c>
      <c r="CF83" s="61">
        <f> CE83 + CF82</f>
        <v>0.0</v>
      </c>
      <c r="CG83" s="61">
        <f> CF83 + CG82</f>
        <v>0.0</v>
      </c>
      <c r="CH83" s="61">
        <f> CG83 + CH82</f>
        <v>0.0</v>
      </c>
      <c r="CI83" s="61">
        <f> CH83 + CI82</f>
        <v>0.0</v>
      </c>
      <c r="CJ83" s="61">
        <f> CI83 + CJ82</f>
        <v>0.0</v>
      </c>
      <c r="CK83" s="61">
        <f> CJ83 + CK82</f>
        <v>0.0</v>
      </c>
      <c r="CL83" s="61">
        <f> CK83 + CL82</f>
        <v>0.0</v>
      </c>
      <c r="CM83" s="61">
        <f> CL83 + CM82</f>
        <v>0.0</v>
      </c>
      <c r="CN83" s="61">
        <f> CM83 + CN82</f>
        <v>1.0</v>
      </c>
      <c r="CO83" s="61">
        <f> CN83 + CO82</f>
        <v>1.0</v>
      </c>
    </row>
    <row r="84" customFormat="1" s="29">
      <c r="A84" s="294" t="n"/>
      <c r="B84" s="294" t="n"/>
      <c r="C84" s="212" t="n"/>
      <c r="D84" s="61" t="n"/>
      <c r="E84" s="61" t="inlineStr">
        <is>
          <t>Post forecast period total</t>
        </is>
      </c>
      <c r="F84" s="61">
        <f> SUM(J83:CO83)</f>
        <v>2.0</v>
      </c>
      <c r="G84" s="61" t="inlineStr">
        <is>
          <t>columns</t>
        </is>
      </c>
      <c r="H84" s="61" t="n"/>
      <c r="I84" s="61" t="n"/>
      <c r="J84" s="61" t="n"/>
      <c r="K84" s="61" t="n"/>
      <c r="L84" s="61" t="n"/>
      <c r="M84" s="61" t="n"/>
      <c r="N84" s="61" t="n"/>
      <c r="O84" s="61" t="n"/>
      <c r="P84" s="61" t="n"/>
      <c r="Q84" s="61" t="n"/>
      <c r="R84" s="61" t="n"/>
      <c r="S84" s="61" t="n"/>
      <c r="T84" s="61" t="n"/>
      <c r="U84" s="61" t="n"/>
      <c r="V84" s="61" t="n"/>
      <c r="W84" s="61" t="n"/>
      <c r="X84" s="61" t="n"/>
      <c r="Y84" s="61" t="n"/>
      <c r="Z84" s="61" t="n"/>
      <c r="AA84" s="61" t="n"/>
      <c r="AB84" s="61" t="n"/>
      <c r="AC84" s="61" t="n"/>
      <c r="AD84" s="61" t="n"/>
      <c r="AE84" s="61" t="n"/>
      <c r="AF84" s="61" t="n"/>
      <c r="AG84" s="61" t="n"/>
      <c r="AH84" s="61" t="n"/>
      <c r="AI84" s="61" t="n"/>
      <c r="AJ84" s="61" t="n"/>
      <c r="AK84" s="61" t="n"/>
      <c r="AL84" s="61" t="n"/>
      <c r="AM84" s="61" t="n"/>
      <c r="AN84" s="61" t="n"/>
      <c r="AO84" s="61" t="n"/>
      <c r="AP84" s="61" t="n"/>
      <c r="AQ84" s="61" t="n"/>
      <c r="AR84" s="61" t="n"/>
      <c r="AS84" s="61" t="n"/>
      <c r="AT84" s="61" t="n"/>
      <c r="AU84" s="61" t="n"/>
      <c r="AV84" s="61" t="n"/>
      <c r="AW84" s="61" t="n"/>
      <c r="AX84" s="61" t="n"/>
      <c r="AY84" s="61" t="n"/>
      <c r="AZ84" s="61" t="n"/>
      <c r="BA84" s="61" t="n"/>
      <c r="BB84" s="61" t="n"/>
      <c r="BC84" s="61" t="n"/>
      <c r="BD84" s="61" t="n"/>
      <c r="BE84" s="61" t="n"/>
      <c r="BF84" s="61" t="n"/>
      <c r="BG84" s="61" t="n"/>
      <c r="BH84" s="61" t="n"/>
      <c r="BI84" s="61" t="n"/>
      <c r="BJ84" s="61" t="n"/>
      <c r="BK84" s="61" t="n"/>
      <c r="BL84" s="61" t="n"/>
      <c r="BM84" s="61" t="n"/>
      <c r="BN84" s="61" t="n"/>
      <c r="BO84" s="61" t="n"/>
      <c r="BP84" s="61" t="n"/>
      <c r="BQ84" s="61" t="n"/>
      <c r="BR84" s="61" t="n"/>
      <c r="BS84" s="61" t="n"/>
      <c r="BT84" s="61" t="n"/>
      <c r="BU84" s="61" t="n"/>
      <c r="BV84" s="61" t="n"/>
      <c r="BW84" s="61" t="n"/>
      <c r="BX84" s="61" t="n"/>
      <c r="BY84" s="61" t="n"/>
      <c r="BZ84" s="61" t="n"/>
      <c r="CA84" s="61" t="n"/>
      <c r="CB84" s="61" t="n"/>
      <c r="CC84" s="61" t="n"/>
      <c r="CD84" s="61" t="n"/>
      <c r="CE84" s="61" t="n"/>
      <c r="CF84" s="61" t="n"/>
      <c r="CG84" s="61" t="n"/>
      <c r="CH84" s="61" t="n"/>
      <c r="CI84" s="61" t="n"/>
      <c r="CJ84" s="61" t="n"/>
      <c r="CK84" s="61" t="n"/>
      <c r="CL84" s="61" t="n"/>
      <c r="CM84" s="61" t="n"/>
      <c r="CN84" s="61" t="n"/>
      <c r="CO84" s="61" t="n"/>
    </row>
    <row r="85" customFormat="1" s="146">
      <c r="A85" s="163" t="n"/>
      <c r="B85" s="163" t="n"/>
      <c r="C85" s="172" t="n"/>
      <c r="D85" s="88" t="n"/>
      <c r="E85" s="169" t="n"/>
      <c r="F85" s="169" t="n"/>
      <c r="G85" s="169" t="n"/>
      <c r="H85" s="169" t="n"/>
      <c r="I85" s="169" t="n"/>
      <c r="J85" s="169" t="n"/>
      <c r="K85" s="169" t="n"/>
      <c r="L85" s="169" t="n"/>
      <c r="M85" s="169" t="n"/>
      <c r="N85" s="169" t="n"/>
      <c r="O85" s="169" t="n"/>
      <c r="P85" s="169" t="n"/>
      <c r="Q85" s="169" t="n"/>
      <c r="R85" s="169" t="n"/>
      <c r="S85" s="169" t="n"/>
      <c r="T85" s="169" t="n"/>
      <c r="U85" s="169" t="n"/>
      <c r="V85" s="169" t="n"/>
      <c r="W85" s="169" t="n"/>
      <c r="X85" s="169" t="n"/>
      <c r="Y85" s="169" t="n"/>
      <c r="Z85" s="169" t="n"/>
      <c r="AA85" s="169" t="n"/>
      <c r="AB85" s="169" t="n"/>
      <c r="AC85" s="169" t="n"/>
      <c r="AD85" s="169" t="n"/>
      <c r="AE85" s="169" t="n"/>
      <c r="AF85" s="169" t="n"/>
      <c r="AG85" s="169" t="n"/>
      <c r="AH85" s="169" t="n"/>
      <c r="AI85" s="169" t="n"/>
      <c r="AJ85" s="169" t="n"/>
      <c r="AK85" s="169" t="n"/>
      <c r="AL85" s="169" t="n"/>
      <c r="AM85" s="169" t="n"/>
      <c r="AN85" s="169" t="n"/>
      <c r="AO85" s="169" t="n"/>
      <c r="AP85" s="169" t="n"/>
      <c r="AQ85" s="169" t="n"/>
      <c r="AR85" s="169" t="n"/>
      <c r="AS85" s="169" t="n"/>
      <c r="AT85" s="169" t="n"/>
      <c r="AU85" s="169" t="n"/>
      <c r="AV85" s="169" t="n"/>
      <c r="AW85" s="169" t="n"/>
      <c r="AX85" s="169" t="n"/>
      <c r="AY85" s="169" t="n"/>
      <c r="AZ85" s="169" t="n"/>
      <c r="BA85" s="169" t="n"/>
      <c r="BB85" s="169" t="n"/>
      <c r="BC85" s="169" t="n"/>
      <c r="BD85" s="169" t="n"/>
      <c r="BE85" s="169" t="n"/>
      <c r="BF85" s="169" t="n"/>
      <c r="BG85" s="169" t="n"/>
      <c r="BH85" s="169" t="n"/>
      <c r="BI85" s="169" t="n"/>
      <c r="BJ85" s="169" t="n"/>
      <c r="BK85" s="169" t="n"/>
      <c r="BL85" s="169" t="n"/>
      <c r="BM85" s="169" t="n"/>
      <c r="BN85" s="169" t="n"/>
      <c r="BO85" s="169" t="n"/>
      <c r="BP85" s="169" t="n"/>
      <c r="BQ85" s="169" t="n"/>
      <c r="BR85" s="169" t="n"/>
      <c r="BS85" s="169" t="n"/>
      <c r="BT85" s="169" t="n"/>
      <c r="BU85" s="169" t="n"/>
      <c r="BV85" s="169" t="n"/>
      <c r="BW85" s="169" t="n"/>
      <c r="BX85" s="169" t="n"/>
      <c r="BY85" s="169" t="n"/>
      <c r="BZ85" s="169" t="n"/>
      <c r="CA85" s="169" t="n"/>
      <c r="CB85" s="169" t="n"/>
      <c r="CC85" s="169" t="n"/>
      <c r="CD85" s="169" t="n"/>
      <c r="CE85" s="169" t="n"/>
      <c r="CF85" s="169" t="n"/>
      <c r="CG85" s="169" t="n"/>
      <c r="CH85" s="169" t="n"/>
      <c r="CI85" s="169" t="n"/>
      <c r="CJ85" s="169" t="n"/>
      <c r="CK85" s="169" t="n"/>
      <c r="CL85" s="169" t="n"/>
      <c r="CM85" s="169" t="n"/>
      <c r="CN85" s="169" t="n"/>
      <c r="CO85" s="169" t="n"/>
    </row>
    <row r="86" customFormat="1" s="146">
      <c r="A86" s="163" t="n"/>
      <c r="B86" s="163" t="inlineStr">
        <is>
          <t>Depreciation period flag</t>
        </is>
      </c>
      <c r="C86" s="172" t="n"/>
      <c r="D86" s="88" t="n"/>
      <c r="E86" s="169" t="n"/>
      <c r="F86" s="169" t="n"/>
      <c r="G86" s="169" t="n"/>
      <c r="H86" s="169" t="n"/>
      <c r="I86" s="169" t="n"/>
      <c r="J86" s="169" t="n"/>
      <c r="K86" s="169" t="n"/>
      <c r="L86" s="169" t="n"/>
      <c r="M86" s="169" t="n"/>
      <c r="N86" s="169" t="n"/>
      <c r="O86" s="169" t="n"/>
      <c r="P86" s="169" t="n"/>
      <c r="Q86" s="169" t="n"/>
      <c r="R86" s="169" t="n"/>
      <c r="S86" s="169" t="n"/>
      <c r="T86" s="169" t="n"/>
      <c r="U86" s="169" t="n"/>
      <c r="V86" s="169" t="n"/>
      <c r="W86" s="169" t="n"/>
      <c r="X86" s="169" t="n"/>
      <c r="Y86" s="169" t="n"/>
      <c r="Z86" s="169" t="n"/>
      <c r="AA86" s="169" t="n"/>
      <c r="AB86" s="169" t="n"/>
      <c r="AC86" s="169" t="n"/>
      <c r="AD86" s="169" t="n"/>
      <c r="AE86" s="169" t="n"/>
      <c r="AF86" s="169" t="n"/>
      <c r="AG86" s="169" t="n"/>
      <c r="AH86" s="169" t="n"/>
      <c r="AI86" s="169" t="n"/>
      <c r="AJ86" s="169" t="n"/>
      <c r="AK86" s="169" t="n"/>
      <c r="AL86" s="169" t="n"/>
      <c r="AM86" s="169" t="n"/>
      <c r="AN86" s="169" t="n"/>
      <c r="AO86" s="169" t="n"/>
      <c r="AP86" s="169" t="n"/>
      <c r="AQ86" s="169" t="n"/>
      <c r="AR86" s="169" t="n"/>
      <c r="AS86" s="169" t="n"/>
      <c r="AT86" s="169" t="n"/>
      <c r="AU86" s="169" t="n"/>
      <c r="AV86" s="169" t="n"/>
      <c r="AW86" s="169" t="n"/>
      <c r="AX86" s="169" t="n"/>
      <c r="AY86" s="169" t="n"/>
      <c r="AZ86" s="169" t="n"/>
      <c r="BA86" s="169" t="n"/>
      <c r="BB86" s="169" t="n"/>
      <c r="BC86" s="169" t="n"/>
      <c r="BD86" s="169" t="n"/>
      <c r="BE86" s="169" t="n"/>
      <c r="BF86" s="169" t="n"/>
      <c r="BG86" s="169" t="n"/>
      <c r="BH86" s="169" t="n"/>
      <c r="BI86" s="169" t="n"/>
      <c r="BJ86" s="169" t="n"/>
      <c r="BK86" s="169" t="n"/>
      <c r="BL86" s="169" t="n"/>
      <c r="BM86" s="169" t="n"/>
      <c r="BN86" s="169" t="n"/>
      <c r="BO86" s="169" t="n"/>
      <c r="BP86" s="169" t="n"/>
      <c r="BQ86" s="169" t="n"/>
      <c r="BR86" s="169" t="n"/>
      <c r="BS86" s="169" t="n"/>
      <c r="BT86" s="169" t="n"/>
      <c r="BU86" s="169" t="n"/>
      <c r="BV86" s="169" t="n"/>
      <c r="BW86" s="169" t="n"/>
      <c r="BX86" s="169" t="n"/>
      <c r="BY86" s="169" t="n"/>
      <c r="BZ86" s="169" t="n"/>
      <c r="CA86" s="169" t="n"/>
      <c r="CB86" s="169" t="n"/>
      <c r="CC86" s="169" t="n"/>
      <c r="CD86" s="169" t="n"/>
      <c r="CE86" s="169" t="n"/>
      <c r="CF86" s="169" t="n"/>
      <c r="CG86" s="169" t="n"/>
      <c r="CH86" s="169" t="n"/>
      <c r="CI86" s="169" t="n"/>
      <c r="CJ86" s="169" t="n"/>
      <c r="CK86" s="169" t="n"/>
      <c r="CL86" s="169" t="n"/>
      <c r="CM86" s="169" t="n"/>
      <c r="CN86" s="169" t="n"/>
      <c r="CO86" s="169" t="n"/>
    </row>
    <row r="87" customFormat="1" s="113">
      <c r="A87" s="167" t="n"/>
      <c r="B87" s="167" t="n"/>
      <c r="C87" s="237" t="n"/>
      <c r="D87" s="170" t="n"/>
      <c r="E87" s="173" t="str">
        <f> InpC!E$10</f>
        <v>Acquisition / initial balance date</v>
      </c>
      <c r="F87" s="173">
        <f> InpC!F$10</f>
        <v>44561.0</v>
      </c>
      <c r="G87" s="173" t="str">
        <f> InpC!G$10</f>
        <v>date</v>
      </c>
      <c r="H87" s="61" t="n"/>
      <c r="I87" s="61" t="n"/>
      <c r="J87" s="61" t="n"/>
      <c r="K87" s="61" t="n"/>
      <c r="L87" s="61" t="n"/>
      <c r="M87" s="61" t="n"/>
      <c r="N87" s="61" t="n"/>
      <c r="O87" s="61" t="n"/>
      <c r="P87" s="61" t="n"/>
      <c r="Q87" s="61" t="n"/>
      <c r="R87" s="61" t="n"/>
      <c r="S87" s="61" t="n"/>
      <c r="T87" s="61" t="n"/>
      <c r="U87" s="61" t="n"/>
      <c r="V87" s="61" t="n"/>
      <c r="W87" s="61" t="n"/>
      <c r="X87" s="61" t="n"/>
      <c r="Y87" s="61" t="n"/>
      <c r="Z87" s="61" t="n"/>
      <c r="AA87" s="61" t="n"/>
      <c r="AB87" s="61" t="n"/>
      <c r="AC87" s="61" t="n"/>
      <c r="AD87" s="61" t="n"/>
      <c r="AE87" s="61" t="n"/>
      <c r="AF87" s="61" t="n"/>
      <c r="AG87" s="61" t="n"/>
      <c r="AH87" s="61" t="n"/>
      <c r="AI87" s="61" t="n"/>
      <c r="AJ87" s="61" t="n"/>
      <c r="AK87" s="61" t="n"/>
      <c r="AL87" s="61" t="n"/>
      <c r="AM87" s="61" t="n"/>
      <c r="AN87" s="61" t="n"/>
      <c r="AO87" s="61" t="n"/>
      <c r="AP87" s="61" t="n"/>
      <c r="AQ87" s="61" t="n"/>
      <c r="AR87" s="61" t="n"/>
      <c r="AS87" s="61" t="n"/>
      <c r="AT87" s="61" t="n"/>
      <c r="AU87" s="61" t="n"/>
      <c r="AV87" s="61" t="n"/>
      <c r="AW87" s="61" t="n"/>
      <c r="AX87" s="61" t="n"/>
      <c r="AY87" s="61" t="n"/>
      <c r="AZ87" s="61" t="n"/>
      <c r="BA87" s="61" t="n"/>
      <c r="BB87" s="61" t="n"/>
      <c r="BC87" s="61" t="n"/>
      <c r="BD87" s="61" t="n"/>
      <c r="BE87" s="61" t="n"/>
      <c r="BF87" s="61" t="n"/>
      <c r="BG87" s="61" t="n"/>
      <c r="BH87" s="61" t="n"/>
      <c r="BI87" s="61" t="n"/>
      <c r="BJ87" s="61" t="n"/>
      <c r="BK87" s="61" t="n"/>
      <c r="BL87" s="61" t="n"/>
      <c r="BM87" s="61" t="n"/>
      <c r="BN87" s="61" t="n"/>
      <c r="BO87" s="61" t="n"/>
      <c r="BP87" s="61" t="n"/>
      <c r="BQ87" s="61" t="n"/>
      <c r="BR87" s="61" t="n"/>
      <c r="BS87" s="61" t="n"/>
      <c r="BT87" s="61" t="n"/>
      <c r="BU87" s="61" t="n"/>
      <c r="BV87" s="61" t="n"/>
      <c r="BW87" s="61" t="n"/>
      <c r="BX87" s="61" t="n"/>
      <c r="BY87" s="61" t="n"/>
      <c r="BZ87" s="61" t="n"/>
      <c r="CA87" s="61" t="n"/>
      <c r="CB87" s="61" t="n"/>
      <c r="CC87" s="61" t="n"/>
      <c r="CD87" s="61" t="n"/>
      <c r="CE87" s="61" t="n"/>
      <c r="CF87" s="61" t="n"/>
      <c r="CG87" s="61" t="n"/>
      <c r="CH87" s="61" t="n"/>
      <c r="CI87" s="61" t="n"/>
      <c r="CJ87" s="61" t="n"/>
      <c r="CK87" s="61" t="n"/>
      <c r="CL87" s="61" t="n"/>
      <c r="CM87" s="61" t="n"/>
      <c r="CN87" s="61" t="n"/>
      <c r="CO87" s="61" t="n"/>
    </row>
    <row r="88" customFormat="1" s="146">
      <c r="A88" s="163" t="n"/>
      <c r="B88" s="163" t="n"/>
      <c r="C88" s="172" t="n"/>
      <c r="D88" s="88" t="n"/>
      <c r="E88" s="308" t="str">
        <f> InpC!E$65</f>
        <v>Useful life of NCA at acquisition </v>
      </c>
      <c r="F88" s="308">
        <f> InpC!F$65</f>
        <v>15.0</v>
      </c>
      <c r="G88" s="308" t="str">
        <f> InpC!G$65</f>
        <v>years</v>
      </c>
      <c r="H88" s="169" t="n"/>
      <c r="I88" s="169" t="n"/>
      <c r="J88" s="169" t="n"/>
      <c r="K88" s="169" t="n"/>
      <c r="L88" s="169" t="n"/>
      <c r="M88" s="169" t="n"/>
      <c r="N88" s="169" t="n"/>
      <c r="O88" s="169" t="n"/>
      <c r="P88" s="169" t="n"/>
      <c r="Q88" s="169" t="n"/>
      <c r="R88" s="169" t="n"/>
      <c r="S88" s="169" t="n"/>
      <c r="T88" s="169" t="n"/>
      <c r="U88" s="169" t="n"/>
      <c r="V88" s="169" t="n"/>
      <c r="W88" s="169" t="n"/>
      <c r="X88" s="169" t="n"/>
      <c r="Y88" s="169" t="n"/>
      <c r="Z88" s="169" t="n"/>
      <c r="AA88" s="169" t="n"/>
      <c r="AB88" s="169" t="n"/>
      <c r="AC88" s="169" t="n"/>
      <c r="AD88" s="169" t="n"/>
      <c r="AE88" s="169" t="n"/>
      <c r="AF88" s="169" t="n"/>
      <c r="AG88" s="169" t="n"/>
      <c r="AH88" s="169" t="n"/>
      <c r="AI88" s="169" t="n"/>
      <c r="AJ88" s="169" t="n"/>
      <c r="AK88" s="169" t="n"/>
      <c r="AL88" s="169" t="n"/>
      <c r="AM88" s="169" t="n"/>
      <c r="AN88" s="169" t="n"/>
      <c r="AO88" s="169" t="n"/>
      <c r="AP88" s="169" t="n"/>
      <c r="AQ88" s="169" t="n"/>
      <c r="AR88" s="169" t="n"/>
      <c r="AS88" s="169" t="n"/>
      <c r="AT88" s="169" t="n"/>
      <c r="AU88" s="169" t="n"/>
      <c r="AV88" s="169" t="n"/>
      <c r="AW88" s="169" t="n"/>
      <c r="AX88" s="169" t="n"/>
      <c r="AY88" s="169" t="n"/>
      <c r="AZ88" s="169" t="n"/>
      <c r="BA88" s="169" t="n"/>
      <c r="BB88" s="169" t="n"/>
      <c r="BC88" s="169" t="n"/>
      <c r="BD88" s="169" t="n"/>
      <c r="BE88" s="169" t="n"/>
      <c r="BF88" s="169" t="n"/>
      <c r="BG88" s="169" t="n"/>
      <c r="BH88" s="169" t="n"/>
      <c r="BI88" s="169" t="n"/>
      <c r="BJ88" s="169" t="n"/>
      <c r="BK88" s="169" t="n"/>
      <c r="BL88" s="169" t="n"/>
      <c r="BM88" s="169" t="n"/>
      <c r="BN88" s="169" t="n"/>
      <c r="BO88" s="169" t="n"/>
      <c r="BP88" s="169" t="n"/>
      <c r="BQ88" s="169" t="n"/>
      <c r="BR88" s="169" t="n"/>
      <c r="BS88" s="169" t="n"/>
      <c r="BT88" s="169" t="n"/>
      <c r="BU88" s="169" t="n"/>
      <c r="BV88" s="169" t="n"/>
      <c r="BW88" s="169" t="n"/>
      <c r="BX88" s="169" t="n"/>
      <c r="BY88" s="169" t="n"/>
      <c r="BZ88" s="169" t="n"/>
      <c r="CA88" s="169" t="n"/>
      <c r="CB88" s="169" t="n"/>
      <c r="CC88" s="169" t="n"/>
      <c r="CD88" s="169" t="n"/>
      <c r="CE88" s="169" t="n"/>
      <c r="CF88" s="169" t="n"/>
      <c r="CG88" s="169" t="n"/>
      <c r="CH88" s="169" t="n"/>
      <c r="CI88" s="169" t="n"/>
      <c r="CJ88" s="169" t="n"/>
      <c r="CK88" s="169" t="n"/>
      <c r="CL88" s="169" t="n"/>
      <c r="CM88" s="169" t="n"/>
      <c r="CN88" s="169" t="n"/>
      <c r="CO88" s="169" t="n"/>
    </row>
    <row r="89" customFormat="1" s="146">
      <c r="A89" s="163" t="n"/>
      <c r="B89" s="163" t="n"/>
      <c r="C89" s="172" t="n"/>
      <c r="D89" s="88" t="n"/>
      <c r="E89" s="309" t="str">
        <f> InpC!E$98</f>
        <v>Financial year end month number</v>
      </c>
      <c r="F89" s="308">
        <f> InpC!F$98</f>
        <v>12.0</v>
      </c>
      <c r="G89" s="309" t="str">
        <f> InpC!G$98</f>
        <v>month #</v>
      </c>
      <c r="H89" s="169" t="n"/>
      <c r="I89" s="169" t="n"/>
      <c r="J89" s="169" t="n"/>
      <c r="K89" s="169" t="n"/>
      <c r="L89" s="169" t="n"/>
      <c r="M89" s="169" t="n"/>
      <c r="N89" s="169" t="n"/>
      <c r="O89" s="169" t="n"/>
      <c r="P89" s="169" t="n"/>
      <c r="Q89" s="169" t="n"/>
      <c r="R89" s="169" t="n"/>
      <c r="S89" s="169" t="n"/>
      <c r="T89" s="169" t="n"/>
      <c r="U89" s="169" t="n"/>
      <c r="V89" s="169" t="n"/>
      <c r="W89" s="169" t="n"/>
      <c r="X89" s="169" t="n"/>
      <c r="Y89" s="169" t="n"/>
      <c r="Z89" s="169" t="n"/>
      <c r="AA89" s="169" t="n"/>
      <c r="AB89" s="169" t="n"/>
      <c r="AC89" s="169" t="n"/>
      <c r="AD89" s="169" t="n"/>
      <c r="AE89" s="169" t="n"/>
      <c r="AF89" s="169" t="n"/>
      <c r="AG89" s="169" t="n"/>
      <c r="AH89" s="169" t="n"/>
      <c r="AI89" s="169" t="n"/>
      <c r="AJ89" s="169" t="n"/>
      <c r="AK89" s="169" t="n"/>
      <c r="AL89" s="169" t="n"/>
      <c r="AM89" s="169" t="n"/>
      <c r="AN89" s="169" t="n"/>
      <c r="AO89" s="169" t="n"/>
      <c r="AP89" s="169" t="n"/>
      <c r="AQ89" s="169" t="n"/>
      <c r="AR89" s="169" t="n"/>
      <c r="AS89" s="169" t="n"/>
      <c r="AT89" s="169" t="n"/>
      <c r="AU89" s="169" t="n"/>
      <c r="AV89" s="169" t="n"/>
      <c r="AW89" s="169" t="n"/>
      <c r="AX89" s="169" t="n"/>
      <c r="AY89" s="169" t="n"/>
      <c r="AZ89" s="169" t="n"/>
      <c r="BA89" s="169" t="n"/>
      <c r="BB89" s="169" t="n"/>
      <c r="BC89" s="169" t="n"/>
      <c r="BD89" s="169" t="n"/>
      <c r="BE89" s="169" t="n"/>
      <c r="BF89" s="169" t="n"/>
      <c r="BG89" s="169" t="n"/>
      <c r="BH89" s="169" t="n"/>
      <c r="BI89" s="169" t="n"/>
      <c r="BJ89" s="169" t="n"/>
      <c r="BK89" s="169" t="n"/>
      <c r="BL89" s="169" t="n"/>
      <c r="BM89" s="169" t="n"/>
      <c r="BN89" s="169" t="n"/>
      <c r="BO89" s="169" t="n"/>
      <c r="BP89" s="169" t="n"/>
      <c r="BQ89" s="169" t="n"/>
      <c r="BR89" s="169" t="n"/>
      <c r="BS89" s="169" t="n"/>
      <c r="BT89" s="169" t="n"/>
      <c r="BU89" s="169" t="n"/>
      <c r="BV89" s="169" t="n"/>
      <c r="BW89" s="169" t="n"/>
      <c r="BX89" s="169" t="n"/>
      <c r="BY89" s="169" t="n"/>
      <c r="BZ89" s="169" t="n"/>
      <c r="CA89" s="169" t="n"/>
      <c r="CB89" s="169" t="n"/>
      <c r="CC89" s="169" t="n"/>
      <c r="CD89" s="169" t="n"/>
      <c r="CE89" s="169" t="n"/>
      <c r="CF89" s="169" t="n"/>
      <c r="CG89" s="169" t="n"/>
      <c r="CH89" s="169" t="n"/>
      <c r="CI89" s="169" t="n"/>
      <c r="CJ89" s="169" t="n"/>
      <c r="CK89" s="169" t="n"/>
      <c r="CL89" s="169" t="n"/>
      <c r="CM89" s="169" t="n"/>
      <c r="CN89" s="169" t="n"/>
      <c r="CO89" s="169" t="n"/>
    </row>
    <row r="90" customFormat="1" s="146">
      <c r="A90" s="163" t="n"/>
      <c r="B90" s="163" t="n"/>
      <c r="C90" s="172" t="n"/>
      <c r="D90" s="88" t="n"/>
      <c r="E90" s="169" t="inlineStr">
        <is>
          <t>Last depreciation period date</t>
        </is>
      </c>
      <c r="F90" s="127">
        <f> EOMONTH(F87, F88 * F89)</f>
        <v>50040.0</v>
      </c>
      <c r="G90" s="169" t="inlineStr">
        <is>
          <t>date</t>
        </is>
      </c>
      <c r="H90" s="169" t="n"/>
      <c r="I90" s="169" t="n"/>
      <c r="J90" s="169" t="n"/>
      <c r="K90" s="169" t="n"/>
      <c r="L90" s="169" t="n"/>
      <c r="M90" s="169" t="n"/>
      <c r="N90" s="169" t="n"/>
      <c r="O90" s="169" t="n"/>
      <c r="P90" s="169" t="n"/>
      <c r="Q90" s="169" t="n"/>
      <c r="R90" s="169" t="n"/>
      <c r="S90" s="169" t="n"/>
      <c r="T90" s="169" t="n"/>
      <c r="U90" s="169" t="n"/>
      <c r="V90" s="169" t="n"/>
      <c r="W90" s="169" t="n"/>
      <c r="X90" s="169" t="n"/>
      <c r="Y90" s="169" t="n"/>
      <c r="Z90" s="169" t="n"/>
      <c r="AA90" s="169" t="n"/>
      <c r="AB90" s="169" t="n"/>
      <c r="AC90" s="169" t="n"/>
      <c r="AD90" s="169" t="n"/>
      <c r="AE90" s="169" t="n"/>
      <c r="AF90" s="169" t="n"/>
      <c r="AG90" s="169" t="n"/>
      <c r="AH90" s="169" t="n"/>
      <c r="AI90" s="169" t="n"/>
      <c r="AJ90" s="169" t="n"/>
      <c r="AK90" s="169" t="n"/>
      <c r="AL90" s="169" t="n"/>
      <c r="AM90" s="169" t="n"/>
      <c r="AN90" s="169" t="n"/>
      <c r="AO90" s="169" t="n"/>
      <c r="AP90" s="169" t="n"/>
      <c r="AQ90" s="169" t="n"/>
      <c r="AR90" s="169" t="n"/>
      <c r="AS90" s="169" t="n"/>
      <c r="AT90" s="169" t="n"/>
      <c r="AU90" s="169" t="n"/>
      <c r="AV90" s="169" t="n"/>
      <c r="AW90" s="169" t="n"/>
      <c r="AX90" s="169" t="n"/>
      <c r="AY90" s="169" t="n"/>
      <c r="AZ90" s="169" t="n"/>
      <c r="BA90" s="169" t="n"/>
      <c r="BB90" s="169" t="n"/>
      <c r="BC90" s="169" t="n"/>
      <c r="BD90" s="169" t="n"/>
      <c r="BE90" s="169" t="n"/>
      <c r="BF90" s="169" t="n"/>
      <c r="BG90" s="169" t="n"/>
      <c r="BH90" s="169" t="n"/>
      <c r="BI90" s="169" t="n"/>
      <c r="BJ90" s="169" t="n"/>
      <c r="BK90" s="169" t="n"/>
      <c r="BL90" s="169" t="n"/>
      <c r="BM90" s="169" t="n"/>
      <c r="BN90" s="169" t="n"/>
      <c r="BO90" s="169" t="n"/>
      <c r="BP90" s="169" t="n"/>
      <c r="BQ90" s="169" t="n"/>
      <c r="BR90" s="169" t="n"/>
      <c r="BS90" s="169" t="n"/>
      <c r="BT90" s="169" t="n"/>
      <c r="BU90" s="169" t="n"/>
      <c r="BV90" s="169" t="n"/>
      <c r="BW90" s="169" t="n"/>
      <c r="BX90" s="169" t="n"/>
      <c r="BY90" s="169" t="n"/>
      <c r="BZ90" s="169" t="n"/>
      <c r="CA90" s="169" t="n"/>
      <c r="CB90" s="169" t="n"/>
      <c r="CC90" s="169" t="n"/>
      <c r="CD90" s="169" t="n"/>
      <c r="CE90" s="169" t="n"/>
      <c r="CF90" s="169" t="n"/>
      <c r="CG90" s="169" t="n"/>
      <c r="CH90" s="169" t="n"/>
      <c r="CI90" s="169" t="n"/>
      <c r="CJ90" s="169" t="n"/>
      <c r="CK90" s="169" t="n"/>
      <c r="CL90" s="169" t="n"/>
      <c r="CM90" s="169" t="n"/>
      <c r="CN90" s="169" t="n"/>
      <c r="CO90" s="169" t="n"/>
    </row>
    <row r="91" customFormat="1" s="146">
      <c r="A91" s="163" t="n"/>
      <c r="B91" s="163" t="n"/>
      <c r="C91" s="172" t="n"/>
      <c r="D91" s="88" t="n"/>
      <c r="E91" s="169" t="n"/>
      <c r="F91" s="169" t="n"/>
      <c r="G91" s="169" t="n"/>
      <c r="H91" s="169" t="n"/>
      <c r="I91" s="169" t="n"/>
      <c r="J91" s="169" t="n"/>
      <c r="K91" s="169" t="n"/>
      <c r="L91" s="169" t="n"/>
      <c r="M91" s="169" t="n"/>
      <c r="N91" s="169" t="n"/>
      <c r="O91" s="169" t="n"/>
      <c r="P91" s="169" t="n"/>
      <c r="Q91" s="169" t="n"/>
      <c r="R91" s="169" t="n"/>
      <c r="S91" s="169" t="n"/>
      <c r="T91" s="169" t="n"/>
      <c r="U91" s="169" t="n"/>
      <c r="V91" s="169" t="n"/>
      <c r="W91" s="169" t="n"/>
      <c r="X91" s="169" t="n"/>
      <c r="Y91" s="169" t="n"/>
      <c r="Z91" s="169" t="n"/>
      <c r="AA91" s="169" t="n"/>
      <c r="AB91" s="169" t="n"/>
      <c r="AC91" s="169" t="n"/>
      <c r="AD91" s="169" t="n"/>
      <c r="AE91" s="169" t="n"/>
      <c r="AF91" s="169" t="n"/>
      <c r="AG91" s="169" t="n"/>
      <c r="AH91" s="169" t="n"/>
      <c r="AI91" s="169" t="n"/>
      <c r="AJ91" s="169" t="n"/>
      <c r="AK91" s="169" t="n"/>
      <c r="AL91" s="169" t="n"/>
      <c r="AM91" s="169" t="n"/>
      <c r="AN91" s="169" t="n"/>
      <c r="AO91" s="169" t="n"/>
      <c r="AP91" s="169" t="n"/>
      <c r="AQ91" s="169" t="n"/>
      <c r="AR91" s="169" t="n"/>
      <c r="AS91" s="169" t="n"/>
      <c r="AT91" s="169" t="n"/>
      <c r="AU91" s="169" t="n"/>
      <c r="AV91" s="169" t="n"/>
      <c r="AW91" s="169" t="n"/>
      <c r="AX91" s="169" t="n"/>
      <c r="AY91" s="169" t="n"/>
      <c r="AZ91" s="169" t="n"/>
      <c r="BA91" s="169" t="n"/>
      <c r="BB91" s="169" t="n"/>
      <c r="BC91" s="169" t="n"/>
      <c r="BD91" s="169" t="n"/>
      <c r="BE91" s="169" t="n"/>
      <c r="BF91" s="169" t="n"/>
      <c r="BG91" s="169" t="n"/>
      <c r="BH91" s="169" t="n"/>
      <c r="BI91" s="169" t="n"/>
      <c r="BJ91" s="169" t="n"/>
      <c r="BK91" s="169" t="n"/>
      <c r="BL91" s="169" t="n"/>
      <c r="BM91" s="169" t="n"/>
      <c r="BN91" s="169" t="n"/>
      <c r="BO91" s="169" t="n"/>
      <c r="BP91" s="169" t="n"/>
      <c r="BQ91" s="169" t="n"/>
      <c r="BR91" s="169" t="n"/>
      <c r="BS91" s="169" t="n"/>
      <c r="BT91" s="169" t="n"/>
      <c r="BU91" s="169" t="n"/>
      <c r="BV91" s="169" t="n"/>
      <c r="BW91" s="169" t="n"/>
      <c r="BX91" s="169" t="n"/>
      <c r="BY91" s="169" t="n"/>
      <c r="BZ91" s="169" t="n"/>
      <c r="CA91" s="169" t="n"/>
      <c r="CB91" s="169" t="n"/>
      <c r="CC91" s="169" t="n"/>
      <c r="CD91" s="169" t="n"/>
      <c r="CE91" s="169" t="n"/>
      <c r="CF91" s="169" t="n"/>
      <c r="CG91" s="169" t="n"/>
      <c r="CH91" s="169" t="n"/>
      <c r="CI91" s="169" t="n"/>
      <c r="CJ91" s="169" t="n"/>
      <c r="CK91" s="169" t="n"/>
      <c r="CL91" s="169" t="n"/>
      <c r="CM91" s="169" t="n"/>
      <c r="CN91" s="169" t="n"/>
      <c r="CO91" s="169" t="n"/>
    </row>
    <row r="92" customFormat="1" s="146">
      <c r="A92" s="163" t="n"/>
      <c r="B92" s="163" t="n"/>
      <c r="C92" s="172" t="n"/>
      <c r="D92" s="88" t="n"/>
      <c r="E92" s="173" t="str">
        <f> InpC!E$10</f>
        <v>Acquisition / initial balance date</v>
      </c>
      <c r="F92" s="173">
        <f> InpC!F$10</f>
        <v>44561.0</v>
      </c>
      <c r="G92" s="173" t="str">
        <f> InpC!G$10</f>
        <v>date</v>
      </c>
      <c r="H92" s="169" t="n"/>
      <c r="I92" s="169" t="n"/>
      <c r="J92" s="169" t="n"/>
      <c r="K92" s="169" t="n"/>
      <c r="L92" s="169" t="n"/>
      <c r="M92" s="169" t="n"/>
      <c r="N92" s="169" t="n"/>
      <c r="O92" s="169" t="n"/>
      <c r="P92" s="169" t="n"/>
      <c r="Q92" s="169" t="n"/>
      <c r="R92" s="169" t="n"/>
      <c r="S92" s="169" t="n"/>
      <c r="T92" s="169" t="n"/>
      <c r="U92" s="169" t="n"/>
      <c r="V92" s="169" t="n"/>
      <c r="W92" s="169" t="n"/>
      <c r="X92" s="169" t="n"/>
      <c r="Y92" s="169" t="n"/>
      <c r="Z92" s="169" t="n"/>
      <c r="AA92" s="169" t="n"/>
      <c r="AB92" s="169" t="n"/>
      <c r="AC92" s="169" t="n"/>
      <c r="AD92" s="169" t="n"/>
      <c r="AE92" s="169" t="n"/>
      <c r="AF92" s="169" t="n"/>
      <c r="AG92" s="169" t="n"/>
      <c r="AH92" s="169" t="n"/>
      <c r="AI92" s="169" t="n"/>
      <c r="AJ92" s="169" t="n"/>
      <c r="AK92" s="169" t="n"/>
      <c r="AL92" s="169" t="n"/>
      <c r="AM92" s="169" t="n"/>
      <c r="AN92" s="169" t="n"/>
      <c r="AO92" s="169" t="n"/>
      <c r="AP92" s="169" t="n"/>
      <c r="AQ92" s="169" t="n"/>
      <c r="AR92" s="169" t="n"/>
      <c r="AS92" s="169" t="n"/>
      <c r="AT92" s="169" t="n"/>
      <c r="AU92" s="169" t="n"/>
      <c r="AV92" s="169" t="n"/>
      <c r="AW92" s="169" t="n"/>
      <c r="AX92" s="169" t="n"/>
      <c r="AY92" s="169" t="n"/>
      <c r="AZ92" s="169" t="n"/>
      <c r="BA92" s="169" t="n"/>
      <c r="BB92" s="169" t="n"/>
      <c r="BC92" s="169" t="n"/>
      <c r="BD92" s="169" t="n"/>
      <c r="BE92" s="169" t="n"/>
      <c r="BF92" s="169" t="n"/>
      <c r="BG92" s="169" t="n"/>
      <c r="BH92" s="169" t="n"/>
      <c r="BI92" s="169" t="n"/>
      <c r="BJ92" s="169" t="n"/>
      <c r="BK92" s="169" t="n"/>
      <c r="BL92" s="169" t="n"/>
      <c r="BM92" s="169" t="n"/>
      <c r="BN92" s="169" t="n"/>
      <c r="BO92" s="169" t="n"/>
      <c r="BP92" s="169" t="n"/>
      <c r="BQ92" s="169" t="n"/>
      <c r="BR92" s="169" t="n"/>
      <c r="BS92" s="169" t="n"/>
      <c r="BT92" s="169" t="n"/>
      <c r="BU92" s="169" t="n"/>
      <c r="BV92" s="169" t="n"/>
      <c r="BW92" s="169" t="n"/>
      <c r="BX92" s="169" t="n"/>
      <c r="BY92" s="169" t="n"/>
      <c r="BZ92" s="169" t="n"/>
      <c r="CA92" s="169" t="n"/>
      <c r="CB92" s="169" t="n"/>
      <c r="CC92" s="169" t="n"/>
      <c r="CD92" s="169" t="n"/>
      <c r="CE92" s="169" t="n"/>
      <c r="CF92" s="169" t="n"/>
      <c r="CG92" s="169" t="n"/>
      <c r="CH92" s="169" t="n"/>
      <c r="CI92" s="169" t="n"/>
      <c r="CJ92" s="169" t="n"/>
      <c r="CK92" s="169" t="n"/>
      <c r="CL92" s="169" t="n"/>
      <c r="CM92" s="169" t="n"/>
      <c r="CN92" s="169" t="n"/>
      <c r="CO92" s="169" t="n"/>
    </row>
    <row r="93" customFormat="1" s="146">
      <c r="A93" s="163" t="n"/>
      <c r="B93" s="163" t="n"/>
      <c r="C93" s="172" t="n"/>
      <c r="D93" s="88" t="n"/>
      <c r="E93" s="169" t="str">
        <f> E$90</f>
        <v>Last depreciation period date</v>
      </c>
      <c r="F93" s="310">
        <f> F$90</f>
        <v>50040.0</v>
      </c>
      <c r="G93" s="169" t="str">
        <f> G$90</f>
        <v>date</v>
      </c>
      <c r="H93" s="169" t="n"/>
      <c r="I93" s="169" t="n"/>
      <c r="J93" s="169" t="n"/>
      <c r="K93" s="169" t="n"/>
      <c r="L93" s="169" t="n"/>
      <c r="M93" s="169" t="n"/>
      <c r="N93" s="169" t="n"/>
      <c r="O93" s="169" t="n"/>
      <c r="P93" s="169" t="n"/>
      <c r="Q93" s="169" t="n"/>
      <c r="R93" s="169" t="n"/>
      <c r="S93" s="169" t="n"/>
      <c r="T93" s="169" t="n"/>
      <c r="U93" s="169" t="n"/>
      <c r="V93" s="169" t="n"/>
      <c r="W93" s="169" t="n"/>
      <c r="X93" s="169" t="n"/>
      <c r="Y93" s="169" t="n"/>
      <c r="Z93" s="169" t="n"/>
      <c r="AA93" s="169" t="n"/>
      <c r="AB93" s="169" t="n"/>
      <c r="AC93" s="169" t="n"/>
      <c r="AD93" s="169" t="n"/>
      <c r="AE93" s="169" t="n"/>
      <c r="AF93" s="169" t="n"/>
      <c r="AG93" s="169" t="n"/>
      <c r="AH93" s="169" t="n"/>
      <c r="AI93" s="169" t="n"/>
      <c r="AJ93" s="169" t="n"/>
      <c r="AK93" s="169" t="n"/>
      <c r="AL93" s="169" t="n"/>
      <c r="AM93" s="169" t="n"/>
      <c r="AN93" s="169" t="n"/>
      <c r="AO93" s="169" t="n"/>
      <c r="AP93" s="169" t="n"/>
      <c r="AQ93" s="169" t="n"/>
      <c r="AR93" s="169" t="n"/>
      <c r="AS93" s="169" t="n"/>
      <c r="AT93" s="169" t="n"/>
      <c r="AU93" s="169" t="n"/>
      <c r="AV93" s="169" t="n"/>
      <c r="AW93" s="169" t="n"/>
      <c r="AX93" s="169" t="n"/>
      <c r="AY93" s="169" t="n"/>
      <c r="AZ93" s="169" t="n"/>
      <c r="BA93" s="169" t="n"/>
      <c r="BB93" s="169" t="n"/>
      <c r="BC93" s="169" t="n"/>
      <c r="BD93" s="169" t="n"/>
      <c r="BE93" s="169" t="n"/>
      <c r="BF93" s="169" t="n"/>
      <c r="BG93" s="169" t="n"/>
      <c r="BH93" s="169" t="n"/>
      <c r="BI93" s="169" t="n"/>
      <c r="BJ93" s="169" t="n"/>
      <c r="BK93" s="169" t="n"/>
      <c r="BL93" s="169" t="n"/>
      <c r="BM93" s="169" t="n"/>
      <c r="BN93" s="169" t="n"/>
      <c r="BO93" s="169" t="n"/>
      <c r="BP93" s="169" t="n"/>
      <c r="BQ93" s="169" t="n"/>
      <c r="BR93" s="169" t="n"/>
      <c r="BS93" s="169" t="n"/>
      <c r="BT93" s="169" t="n"/>
      <c r="BU93" s="169" t="n"/>
      <c r="BV93" s="169" t="n"/>
      <c r="BW93" s="169" t="n"/>
      <c r="BX93" s="169" t="n"/>
      <c r="BY93" s="169" t="n"/>
      <c r="BZ93" s="169" t="n"/>
      <c r="CA93" s="169" t="n"/>
      <c r="CB93" s="169" t="n"/>
      <c r="CC93" s="169" t="n"/>
      <c r="CD93" s="169" t="n"/>
      <c r="CE93" s="169" t="n"/>
      <c r="CF93" s="169" t="n"/>
      <c r="CG93" s="169" t="n"/>
      <c r="CH93" s="169" t="n"/>
      <c r="CI93" s="169" t="n"/>
      <c r="CJ93" s="169" t="n"/>
      <c r="CK93" s="169" t="n"/>
      <c r="CL93" s="169" t="n"/>
      <c r="CM93" s="169" t="n"/>
      <c r="CN93" s="169" t="n"/>
      <c r="CO93" s="169" t="n"/>
    </row>
    <row r="94" ht="15" customFormat="1" customHeight="1" s="123">
      <c r="A94" s="167" t="n"/>
      <c r="B94" s="167" t="n"/>
      <c r="C94" s="237" t="n"/>
      <c r="D94" s="121" t="n"/>
      <c r="E94" s="140" t="str">
        <f> E$25</f>
        <v>Model period ending </v>
      </c>
      <c r="F94" s="140">
        <f> F$25</f>
        <v>0.0</v>
      </c>
      <c r="G94" s="140" t="str">
        <f> G$25</f>
        <v>date</v>
      </c>
      <c r="H94" s="140">
        <f> H$25</f>
        <v>0.0</v>
      </c>
      <c r="I94" s="140">
        <f> I$25</f>
        <v>0.0</v>
      </c>
      <c r="J94" s="140">
        <f> J$25</f>
        <v>44469.0</v>
      </c>
      <c r="K94" s="140">
        <f> K$25</f>
        <v>44561.0</v>
      </c>
      <c r="L94" s="140">
        <f> L$25</f>
        <v>44651.0</v>
      </c>
      <c r="M94" s="140">
        <f> M$25</f>
        <v>44742.0</v>
      </c>
      <c r="N94" s="140">
        <f> N$25</f>
        <v>44834.0</v>
      </c>
      <c r="O94" s="140">
        <f> O$25</f>
        <v>44926.0</v>
      </c>
      <c r="P94" s="140">
        <f> P$25</f>
        <v>45016.0</v>
      </c>
      <c r="Q94" s="140">
        <f> Q$25</f>
        <v>45107.0</v>
      </c>
      <c r="R94" s="140">
        <f> R$25</f>
        <v>45199.0</v>
      </c>
      <c r="S94" s="140">
        <f> S$25</f>
        <v>45291.0</v>
      </c>
      <c r="T94" s="140">
        <f> T$25</f>
        <v>45382.0</v>
      </c>
      <c r="U94" s="140">
        <f> U$25</f>
        <v>45473.0</v>
      </c>
      <c r="V94" s="140">
        <f> V$25</f>
        <v>45565.0</v>
      </c>
      <c r="W94" s="140">
        <f> W$25</f>
        <v>45657.0</v>
      </c>
      <c r="X94" s="140">
        <f> X$25</f>
        <v>45747.0</v>
      </c>
      <c r="Y94" s="140">
        <f> Y$25</f>
        <v>45838.0</v>
      </c>
      <c r="Z94" s="140">
        <f> Z$25</f>
        <v>45930.0</v>
      </c>
      <c r="AA94" s="140">
        <f> AA$25</f>
        <v>46022.0</v>
      </c>
      <c r="AB94" s="140">
        <f> AB$25</f>
        <v>46112.0</v>
      </c>
      <c r="AC94" s="140">
        <f> AC$25</f>
        <v>46203.0</v>
      </c>
      <c r="AD94" s="140">
        <f> AD$25</f>
        <v>46295.0</v>
      </c>
      <c r="AE94" s="140">
        <f> AE$25</f>
        <v>46387.0</v>
      </c>
      <c r="AF94" s="140">
        <f> AF$25</f>
        <v>46477.0</v>
      </c>
      <c r="AG94" s="140">
        <f> AG$25</f>
        <v>46568.0</v>
      </c>
      <c r="AH94" s="140">
        <f> AH$25</f>
        <v>46660.0</v>
      </c>
      <c r="AI94" s="140">
        <f> AI$25</f>
        <v>46752.0</v>
      </c>
      <c r="AJ94" s="140">
        <f> AJ$25</f>
        <v>46843.0</v>
      </c>
      <c r="AK94" s="140">
        <f> AK$25</f>
        <v>46934.0</v>
      </c>
      <c r="AL94" s="140">
        <f> AL$25</f>
        <v>47026.0</v>
      </c>
      <c r="AM94" s="140">
        <f> AM$25</f>
        <v>47118.0</v>
      </c>
      <c r="AN94" s="140">
        <f> AN$25</f>
        <v>47208.0</v>
      </c>
      <c r="AO94" s="140">
        <f> AO$25</f>
        <v>47299.0</v>
      </c>
      <c r="AP94" s="140">
        <f> AP$25</f>
        <v>47391.0</v>
      </c>
      <c r="AQ94" s="140">
        <f> AQ$25</f>
        <v>47483.0</v>
      </c>
      <c r="AR94" s="140">
        <f> AR$25</f>
        <v>47573.0</v>
      </c>
      <c r="AS94" s="140">
        <f> AS$25</f>
        <v>47664.0</v>
      </c>
      <c r="AT94" s="140">
        <f> AT$25</f>
        <v>47756.0</v>
      </c>
      <c r="AU94" s="140">
        <f> AU$25</f>
        <v>47848.0</v>
      </c>
      <c r="AV94" s="140">
        <f> AV$25</f>
        <v>47938.0</v>
      </c>
      <c r="AW94" s="140">
        <f> AW$25</f>
        <v>48029.0</v>
      </c>
      <c r="AX94" s="140">
        <f> AX$25</f>
        <v>48121.0</v>
      </c>
      <c r="AY94" s="140">
        <f> AY$25</f>
        <v>48213.0</v>
      </c>
      <c r="AZ94" s="140">
        <f> AZ$25</f>
        <v>48304.0</v>
      </c>
      <c r="BA94" s="140">
        <f> BA$25</f>
        <v>48395.0</v>
      </c>
      <c r="BB94" s="140">
        <f> BB$25</f>
        <v>48487.0</v>
      </c>
      <c r="BC94" s="140">
        <f> BC$25</f>
        <v>48579.0</v>
      </c>
      <c r="BD94" s="140">
        <f> BD$25</f>
        <v>48669.0</v>
      </c>
      <c r="BE94" s="140">
        <f> BE$25</f>
        <v>48760.0</v>
      </c>
      <c r="BF94" s="140">
        <f> BF$25</f>
        <v>48852.0</v>
      </c>
      <c r="BG94" s="140">
        <f> BG$25</f>
        <v>48944.0</v>
      </c>
      <c r="BH94" s="140">
        <f> BH$25</f>
        <v>49034.0</v>
      </c>
      <c r="BI94" s="140">
        <f> BI$25</f>
        <v>49125.0</v>
      </c>
      <c r="BJ94" s="140">
        <f> BJ$25</f>
        <v>49217.0</v>
      </c>
      <c r="BK94" s="140">
        <f> BK$25</f>
        <v>49309.0</v>
      </c>
      <c r="BL94" s="140">
        <f> BL$25</f>
        <v>49399.0</v>
      </c>
      <c r="BM94" s="140">
        <f> BM$25</f>
        <v>49490.0</v>
      </c>
      <c r="BN94" s="140">
        <f> BN$25</f>
        <v>49582.0</v>
      </c>
      <c r="BO94" s="140">
        <f> BO$25</f>
        <v>49674.0</v>
      </c>
      <c r="BP94" s="140">
        <f> BP$25</f>
        <v>49765.0</v>
      </c>
      <c r="BQ94" s="140">
        <f> BQ$25</f>
        <v>49856.0</v>
      </c>
      <c r="BR94" s="140">
        <f> BR$25</f>
        <v>49948.0</v>
      </c>
      <c r="BS94" s="140">
        <f> BS$25</f>
        <v>50040.0</v>
      </c>
      <c r="BT94" s="140">
        <f> BT$25</f>
        <v>50130.0</v>
      </c>
      <c r="BU94" s="140">
        <f> BU$25</f>
        <v>50221.0</v>
      </c>
      <c r="BV94" s="140">
        <f> BV$25</f>
        <v>50313.0</v>
      </c>
      <c r="BW94" s="140">
        <f> BW$25</f>
        <v>50405.0</v>
      </c>
      <c r="BX94" s="140">
        <f> BX$25</f>
        <v>50495.0</v>
      </c>
      <c r="BY94" s="140">
        <f> BY$25</f>
        <v>50586.0</v>
      </c>
      <c r="BZ94" s="140">
        <f> BZ$25</f>
        <v>50678.0</v>
      </c>
      <c r="CA94" s="140">
        <f> CA$25</f>
        <v>50770.0</v>
      </c>
      <c r="CB94" s="140">
        <f> CB$25</f>
        <v>50860.0</v>
      </c>
      <c r="CC94" s="140">
        <f> CC$25</f>
        <v>50951.0</v>
      </c>
      <c r="CD94" s="140">
        <f> CD$25</f>
        <v>51043.0</v>
      </c>
      <c r="CE94" s="140">
        <f> CE$25</f>
        <v>51135.0</v>
      </c>
      <c r="CF94" s="140">
        <f> CF$25</f>
        <v>51226.0</v>
      </c>
      <c r="CG94" s="140">
        <f> CG$25</f>
        <v>51317.0</v>
      </c>
      <c r="CH94" s="140">
        <f> CH$25</f>
        <v>51409.0</v>
      </c>
      <c r="CI94" s="140">
        <f> CI$25</f>
        <v>51501.0</v>
      </c>
      <c r="CJ94" s="140">
        <f> CJ$25</f>
        <v>51591.0</v>
      </c>
      <c r="CK94" s="140">
        <f> CK$25</f>
        <v>51682.0</v>
      </c>
      <c r="CL94" s="140">
        <f> CL$25</f>
        <v>51774.0</v>
      </c>
      <c r="CM94" s="140">
        <f> CM$25</f>
        <v>51866.0</v>
      </c>
      <c r="CN94" s="140">
        <f> CN$25</f>
        <v>51956.0</v>
      </c>
      <c r="CO94" s="140">
        <f> CO$25</f>
        <v>52047.0</v>
      </c>
    </row>
    <row r="95" customFormat="1" s="369">
      <c r="A95" s="348" t="n"/>
      <c r="B95" s="348" t="n"/>
      <c r="C95" s="349" t="n"/>
      <c r="D95" s="193" t="n"/>
      <c r="E95" s="150" t="inlineStr">
        <is>
          <t>Depreciation period flag</t>
        </is>
      </c>
      <c r="F95" s="150" t="n"/>
      <c r="G95" s="150" t="inlineStr">
        <is>
          <t>flag</t>
        </is>
      </c>
      <c r="H95" s="150">
        <f> SUM(J95:CO95)</f>
        <v>60.0</v>
      </c>
      <c r="I95" s="150" t="n"/>
      <c r="J95" s="150">
        <f> IF(AND(J94 &gt; $F92, J94 &lt;= $F93), 1, 0)</f>
        <v>0.0</v>
      </c>
      <c r="K95" s="150">
        <f> IF(AND(K94 &gt; $F92, K94 &lt;= $F93), 1, 0)</f>
        <v>0.0</v>
      </c>
      <c r="L95" s="150">
        <f> IF(AND(L94 &gt; $F92, L94 &lt;= $F93), 1, 0)</f>
        <v>1.0</v>
      </c>
      <c r="M95" s="150">
        <f> IF(AND(M94 &gt; $F92, M94 &lt;= $F93), 1, 0)</f>
        <v>1.0</v>
      </c>
      <c r="N95" s="150">
        <f> IF(AND(N94 &gt; $F92, N94 &lt;= $F93), 1, 0)</f>
        <v>1.0</v>
      </c>
      <c r="O95" s="150">
        <f> IF(AND(O94 &gt; $F92, O94 &lt;= $F93), 1, 0)</f>
        <v>1.0</v>
      </c>
      <c r="P95" s="150">
        <f> IF(AND(P94 &gt; $F92, P94 &lt;= $F93), 1, 0)</f>
        <v>1.0</v>
      </c>
      <c r="Q95" s="150">
        <f> IF(AND(Q94 &gt; $F92, Q94 &lt;= $F93), 1, 0)</f>
        <v>1.0</v>
      </c>
      <c r="R95" s="150">
        <f> IF(AND(R94 &gt; $F92, R94 &lt;= $F93), 1, 0)</f>
        <v>1.0</v>
      </c>
      <c r="S95" s="150">
        <f> IF(AND(S94 &gt; $F92, S94 &lt;= $F93), 1, 0)</f>
        <v>1.0</v>
      </c>
      <c r="T95" s="150">
        <f> IF(AND(T94 &gt; $F92, T94 &lt;= $F93), 1, 0)</f>
        <v>1.0</v>
      </c>
      <c r="U95" s="150">
        <f> IF(AND(U94 &gt; $F92, U94 &lt;= $F93), 1, 0)</f>
        <v>1.0</v>
      </c>
      <c r="V95" s="150">
        <f> IF(AND(V94 &gt; $F92, V94 &lt;= $F93), 1, 0)</f>
        <v>1.0</v>
      </c>
      <c r="W95" s="150">
        <f> IF(AND(W94 &gt; $F92, W94 &lt;= $F93), 1, 0)</f>
        <v>1.0</v>
      </c>
      <c r="X95" s="150">
        <f> IF(AND(X94 &gt; $F92, X94 &lt;= $F93), 1, 0)</f>
        <v>1.0</v>
      </c>
      <c r="Y95" s="150">
        <f> IF(AND(Y94 &gt; $F92, Y94 &lt;= $F93), 1, 0)</f>
        <v>1.0</v>
      </c>
      <c r="Z95" s="150">
        <f> IF(AND(Z94 &gt; $F92, Z94 &lt;= $F93), 1, 0)</f>
        <v>1.0</v>
      </c>
      <c r="AA95" s="150">
        <f> IF(AND(AA94 &gt; $F92, AA94 &lt;= $F93), 1, 0)</f>
        <v>1.0</v>
      </c>
      <c r="AB95" s="150">
        <f> IF(AND(AB94 &gt; $F92, AB94 &lt;= $F93), 1, 0)</f>
        <v>1.0</v>
      </c>
      <c r="AC95" s="150">
        <f> IF(AND(AC94 &gt; $F92, AC94 &lt;= $F93), 1, 0)</f>
        <v>1.0</v>
      </c>
      <c r="AD95" s="150">
        <f> IF(AND(AD94 &gt; $F92, AD94 &lt;= $F93), 1, 0)</f>
        <v>1.0</v>
      </c>
      <c r="AE95" s="150">
        <f> IF(AND(AE94 &gt; $F92, AE94 &lt;= $F93), 1, 0)</f>
        <v>1.0</v>
      </c>
      <c r="AF95" s="150">
        <f> IF(AND(AF94 &gt; $F92, AF94 &lt;= $F93), 1, 0)</f>
        <v>1.0</v>
      </c>
      <c r="AG95" s="150">
        <f> IF(AND(AG94 &gt; $F92, AG94 &lt;= $F93), 1, 0)</f>
        <v>1.0</v>
      </c>
      <c r="AH95" s="150">
        <f> IF(AND(AH94 &gt; $F92, AH94 &lt;= $F93), 1, 0)</f>
        <v>1.0</v>
      </c>
      <c r="AI95" s="150">
        <f> IF(AND(AI94 &gt; $F92, AI94 &lt;= $F93), 1, 0)</f>
        <v>1.0</v>
      </c>
      <c r="AJ95" s="150">
        <f> IF(AND(AJ94 &gt; $F92, AJ94 &lt;= $F93), 1, 0)</f>
        <v>1.0</v>
      </c>
      <c r="AK95" s="150">
        <f> IF(AND(AK94 &gt; $F92, AK94 &lt;= $F93), 1, 0)</f>
        <v>1.0</v>
      </c>
      <c r="AL95" s="150">
        <f> IF(AND(AL94 &gt; $F92, AL94 &lt;= $F93), 1, 0)</f>
        <v>1.0</v>
      </c>
      <c r="AM95" s="150">
        <f> IF(AND(AM94 &gt; $F92, AM94 &lt;= $F93), 1, 0)</f>
        <v>1.0</v>
      </c>
      <c r="AN95" s="150">
        <f> IF(AND(AN94 &gt; $F92, AN94 &lt;= $F93), 1, 0)</f>
        <v>1.0</v>
      </c>
      <c r="AO95" s="150">
        <f> IF(AND(AO94 &gt; $F92, AO94 &lt;= $F93), 1, 0)</f>
        <v>1.0</v>
      </c>
      <c r="AP95" s="150">
        <f> IF(AND(AP94 &gt; $F92, AP94 &lt;= $F93), 1, 0)</f>
        <v>1.0</v>
      </c>
      <c r="AQ95" s="150">
        <f> IF(AND(AQ94 &gt; $F92, AQ94 &lt;= $F93), 1, 0)</f>
        <v>1.0</v>
      </c>
      <c r="AR95" s="150">
        <f> IF(AND(AR94 &gt; $F92, AR94 &lt;= $F93), 1, 0)</f>
        <v>1.0</v>
      </c>
      <c r="AS95" s="150">
        <f> IF(AND(AS94 &gt; $F92, AS94 &lt;= $F93), 1, 0)</f>
        <v>1.0</v>
      </c>
      <c r="AT95" s="150">
        <f> IF(AND(AT94 &gt; $F92, AT94 &lt;= $F93), 1, 0)</f>
        <v>1.0</v>
      </c>
      <c r="AU95" s="150">
        <f> IF(AND(AU94 &gt; $F92, AU94 &lt;= $F93), 1, 0)</f>
        <v>1.0</v>
      </c>
      <c r="AV95" s="150">
        <f> IF(AND(AV94 &gt; $F92, AV94 &lt;= $F93), 1, 0)</f>
        <v>1.0</v>
      </c>
      <c r="AW95" s="150">
        <f> IF(AND(AW94 &gt; $F92, AW94 &lt;= $F93), 1, 0)</f>
        <v>1.0</v>
      </c>
      <c r="AX95" s="150">
        <f> IF(AND(AX94 &gt; $F92, AX94 &lt;= $F93), 1, 0)</f>
        <v>1.0</v>
      </c>
      <c r="AY95" s="150">
        <f> IF(AND(AY94 &gt; $F92, AY94 &lt;= $F93), 1, 0)</f>
        <v>1.0</v>
      </c>
      <c r="AZ95" s="150">
        <f> IF(AND(AZ94 &gt; $F92, AZ94 &lt;= $F93), 1, 0)</f>
        <v>1.0</v>
      </c>
      <c r="BA95" s="150">
        <f> IF(AND(BA94 &gt; $F92, BA94 &lt;= $F93), 1, 0)</f>
        <v>1.0</v>
      </c>
      <c r="BB95" s="150">
        <f> IF(AND(BB94 &gt; $F92, BB94 &lt;= $F93), 1, 0)</f>
        <v>1.0</v>
      </c>
      <c r="BC95" s="150">
        <f> IF(AND(BC94 &gt; $F92, BC94 &lt;= $F93), 1, 0)</f>
        <v>1.0</v>
      </c>
      <c r="BD95" s="150">
        <f> IF(AND(BD94 &gt; $F92, BD94 &lt;= $F93), 1, 0)</f>
        <v>1.0</v>
      </c>
      <c r="BE95" s="150">
        <f> IF(AND(BE94 &gt; $F92, BE94 &lt;= $F93), 1, 0)</f>
        <v>1.0</v>
      </c>
      <c r="BF95" s="150">
        <f> IF(AND(BF94 &gt; $F92, BF94 &lt;= $F93), 1, 0)</f>
        <v>1.0</v>
      </c>
      <c r="BG95" s="150">
        <f> IF(AND(BG94 &gt; $F92, BG94 &lt;= $F93), 1, 0)</f>
        <v>1.0</v>
      </c>
      <c r="BH95" s="150">
        <f> IF(AND(BH94 &gt; $F92, BH94 &lt;= $F93), 1, 0)</f>
        <v>1.0</v>
      </c>
      <c r="BI95" s="150">
        <f> IF(AND(BI94 &gt; $F92, BI94 &lt;= $F93), 1, 0)</f>
        <v>1.0</v>
      </c>
      <c r="BJ95" s="150">
        <f> IF(AND(BJ94 &gt; $F92, BJ94 &lt;= $F93), 1, 0)</f>
        <v>1.0</v>
      </c>
      <c r="BK95" s="150">
        <f> IF(AND(BK94 &gt; $F92, BK94 &lt;= $F93), 1, 0)</f>
        <v>1.0</v>
      </c>
      <c r="BL95" s="150">
        <f> IF(AND(BL94 &gt; $F92, BL94 &lt;= $F93), 1, 0)</f>
        <v>1.0</v>
      </c>
      <c r="BM95" s="150">
        <f> IF(AND(BM94 &gt; $F92, BM94 &lt;= $F93), 1, 0)</f>
        <v>1.0</v>
      </c>
      <c r="BN95" s="150">
        <f> IF(AND(BN94 &gt; $F92, BN94 &lt;= $F93), 1, 0)</f>
        <v>1.0</v>
      </c>
      <c r="BO95" s="150">
        <f> IF(AND(BO94 &gt; $F92, BO94 &lt;= $F93), 1, 0)</f>
        <v>1.0</v>
      </c>
      <c r="BP95" s="150">
        <f> IF(AND(BP94 &gt; $F92, BP94 &lt;= $F93), 1, 0)</f>
        <v>1.0</v>
      </c>
      <c r="BQ95" s="150">
        <f> IF(AND(BQ94 &gt; $F92, BQ94 &lt;= $F93), 1, 0)</f>
        <v>1.0</v>
      </c>
      <c r="BR95" s="150">
        <f> IF(AND(BR94 &gt; $F92, BR94 &lt;= $F93), 1, 0)</f>
        <v>1.0</v>
      </c>
      <c r="BS95" s="150">
        <f> IF(AND(BS94 &gt; $F92, BS94 &lt;= $F93), 1, 0)</f>
        <v>1.0</v>
      </c>
      <c r="BT95" s="150">
        <f> IF(AND(BT94 &gt; $F92, BT94 &lt;= $F93), 1, 0)</f>
        <v>0.0</v>
      </c>
      <c r="BU95" s="150">
        <f> IF(AND(BU94 &gt; $F92, BU94 &lt;= $F93), 1, 0)</f>
        <v>0.0</v>
      </c>
      <c r="BV95" s="150">
        <f> IF(AND(BV94 &gt; $F92, BV94 &lt;= $F93), 1, 0)</f>
        <v>0.0</v>
      </c>
      <c r="BW95" s="150">
        <f> IF(AND(BW94 &gt; $F92, BW94 &lt;= $F93), 1, 0)</f>
        <v>0.0</v>
      </c>
      <c r="BX95" s="150">
        <f> IF(AND(BX94 &gt; $F92, BX94 &lt;= $F93), 1, 0)</f>
        <v>0.0</v>
      </c>
      <c r="BY95" s="150">
        <f> IF(AND(BY94 &gt; $F92, BY94 &lt;= $F93), 1, 0)</f>
        <v>0.0</v>
      </c>
      <c r="BZ95" s="150">
        <f> IF(AND(BZ94 &gt; $F92, BZ94 &lt;= $F93), 1, 0)</f>
        <v>0.0</v>
      </c>
      <c r="CA95" s="150">
        <f> IF(AND(CA94 &gt; $F92, CA94 &lt;= $F93), 1, 0)</f>
        <v>0.0</v>
      </c>
      <c r="CB95" s="150">
        <f> IF(AND(CB94 &gt; $F92, CB94 &lt;= $F93), 1, 0)</f>
        <v>0.0</v>
      </c>
      <c r="CC95" s="150">
        <f> IF(AND(CC94 &gt; $F92, CC94 &lt;= $F93), 1, 0)</f>
        <v>0.0</v>
      </c>
      <c r="CD95" s="150">
        <f> IF(AND(CD94 &gt; $F92, CD94 &lt;= $F93), 1, 0)</f>
        <v>0.0</v>
      </c>
      <c r="CE95" s="150">
        <f> IF(AND(CE94 &gt; $F92, CE94 &lt;= $F93), 1, 0)</f>
        <v>0.0</v>
      </c>
      <c r="CF95" s="150">
        <f> IF(AND(CF94 &gt; $F92, CF94 &lt;= $F93), 1, 0)</f>
        <v>0.0</v>
      </c>
      <c r="CG95" s="150">
        <f> IF(AND(CG94 &gt; $F92, CG94 &lt;= $F93), 1, 0)</f>
        <v>0.0</v>
      </c>
      <c r="CH95" s="150">
        <f> IF(AND(CH94 &gt; $F92, CH94 &lt;= $F93), 1, 0)</f>
        <v>0.0</v>
      </c>
      <c r="CI95" s="150">
        <f> IF(AND(CI94 &gt; $F92, CI94 &lt;= $F93), 1, 0)</f>
        <v>0.0</v>
      </c>
      <c r="CJ95" s="150">
        <f> IF(AND(CJ94 &gt; $F92, CJ94 &lt;= $F93), 1, 0)</f>
        <v>0.0</v>
      </c>
      <c r="CK95" s="150">
        <f> IF(AND(CK94 &gt; $F92, CK94 &lt;= $F93), 1, 0)</f>
        <v>0.0</v>
      </c>
      <c r="CL95" s="150">
        <f> IF(AND(CL94 &gt; $F92, CL94 &lt;= $F93), 1, 0)</f>
        <v>0.0</v>
      </c>
      <c r="CM95" s="150">
        <f> IF(AND(CM94 &gt; $F92, CM94 &lt;= $F93), 1, 0)</f>
        <v>0.0</v>
      </c>
      <c r="CN95" s="150">
        <f> IF(AND(CN94 &gt; $F92, CN94 &lt;= $F93), 1, 0)</f>
        <v>0.0</v>
      </c>
      <c r="CO95" s="150">
        <f> IF(AND(CO94 &gt; $F92, CO94 &lt;= $F93), 1, 0)</f>
        <v>0.0</v>
      </c>
    </row>
    <row r="96" customFormat="1" s="146">
      <c r="A96" s="163" t="n"/>
      <c r="B96" s="163" t="n"/>
      <c r="C96" s="172" t="n"/>
      <c r="D96" s="88" t="n"/>
      <c r="E96" s="169" t="n"/>
      <c r="F96" s="169" t="n"/>
      <c r="G96" s="169" t="n"/>
      <c r="H96" s="169" t="n"/>
      <c r="I96" s="169" t="n"/>
      <c r="J96" s="169" t="n"/>
      <c r="K96" s="169" t="n"/>
      <c r="L96" s="169" t="n"/>
      <c r="M96" s="169" t="n"/>
      <c r="N96" s="169" t="n"/>
      <c r="O96" s="169" t="n"/>
      <c r="P96" s="169" t="n"/>
      <c r="Q96" s="169" t="n"/>
      <c r="R96" s="169" t="n"/>
      <c r="S96" s="169" t="n"/>
      <c r="T96" s="169" t="n"/>
      <c r="U96" s="169" t="n"/>
      <c r="V96" s="169" t="n"/>
      <c r="W96" s="169" t="n"/>
      <c r="X96" s="169" t="n"/>
      <c r="Y96" s="169" t="n"/>
      <c r="Z96" s="169" t="n"/>
      <c r="AA96" s="169" t="n"/>
      <c r="AB96" s="169" t="n"/>
      <c r="AC96" s="169" t="n"/>
      <c r="AD96" s="169" t="n"/>
      <c r="AE96" s="169" t="n"/>
      <c r="AF96" s="169" t="n"/>
      <c r="AG96" s="169" t="n"/>
      <c r="AH96" s="169" t="n"/>
      <c r="AI96" s="169" t="n"/>
      <c r="AJ96" s="169" t="n"/>
      <c r="AK96" s="169" t="n"/>
      <c r="AL96" s="169" t="n"/>
      <c r="AM96" s="169" t="n"/>
      <c r="AN96" s="169" t="n"/>
      <c r="AO96" s="169" t="n"/>
      <c r="AP96" s="169" t="n"/>
      <c r="AQ96" s="169" t="n"/>
      <c r="AR96" s="169" t="n"/>
      <c r="AS96" s="169" t="n"/>
      <c r="AT96" s="169" t="n"/>
      <c r="AU96" s="169" t="n"/>
      <c r="AV96" s="169" t="n"/>
      <c r="AW96" s="169" t="n"/>
      <c r="AX96" s="169" t="n"/>
      <c r="AY96" s="169" t="n"/>
      <c r="AZ96" s="169" t="n"/>
      <c r="BA96" s="169" t="n"/>
      <c r="BB96" s="169" t="n"/>
      <c r="BC96" s="169" t="n"/>
      <c r="BD96" s="169" t="n"/>
      <c r="BE96" s="169" t="n"/>
      <c r="BF96" s="169" t="n"/>
      <c r="BG96" s="169" t="n"/>
      <c r="BH96" s="169" t="n"/>
      <c r="BI96" s="169" t="n"/>
      <c r="BJ96" s="169" t="n"/>
      <c r="BK96" s="169" t="n"/>
      <c r="BL96" s="169" t="n"/>
      <c r="BM96" s="169" t="n"/>
      <c r="BN96" s="169" t="n"/>
      <c r="BO96" s="169" t="n"/>
      <c r="BP96" s="169" t="n"/>
      <c r="BQ96" s="169" t="n"/>
      <c r="BR96" s="169" t="n"/>
      <c r="BS96" s="169" t="n"/>
      <c r="BT96" s="169" t="n"/>
      <c r="BU96" s="169" t="n"/>
      <c r="BV96" s="169" t="n"/>
      <c r="BW96" s="169" t="n"/>
      <c r="BX96" s="169" t="n"/>
      <c r="BY96" s="169" t="n"/>
      <c r="BZ96" s="169" t="n"/>
      <c r="CA96" s="169" t="n"/>
      <c r="CB96" s="169" t="n"/>
      <c r="CC96" s="169" t="n"/>
      <c r="CD96" s="169" t="n"/>
      <c r="CE96" s="169" t="n"/>
      <c r="CF96" s="169" t="n"/>
      <c r="CG96" s="169" t="n"/>
      <c r="CH96" s="169" t="n"/>
      <c r="CI96" s="169" t="n"/>
      <c r="CJ96" s="169" t="n"/>
      <c r="CK96" s="169" t="n"/>
      <c r="CL96" s="169" t="n"/>
      <c r="CM96" s="169" t="n"/>
      <c r="CN96" s="169" t="n"/>
      <c r="CO96" s="169" t="n"/>
    </row>
    <row r="97" customFormat="1" s="146">
      <c r="A97" s="163" t="n"/>
      <c r="B97" s="163" t="n"/>
      <c r="C97" s="172" t="n"/>
      <c r="D97" s="88" t="n"/>
      <c r="E97" s="169" t="n"/>
      <c r="F97" s="169" t="n"/>
      <c r="G97" s="169" t="n"/>
      <c r="H97" s="169" t="n"/>
      <c r="I97" s="169" t="n"/>
      <c r="J97" s="169" t="n"/>
      <c r="K97" s="169" t="n"/>
      <c r="L97" s="169" t="n"/>
      <c r="M97" s="169" t="n"/>
      <c r="N97" s="169" t="n"/>
      <c r="O97" s="169" t="n"/>
      <c r="P97" s="169" t="n"/>
      <c r="Q97" s="169" t="n"/>
      <c r="R97" s="169" t="n"/>
      <c r="S97" s="169" t="n"/>
      <c r="T97" s="169" t="n"/>
      <c r="U97" s="169" t="n"/>
      <c r="V97" s="169" t="n"/>
      <c r="W97" s="169" t="n"/>
      <c r="X97" s="169" t="n"/>
      <c r="Y97" s="169" t="n"/>
      <c r="Z97" s="169" t="n"/>
      <c r="AA97" s="169" t="n"/>
      <c r="AB97" s="169" t="n"/>
      <c r="AC97" s="169" t="n"/>
      <c r="AD97" s="169" t="n"/>
      <c r="AE97" s="169" t="n"/>
      <c r="AF97" s="169" t="n"/>
      <c r="AG97" s="169" t="n"/>
      <c r="AH97" s="169" t="n"/>
      <c r="AI97" s="169" t="n"/>
      <c r="AJ97" s="169" t="n"/>
      <c r="AK97" s="169" t="n"/>
      <c r="AL97" s="169" t="n"/>
      <c r="AM97" s="169" t="n"/>
      <c r="AN97" s="169" t="n"/>
      <c r="AO97" s="169" t="n"/>
      <c r="AP97" s="169" t="n"/>
      <c r="AQ97" s="169" t="n"/>
      <c r="AR97" s="169" t="n"/>
      <c r="AS97" s="169" t="n"/>
      <c r="AT97" s="169" t="n"/>
      <c r="AU97" s="169" t="n"/>
      <c r="AV97" s="169" t="n"/>
      <c r="AW97" s="169" t="n"/>
      <c r="AX97" s="169" t="n"/>
      <c r="AY97" s="169" t="n"/>
      <c r="AZ97" s="169" t="n"/>
      <c r="BA97" s="169" t="n"/>
      <c r="BB97" s="169" t="n"/>
      <c r="BC97" s="169" t="n"/>
      <c r="BD97" s="169" t="n"/>
      <c r="BE97" s="169" t="n"/>
      <c r="BF97" s="169" t="n"/>
      <c r="BG97" s="169" t="n"/>
      <c r="BH97" s="169" t="n"/>
      <c r="BI97" s="169" t="n"/>
      <c r="BJ97" s="169" t="n"/>
      <c r="BK97" s="169" t="n"/>
      <c r="BL97" s="169" t="n"/>
      <c r="BM97" s="169" t="n"/>
      <c r="BN97" s="169" t="n"/>
      <c r="BO97" s="169" t="n"/>
      <c r="BP97" s="169" t="n"/>
      <c r="BQ97" s="169" t="n"/>
      <c r="BR97" s="169" t="n"/>
      <c r="BS97" s="169" t="n"/>
      <c r="BT97" s="169" t="n"/>
      <c r="BU97" s="169" t="n"/>
      <c r="BV97" s="169" t="n"/>
      <c r="BW97" s="169" t="n"/>
      <c r="BX97" s="169" t="n"/>
      <c r="BY97" s="169" t="n"/>
      <c r="BZ97" s="169" t="n"/>
      <c r="CA97" s="169" t="n"/>
      <c r="CB97" s="169" t="n"/>
      <c r="CC97" s="169" t="n"/>
      <c r="CD97" s="169" t="n"/>
      <c r="CE97" s="169" t="n"/>
      <c r="CF97" s="169" t="n"/>
      <c r="CG97" s="169" t="n"/>
      <c r="CH97" s="169" t="n"/>
      <c r="CI97" s="169" t="n"/>
      <c r="CJ97" s="169" t="n"/>
      <c r="CK97" s="169" t="n"/>
      <c r="CL97" s="169" t="n"/>
      <c r="CM97" s="169" t="n"/>
      <c r="CN97" s="169" t="n"/>
      <c r="CO97" s="169" t="n"/>
    </row>
    <row r="98" customFormat="1" s="43">
      <c r="A98" s="294" t="n"/>
      <c r="B98" s="294" t="inlineStr">
        <is>
          <t>Timeline label</t>
        </is>
      </c>
      <c r="C98" s="212" t="n"/>
      <c r="D98" s="244" t="n"/>
      <c r="E98" s="61" t="n"/>
      <c r="F98" s="151" t="n"/>
      <c r="G98" s="152" t="n"/>
      <c r="H98" s="152" t="n"/>
      <c r="I98" s="152" t="n"/>
      <c r="J98" s="152" t="n"/>
      <c r="K98" s="152" t="n"/>
      <c r="L98" s="152" t="n"/>
      <c r="M98" s="152" t="n"/>
      <c r="N98" s="152" t="n"/>
      <c r="O98" s="152" t="n"/>
      <c r="P98" s="152" t="n"/>
      <c r="Q98" s="152" t="n"/>
      <c r="R98" s="152" t="n"/>
      <c r="S98" s="152" t="n"/>
      <c r="T98" s="152" t="n"/>
      <c r="U98" s="152" t="n"/>
      <c r="V98" s="152" t="n"/>
      <c r="W98" s="152" t="n"/>
      <c r="X98" s="152" t="n"/>
      <c r="Y98" s="152" t="n"/>
      <c r="Z98" s="152" t="n"/>
      <c r="AA98" s="152" t="n"/>
      <c r="AB98" s="152" t="n"/>
      <c r="AC98" s="152" t="n"/>
      <c r="AD98" s="152" t="n"/>
      <c r="AE98" s="152" t="n"/>
      <c r="AF98" s="152" t="n"/>
      <c r="AG98" s="152" t="n"/>
      <c r="AH98" s="152" t="n"/>
      <c r="AI98" s="152" t="n"/>
      <c r="AJ98" s="152" t="n"/>
      <c r="AK98" s="152" t="n"/>
      <c r="AL98" s="152" t="n"/>
      <c r="AM98" s="152" t="n"/>
      <c r="AN98" s="152" t="n"/>
      <c r="AO98" s="152" t="n"/>
      <c r="AP98" s="152" t="n"/>
      <c r="AQ98" s="152" t="n"/>
      <c r="AR98" s="152" t="n"/>
      <c r="AS98" s="152" t="n"/>
      <c r="AT98" s="152" t="n"/>
      <c r="AU98" s="152" t="n"/>
      <c r="AV98" s="152" t="n"/>
      <c r="AW98" s="152" t="n"/>
      <c r="AX98" s="152" t="n"/>
      <c r="AY98" s="152" t="n"/>
      <c r="AZ98" s="152" t="n"/>
      <c r="BA98" s="152" t="n"/>
      <c r="BB98" s="152" t="n"/>
      <c r="BC98" s="152" t="n"/>
      <c r="BD98" s="152" t="n"/>
      <c r="BE98" s="152" t="n"/>
      <c r="BF98" s="152" t="n"/>
      <c r="BG98" s="152" t="n"/>
      <c r="BH98" s="152" t="n"/>
      <c r="BI98" s="152" t="n"/>
      <c r="BJ98" s="152" t="n"/>
      <c r="BK98" s="152" t="n"/>
      <c r="BL98" s="152" t="n"/>
      <c r="BM98" s="152" t="n"/>
      <c r="BN98" s="152" t="n"/>
      <c r="BO98" s="152" t="n"/>
      <c r="BP98" s="152" t="n"/>
      <c r="BQ98" s="152" t="n"/>
      <c r="BR98" s="152" t="n"/>
      <c r="BS98" s="152" t="n"/>
      <c r="BT98" s="152" t="n"/>
      <c r="BU98" s="152" t="n"/>
      <c r="BV98" s="152" t="n"/>
      <c r="BW98" s="152" t="n"/>
      <c r="BX98" s="152" t="n"/>
      <c r="BY98" s="152" t="n"/>
      <c r="BZ98" s="152" t="n"/>
      <c r="CA98" s="152" t="n"/>
      <c r="CB98" s="152" t="n"/>
      <c r="CC98" s="152" t="n"/>
      <c r="CD98" s="152" t="n"/>
      <c r="CE98" s="152" t="n"/>
      <c r="CF98" s="152" t="n"/>
      <c r="CG98" s="152" t="n"/>
      <c r="CH98" s="152" t="n"/>
      <c r="CI98" s="152" t="n"/>
      <c r="CJ98" s="152" t="n"/>
      <c r="CK98" s="152" t="n"/>
      <c r="CL98" s="152" t="n"/>
      <c r="CM98" s="152" t="n"/>
      <c r="CN98" s="152" t="n"/>
      <c r="CO98" s="152" t="n"/>
    </row>
    <row r="99" customFormat="1" s="43">
      <c r="A99" s="294" t="n"/>
      <c r="B99" s="294" t="n"/>
      <c r="C99" s="212" t="inlineStr">
        <is>
          <t>Timeline label counter</t>
        </is>
      </c>
      <c r="D99" s="244" t="n"/>
      <c r="E99" s="61" t="n"/>
      <c r="F99" s="151" t="n"/>
      <c r="G99" s="152" t="n"/>
      <c r="H99" s="152" t="n"/>
      <c r="I99" s="152" t="n"/>
      <c r="J99" s="152" t="n"/>
      <c r="K99" s="152" t="n"/>
      <c r="L99" s="152" t="n"/>
      <c r="M99" s="152" t="n"/>
      <c r="N99" s="152" t="n"/>
      <c r="O99" s="152" t="n"/>
      <c r="P99" s="152" t="n"/>
      <c r="Q99" s="152" t="n"/>
      <c r="R99" s="152" t="n"/>
      <c r="S99" s="152" t="n"/>
      <c r="T99" s="152" t="n"/>
      <c r="U99" s="152" t="n"/>
      <c r="V99" s="152" t="n"/>
      <c r="W99" s="152" t="n"/>
      <c r="X99" s="152" t="n"/>
      <c r="Y99" s="152" t="n"/>
      <c r="Z99" s="152" t="n"/>
      <c r="AA99" s="152" t="n"/>
      <c r="AB99" s="152" t="n"/>
      <c r="AC99" s="152" t="n"/>
      <c r="AD99" s="152" t="n"/>
      <c r="AE99" s="152" t="n"/>
      <c r="AF99" s="152" t="n"/>
      <c r="AG99" s="152" t="n"/>
      <c r="AH99" s="152" t="n"/>
      <c r="AI99" s="152" t="n"/>
      <c r="AJ99" s="152" t="n"/>
      <c r="AK99" s="152" t="n"/>
      <c r="AL99" s="152" t="n"/>
      <c r="AM99" s="152" t="n"/>
      <c r="AN99" s="152" t="n"/>
      <c r="AO99" s="152" t="n"/>
      <c r="AP99" s="152" t="n"/>
      <c r="AQ99" s="152" t="n"/>
      <c r="AR99" s="152" t="n"/>
      <c r="AS99" s="152" t="n"/>
      <c r="AT99" s="152" t="n"/>
      <c r="AU99" s="152" t="n"/>
      <c r="AV99" s="152" t="n"/>
      <c r="AW99" s="152" t="n"/>
      <c r="AX99" s="152" t="n"/>
      <c r="AY99" s="152" t="n"/>
      <c r="AZ99" s="152" t="n"/>
      <c r="BA99" s="152" t="n"/>
      <c r="BB99" s="152" t="n"/>
      <c r="BC99" s="152" t="n"/>
      <c r="BD99" s="152" t="n"/>
      <c r="BE99" s="152" t="n"/>
      <c r="BF99" s="152" t="n"/>
      <c r="BG99" s="152" t="n"/>
      <c r="BH99" s="152" t="n"/>
      <c r="BI99" s="152" t="n"/>
      <c r="BJ99" s="152" t="n"/>
      <c r="BK99" s="152" t="n"/>
      <c r="BL99" s="152" t="n"/>
      <c r="BM99" s="152" t="n"/>
      <c r="BN99" s="152" t="n"/>
      <c r="BO99" s="152" t="n"/>
      <c r="BP99" s="152" t="n"/>
      <c r="BQ99" s="152" t="n"/>
      <c r="BR99" s="152" t="n"/>
      <c r="BS99" s="152" t="n"/>
      <c r="BT99" s="152" t="n"/>
      <c r="BU99" s="152" t="n"/>
      <c r="BV99" s="152" t="n"/>
      <c r="BW99" s="152" t="n"/>
      <c r="BX99" s="152" t="n"/>
      <c r="BY99" s="152" t="n"/>
      <c r="BZ99" s="152" t="n"/>
      <c r="CA99" s="152" t="n"/>
      <c r="CB99" s="152" t="n"/>
      <c r="CC99" s="152" t="n"/>
      <c r="CD99" s="152" t="n"/>
      <c r="CE99" s="152" t="n"/>
      <c r="CF99" s="152" t="n"/>
      <c r="CG99" s="152" t="n"/>
      <c r="CH99" s="152" t="n"/>
      <c r="CI99" s="152" t="n"/>
      <c r="CJ99" s="152" t="n"/>
      <c r="CK99" s="152" t="n"/>
      <c r="CL99" s="152" t="n"/>
      <c r="CM99" s="152" t="n"/>
      <c r="CN99" s="152" t="n"/>
      <c r="CO99" s="152" t="n"/>
    </row>
    <row r="100" customFormat="1" s="43">
      <c r="A100" s="39" t="n"/>
      <c r="B100" s="39" t="n"/>
      <c r="C100" s="40" t="n"/>
      <c r="D100" s="151" t="n"/>
      <c r="E100" s="152" t="str">
        <f> E$14</f>
        <v>First model column flag</v>
      </c>
      <c r="F100" s="152">
        <f> F$14</f>
        <v>0.0</v>
      </c>
      <c r="G100" s="152" t="str">
        <f> G$14</f>
        <v>flag</v>
      </c>
      <c r="H100" s="152">
        <f> H$14</f>
        <v>1.0</v>
      </c>
      <c r="I100" s="152">
        <f> I$14</f>
        <v>0.0</v>
      </c>
      <c r="J100" s="152">
        <f> J$14</f>
        <v>1.0</v>
      </c>
      <c r="K100" s="152">
        <f> K$14</f>
        <v>0.0</v>
      </c>
      <c r="L100" s="152">
        <f> L$14</f>
        <v>0.0</v>
      </c>
      <c r="M100" s="152">
        <f> M$14</f>
        <v>0.0</v>
      </c>
      <c r="N100" s="152">
        <f> N$14</f>
        <v>0.0</v>
      </c>
      <c r="O100" s="152">
        <f> O$14</f>
        <v>0.0</v>
      </c>
      <c r="P100" s="152">
        <f> P$14</f>
        <v>0.0</v>
      </c>
      <c r="Q100" s="152">
        <f> Q$14</f>
        <v>0.0</v>
      </c>
      <c r="R100" s="152">
        <f> R$14</f>
        <v>0.0</v>
      </c>
      <c r="S100" s="152">
        <f> S$14</f>
        <v>0.0</v>
      </c>
      <c r="T100" s="152">
        <f> T$14</f>
        <v>0.0</v>
      </c>
      <c r="U100" s="152">
        <f> U$14</f>
        <v>0.0</v>
      </c>
      <c r="V100" s="152">
        <f> V$14</f>
        <v>0.0</v>
      </c>
      <c r="W100" s="152">
        <f> W$14</f>
        <v>0.0</v>
      </c>
      <c r="X100" s="152">
        <f> X$14</f>
        <v>0.0</v>
      </c>
      <c r="Y100" s="152">
        <f> Y$14</f>
        <v>0.0</v>
      </c>
      <c r="Z100" s="152">
        <f> Z$14</f>
        <v>0.0</v>
      </c>
      <c r="AA100" s="152">
        <f> AA$14</f>
        <v>0.0</v>
      </c>
      <c r="AB100" s="152">
        <f> AB$14</f>
        <v>0.0</v>
      </c>
      <c r="AC100" s="152">
        <f> AC$14</f>
        <v>0.0</v>
      </c>
      <c r="AD100" s="152">
        <f> AD$14</f>
        <v>0.0</v>
      </c>
      <c r="AE100" s="152">
        <f> AE$14</f>
        <v>0.0</v>
      </c>
      <c r="AF100" s="152">
        <f> AF$14</f>
        <v>0.0</v>
      </c>
      <c r="AG100" s="152">
        <f> AG$14</f>
        <v>0.0</v>
      </c>
      <c r="AH100" s="152">
        <f> AH$14</f>
        <v>0.0</v>
      </c>
      <c r="AI100" s="152">
        <f> AI$14</f>
        <v>0.0</v>
      </c>
      <c r="AJ100" s="152">
        <f> AJ$14</f>
        <v>0.0</v>
      </c>
      <c r="AK100" s="152">
        <f> AK$14</f>
        <v>0.0</v>
      </c>
      <c r="AL100" s="152">
        <f> AL$14</f>
        <v>0.0</v>
      </c>
      <c r="AM100" s="152">
        <f> AM$14</f>
        <v>0.0</v>
      </c>
      <c r="AN100" s="152">
        <f> AN$14</f>
        <v>0.0</v>
      </c>
      <c r="AO100" s="152">
        <f> AO$14</f>
        <v>0.0</v>
      </c>
      <c r="AP100" s="152">
        <f> AP$14</f>
        <v>0.0</v>
      </c>
      <c r="AQ100" s="152">
        <f> AQ$14</f>
        <v>0.0</v>
      </c>
      <c r="AR100" s="152">
        <f> AR$14</f>
        <v>0.0</v>
      </c>
      <c r="AS100" s="152">
        <f> AS$14</f>
        <v>0.0</v>
      </c>
      <c r="AT100" s="152">
        <f> AT$14</f>
        <v>0.0</v>
      </c>
      <c r="AU100" s="152">
        <f> AU$14</f>
        <v>0.0</v>
      </c>
      <c r="AV100" s="152">
        <f> AV$14</f>
        <v>0.0</v>
      </c>
      <c r="AW100" s="152">
        <f> AW$14</f>
        <v>0.0</v>
      </c>
      <c r="AX100" s="152">
        <f> AX$14</f>
        <v>0.0</v>
      </c>
      <c r="AY100" s="152">
        <f> AY$14</f>
        <v>0.0</v>
      </c>
      <c r="AZ100" s="152">
        <f> AZ$14</f>
        <v>0.0</v>
      </c>
      <c r="BA100" s="152">
        <f> BA$14</f>
        <v>0.0</v>
      </c>
      <c r="BB100" s="152">
        <f> BB$14</f>
        <v>0.0</v>
      </c>
      <c r="BC100" s="152">
        <f> BC$14</f>
        <v>0.0</v>
      </c>
      <c r="BD100" s="152">
        <f> BD$14</f>
        <v>0.0</v>
      </c>
      <c r="BE100" s="152">
        <f> BE$14</f>
        <v>0.0</v>
      </c>
      <c r="BF100" s="152">
        <f> BF$14</f>
        <v>0.0</v>
      </c>
      <c r="BG100" s="152">
        <f> BG$14</f>
        <v>0.0</v>
      </c>
      <c r="BH100" s="152">
        <f> BH$14</f>
        <v>0.0</v>
      </c>
      <c r="BI100" s="152">
        <f> BI$14</f>
        <v>0.0</v>
      </c>
      <c r="BJ100" s="152">
        <f> BJ$14</f>
        <v>0.0</v>
      </c>
      <c r="BK100" s="152">
        <f> BK$14</f>
        <v>0.0</v>
      </c>
      <c r="BL100" s="152">
        <f> BL$14</f>
        <v>0.0</v>
      </c>
      <c r="BM100" s="152">
        <f> BM$14</f>
        <v>0.0</v>
      </c>
      <c r="BN100" s="152">
        <f> BN$14</f>
        <v>0.0</v>
      </c>
      <c r="BO100" s="152">
        <f> BO$14</f>
        <v>0.0</v>
      </c>
      <c r="BP100" s="152">
        <f> BP$14</f>
        <v>0.0</v>
      </c>
      <c r="BQ100" s="152">
        <f> BQ$14</f>
        <v>0.0</v>
      </c>
      <c r="BR100" s="152">
        <f> BR$14</f>
        <v>0.0</v>
      </c>
      <c r="BS100" s="152">
        <f> BS$14</f>
        <v>0.0</v>
      </c>
      <c r="BT100" s="152">
        <f> BT$14</f>
        <v>0.0</v>
      </c>
      <c r="BU100" s="152">
        <f> BU$14</f>
        <v>0.0</v>
      </c>
      <c r="BV100" s="152">
        <f> BV$14</f>
        <v>0.0</v>
      </c>
      <c r="BW100" s="152">
        <f> BW$14</f>
        <v>0.0</v>
      </c>
      <c r="BX100" s="152">
        <f> BX$14</f>
        <v>0.0</v>
      </c>
      <c r="BY100" s="152">
        <f> BY$14</f>
        <v>0.0</v>
      </c>
      <c r="BZ100" s="152">
        <f> BZ$14</f>
        <v>0.0</v>
      </c>
      <c r="CA100" s="152">
        <f> CA$14</f>
        <v>0.0</v>
      </c>
      <c r="CB100" s="152">
        <f> CB$14</f>
        <v>0.0</v>
      </c>
      <c r="CC100" s="152">
        <f> CC$14</f>
        <v>0.0</v>
      </c>
      <c r="CD100" s="152">
        <f> CD$14</f>
        <v>0.0</v>
      </c>
      <c r="CE100" s="152">
        <f> CE$14</f>
        <v>0.0</v>
      </c>
      <c r="CF100" s="152">
        <f> CF$14</f>
        <v>0.0</v>
      </c>
      <c r="CG100" s="152">
        <f> CG$14</f>
        <v>0.0</v>
      </c>
      <c r="CH100" s="152">
        <f> CH$14</f>
        <v>0.0</v>
      </c>
      <c r="CI100" s="152">
        <f> CI$14</f>
        <v>0.0</v>
      </c>
      <c r="CJ100" s="152">
        <f> CJ$14</f>
        <v>0.0</v>
      </c>
      <c r="CK100" s="152">
        <f> CK$14</f>
        <v>0.0</v>
      </c>
      <c r="CL100" s="152">
        <f> CL$14</f>
        <v>0.0</v>
      </c>
      <c r="CM100" s="152">
        <f> CM$14</f>
        <v>0.0</v>
      </c>
      <c r="CN100" s="152">
        <f> CN$14</f>
        <v>0.0</v>
      </c>
      <c r="CO100" s="152">
        <f> CO$14</f>
        <v>0.0</v>
      </c>
    </row>
    <row r="101" customFormat="1" s="43">
      <c r="A101" s="39" t="n"/>
      <c r="B101" s="39" t="n"/>
      <c r="C101" s="40" t="n"/>
      <c r="D101" s="151" t="n"/>
      <c r="E101" s="61" t="str">
        <f> E$45</f>
        <v>Acquisition / initial balance date flag</v>
      </c>
      <c r="F101" s="61">
        <f> F$45</f>
        <v>0.0</v>
      </c>
      <c r="G101" s="61" t="str">
        <f> G$45</f>
        <v>flag</v>
      </c>
      <c r="H101" s="61">
        <f> H$45</f>
        <v>1.0</v>
      </c>
      <c r="I101" s="61">
        <f> I$45</f>
        <v>0.0</v>
      </c>
      <c r="J101" s="61">
        <f> J$45</f>
        <v>0.0</v>
      </c>
      <c r="K101" s="61">
        <f> K$45</f>
        <v>1.0</v>
      </c>
      <c r="L101" s="61">
        <f> L$45</f>
        <v>0.0</v>
      </c>
      <c r="M101" s="61">
        <f> M$45</f>
        <v>0.0</v>
      </c>
      <c r="N101" s="61">
        <f> N$45</f>
        <v>0.0</v>
      </c>
      <c r="O101" s="61">
        <f> O$45</f>
        <v>0.0</v>
      </c>
      <c r="P101" s="61">
        <f> P$45</f>
        <v>0.0</v>
      </c>
      <c r="Q101" s="61">
        <f> Q$45</f>
        <v>0.0</v>
      </c>
      <c r="R101" s="61">
        <f> R$45</f>
        <v>0.0</v>
      </c>
      <c r="S101" s="61">
        <f> S$45</f>
        <v>0.0</v>
      </c>
      <c r="T101" s="61">
        <f> T$45</f>
        <v>0.0</v>
      </c>
      <c r="U101" s="61">
        <f> U$45</f>
        <v>0.0</v>
      </c>
      <c r="V101" s="61">
        <f> V$45</f>
        <v>0.0</v>
      </c>
      <c r="W101" s="61">
        <f> W$45</f>
        <v>0.0</v>
      </c>
      <c r="X101" s="61">
        <f> X$45</f>
        <v>0.0</v>
      </c>
      <c r="Y101" s="61">
        <f> Y$45</f>
        <v>0.0</v>
      </c>
      <c r="Z101" s="61">
        <f> Z$45</f>
        <v>0.0</v>
      </c>
      <c r="AA101" s="61">
        <f> AA$45</f>
        <v>0.0</v>
      </c>
      <c r="AB101" s="61">
        <f> AB$45</f>
        <v>0.0</v>
      </c>
      <c r="AC101" s="61">
        <f> AC$45</f>
        <v>0.0</v>
      </c>
      <c r="AD101" s="61">
        <f> AD$45</f>
        <v>0.0</v>
      </c>
      <c r="AE101" s="61">
        <f> AE$45</f>
        <v>0.0</v>
      </c>
      <c r="AF101" s="61">
        <f> AF$45</f>
        <v>0.0</v>
      </c>
      <c r="AG101" s="61">
        <f> AG$45</f>
        <v>0.0</v>
      </c>
      <c r="AH101" s="61">
        <f> AH$45</f>
        <v>0.0</v>
      </c>
      <c r="AI101" s="61">
        <f> AI$45</f>
        <v>0.0</v>
      </c>
      <c r="AJ101" s="61">
        <f> AJ$45</f>
        <v>0.0</v>
      </c>
      <c r="AK101" s="61">
        <f> AK$45</f>
        <v>0.0</v>
      </c>
      <c r="AL101" s="61">
        <f> AL$45</f>
        <v>0.0</v>
      </c>
      <c r="AM101" s="61">
        <f> AM$45</f>
        <v>0.0</v>
      </c>
      <c r="AN101" s="61">
        <f> AN$45</f>
        <v>0.0</v>
      </c>
      <c r="AO101" s="61">
        <f> AO$45</f>
        <v>0.0</v>
      </c>
      <c r="AP101" s="61">
        <f> AP$45</f>
        <v>0.0</v>
      </c>
      <c r="AQ101" s="61">
        <f> AQ$45</f>
        <v>0.0</v>
      </c>
      <c r="AR101" s="61">
        <f> AR$45</f>
        <v>0.0</v>
      </c>
      <c r="AS101" s="61">
        <f> AS$45</f>
        <v>0.0</v>
      </c>
      <c r="AT101" s="61">
        <f> AT$45</f>
        <v>0.0</v>
      </c>
      <c r="AU101" s="61">
        <f> AU$45</f>
        <v>0.0</v>
      </c>
      <c r="AV101" s="61">
        <f> AV$45</f>
        <v>0.0</v>
      </c>
      <c r="AW101" s="61">
        <f> AW$45</f>
        <v>0.0</v>
      </c>
      <c r="AX101" s="61">
        <f> AX$45</f>
        <v>0.0</v>
      </c>
      <c r="AY101" s="61">
        <f> AY$45</f>
        <v>0.0</v>
      </c>
      <c r="AZ101" s="61">
        <f> AZ$45</f>
        <v>0.0</v>
      </c>
      <c r="BA101" s="61">
        <f> BA$45</f>
        <v>0.0</v>
      </c>
      <c r="BB101" s="61">
        <f> BB$45</f>
        <v>0.0</v>
      </c>
      <c r="BC101" s="61">
        <f> BC$45</f>
        <v>0.0</v>
      </c>
      <c r="BD101" s="61">
        <f> BD$45</f>
        <v>0.0</v>
      </c>
      <c r="BE101" s="61">
        <f> BE$45</f>
        <v>0.0</v>
      </c>
      <c r="BF101" s="61">
        <f> BF$45</f>
        <v>0.0</v>
      </c>
      <c r="BG101" s="61">
        <f> BG$45</f>
        <v>0.0</v>
      </c>
      <c r="BH101" s="61">
        <f> BH$45</f>
        <v>0.0</v>
      </c>
      <c r="BI101" s="61">
        <f> BI$45</f>
        <v>0.0</v>
      </c>
      <c r="BJ101" s="61">
        <f> BJ$45</f>
        <v>0.0</v>
      </c>
      <c r="BK101" s="61">
        <f> BK$45</f>
        <v>0.0</v>
      </c>
      <c r="BL101" s="61">
        <f> BL$45</f>
        <v>0.0</v>
      </c>
      <c r="BM101" s="61">
        <f> BM$45</f>
        <v>0.0</v>
      </c>
      <c r="BN101" s="61">
        <f> BN$45</f>
        <v>0.0</v>
      </c>
      <c r="BO101" s="61">
        <f> BO$45</f>
        <v>0.0</v>
      </c>
      <c r="BP101" s="61">
        <f> BP$45</f>
        <v>0.0</v>
      </c>
      <c r="BQ101" s="61">
        <f> BQ$45</f>
        <v>0.0</v>
      </c>
      <c r="BR101" s="61">
        <f> BR$45</f>
        <v>0.0</v>
      </c>
      <c r="BS101" s="61">
        <f> BS$45</f>
        <v>0.0</v>
      </c>
      <c r="BT101" s="61">
        <f> BT$45</f>
        <v>0.0</v>
      </c>
      <c r="BU101" s="61">
        <f> BU$45</f>
        <v>0.0</v>
      </c>
      <c r="BV101" s="61">
        <f> BV$45</f>
        <v>0.0</v>
      </c>
      <c r="BW101" s="61">
        <f> BW$45</f>
        <v>0.0</v>
      </c>
      <c r="BX101" s="61">
        <f> BX$45</f>
        <v>0.0</v>
      </c>
      <c r="BY101" s="61">
        <f> BY$45</f>
        <v>0.0</v>
      </c>
      <c r="BZ101" s="61">
        <f> BZ$45</f>
        <v>0.0</v>
      </c>
      <c r="CA101" s="61">
        <f> CA$45</f>
        <v>0.0</v>
      </c>
      <c r="CB101" s="61">
        <f> CB$45</f>
        <v>0.0</v>
      </c>
      <c r="CC101" s="61">
        <f> CC$45</f>
        <v>0.0</v>
      </c>
      <c r="CD101" s="61">
        <f> CD$45</f>
        <v>0.0</v>
      </c>
      <c r="CE101" s="61">
        <f> CE$45</f>
        <v>0.0</v>
      </c>
      <c r="CF101" s="61">
        <f> CF$45</f>
        <v>0.0</v>
      </c>
      <c r="CG101" s="61">
        <f> CG$45</f>
        <v>0.0</v>
      </c>
      <c r="CH101" s="61">
        <f> CH$45</f>
        <v>0.0</v>
      </c>
      <c r="CI101" s="61">
        <f> CI$45</f>
        <v>0.0</v>
      </c>
      <c r="CJ101" s="61">
        <f> CJ$45</f>
        <v>0.0</v>
      </c>
      <c r="CK101" s="61">
        <f> CK$45</f>
        <v>0.0</v>
      </c>
      <c r="CL101" s="61">
        <f> CL$45</f>
        <v>0.0</v>
      </c>
      <c r="CM101" s="61">
        <f> CM$45</f>
        <v>0.0</v>
      </c>
      <c r="CN101" s="61">
        <f> CN$45</f>
        <v>0.0</v>
      </c>
      <c r="CO101" s="61">
        <f> CO$45</f>
        <v>0.0</v>
      </c>
    </row>
    <row r="102">
      <c r="E102" s="152" t="str">
        <f> E$53</f>
        <v>First forecast period flag</v>
      </c>
      <c r="F102" s="152">
        <f> F$53</f>
        <v>0.0</v>
      </c>
      <c r="G102" s="152" t="str">
        <f> G$53</f>
        <v>flag</v>
      </c>
      <c r="H102" s="152">
        <f> H$53</f>
        <v>1.0</v>
      </c>
      <c r="I102" s="152">
        <f> I$53</f>
        <v>0.0</v>
      </c>
      <c r="J102" s="152">
        <f> J$53</f>
        <v>0.0</v>
      </c>
      <c r="K102" s="152">
        <f> K$53</f>
        <v>0.0</v>
      </c>
      <c r="L102" s="152">
        <f> L$53</f>
        <v>1.0</v>
      </c>
      <c r="M102" s="152">
        <f> M$53</f>
        <v>0.0</v>
      </c>
      <c r="N102" s="152">
        <f> N$53</f>
        <v>0.0</v>
      </c>
      <c r="O102" s="152">
        <f> O$53</f>
        <v>0.0</v>
      </c>
      <c r="P102" s="152">
        <f> P$53</f>
        <v>0.0</v>
      </c>
      <c r="Q102" s="152">
        <f> Q$53</f>
        <v>0.0</v>
      </c>
      <c r="R102" s="152">
        <f> R$53</f>
        <v>0.0</v>
      </c>
      <c r="S102" s="152">
        <f> S$53</f>
        <v>0.0</v>
      </c>
      <c r="T102" s="152">
        <f> T$53</f>
        <v>0.0</v>
      </c>
      <c r="U102" s="152">
        <f> U$53</f>
        <v>0.0</v>
      </c>
      <c r="V102" s="152">
        <f> V$53</f>
        <v>0.0</v>
      </c>
      <c r="W102" s="152">
        <f> W$53</f>
        <v>0.0</v>
      </c>
      <c r="X102" s="152">
        <f> X$53</f>
        <v>0.0</v>
      </c>
      <c r="Y102" s="152">
        <f> Y$53</f>
        <v>0.0</v>
      </c>
      <c r="Z102" s="152">
        <f> Z$53</f>
        <v>0.0</v>
      </c>
      <c r="AA102" s="152">
        <f> AA$53</f>
        <v>0.0</v>
      </c>
      <c r="AB102" s="152">
        <f> AB$53</f>
        <v>0.0</v>
      </c>
      <c r="AC102" s="152">
        <f> AC$53</f>
        <v>0.0</v>
      </c>
      <c r="AD102" s="152">
        <f> AD$53</f>
        <v>0.0</v>
      </c>
      <c r="AE102" s="152">
        <f> AE$53</f>
        <v>0.0</v>
      </c>
      <c r="AF102" s="152">
        <f> AF$53</f>
        <v>0.0</v>
      </c>
      <c r="AG102" s="152">
        <f> AG$53</f>
        <v>0.0</v>
      </c>
      <c r="AH102" s="152">
        <f> AH$53</f>
        <v>0.0</v>
      </c>
      <c r="AI102" s="152">
        <f> AI$53</f>
        <v>0.0</v>
      </c>
      <c r="AJ102" s="152">
        <f> AJ$53</f>
        <v>0.0</v>
      </c>
      <c r="AK102" s="152">
        <f> AK$53</f>
        <v>0.0</v>
      </c>
      <c r="AL102" s="152">
        <f> AL$53</f>
        <v>0.0</v>
      </c>
      <c r="AM102" s="152">
        <f> AM$53</f>
        <v>0.0</v>
      </c>
      <c r="AN102" s="152">
        <f> AN$53</f>
        <v>0.0</v>
      </c>
      <c r="AO102" s="152">
        <f> AO$53</f>
        <v>0.0</v>
      </c>
      <c r="AP102" s="152">
        <f> AP$53</f>
        <v>0.0</v>
      </c>
      <c r="AQ102" s="152">
        <f> AQ$53</f>
        <v>0.0</v>
      </c>
      <c r="AR102" s="152">
        <f> AR$53</f>
        <v>0.0</v>
      </c>
      <c r="AS102" s="152">
        <f> AS$53</f>
        <v>0.0</v>
      </c>
      <c r="AT102" s="152">
        <f> AT$53</f>
        <v>0.0</v>
      </c>
      <c r="AU102" s="152">
        <f> AU$53</f>
        <v>0.0</v>
      </c>
      <c r="AV102" s="152">
        <f> AV$53</f>
        <v>0.0</v>
      </c>
      <c r="AW102" s="152">
        <f> AW$53</f>
        <v>0.0</v>
      </c>
      <c r="AX102" s="152">
        <f> AX$53</f>
        <v>0.0</v>
      </c>
      <c r="AY102" s="152">
        <f> AY$53</f>
        <v>0.0</v>
      </c>
      <c r="AZ102" s="152">
        <f> AZ$53</f>
        <v>0.0</v>
      </c>
      <c r="BA102" s="152">
        <f> BA$53</f>
        <v>0.0</v>
      </c>
      <c r="BB102" s="152">
        <f> BB$53</f>
        <v>0.0</v>
      </c>
      <c r="BC102" s="152">
        <f> BC$53</f>
        <v>0.0</v>
      </c>
      <c r="BD102" s="152">
        <f> BD$53</f>
        <v>0.0</v>
      </c>
      <c r="BE102" s="152">
        <f> BE$53</f>
        <v>0.0</v>
      </c>
      <c r="BF102" s="152">
        <f> BF$53</f>
        <v>0.0</v>
      </c>
      <c r="BG102" s="152">
        <f> BG$53</f>
        <v>0.0</v>
      </c>
      <c r="BH102" s="152">
        <f> BH$53</f>
        <v>0.0</v>
      </c>
      <c r="BI102" s="152">
        <f> BI$53</f>
        <v>0.0</v>
      </c>
      <c r="BJ102" s="152">
        <f> BJ$53</f>
        <v>0.0</v>
      </c>
      <c r="BK102" s="152">
        <f> BK$53</f>
        <v>0.0</v>
      </c>
      <c r="BL102" s="152">
        <f> BL$53</f>
        <v>0.0</v>
      </c>
      <c r="BM102" s="152">
        <f> BM$53</f>
        <v>0.0</v>
      </c>
      <c r="BN102" s="152">
        <f> BN$53</f>
        <v>0.0</v>
      </c>
      <c r="BO102" s="152">
        <f> BO$53</f>
        <v>0.0</v>
      </c>
      <c r="BP102" s="152">
        <f> BP$53</f>
        <v>0.0</v>
      </c>
      <c r="BQ102" s="152">
        <f> BQ$53</f>
        <v>0.0</v>
      </c>
      <c r="BR102" s="152">
        <f> BR$53</f>
        <v>0.0</v>
      </c>
      <c r="BS102" s="152">
        <f> BS$53</f>
        <v>0.0</v>
      </c>
      <c r="BT102" s="152">
        <f> BT$53</f>
        <v>0.0</v>
      </c>
      <c r="BU102" s="152">
        <f> BU$53</f>
        <v>0.0</v>
      </c>
      <c r="BV102" s="152">
        <f> BV$53</f>
        <v>0.0</v>
      </c>
      <c r="BW102" s="152">
        <f> BW$53</f>
        <v>0.0</v>
      </c>
      <c r="BX102" s="152">
        <f> BX$53</f>
        <v>0.0</v>
      </c>
      <c r="BY102" s="152">
        <f> BY$53</f>
        <v>0.0</v>
      </c>
      <c r="BZ102" s="152">
        <f> BZ$53</f>
        <v>0.0</v>
      </c>
      <c r="CA102" s="152">
        <f> CA$53</f>
        <v>0.0</v>
      </c>
      <c r="CB102" s="152">
        <f> CB$53</f>
        <v>0.0</v>
      </c>
      <c r="CC102" s="152">
        <f> CC$53</f>
        <v>0.0</v>
      </c>
      <c r="CD102" s="152">
        <f> CD$53</f>
        <v>0.0</v>
      </c>
      <c r="CE102" s="152">
        <f> CE$53</f>
        <v>0.0</v>
      </c>
      <c r="CF102" s="152">
        <f> CF$53</f>
        <v>0.0</v>
      </c>
      <c r="CG102" s="152">
        <f> CG$53</f>
        <v>0.0</v>
      </c>
      <c r="CH102" s="152">
        <f> CH$53</f>
        <v>0.0</v>
      </c>
      <c r="CI102" s="152">
        <f> CI$53</f>
        <v>0.0</v>
      </c>
      <c r="CJ102" s="152">
        <f> CJ$53</f>
        <v>0.0</v>
      </c>
      <c r="CK102" s="152">
        <f> CK$53</f>
        <v>0.0</v>
      </c>
      <c r="CL102" s="152">
        <f> CL$53</f>
        <v>0.0</v>
      </c>
      <c r="CM102" s="152">
        <f> CM$53</f>
        <v>0.0</v>
      </c>
      <c r="CN102" s="152">
        <f> CN$53</f>
        <v>0.0</v>
      </c>
      <c r="CO102" s="152">
        <f> CO$53</f>
        <v>0.0</v>
      </c>
    </row>
    <row r="103">
      <c r="E103" s="152" t="str">
        <f> E$79</f>
        <v>1st post forecast period flag</v>
      </c>
      <c r="F103" s="152">
        <f> F$79</f>
        <v>0.0</v>
      </c>
      <c r="G103" s="152" t="str">
        <f> G$79</f>
        <v>flag</v>
      </c>
      <c r="H103" s="152">
        <f> H$79</f>
        <v>1.0</v>
      </c>
      <c r="I103" s="152">
        <f> I$79</f>
        <v>0.0</v>
      </c>
      <c r="J103" s="152">
        <f> J$79</f>
        <v>0.0</v>
      </c>
      <c r="K103" s="152">
        <f> K$79</f>
        <v>0.0</v>
      </c>
      <c r="L103" s="152">
        <f> L$79</f>
        <v>0.0</v>
      </c>
      <c r="M103" s="152">
        <f> M$79</f>
        <v>0.0</v>
      </c>
      <c r="N103" s="152">
        <f> N$79</f>
        <v>0.0</v>
      </c>
      <c r="O103" s="152">
        <f> O$79</f>
        <v>0.0</v>
      </c>
      <c r="P103" s="152">
        <f> P$79</f>
        <v>0.0</v>
      </c>
      <c r="Q103" s="152">
        <f> Q$79</f>
        <v>0.0</v>
      </c>
      <c r="R103" s="152">
        <f> R$79</f>
        <v>0.0</v>
      </c>
      <c r="S103" s="152">
        <f> S$79</f>
        <v>0.0</v>
      </c>
      <c r="T103" s="152">
        <f> T$79</f>
        <v>0.0</v>
      </c>
      <c r="U103" s="152">
        <f> U$79</f>
        <v>0.0</v>
      </c>
      <c r="V103" s="152">
        <f> V$79</f>
        <v>0.0</v>
      </c>
      <c r="W103" s="152">
        <f> W$79</f>
        <v>0.0</v>
      </c>
      <c r="X103" s="152">
        <f> X$79</f>
        <v>0.0</v>
      </c>
      <c r="Y103" s="152">
        <f> Y$79</f>
        <v>0.0</v>
      </c>
      <c r="Z103" s="152">
        <f> Z$79</f>
        <v>0.0</v>
      </c>
      <c r="AA103" s="152">
        <f> AA$79</f>
        <v>0.0</v>
      </c>
      <c r="AB103" s="152">
        <f> AB$79</f>
        <v>0.0</v>
      </c>
      <c r="AC103" s="152">
        <f> AC$79</f>
        <v>0.0</v>
      </c>
      <c r="AD103" s="152">
        <f> AD$79</f>
        <v>0.0</v>
      </c>
      <c r="AE103" s="152">
        <f> AE$79</f>
        <v>0.0</v>
      </c>
      <c r="AF103" s="152">
        <f> AF$79</f>
        <v>0.0</v>
      </c>
      <c r="AG103" s="152">
        <f> AG$79</f>
        <v>0.0</v>
      </c>
      <c r="AH103" s="152">
        <f> AH$79</f>
        <v>0.0</v>
      </c>
      <c r="AI103" s="152">
        <f> AI$79</f>
        <v>0.0</v>
      </c>
      <c r="AJ103" s="152">
        <f> AJ$79</f>
        <v>0.0</v>
      </c>
      <c r="AK103" s="152">
        <f> AK$79</f>
        <v>0.0</v>
      </c>
      <c r="AL103" s="152">
        <f> AL$79</f>
        <v>0.0</v>
      </c>
      <c r="AM103" s="152">
        <f> AM$79</f>
        <v>0.0</v>
      </c>
      <c r="AN103" s="152">
        <f> AN$79</f>
        <v>0.0</v>
      </c>
      <c r="AO103" s="152">
        <f> AO$79</f>
        <v>0.0</v>
      </c>
      <c r="AP103" s="152">
        <f> AP$79</f>
        <v>0.0</v>
      </c>
      <c r="AQ103" s="152">
        <f> AQ$79</f>
        <v>0.0</v>
      </c>
      <c r="AR103" s="152">
        <f> AR$79</f>
        <v>0.0</v>
      </c>
      <c r="AS103" s="152">
        <f> AS$79</f>
        <v>0.0</v>
      </c>
      <c r="AT103" s="152">
        <f> AT$79</f>
        <v>0.0</v>
      </c>
      <c r="AU103" s="152">
        <f> AU$79</f>
        <v>0.0</v>
      </c>
      <c r="AV103" s="152">
        <f> AV$79</f>
        <v>0.0</v>
      </c>
      <c r="AW103" s="152">
        <f> AW$79</f>
        <v>0.0</v>
      </c>
      <c r="AX103" s="152">
        <f> AX$79</f>
        <v>0.0</v>
      </c>
      <c r="AY103" s="152">
        <f> AY$79</f>
        <v>0.0</v>
      </c>
      <c r="AZ103" s="152">
        <f> AZ$79</f>
        <v>0.0</v>
      </c>
      <c r="BA103" s="152">
        <f> BA$79</f>
        <v>0.0</v>
      </c>
      <c r="BB103" s="152">
        <f> BB$79</f>
        <v>0.0</v>
      </c>
      <c r="BC103" s="152">
        <f> BC$79</f>
        <v>0.0</v>
      </c>
      <c r="BD103" s="152">
        <f> BD$79</f>
        <v>0.0</v>
      </c>
      <c r="BE103" s="152">
        <f> BE$79</f>
        <v>0.0</v>
      </c>
      <c r="BF103" s="152">
        <f> BF$79</f>
        <v>0.0</v>
      </c>
      <c r="BG103" s="152">
        <f> BG$79</f>
        <v>0.0</v>
      </c>
      <c r="BH103" s="152">
        <f> BH$79</f>
        <v>0.0</v>
      </c>
      <c r="BI103" s="152">
        <f> BI$79</f>
        <v>0.0</v>
      </c>
      <c r="BJ103" s="152">
        <f> BJ$79</f>
        <v>0.0</v>
      </c>
      <c r="BK103" s="152">
        <f> BK$79</f>
        <v>0.0</v>
      </c>
      <c r="BL103" s="152">
        <f> BL$79</f>
        <v>0.0</v>
      </c>
      <c r="BM103" s="152">
        <f> BM$79</f>
        <v>0.0</v>
      </c>
      <c r="BN103" s="152">
        <f> BN$79</f>
        <v>0.0</v>
      </c>
      <c r="BO103" s="152">
        <f> BO$79</f>
        <v>0.0</v>
      </c>
      <c r="BP103" s="152">
        <f> BP$79</f>
        <v>0.0</v>
      </c>
      <c r="BQ103" s="152">
        <f> BQ$79</f>
        <v>0.0</v>
      </c>
      <c r="BR103" s="152">
        <f> BR$79</f>
        <v>0.0</v>
      </c>
      <c r="BS103" s="152">
        <f> BS$79</f>
        <v>0.0</v>
      </c>
      <c r="BT103" s="152">
        <f> BT$79</f>
        <v>0.0</v>
      </c>
      <c r="BU103" s="152">
        <f> BU$79</f>
        <v>0.0</v>
      </c>
      <c r="BV103" s="152">
        <f> BV$79</f>
        <v>0.0</v>
      </c>
      <c r="BW103" s="152">
        <f> BW$79</f>
        <v>0.0</v>
      </c>
      <c r="BX103" s="152">
        <f> BX$79</f>
        <v>0.0</v>
      </c>
      <c r="BY103" s="152">
        <f> BY$79</f>
        <v>0.0</v>
      </c>
      <c r="BZ103" s="152">
        <f> BZ$79</f>
        <v>0.0</v>
      </c>
      <c r="CA103" s="152">
        <f> CA$79</f>
        <v>0.0</v>
      </c>
      <c r="CB103" s="152">
        <f> CB$79</f>
        <v>0.0</v>
      </c>
      <c r="CC103" s="152">
        <f> CC$79</f>
        <v>0.0</v>
      </c>
      <c r="CD103" s="152">
        <f> CD$79</f>
        <v>0.0</v>
      </c>
      <c r="CE103" s="152">
        <f> CE$79</f>
        <v>0.0</v>
      </c>
      <c r="CF103" s="152">
        <f> CF$79</f>
        <v>0.0</v>
      </c>
      <c r="CG103" s="152">
        <f> CG$79</f>
        <v>0.0</v>
      </c>
      <c r="CH103" s="152">
        <f> CH$79</f>
        <v>0.0</v>
      </c>
      <c r="CI103" s="152">
        <f> CI$79</f>
        <v>0.0</v>
      </c>
      <c r="CJ103" s="152">
        <f> CJ$79</f>
        <v>0.0</v>
      </c>
      <c r="CK103" s="152">
        <f> CK$79</f>
        <v>0.0</v>
      </c>
      <c r="CL103" s="152">
        <f> CL$79</f>
        <v>0.0</v>
      </c>
      <c r="CM103" s="152">
        <f> CM$79</f>
        <v>0.0</v>
      </c>
      <c r="CN103" s="152">
        <f> CN$79</f>
        <v>1.0</v>
      </c>
      <c r="CO103" s="152">
        <f> CO$79</f>
        <v>0.0</v>
      </c>
    </row>
    <row r="104" customFormat="1" s="43">
      <c r="A104" s="294" t="n"/>
      <c r="B104" s="294" t="n"/>
      <c r="C104" s="212" t="n"/>
      <c r="D104" s="244" t="n"/>
      <c r="E104" s="158" t="inlineStr">
        <is>
          <t>Timeline label counter</t>
        </is>
      </c>
      <c r="F104" s="151" t="n"/>
      <c r="G104" s="152" t="inlineStr">
        <is>
          <t>counter</t>
        </is>
      </c>
      <c r="H104" s="152" t="n"/>
      <c r="I104" s="143" t="n"/>
      <c r="J104" s="158">
        <f> I104 + MAX(J100:J103)</f>
        <v>1.0</v>
      </c>
      <c r="K104" s="158">
        <f> J104 + MAX(K100:K103)</f>
        <v>2.0</v>
      </c>
      <c r="L104" s="158">
        <f> K104 + MAX(L100:L103)</f>
        <v>3.0</v>
      </c>
      <c r="M104" s="158">
        <f> L104 + MAX(M100:M103)</f>
        <v>3.0</v>
      </c>
      <c r="N104" s="158">
        <f> M104 + MAX(N100:N103)</f>
        <v>3.0</v>
      </c>
      <c r="O104" s="158">
        <f> N104 + MAX(O100:O103)</f>
        <v>3.0</v>
      </c>
      <c r="P104" s="158">
        <f> O104 + MAX(P100:P103)</f>
        <v>3.0</v>
      </c>
      <c r="Q104" s="158">
        <f> P104 + MAX(Q100:Q103)</f>
        <v>3.0</v>
      </c>
      <c r="R104" s="158">
        <f> Q104 + MAX(R100:R103)</f>
        <v>3.0</v>
      </c>
      <c r="S104" s="158">
        <f> R104 + MAX(S100:S103)</f>
        <v>3.0</v>
      </c>
      <c r="T104" s="158">
        <f> S104 + MAX(T100:T103)</f>
        <v>3.0</v>
      </c>
      <c r="U104" s="158">
        <f> T104 + MAX(U100:U103)</f>
        <v>3.0</v>
      </c>
      <c r="V104" s="158">
        <f> U104 + MAX(V100:V103)</f>
        <v>3.0</v>
      </c>
      <c r="W104" s="158">
        <f> V104 + MAX(W100:W103)</f>
        <v>3.0</v>
      </c>
      <c r="X104" s="158">
        <f> W104 + MAX(X100:X103)</f>
        <v>3.0</v>
      </c>
      <c r="Y104" s="158">
        <f> X104 + MAX(Y100:Y103)</f>
        <v>3.0</v>
      </c>
      <c r="Z104" s="158">
        <f> Y104 + MAX(Z100:Z103)</f>
        <v>3.0</v>
      </c>
      <c r="AA104" s="158">
        <f> Z104 + MAX(AA100:AA103)</f>
        <v>3.0</v>
      </c>
      <c r="AB104" s="158">
        <f> AA104 + MAX(AB100:AB103)</f>
        <v>3.0</v>
      </c>
      <c r="AC104" s="158">
        <f> AB104 + MAX(AC100:AC103)</f>
        <v>3.0</v>
      </c>
      <c r="AD104" s="158">
        <f> AC104 + MAX(AD100:AD103)</f>
        <v>3.0</v>
      </c>
      <c r="AE104" s="158">
        <f> AD104 + MAX(AE100:AE103)</f>
        <v>3.0</v>
      </c>
      <c r="AF104" s="158">
        <f> AE104 + MAX(AF100:AF103)</f>
        <v>3.0</v>
      </c>
      <c r="AG104" s="158">
        <f> AF104 + MAX(AG100:AG103)</f>
        <v>3.0</v>
      </c>
      <c r="AH104" s="158">
        <f> AG104 + MAX(AH100:AH103)</f>
        <v>3.0</v>
      </c>
      <c r="AI104" s="158">
        <f> AH104 + MAX(AI100:AI103)</f>
        <v>3.0</v>
      </c>
      <c r="AJ104" s="158">
        <f> AI104 + MAX(AJ100:AJ103)</f>
        <v>3.0</v>
      </c>
      <c r="AK104" s="158">
        <f> AJ104 + MAX(AK100:AK103)</f>
        <v>3.0</v>
      </c>
      <c r="AL104" s="158">
        <f> AK104 + MAX(AL100:AL103)</f>
        <v>3.0</v>
      </c>
      <c r="AM104" s="158">
        <f> AL104 + MAX(AM100:AM103)</f>
        <v>3.0</v>
      </c>
      <c r="AN104" s="158">
        <f> AM104 + MAX(AN100:AN103)</f>
        <v>3.0</v>
      </c>
      <c r="AO104" s="158">
        <f> AN104 + MAX(AO100:AO103)</f>
        <v>3.0</v>
      </c>
      <c r="AP104" s="158">
        <f> AO104 + MAX(AP100:AP103)</f>
        <v>3.0</v>
      </c>
      <c r="AQ104" s="158">
        <f> AP104 + MAX(AQ100:AQ103)</f>
        <v>3.0</v>
      </c>
      <c r="AR104" s="158">
        <f> AQ104 + MAX(AR100:AR103)</f>
        <v>3.0</v>
      </c>
      <c r="AS104" s="158">
        <f> AR104 + MAX(AS100:AS103)</f>
        <v>3.0</v>
      </c>
      <c r="AT104" s="158">
        <f> AS104 + MAX(AT100:AT103)</f>
        <v>3.0</v>
      </c>
      <c r="AU104" s="158">
        <f> AT104 + MAX(AU100:AU103)</f>
        <v>3.0</v>
      </c>
      <c r="AV104" s="158">
        <f> AU104 + MAX(AV100:AV103)</f>
        <v>3.0</v>
      </c>
      <c r="AW104" s="158">
        <f> AV104 + MAX(AW100:AW103)</f>
        <v>3.0</v>
      </c>
      <c r="AX104" s="158">
        <f> AW104 + MAX(AX100:AX103)</f>
        <v>3.0</v>
      </c>
      <c r="AY104" s="158">
        <f> AX104 + MAX(AY100:AY103)</f>
        <v>3.0</v>
      </c>
      <c r="AZ104" s="158">
        <f> AY104 + MAX(AZ100:AZ103)</f>
        <v>3.0</v>
      </c>
      <c r="BA104" s="158">
        <f> AZ104 + MAX(BA100:BA103)</f>
        <v>3.0</v>
      </c>
      <c r="BB104" s="158">
        <f> BA104 + MAX(BB100:BB103)</f>
        <v>3.0</v>
      </c>
      <c r="BC104" s="158">
        <f> BB104 + MAX(BC100:BC103)</f>
        <v>3.0</v>
      </c>
      <c r="BD104" s="158">
        <f> BC104 + MAX(BD100:BD103)</f>
        <v>3.0</v>
      </c>
      <c r="BE104" s="158">
        <f> BD104 + MAX(BE100:BE103)</f>
        <v>3.0</v>
      </c>
      <c r="BF104" s="158">
        <f> BE104 + MAX(BF100:BF103)</f>
        <v>3.0</v>
      </c>
      <c r="BG104" s="158">
        <f> BF104 + MAX(BG100:BG103)</f>
        <v>3.0</v>
      </c>
      <c r="BH104" s="158">
        <f> BG104 + MAX(BH100:BH103)</f>
        <v>3.0</v>
      </c>
      <c r="BI104" s="158">
        <f> BH104 + MAX(BI100:BI103)</f>
        <v>3.0</v>
      </c>
      <c r="BJ104" s="158">
        <f> BI104 + MAX(BJ100:BJ103)</f>
        <v>3.0</v>
      </c>
      <c r="BK104" s="158">
        <f> BJ104 + MAX(BK100:BK103)</f>
        <v>3.0</v>
      </c>
      <c r="BL104" s="158">
        <f> BK104 + MAX(BL100:BL103)</f>
        <v>3.0</v>
      </c>
      <c r="BM104" s="158">
        <f> BL104 + MAX(BM100:BM103)</f>
        <v>3.0</v>
      </c>
      <c r="BN104" s="158">
        <f> BM104 + MAX(BN100:BN103)</f>
        <v>3.0</v>
      </c>
      <c r="BO104" s="158">
        <f> BN104 + MAX(BO100:BO103)</f>
        <v>3.0</v>
      </c>
      <c r="BP104" s="158">
        <f> BO104 + MAX(BP100:BP103)</f>
        <v>3.0</v>
      </c>
      <c r="BQ104" s="158">
        <f> BP104 + MAX(BQ100:BQ103)</f>
        <v>3.0</v>
      </c>
      <c r="BR104" s="158">
        <f> BQ104 + MAX(BR100:BR103)</f>
        <v>3.0</v>
      </c>
      <c r="BS104" s="158">
        <f> BR104 + MAX(BS100:BS103)</f>
        <v>3.0</v>
      </c>
      <c r="BT104" s="158">
        <f> BS104 + MAX(BT100:BT103)</f>
        <v>3.0</v>
      </c>
      <c r="BU104" s="158">
        <f> BT104 + MAX(BU100:BU103)</f>
        <v>3.0</v>
      </c>
      <c r="BV104" s="158">
        <f> BU104 + MAX(BV100:BV103)</f>
        <v>3.0</v>
      </c>
      <c r="BW104" s="158">
        <f> BV104 + MAX(BW100:BW103)</f>
        <v>3.0</v>
      </c>
      <c r="BX104" s="158">
        <f> BW104 + MAX(BX100:BX103)</f>
        <v>3.0</v>
      </c>
      <c r="BY104" s="158">
        <f> BX104 + MAX(BY100:BY103)</f>
        <v>3.0</v>
      </c>
      <c r="BZ104" s="158">
        <f> BY104 + MAX(BZ100:BZ103)</f>
        <v>3.0</v>
      </c>
      <c r="CA104" s="158">
        <f> BZ104 + MAX(CA100:CA103)</f>
        <v>3.0</v>
      </c>
      <c r="CB104" s="158">
        <f> CA104 + MAX(CB100:CB103)</f>
        <v>3.0</v>
      </c>
      <c r="CC104" s="158">
        <f> CB104 + MAX(CC100:CC103)</f>
        <v>3.0</v>
      </c>
      <c r="CD104" s="158">
        <f> CC104 + MAX(CD100:CD103)</f>
        <v>3.0</v>
      </c>
      <c r="CE104" s="158">
        <f> CD104 + MAX(CE100:CE103)</f>
        <v>3.0</v>
      </c>
      <c r="CF104" s="158">
        <f> CE104 + MAX(CF100:CF103)</f>
        <v>3.0</v>
      </c>
      <c r="CG104" s="158">
        <f> CF104 + MAX(CG100:CG103)</f>
        <v>3.0</v>
      </c>
      <c r="CH104" s="158">
        <f> CG104 + MAX(CH100:CH103)</f>
        <v>3.0</v>
      </c>
      <c r="CI104" s="158">
        <f> CH104 + MAX(CI100:CI103)</f>
        <v>3.0</v>
      </c>
      <c r="CJ104" s="158">
        <f> CI104 + MAX(CJ100:CJ103)</f>
        <v>3.0</v>
      </c>
      <c r="CK104" s="158">
        <f> CJ104 + MAX(CK100:CK103)</f>
        <v>3.0</v>
      </c>
      <c r="CL104" s="158">
        <f> CK104 + MAX(CL100:CL103)</f>
        <v>3.0</v>
      </c>
      <c r="CM104" s="158">
        <f> CL104 + MAX(CM100:CM103)</f>
        <v>3.0</v>
      </c>
      <c r="CN104" s="158">
        <f> CM104 + MAX(CN100:CN103)</f>
        <v>4.0</v>
      </c>
      <c r="CO104" s="158">
        <f> CN104 + MAX(CO100:CO103)</f>
        <v>4.0</v>
      </c>
    </row>
    <row r="105" ht="15" customFormat="1" customHeight="1" s="142">
      <c r="A105" s="163" t="n"/>
      <c r="B105" s="163" t="n"/>
      <c r="C105" s="172" t="n"/>
      <c r="D105" s="88" t="n"/>
      <c r="E105" s="169" t="n"/>
      <c r="F105" s="169" t="n"/>
      <c r="G105" s="169" t="n"/>
      <c r="H105" s="169" t="n"/>
      <c r="I105" s="169" t="n"/>
      <c r="J105" s="169" t="n"/>
      <c r="K105" s="169" t="n"/>
      <c r="L105" s="169" t="n"/>
      <c r="M105" s="169" t="n"/>
      <c r="N105" s="169" t="n"/>
      <c r="O105" s="169" t="n"/>
      <c r="P105" s="169" t="n"/>
      <c r="Q105" s="169" t="n"/>
      <c r="R105" s="35" t="n"/>
      <c r="S105" s="35" t="n"/>
      <c r="T105" s="35" t="n"/>
      <c r="U105" s="35" t="n"/>
      <c r="V105" s="35" t="n"/>
      <c r="W105" s="35" t="n"/>
      <c r="X105" s="35" t="n"/>
      <c r="Y105" s="35" t="n"/>
      <c r="Z105" s="35" t="n"/>
      <c r="AA105" s="35" t="n"/>
      <c r="AB105" s="35" t="n"/>
      <c r="AC105" s="35" t="n"/>
      <c r="AD105" s="35" t="n"/>
      <c r="AE105" s="35" t="n"/>
      <c r="AF105" s="35" t="n"/>
      <c r="AG105" s="35" t="n"/>
      <c r="AH105" s="35" t="n"/>
      <c r="AI105" s="35" t="n"/>
      <c r="AJ105" s="35" t="n"/>
      <c r="AK105" s="35" t="n"/>
      <c r="AL105" s="35" t="n"/>
      <c r="AM105" s="35" t="n"/>
      <c r="AN105" s="35" t="n"/>
      <c r="AO105" s="35" t="n"/>
      <c r="AP105" s="35" t="n"/>
      <c r="AQ105" s="35" t="n"/>
      <c r="AR105" s="35" t="n"/>
      <c r="AS105" s="35" t="n"/>
      <c r="AT105" s="35" t="n"/>
      <c r="AU105" s="35" t="n"/>
      <c r="AV105" s="35" t="n"/>
      <c r="AW105" s="35" t="n"/>
      <c r="AX105" s="35" t="n"/>
      <c r="AY105" s="35" t="n"/>
      <c r="AZ105" s="35" t="n"/>
      <c r="BA105" s="35" t="n"/>
      <c r="BB105" s="35" t="n"/>
      <c r="BC105" s="35" t="n"/>
      <c r="BD105" s="35" t="n"/>
      <c r="BE105" s="35" t="n"/>
      <c r="BF105" s="35" t="n"/>
      <c r="BG105" s="35" t="n"/>
      <c r="BH105" s="35" t="n"/>
      <c r="BI105" s="35" t="n"/>
      <c r="BJ105" s="35" t="n"/>
      <c r="BK105" s="35" t="n"/>
      <c r="BL105" s="35" t="n"/>
      <c r="BM105" s="35" t="n"/>
      <c r="BN105" s="35" t="n"/>
      <c r="BO105" s="35" t="n"/>
      <c r="BP105" s="35" t="n"/>
      <c r="BQ105" s="35" t="n"/>
      <c r="BR105" s="35" t="n"/>
      <c r="BS105" s="35" t="n"/>
      <c r="BT105" s="35" t="n"/>
      <c r="BU105" s="35" t="n"/>
      <c r="BV105" s="35" t="n"/>
      <c r="BW105" s="35" t="n"/>
      <c r="BX105" s="35" t="n"/>
      <c r="BY105" s="35" t="n"/>
      <c r="BZ105" s="35" t="n"/>
      <c r="CA105" s="35" t="n"/>
      <c r="CB105" s="35" t="n"/>
      <c r="CC105" s="35" t="n"/>
      <c r="CD105" s="35" t="n"/>
      <c r="CE105" s="35" t="n"/>
      <c r="CF105" s="35" t="n"/>
      <c r="CG105" s="35" t="n"/>
      <c r="CH105" s="35" t="n"/>
      <c r="CI105" s="35" t="n"/>
      <c r="CJ105" s="35" t="n"/>
      <c r="CK105" s="35" t="n"/>
      <c r="CL105" s="35" t="n"/>
      <c r="CM105" s="35" t="n"/>
      <c r="CN105" s="35" t="n"/>
      <c r="CO105" s="35" t="n"/>
    </row>
    <row r="106" customFormat="1" s="154">
      <c r="A106" s="163" t="n"/>
      <c r="B106" s="163" t="n"/>
      <c r="C106" s="172" t="n"/>
      <c r="D106" s="88" t="n"/>
      <c r="E106" s="117" t="str">
        <f> InpC!E$106</f>
        <v>Pre-forecast period</v>
      </c>
      <c r="F106" s="117" t="str">
        <f> InpC!F$106</f>
        <v>Pre-fcst</v>
      </c>
      <c r="G106" s="117" t="str">
        <f> InpC!G$106</f>
        <v>label</v>
      </c>
      <c r="H106" s="61" t="n"/>
      <c r="I106" s="61" t="n"/>
      <c r="J106" s="61" t="n"/>
      <c r="K106" s="61" t="n"/>
      <c r="L106" s="61" t="n"/>
      <c r="M106" s="61" t="n"/>
      <c r="N106" s="61" t="n"/>
      <c r="O106" s="61" t="n"/>
      <c r="P106" s="61" t="n"/>
      <c r="Q106" s="61" t="n"/>
      <c r="R106" s="61" t="n"/>
      <c r="S106" s="61" t="n"/>
      <c r="T106" s="61" t="n"/>
      <c r="U106" s="61" t="n"/>
      <c r="V106" s="61" t="n"/>
      <c r="W106" s="61" t="n"/>
      <c r="X106" s="61" t="n"/>
      <c r="Y106" s="61" t="n"/>
      <c r="Z106" s="61" t="n"/>
      <c r="AA106" s="61" t="n"/>
      <c r="AB106" s="61" t="n"/>
      <c r="AC106" s="61" t="n"/>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n"/>
      <c r="AZ106" s="61" t="n"/>
      <c r="BA106" s="61" t="n"/>
      <c r="BB106" s="61" t="n"/>
      <c r="BC106" s="61" t="n"/>
      <c r="BD106" s="61" t="n"/>
      <c r="BE106" s="61" t="n"/>
      <c r="BF106" s="61" t="n"/>
      <c r="BG106" s="61" t="n"/>
      <c r="BH106" s="61" t="n"/>
      <c r="BI106" s="61" t="n"/>
      <c r="BJ106" s="61" t="n"/>
      <c r="BK106" s="61" t="n"/>
      <c r="BL106" s="61" t="n"/>
      <c r="BM106" s="61" t="n"/>
      <c r="BN106" s="61" t="n"/>
      <c r="BO106" s="61" t="n"/>
      <c r="BP106" s="61" t="n"/>
      <c r="BQ106" s="61" t="n"/>
      <c r="BR106" s="61" t="n"/>
      <c r="BS106" s="61" t="n"/>
      <c r="BT106" s="61" t="n"/>
      <c r="BU106" s="61" t="n"/>
      <c r="BV106" s="61" t="n"/>
      <c r="BW106" s="61" t="n"/>
      <c r="BX106" s="61" t="n"/>
      <c r="BY106" s="61" t="n"/>
      <c r="BZ106" s="61" t="n"/>
      <c r="CA106" s="61" t="n"/>
      <c r="CB106" s="61" t="n"/>
      <c r="CC106" s="61" t="n"/>
      <c r="CD106" s="61" t="n"/>
      <c r="CE106" s="61" t="n"/>
      <c r="CF106" s="61" t="n"/>
      <c r="CG106" s="61" t="n"/>
      <c r="CH106" s="61" t="n"/>
      <c r="CI106" s="61" t="n"/>
      <c r="CJ106" s="61" t="n"/>
      <c r="CK106" s="61" t="n"/>
      <c r="CL106" s="61" t="n"/>
      <c r="CM106" s="61" t="n"/>
      <c r="CN106" s="61" t="n"/>
      <c r="CO106" s="61" t="n"/>
    </row>
    <row r="107" customFormat="1" s="154">
      <c r="A107" s="163" t="n"/>
      <c r="B107" s="163" t="n"/>
      <c r="C107" s="172" t="n"/>
      <c r="D107" s="88" t="n"/>
      <c r="E107" s="117" t="str">
        <f> InpC!E$107</f>
        <v>Financial close</v>
      </c>
      <c r="F107" s="117" t="str">
        <f> InpC!F$107</f>
        <v>Fin close</v>
      </c>
      <c r="G107" s="117" t="str">
        <f> InpC!G$107</f>
        <v>label</v>
      </c>
      <c r="H107" s="61" t="n"/>
      <c r="I107" s="61" t="n"/>
      <c r="J107" s="61" t="n"/>
      <c r="K107" s="61" t="n"/>
      <c r="L107" s="61" t="n"/>
      <c r="M107" s="61" t="n"/>
      <c r="N107" s="61" t="n"/>
      <c r="O107" s="61" t="n"/>
      <c r="P107" s="61" t="n"/>
      <c r="Q107" s="61" t="n"/>
      <c r="R107" s="61" t="n"/>
      <c r="S107" s="61" t="n"/>
      <c r="T107" s="61" t="n"/>
      <c r="U107" s="61" t="n"/>
      <c r="V107" s="61" t="n"/>
      <c r="W107" s="61" t="n"/>
      <c r="X107" s="61" t="n"/>
      <c r="Y107" s="61" t="n"/>
      <c r="Z107" s="61" t="n"/>
      <c r="AA107" s="61" t="n"/>
      <c r="AB107" s="61" t="n"/>
      <c r="AC107" s="61" t="n"/>
      <c r="AD107" s="61" t="n"/>
      <c r="AE107" s="61" t="n"/>
      <c r="AF107" s="61" t="n"/>
      <c r="AG107" s="61" t="n"/>
      <c r="AH107" s="61" t="n"/>
      <c r="AI107" s="61" t="n"/>
      <c r="AJ107" s="61" t="n"/>
      <c r="AK107" s="61" t="n"/>
      <c r="AL107" s="61" t="n"/>
      <c r="AM107" s="61" t="n"/>
      <c r="AN107" s="61" t="n"/>
      <c r="AO107" s="61" t="n"/>
      <c r="AP107" s="61" t="n"/>
      <c r="AQ107" s="61" t="n"/>
      <c r="AR107" s="61" t="n"/>
      <c r="AS107" s="61" t="n"/>
      <c r="AT107" s="61" t="n"/>
      <c r="AU107" s="61" t="n"/>
      <c r="AV107" s="61" t="n"/>
      <c r="AW107" s="61" t="n"/>
      <c r="AX107" s="61" t="n"/>
      <c r="AY107" s="61" t="n"/>
      <c r="AZ107" s="61" t="n"/>
      <c r="BA107" s="61" t="n"/>
      <c r="BB107" s="61" t="n"/>
      <c r="BC107" s="61" t="n"/>
      <c r="BD107" s="61" t="n"/>
      <c r="BE107" s="61" t="n"/>
      <c r="BF107" s="61" t="n"/>
      <c r="BG107" s="61" t="n"/>
      <c r="BH107" s="61" t="n"/>
      <c r="BI107" s="61" t="n"/>
      <c r="BJ107" s="61" t="n"/>
      <c r="BK107" s="61" t="n"/>
      <c r="BL107" s="61" t="n"/>
      <c r="BM107" s="61" t="n"/>
      <c r="BN107" s="61" t="n"/>
      <c r="BO107" s="61" t="n"/>
      <c r="BP107" s="61" t="n"/>
      <c r="BQ107" s="61" t="n"/>
      <c r="BR107" s="61" t="n"/>
      <c r="BS107" s="61" t="n"/>
      <c r="BT107" s="61" t="n"/>
      <c r="BU107" s="61" t="n"/>
      <c r="BV107" s="61" t="n"/>
      <c r="BW107" s="61" t="n"/>
      <c r="BX107" s="61" t="n"/>
      <c r="BY107" s="61" t="n"/>
      <c r="BZ107" s="61" t="n"/>
      <c r="CA107" s="61" t="n"/>
      <c r="CB107" s="61" t="n"/>
      <c r="CC107" s="61" t="n"/>
      <c r="CD107" s="61" t="n"/>
      <c r="CE107" s="61" t="n"/>
      <c r="CF107" s="61" t="n"/>
      <c r="CG107" s="61" t="n"/>
      <c r="CH107" s="61" t="n"/>
      <c r="CI107" s="61" t="n"/>
      <c r="CJ107" s="61" t="n"/>
      <c r="CK107" s="61" t="n"/>
      <c r="CL107" s="61" t="n"/>
      <c r="CM107" s="61" t="n"/>
      <c r="CN107" s="61" t="n"/>
      <c r="CO107" s="61" t="n"/>
    </row>
    <row r="108" ht="15" customFormat="1" customHeight="1" s="142">
      <c r="A108" s="163" t="n"/>
      <c r="B108" s="163" t="n"/>
      <c r="C108" s="172" t="n"/>
      <c r="D108" s="88" t="n"/>
      <c r="E108" s="117" t="str">
        <f> InpC!E$108</f>
        <v>Forecast period</v>
      </c>
      <c r="F108" s="117" t="str">
        <f> InpC!F$108</f>
        <v>Forecast</v>
      </c>
      <c r="G108" s="117" t="str">
        <f> InpC!G$108</f>
        <v>label</v>
      </c>
      <c r="H108" s="61" t="n"/>
      <c r="I108" s="61" t="n"/>
      <c r="J108" s="61" t="n"/>
      <c r="K108" s="61" t="n"/>
      <c r="L108" s="61" t="n"/>
      <c r="M108" s="61" t="n"/>
      <c r="N108" s="61" t="n"/>
      <c r="O108" s="61" t="n"/>
      <c r="P108" s="61" t="n"/>
      <c r="Q108" s="61" t="n"/>
      <c r="R108" s="61" t="n"/>
      <c r="S108" s="61" t="n"/>
      <c r="T108" s="61" t="n"/>
      <c r="U108" s="61" t="n"/>
      <c r="V108" s="61" t="n"/>
      <c r="W108" s="61" t="n"/>
      <c r="X108" s="61" t="n"/>
      <c r="Y108" s="61" t="n"/>
      <c r="Z108" s="61" t="n"/>
      <c r="AA108" s="61" t="n"/>
      <c r="AB108" s="61" t="n"/>
      <c r="AC108" s="61" t="n"/>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n"/>
      <c r="AZ108" s="61" t="n"/>
      <c r="BA108" s="61" t="n"/>
      <c r="BB108" s="61" t="n"/>
      <c r="BC108" s="61" t="n"/>
      <c r="BD108" s="61" t="n"/>
      <c r="BE108" s="61" t="n"/>
      <c r="BF108" s="61" t="n"/>
      <c r="BG108" s="61" t="n"/>
      <c r="BH108" s="61" t="n"/>
      <c r="BI108" s="61" t="n"/>
      <c r="BJ108" s="61" t="n"/>
      <c r="BK108" s="61" t="n"/>
      <c r="BL108" s="61" t="n"/>
      <c r="BM108" s="61" t="n"/>
      <c r="BN108" s="61" t="n"/>
      <c r="BO108" s="61" t="n"/>
      <c r="BP108" s="61" t="n"/>
      <c r="BQ108" s="61" t="n"/>
      <c r="BR108" s="61" t="n"/>
      <c r="BS108" s="61" t="n"/>
      <c r="BT108" s="61" t="n"/>
      <c r="BU108" s="61" t="n"/>
      <c r="BV108" s="61" t="n"/>
      <c r="BW108" s="61" t="n"/>
      <c r="BX108" s="61" t="n"/>
      <c r="BY108" s="61" t="n"/>
      <c r="BZ108" s="61" t="n"/>
      <c r="CA108" s="61" t="n"/>
      <c r="CB108" s="61" t="n"/>
      <c r="CC108" s="61" t="n"/>
      <c r="CD108" s="61" t="n"/>
      <c r="CE108" s="61" t="n"/>
      <c r="CF108" s="61" t="n"/>
      <c r="CG108" s="61" t="n"/>
      <c r="CH108" s="61" t="n"/>
      <c r="CI108" s="61" t="n"/>
      <c r="CJ108" s="61" t="n"/>
      <c r="CK108" s="61" t="n"/>
      <c r="CL108" s="61" t="n"/>
      <c r="CM108" s="61" t="n"/>
      <c r="CN108" s="61" t="n"/>
      <c r="CO108" s="61" t="n"/>
    </row>
    <row r="109" ht="15" customFormat="1" customHeight="1" s="142">
      <c r="A109" s="163" t="n"/>
      <c r="B109" s="163" t="n"/>
      <c r="C109" s="172" t="n"/>
      <c r="D109" s="88" t="n"/>
      <c r="E109" s="117" t="str">
        <f> InpC!E$109</f>
        <v>Post-operations period</v>
      </c>
      <c r="F109" s="117" t="str">
        <f> InpC!F$109</f>
        <v>Post-fcst</v>
      </c>
      <c r="G109" s="117" t="str">
        <f> InpC!G$109</f>
        <v>label</v>
      </c>
      <c r="H109" s="61" t="n"/>
      <c r="I109" s="61" t="n"/>
      <c r="J109" s="61" t="n"/>
      <c r="K109" s="61" t="n"/>
      <c r="L109" s="61" t="n"/>
      <c r="M109" s="61" t="n"/>
      <c r="N109" s="61" t="n"/>
      <c r="O109" s="61" t="n"/>
      <c r="P109" s="61" t="n"/>
      <c r="Q109" s="61" t="n"/>
      <c r="R109" s="61" t="n"/>
      <c r="S109" s="61" t="n"/>
      <c r="T109" s="61" t="n"/>
      <c r="U109" s="61" t="n"/>
      <c r="V109" s="61" t="n"/>
      <c r="W109" s="61" t="n"/>
      <c r="X109" s="61" t="n"/>
      <c r="Y109" s="61" t="n"/>
      <c r="Z109" s="61" t="n"/>
      <c r="AA109" s="61" t="n"/>
      <c r="AB109" s="61" t="n"/>
      <c r="AC109" s="61" t="n"/>
      <c r="AD109" s="61" t="n"/>
      <c r="AE109" s="61" t="n"/>
      <c r="AF109" s="61" t="n"/>
      <c r="AG109" s="61" t="n"/>
      <c r="AH109" s="61" t="n"/>
      <c r="AI109" s="61" t="n"/>
      <c r="AJ109" s="61" t="n"/>
      <c r="AK109" s="61" t="n"/>
      <c r="AL109" s="61" t="n"/>
      <c r="AM109" s="61" t="n"/>
      <c r="AN109" s="61" t="n"/>
      <c r="AO109" s="61" t="n"/>
      <c r="AP109" s="61" t="n"/>
      <c r="AQ109" s="61" t="n"/>
      <c r="AR109" s="61" t="n"/>
      <c r="AS109" s="61" t="n"/>
      <c r="AT109" s="61" t="n"/>
      <c r="AU109" s="61" t="n"/>
      <c r="AV109" s="61" t="n"/>
      <c r="AW109" s="61" t="n"/>
      <c r="AX109" s="61" t="n"/>
      <c r="AY109" s="61" t="n"/>
      <c r="AZ109" s="61" t="n"/>
      <c r="BA109" s="61" t="n"/>
      <c r="BB109" s="61" t="n"/>
      <c r="BC109" s="61" t="n"/>
      <c r="BD109" s="61" t="n"/>
      <c r="BE109" s="61" t="n"/>
      <c r="BF109" s="61" t="n"/>
      <c r="BG109" s="61" t="n"/>
      <c r="BH109" s="61" t="n"/>
      <c r="BI109" s="61" t="n"/>
      <c r="BJ109" s="61" t="n"/>
      <c r="BK109" s="61" t="n"/>
      <c r="BL109" s="61" t="n"/>
      <c r="BM109" s="61" t="n"/>
      <c r="BN109" s="61" t="n"/>
      <c r="BO109" s="61" t="n"/>
      <c r="BP109" s="61" t="n"/>
      <c r="BQ109" s="61" t="n"/>
      <c r="BR109" s="61" t="n"/>
      <c r="BS109" s="61" t="n"/>
      <c r="BT109" s="61" t="n"/>
      <c r="BU109" s="61" t="n"/>
      <c r="BV109" s="61" t="n"/>
      <c r="BW109" s="61" t="n"/>
      <c r="BX109" s="61" t="n"/>
      <c r="BY109" s="61" t="n"/>
      <c r="BZ109" s="61" t="n"/>
      <c r="CA109" s="61" t="n"/>
      <c r="CB109" s="61" t="n"/>
      <c r="CC109" s="61" t="n"/>
      <c r="CD109" s="61" t="n"/>
      <c r="CE109" s="61" t="n"/>
      <c r="CF109" s="61" t="n"/>
      <c r="CG109" s="61" t="n"/>
      <c r="CH109" s="61" t="n"/>
      <c r="CI109" s="61" t="n"/>
      <c r="CJ109" s="61" t="n"/>
      <c r="CK109" s="61" t="n"/>
      <c r="CL109" s="61" t="n"/>
      <c r="CM109" s="61" t="n"/>
      <c r="CN109" s="61" t="n"/>
      <c r="CO109" s="61" t="n"/>
    </row>
    <row r="110" customFormat="1" s="159">
      <c r="A110" s="155" t="n"/>
      <c r="B110" s="155" t="n"/>
      <c r="C110" s="156" t="n"/>
      <c r="D110" s="157" t="n"/>
      <c r="E110" s="158" t="str">
        <f> E$104</f>
        <v>Timeline label counter</v>
      </c>
      <c r="F110" s="158">
        <f> F$104</f>
        <v>0.0</v>
      </c>
      <c r="G110" s="158" t="str">
        <f> G$104</f>
        <v>counter</v>
      </c>
      <c r="H110" s="158">
        <f> H$104</f>
        <v>0.0</v>
      </c>
      <c r="I110" s="158">
        <f> I$104</f>
        <v>0.0</v>
      </c>
      <c r="J110" s="158">
        <f> J$104</f>
        <v>1.0</v>
      </c>
      <c r="K110" s="158">
        <f> K$104</f>
        <v>2.0</v>
      </c>
      <c r="L110" s="158">
        <f> L$104</f>
        <v>3.0</v>
      </c>
      <c r="M110" s="158">
        <f> M$104</f>
        <v>3.0</v>
      </c>
      <c r="N110" s="158">
        <f> N$104</f>
        <v>3.0</v>
      </c>
      <c r="O110" s="158">
        <f> O$104</f>
        <v>3.0</v>
      </c>
      <c r="P110" s="158">
        <f> P$104</f>
        <v>3.0</v>
      </c>
      <c r="Q110" s="158">
        <f> Q$104</f>
        <v>3.0</v>
      </c>
      <c r="R110" s="158">
        <f> R$104</f>
        <v>3.0</v>
      </c>
      <c r="S110" s="158">
        <f> S$104</f>
        <v>3.0</v>
      </c>
      <c r="T110" s="158">
        <f> T$104</f>
        <v>3.0</v>
      </c>
      <c r="U110" s="158">
        <f> U$104</f>
        <v>3.0</v>
      </c>
      <c r="V110" s="158">
        <f> V$104</f>
        <v>3.0</v>
      </c>
      <c r="W110" s="158">
        <f> W$104</f>
        <v>3.0</v>
      </c>
      <c r="X110" s="158">
        <f> X$104</f>
        <v>3.0</v>
      </c>
      <c r="Y110" s="158">
        <f> Y$104</f>
        <v>3.0</v>
      </c>
      <c r="Z110" s="158">
        <f> Z$104</f>
        <v>3.0</v>
      </c>
      <c r="AA110" s="158">
        <f> AA$104</f>
        <v>3.0</v>
      </c>
      <c r="AB110" s="158">
        <f> AB$104</f>
        <v>3.0</v>
      </c>
      <c r="AC110" s="158">
        <f> AC$104</f>
        <v>3.0</v>
      </c>
      <c r="AD110" s="158">
        <f> AD$104</f>
        <v>3.0</v>
      </c>
      <c r="AE110" s="158">
        <f> AE$104</f>
        <v>3.0</v>
      </c>
      <c r="AF110" s="158">
        <f> AF$104</f>
        <v>3.0</v>
      </c>
      <c r="AG110" s="158">
        <f> AG$104</f>
        <v>3.0</v>
      </c>
      <c r="AH110" s="158">
        <f> AH$104</f>
        <v>3.0</v>
      </c>
      <c r="AI110" s="158">
        <f> AI$104</f>
        <v>3.0</v>
      </c>
      <c r="AJ110" s="158">
        <f> AJ$104</f>
        <v>3.0</v>
      </c>
      <c r="AK110" s="158">
        <f> AK$104</f>
        <v>3.0</v>
      </c>
      <c r="AL110" s="158">
        <f> AL$104</f>
        <v>3.0</v>
      </c>
      <c r="AM110" s="158">
        <f> AM$104</f>
        <v>3.0</v>
      </c>
      <c r="AN110" s="158">
        <f> AN$104</f>
        <v>3.0</v>
      </c>
      <c r="AO110" s="158">
        <f> AO$104</f>
        <v>3.0</v>
      </c>
      <c r="AP110" s="158">
        <f> AP$104</f>
        <v>3.0</v>
      </c>
      <c r="AQ110" s="158">
        <f> AQ$104</f>
        <v>3.0</v>
      </c>
      <c r="AR110" s="158">
        <f> AR$104</f>
        <v>3.0</v>
      </c>
      <c r="AS110" s="158">
        <f> AS$104</f>
        <v>3.0</v>
      </c>
      <c r="AT110" s="158">
        <f> AT$104</f>
        <v>3.0</v>
      </c>
      <c r="AU110" s="158">
        <f> AU$104</f>
        <v>3.0</v>
      </c>
      <c r="AV110" s="158">
        <f> AV$104</f>
        <v>3.0</v>
      </c>
      <c r="AW110" s="158">
        <f> AW$104</f>
        <v>3.0</v>
      </c>
      <c r="AX110" s="158">
        <f> AX$104</f>
        <v>3.0</v>
      </c>
      <c r="AY110" s="158">
        <f> AY$104</f>
        <v>3.0</v>
      </c>
      <c r="AZ110" s="158">
        <f> AZ$104</f>
        <v>3.0</v>
      </c>
      <c r="BA110" s="158">
        <f> BA$104</f>
        <v>3.0</v>
      </c>
      <c r="BB110" s="158">
        <f> BB$104</f>
        <v>3.0</v>
      </c>
      <c r="BC110" s="158">
        <f> BC$104</f>
        <v>3.0</v>
      </c>
      <c r="BD110" s="158">
        <f> BD$104</f>
        <v>3.0</v>
      </c>
      <c r="BE110" s="158">
        <f> BE$104</f>
        <v>3.0</v>
      </c>
      <c r="BF110" s="158">
        <f> BF$104</f>
        <v>3.0</v>
      </c>
      <c r="BG110" s="158">
        <f> BG$104</f>
        <v>3.0</v>
      </c>
      <c r="BH110" s="158">
        <f> BH$104</f>
        <v>3.0</v>
      </c>
      <c r="BI110" s="158">
        <f> BI$104</f>
        <v>3.0</v>
      </c>
      <c r="BJ110" s="158">
        <f> BJ$104</f>
        <v>3.0</v>
      </c>
      <c r="BK110" s="158">
        <f> BK$104</f>
        <v>3.0</v>
      </c>
      <c r="BL110" s="158">
        <f> BL$104</f>
        <v>3.0</v>
      </c>
      <c r="BM110" s="158">
        <f> BM$104</f>
        <v>3.0</v>
      </c>
      <c r="BN110" s="158">
        <f> BN$104</f>
        <v>3.0</v>
      </c>
      <c r="BO110" s="158">
        <f> BO$104</f>
        <v>3.0</v>
      </c>
      <c r="BP110" s="158">
        <f> BP$104</f>
        <v>3.0</v>
      </c>
      <c r="BQ110" s="158">
        <f> BQ$104</f>
        <v>3.0</v>
      </c>
      <c r="BR110" s="158">
        <f> BR$104</f>
        <v>3.0</v>
      </c>
      <c r="BS110" s="158">
        <f> BS$104</f>
        <v>3.0</v>
      </c>
      <c r="BT110" s="158">
        <f> BT$104</f>
        <v>3.0</v>
      </c>
      <c r="BU110" s="158">
        <f> BU$104</f>
        <v>3.0</v>
      </c>
      <c r="BV110" s="158">
        <f> BV$104</f>
        <v>3.0</v>
      </c>
      <c r="BW110" s="158">
        <f> BW$104</f>
        <v>3.0</v>
      </c>
      <c r="BX110" s="158">
        <f> BX$104</f>
        <v>3.0</v>
      </c>
      <c r="BY110" s="158">
        <f> BY$104</f>
        <v>3.0</v>
      </c>
      <c r="BZ110" s="158">
        <f> BZ$104</f>
        <v>3.0</v>
      </c>
      <c r="CA110" s="158">
        <f> CA$104</f>
        <v>3.0</v>
      </c>
      <c r="CB110" s="158">
        <f> CB$104</f>
        <v>3.0</v>
      </c>
      <c r="CC110" s="158">
        <f> CC$104</f>
        <v>3.0</v>
      </c>
      <c r="CD110" s="158">
        <f> CD$104</f>
        <v>3.0</v>
      </c>
      <c r="CE110" s="158">
        <f> CE$104</f>
        <v>3.0</v>
      </c>
      <c r="CF110" s="158">
        <f> CF$104</f>
        <v>3.0</v>
      </c>
      <c r="CG110" s="158">
        <f> CG$104</f>
        <v>3.0</v>
      </c>
      <c r="CH110" s="158">
        <f> CH$104</f>
        <v>3.0</v>
      </c>
      <c r="CI110" s="158">
        <f> CI$104</f>
        <v>3.0</v>
      </c>
      <c r="CJ110" s="158">
        <f> CJ$104</f>
        <v>3.0</v>
      </c>
      <c r="CK110" s="158">
        <f> CK$104</f>
        <v>3.0</v>
      </c>
      <c r="CL110" s="158">
        <f> CL$104</f>
        <v>3.0</v>
      </c>
      <c r="CM110" s="158">
        <f> CM$104</f>
        <v>3.0</v>
      </c>
      <c r="CN110" s="158">
        <f> CN$104</f>
        <v>4.0</v>
      </c>
      <c r="CO110" s="158">
        <f> CO$104</f>
        <v>4.0</v>
      </c>
    </row>
    <row r="111" customFormat="1" s="357">
      <c r="A111" s="20" t="n"/>
      <c r="B111" s="20" t="n"/>
      <c r="C111" s="60" t="n"/>
      <c r="D111" s="244" t="n"/>
      <c r="E111" s="160" t="inlineStr">
        <is>
          <t>Timeline label</t>
        </is>
      </c>
      <c r="F111" s="160" t="n"/>
      <c r="G111" s="160" t="inlineStr">
        <is>
          <t>label</t>
        </is>
      </c>
      <c r="H111" s="244" t="n"/>
      <c r="I111" s="244" t="n"/>
      <c r="J111" s="244" t="str">
        <f> INDEX($F106:$F109, J110)</f>
        <v>Pre-fcst</v>
      </c>
      <c r="K111" s="244" t="str">
        <f> INDEX($F106:$F109, K110)</f>
        <v>Fin close</v>
      </c>
      <c r="L111" s="244" t="str">
        <f> INDEX($F106:$F109, L110)</f>
        <v>Forecast</v>
      </c>
      <c r="M111" s="244" t="str">
        <f> INDEX($F106:$F109, M110)</f>
        <v>Forecast</v>
      </c>
      <c r="N111" s="244" t="str">
        <f> INDEX($F106:$F109, N110)</f>
        <v>Forecast</v>
      </c>
      <c r="O111" s="244" t="str">
        <f> INDEX($F106:$F109, O110)</f>
        <v>Forecast</v>
      </c>
      <c r="P111" s="244" t="str">
        <f> INDEX($F106:$F109, P110)</f>
        <v>Forecast</v>
      </c>
      <c r="Q111" s="244" t="str">
        <f> INDEX($F106:$F109, Q110)</f>
        <v>Forecast</v>
      </c>
      <c r="R111" s="244" t="str">
        <f> INDEX($F106:$F109, R110)</f>
        <v>Forecast</v>
      </c>
      <c r="S111" s="244" t="str">
        <f> INDEX($F106:$F109, S110)</f>
        <v>Forecast</v>
      </c>
      <c r="T111" s="244" t="str">
        <f> INDEX($F106:$F109, T110)</f>
        <v>Forecast</v>
      </c>
      <c r="U111" s="244" t="str">
        <f> INDEX($F106:$F109, U110)</f>
        <v>Forecast</v>
      </c>
      <c r="V111" s="244" t="str">
        <f> INDEX($F106:$F109, V110)</f>
        <v>Forecast</v>
      </c>
      <c r="W111" s="244" t="str">
        <f> INDEX($F106:$F109, W110)</f>
        <v>Forecast</v>
      </c>
      <c r="X111" s="244" t="str">
        <f> INDEX($F106:$F109, X110)</f>
        <v>Forecast</v>
      </c>
      <c r="Y111" s="244" t="str">
        <f> INDEX($F106:$F109, Y110)</f>
        <v>Forecast</v>
      </c>
      <c r="Z111" s="244" t="str">
        <f> INDEX($F106:$F109, Z110)</f>
        <v>Forecast</v>
      </c>
      <c r="AA111" s="244" t="str">
        <f> INDEX($F106:$F109, AA110)</f>
        <v>Forecast</v>
      </c>
      <c r="AB111" s="244" t="str">
        <f> INDEX($F106:$F109, AB110)</f>
        <v>Forecast</v>
      </c>
      <c r="AC111" s="244" t="str">
        <f> INDEX($F106:$F109, AC110)</f>
        <v>Forecast</v>
      </c>
      <c r="AD111" s="244" t="str">
        <f> INDEX($F106:$F109, AD110)</f>
        <v>Forecast</v>
      </c>
      <c r="AE111" s="244" t="str">
        <f> INDEX($F106:$F109, AE110)</f>
        <v>Forecast</v>
      </c>
      <c r="AF111" s="244" t="str">
        <f> INDEX($F106:$F109, AF110)</f>
        <v>Forecast</v>
      </c>
      <c r="AG111" s="244" t="str">
        <f> INDEX($F106:$F109, AG110)</f>
        <v>Forecast</v>
      </c>
      <c r="AH111" s="244" t="str">
        <f> INDEX($F106:$F109, AH110)</f>
        <v>Forecast</v>
      </c>
      <c r="AI111" s="244" t="str">
        <f> INDEX($F106:$F109, AI110)</f>
        <v>Forecast</v>
      </c>
      <c r="AJ111" s="244" t="str">
        <f> INDEX($F106:$F109, AJ110)</f>
        <v>Forecast</v>
      </c>
      <c r="AK111" s="244" t="str">
        <f> INDEX($F106:$F109, AK110)</f>
        <v>Forecast</v>
      </c>
      <c r="AL111" s="244" t="str">
        <f> INDEX($F106:$F109, AL110)</f>
        <v>Forecast</v>
      </c>
      <c r="AM111" s="244" t="str">
        <f> INDEX($F106:$F109, AM110)</f>
        <v>Forecast</v>
      </c>
      <c r="AN111" s="244" t="str">
        <f> INDEX($F106:$F109, AN110)</f>
        <v>Forecast</v>
      </c>
      <c r="AO111" s="244" t="str">
        <f> INDEX($F106:$F109, AO110)</f>
        <v>Forecast</v>
      </c>
      <c r="AP111" s="244" t="str">
        <f> INDEX($F106:$F109, AP110)</f>
        <v>Forecast</v>
      </c>
      <c r="AQ111" s="244" t="str">
        <f> INDEX($F106:$F109, AQ110)</f>
        <v>Forecast</v>
      </c>
      <c r="AR111" s="244" t="str">
        <f> INDEX($F106:$F109, AR110)</f>
        <v>Forecast</v>
      </c>
      <c r="AS111" s="244" t="str">
        <f> INDEX($F106:$F109, AS110)</f>
        <v>Forecast</v>
      </c>
      <c r="AT111" s="244" t="str">
        <f> INDEX($F106:$F109, AT110)</f>
        <v>Forecast</v>
      </c>
      <c r="AU111" s="244" t="str">
        <f> INDEX($F106:$F109, AU110)</f>
        <v>Forecast</v>
      </c>
      <c r="AV111" s="244" t="str">
        <f> INDEX($F106:$F109, AV110)</f>
        <v>Forecast</v>
      </c>
      <c r="AW111" s="244" t="str">
        <f> INDEX($F106:$F109, AW110)</f>
        <v>Forecast</v>
      </c>
      <c r="AX111" s="244" t="str">
        <f> INDEX($F106:$F109, AX110)</f>
        <v>Forecast</v>
      </c>
      <c r="AY111" s="244" t="str">
        <f> INDEX($F106:$F109, AY110)</f>
        <v>Forecast</v>
      </c>
      <c r="AZ111" s="244" t="str">
        <f> INDEX($F106:$F109, AZ110)</f>
        <v>Forecast</v>
      </c>
      <c r="BA111" s="244" t="str">
        <f> INDEX($F106:$F109, BA110)</f>
        <v>Forecast</v>
      </c>
      <c r="BB111" s="244" t="str">
        <f> INDEX($F106:$F109, BB110)</f>
        <v>Forecast</v>
      </c>
      <c r="BC111" s="244" t="str">
        <f> INDEX($F106:$F109, BC110)</f>
        <v>Forecast</v>
      </c>
      <c r="BD111" s="244" t="str">
        <f> INDEX($F106:$F109, BD110)</f>
        <v>Forecast</v>
      </c>
      <c r="BE111" s="244" t="str">
        <f> INDEX($F106:$F109, BE110)</f>
        <v>Forecast</v>
      </c>
      <c r="BF111" s="244" t="str">
        <f> INDEX($F106:$F109, BF110)</f>
        <v>Forecast</v>
      </c>
      <c r="BG111" s="244" t="str">
        <f> INDEX($F106:$F109, BG110)</f>
        <v>Forecast</v>
      </c>
      <c r="BH111" s="244" t="str">
        <f> INDEX($F106:$F109, BH110)</f>
        <v>Forecast</v>
      </c>
      <c r="BI111" s="244" t="str">
        <f> INDEX($F106:$F109, BI110)</f>
        <v>Forecast</v>
      </c>
      <c r="BJ111" s="244" t="str">
        <f> INDEX($F106:$F109, BJ110)</f>
        <v>Forecast</v>
      </c>
      <c r="BK111" s="244" t="str">
        <f> INDEX($F106:$F109, BK110)</f>
        <v>Forecast</v>
      </c>
      <c r="BL111" s="244" t="str">
        <f> INDEX($F106:$F109, BL110)</f>
        <v>Forecast</v>
      </c>
      <c r="BM111" s="244" t="str">
        <f> INDEX($F106:$F109, BM110)</f>
        <v>Forecast</v>
      </c>
      <c r="BN111" s="244" t="str">
        <f> INDEX($F106:$F109, BN110)</f>
        <v>Forecast</v>
      </c>
      <c r="BO111" s="244" t="str">
        <f> INDEX($F106:$F109, BO110)</f>
        <v>Forecast</v>
      </c>
      <c r="BP111" s="244" t="str">
        <f> INDEX($F106:$F109, BP110)</f>
        <v>Forecast</v>
      </c>
      <c r="BQ111" s="244" t="str">
        <f> INDEX($F106:$F109, BQ110)</f>
        <v>Forecast</v>
      </c>
      <c r="BR111" s="244" t="str">
        <f> INDEX($F106:$F109, BR110)</f>
        <v>Forecast</v>
      </c>
      <c r="BS111" s="244" t="str">
        <f> INDEX($F106:$F109, BS110)</f>
        <v>Forecast</v>
      </c>
      <c r="BT111" s="244" t="str">
        <f> INDEX($F106:$F109, BT110)</f>
        <v>Forecast</v>
      </c>
      <c r="BU111" s="244" t="str">
        <f> INDEX($F106:$F109, BU110)</f>
        <v>Forecast</v>
      </c>
      <c r="BV111" s="244" t="str">
        <f> INDEX($F106:$F109, BV110)</f>
        <v>Forecast</v>
      </c>
      <c r="BW111" s="244" t="str">
        <f> INDEX($F106:$F109, BW110)</f>
        <v>Forecast</v>
      </c>
      <c r="BX111" s="244" t="str">
        <f> INDEX($F106:$F109, BX110)</f>
        <v>Forecast</v>
      </c>
      <c r="BY111" s="244" t="str">
        <f> INDEX($F106:$F109, BY110)</f>
        <v>Forecast</v>
      </c>
      <c r="BZ111" s="244" t="str">
        <f> INDEX($F106:$F109, BZ110)</f>
        <v>Forecast</v>
      </c>
      <c r="CA111" s="244" t="str">
        <f> INDEX($F106:$F109, CA110)</f>
        <v>Forecast</v>
      </c>
      <c r="CB111" s="244" t="str">
        <f> INDEX($F106:$F109, CB110)</f>
        <v>Forecast</v>
      </c>
      <c r="CC111" s="244" t="str">
        <f> INDEX($F106:$F109, CC110)</f>
        <v>Forecast</v>
      </c>
      <c r="CD111" s="244" t="str">
        <f> INDEX($F106:$F109, CD110)</f>
        <v>Forecast</v>
      </c>
      <c r="CE111" s="244" t="str">
        <f> INDEX($F106:$F109, CE110)</f>
        <v>Forecast</v>
      </c>
      <c r="CF111" s="244" t="str">
        <f> INDEX($F106:$F109, CF110)</f>
        <v>Forecast</v>
      </c>
      <c r="CG111" s="244" t="str">
        <f> INDEX($F106:$F109, CG110)</f>
        <v>Forecast</v>
      </c>
      <c r="CH111" s="244" t="str">
        <f> INDEX($F106:$F109, CH110)</f>
        <v>Forecast</v>
      </c>
      <c r="CI111" s="244" t="str">
        <f> INDEX($F106:$F109, CI110)</f>
        <v>Forecast</v>
      </c>
      <c r="CJ111" s="244" t="str">
        <f> INDEX($F106:$F109, CJ110)</f>
        <v>Forecast</v>
      </c>
      <c r="CK111" s="244" t="str">
        <f> INDEX($F106:$F109, CK110)</f>
        <v>Forecast</v>
      </c>
      <c r="CL111" s="244" t="str">
        <f> INDEX($F106:$F109, CL110)</f>
        <v>Forecast</v>
      </c>
      <c r="CM111" s="244" t="str">
        <f> INDEX($F106:$F109, CM110)</f>
        <v>Forecast</v>
      </c>
      <c r="CN111" s="244" t="str">
        <f> INDEX($F106:$F109, CN110)</f>
        <v>Post-fcst</v>
      </c>
      <c r="CO111" s="244" t="str">
        <f> INDEX($F106:$F109, CO110)</f>
        <v>Post-fcst</v>
      </c>
    </row>
    <row r="114" customFormat="1" s="146">
      <c r="A114" s="163" t="inlineStr">
        <is>
          <t>MODELLING PERIOD CHECK</t>
        </is>
      </c>
      <c r="B114" s="163" t="n"/>
      <c r="C114" s="172" t="n"/>
      <c r="D114" s="88" t="n"/>
      <c r="E114" s="169" t="n"/>
      <c r="F114" s="169" t="n"/>
      <c r="G114" s="169" t="n"/>
      <c r="H114" s="169" t="n"/>
      <c r="I114" s="169" t="n"/>
      <c r="J114" s="169" t="n"/>
      <c r="K114" s="169" t="n"/>
      <c r="L114" s="169" t="n"/>
      <c r="M114" s="169" t="n"/>
      <c r="N114" s="169" t="n"/>
      <c r="O114" s="169" t="n"/>
      <c r="P114" s="169" t="n"/>
      <c r="Q114" s="169" t="n"/>
      <c r="R114" s="169" t="n"/>
      <c r="S114" s="169" t="n"/>
      <c r="T114" s="169" t="n"/>
      <c r="U114" s="169" t="n"/>
      <c r="V114" s="169" t="n"/>
      <c r="W114" s="169" t="n"/>
      <c r="X114" s="169" t="n"/>
      <c r="Y114" s="169" t="n"/>
      <c r="Z114" s="169" t="n"/>
      <c r="AA114" s="169" t="n"/>
      <c r="AB114" s="169" t="n"/>
      <c r="AC114" s="169" t="n"/>
      <c r="AD114" s="169" t="n"/>
      <c r="AE114" s="169" t="n"/>
      <c r="AF114" s="169" t="n"/>
      <c r="AG114" s="169" t="n"/>
      <c r="AH114" s="169" t="n"/>
      <c r="AI114" s="169" t="n"/>
      <c r="AJ114" s="169" t="n"/>
      <c r="AK114" s="169" t="n"/>
      <c r="AL114" s="169" t="n"/>
      <c r="AM114" s="169" t="n"/>
      <c r="AN114" s="169" t="n"/>
      <c r="AO114" s="169" t="n"/>
      <c r="AP114" s="169" t="n"/>
      <c r="AQ114" s="169" t="n"/>
      <c r="AR114" s="169" t="n"/>
      <c r="AS114" s="169" t="n"/>
      <c r="AT114" s="169" t="n"/>
      <c r="AU114" s="169" t="n"/>
      <c r="AV114" s="169" t="n"/>
      <c r="AW114" s="169" t="n"/>
      <c r="AX114" s="169" t="n"/>
      <c r="AY114" s="169" t="n"/>
      <c r="AZ114" s="169" t="n"/>
      <c r="BA114" s="169" t="n"/>
      <c r="BB114" s="169" t="n"/>
      <c r="BC114" s="169" t="n"/>
      <c r="BD114" s="169" t="n"/>
      <c r="BE114" s="169" t="n"/>
      <c r="BF114" s="169" t="n"/>
      <c r="BG114" s="169" t="n"/>
      <c r="BH114" s="169" t="n"/>
      <c r="BI114" s="169" t="n"/>
      <c r="BJ114" s="169" t="n"/>
      <c r="BK114" s="169" t="n"/>
      <c r="BL114" s="169" t="n"/>
      <c r="BM114" s="169" t="n"/>
      <c r="BN114" s="169" t="n"/>
      <c r="BO114" s="169" t="n"/>
      <c r="BP114" s="169" t="n"/>
      <c r="BQ114" s="169" t="n"/>
      <c r="BR114" s="169" t="n"/>
      <c r="BS114" s="169" t="n"/>
      <c r="BT114" s="169" t="n"/>
      <c r="BU114" s="169" t="n"/>
      <c r="BV114" s="169" t="n"/>
      <c r="BW114" s="169" t="n"/>
      <c r="BX114" s="169" t="n"/>
      <c r="BY114" s="169" t="n"/>
      <c r="BZ114" s="169" t="n"/>
      <c r="CA114" s="169" t="n"/>
      <c r="CB114" s="169" t="n"/>
      <c r="CC114" s="169" t="n"/>
      <c r="CD114" s="169" t="n"/>
      <c r="CE114" s="169" t="n"/>
      <c r="CF114" s="169" t="n"/>
      <c r="CG114" s="169" t="n"/>
      <c r="CH114" s="169" t="n"/>
      <c r="CI114" s="169" t="n"/>
      <c r="CJ114" s="169" t="n"/>
      <c r="CK114" s="169" t="n"/>
      <c r="CL114" s="169" t="n"/>
      <c r="CM114" s="169" t="n"/>
      <c r="CN114" s="169" t="n"/>
      <c r="CO114" s="169" t="n"/>
    </row>
    <row r="115" customFormat="1" s="146">
      <c r="A115" s="163" t="n"/>
      <c r="B115" s="163" t="n"/>
      <c r="C115" s="172" t="n"/>
      <c r="D115" s="88" t="n"/>
      <c r="E115" s="169" t="n"/>
      <c r="F115" s="169" t="n"/>
      <c r="G115" s="169" t="n"/>
      <c r="H115" s="169" t="n"/>
      <c r="I115" s="169" t="n"/>
      <c r="J115" s="169" t="n"/>
      <c r="K115" s="169" t="n"/>
      <c r="L115" s="169" t="n"/>
      <c r="M115" s="169" t="n"/>
      <c r="N115" s="169" t="n"/>
      <c r="O115" s="169" t="n"/>
      <c r="P115" s="169" t="n"/>
      <c r="Q115" s="169" t="n"/>
      <c r="R115" s="169" t="n"/>
      <c r="S115" s="169" t="n"/>
      <c r="T115" s="169" t="n"/>
      <c r="U115" s="169" t="n"/>
      <c r="V115" s="169" t="n"/>
      <c r="W115" s="169" t="n"/>
      <c r="X115" s="169" t="n"/>
      <c r="Y115" s="169" t="n"/>
      <c r="Z115" s="169" t="n"/>
      <c r="AA115" s="169" t="n"/>
      <c r="AB115" s="169" t="n"/>
      <c r="AC115" s="169" t="n"/>
      <c r="AD115" s="169" t="n"/>
      <c r="AE115" s="169" t="n"/>
      <c r="AF115" s="169" t="n"/>
      <c r="AG115" s="169" t="n"/>
      <c r="AH115" s="169" t="n"/>
      <c r="AI115" s="169" t="n"/>
      <c r="AJ115" s="169" t="n"/>
      <c r="AK115" s="169" t="n"/>
      <c r="AL115" s="169" t="n"/>
      <c r="AM115" s="169" t="n"/>
      <c r="AN115" s="169" t="n"/>
      <c r="AO115" s="169" t="n"/>
      <c r="AP115" s="169" t="n"/>
      <c r="AQ115" s="169" t="n"/>
      <c r="AR115" s="169" t="n"/>
      <c r="AS115" s="169" t="n"/>
      <c r="AT115" s="169" t="n"/>
      <c r="AU115" s="169" t="n"/>
      <c r="AV115" s="169" t="n"/>
      <c r="AW115" s="169" t="n"/>
      <c r="AX115" s="169" t="n"/>
      <c r="AY115" s="169" t="n"/>
      <c r="AZ115" s="169" t="n"/>
      <c r="BA115" s="169" t="n"/>
      <c r="BB115" s="169" t="n"/>
      <c r="BC115" s="169" t="n"/>
      <c r="BD115" s="169" t="n"/>
      <c r="BE115" s="169" t="n"/>
      <c r="BF115" s="169" t="n"/>
      <c r="BG115" s="169" t="n"/>
      <c r="BH115" s="169" t="n"/>
      <c r="BI115" s="169" t="n"/>
      <c r="BJ115" s="169" t="n"/>
      <c r="BK115" s="169" t="n"/>
      <c r="BL115" s="169" t="n"/>
      <c r="BM115" s="169" t="n"/>
      <c r="BN115" s="169" t="n"/>
      <c r="BO115" s="169" t="n"/>
      <c r="BP115" s="169" t="n"/>
      <c r="BQ115" s="169" t="n"/>
      <c r="BR115" s="169" t="n"/>
      <c r="BS115" s="169" t="n"/>
      <c r="BT115" s="169" t="n"/>
      <c r="BU115" s="169" t="n"/>
      <c r="BV115" s="169" t="n"/>
      <c r="BW115" s="169" t="n"/>
      <c r="BX115" s="169" t="n"/>
      <c r="BY115" s="169" t="n"/>
      <c r="BZ115" s="169" t="n"/>
      <c r="CA115" s="169" t="n"/>
      <c r="CB115" s="169" t="n"/>
      <c r="CC115" s="169" t="n"/>
      <c r="CD115" s="169" t="n"/>
      <c r="CE115" s="169" t="n"/>
      <c r="CF115" s="169" t="n"/>
      <c r="CG115" s="169" t="n"/>
      <c r="CH115" s="169" t="n"/>
      <c r="CI115" s="169" t="n"/>
      <c r="CJ115" s="169" t="n"/>
      <c r="CK115" s="169" t="n"/>
      <c r="CL115" s="169" t="n"/>
      <c r="CM115" s="169" t="n"/>
      <c r="CN115" s="169" t="n"/>
      <c r="CO115" s="169" t="n"/>
    </row>
    <row r="116" customFormat="1" s="146">
      <c r="A116" s="163" t="n"/>
      <c r="B116" s="163" t="n"/>
      <c r="C116" s="172" t="n"/>
      <c r="D116" s="88" t="n"/>
      <c r="E116" s="169" t="str">
        <f> E$11</f>
        <v>Model column total</v>
      </c>
      <c r="F116" s="169">
        <f> F$11</f>
        <v>84.0</v>
      </c>
      <c r="G116" s="169" t="str">
        <f> G$11</f>
        <v>columns</v>
      </c>
      <c r="H116" s="169" t="n"/>
      <c r="I116" s="169" t="n"/>
      <c r="J116" s="169" t="n"/>
      <c r="K116" s="169" t="n"/>
      <c r="L116" s="169" t="n"/>
      <c r="M116" s="169" t="n"/>
      <c r="N116" s="169" t="n"/>
      <c r="O116" s="169" t="n"/>
      <c r="P116" s="169" t="n"/>
      <c r="Q116" s="169" t="n"/>
      <c r="R116" s="169" t="n"/>
      <c r="S116" s="169" t="n"/>
      <c r="T116" s="169" t="n"/>
      <c r="U116" s="169" t="n"/>
      <c r="V116" s="169" t="n"/>
      <c r="W116" s="169" t="n"/>
      <c r="X116" s="169" t="n"/>
      <c r="Y116" s="169" t="n"/>
      <c r="Z116" s="169" t="n"/>
      <c r="AA116" s="169" t="n"/>
      <c r="AB116" s="169" t="n"/>
      <c r="AC116" s="169" t="n"/>
      <c r="AD116" s="169" t="n"/>
      <c r="AE116" s="169" t="n"/>
      <c r="AF116" s="169" t="n"/>
      <c r="AG116" s="169" t="n"/>
      <c r="AH116" s="169" t="n"/>
      <c r="AI116" s="169" t="n"/>
      <c r="AJ116" s="169" t="n"/>
      <c r="AK116" s="169" t="n"/>
      <c r="AL116" s="169" t="n"/>
      <c r="AM116" s="169" t="n"/>
      <c r="AN116" s="169" t="n"/>
      <c r="AO116" s="169" t="n"/>
      <c r="AP116" s="169" t="n"/>
      <c r="AQ116" s="169" t="n"/>
      <c r="AR116" s="169" t="n"/>
      <c r="AS116" s="169" t="n"/>
      <c r="AT116" s="169" t="n"/>
      <c r="AU116" s="169" t="n"/>
      <c r="AV116" s="169" t="n"/>
      <c r="AW116" s="169" t="n"/>
      <c r="AX116" s="169" t="n"/>
      <c r="AY116" s="169" t="n"/>
      <c r="AZ116" s="169" t="n"/>
      <c r="BA116" s="169" t="n"/>
      <c r="BB116" s="169" t="n"/>
      <c r="BC116" s="169" t="n"/>
      <c r="BD116" s="169" t="n"/>
      <c r="BE116" s="169" t="n"/>
      <c r="BF116" s="169" t="n"/>
      <c r="BG116" s="169" t="n"/>
      <c r="BH116" s="169" t="n"/>
      <c r="BI116" s="169" t="n"/>
      <c r="BJ116" s="169" t="n"/>
      <c r="BK116" s="169" t="n"/>
      <c r="BL116" s="169" t="n"/>
      <c r="BM116" s="169" t="n"/>
      <c r="BN116" s="169" t="n"/>
      <c r="BO116" s="169" t="n"/>
      <c r="BP116" s="169" t="n"/>
      <c r="BQ116" s="169" t="n"/>
      <c r="BR116" s="169" t="n"/>
      <c r="BS116" s="169" t="n"/>
      <c r="BT116" s="169" t="n"/>
      <c r="BU116" s="169" t="n"/>
      <c r="BV116" s="169" t="n"/>
      <c r="BW116" s="169" t="n"/>
      <c r="BX116" s="169" t="n"/>
      <c r="BY116" s="169" t="n"/>
      <c r="BZ116" s="169" t="n"/>
      <c r="CA116" s="169" t="n"/>
      <c r="CB116" s="169" t="n"/>
      <c r="CC116" s="169" t="n"/>
      <c r="CD116" s="169" t="n"/>
      <c r="CE116" s="169" t="n"/>
      <c r="CF116" s="169" t="n"/>
      <c r="CG116" s="169" t="n"/>
      <c r="CH116" s="169" t="n"/>
      <c r="CI116" s="169" t="n"/>
      <c r="CJ116" s="169" t="n"/>
      <c r="CK116" s="169" t="n"/>
      <c r="CL116" s="169" t="n"/>
      <c r="CM116" s="169" t="n"/>
      <c r="CN116" s="169" t="n"/>
      <c r="CO116" s="169" t="n"/>
    </row>
    <row r="117" customFormat="1" s="146">
      <c r="A117" s="163" t="n"/>
      <c r="B117" s="163" t="n"/>
      <c r="C117" s="172" t="n"/>
      <c r="D117" s="88" t="inlineStr">
        <is>
          <t>less</t>
        </is>
      </c>
      <c r="E117" s="169" t="str">
        <f> E$59</f>
        <v>Pre-forecast period total</v>
      </c>
      <c r="F117" s="169">
        <f> F$59</f>
        <v>2.0</v>
      </c>
      <c r="G117" s="169" t="str">
        <f> G$59</f>
        <v>columns</v>
      </c>
      <c r="H117" s="169" t="n"/>
      <c r="I117" s="169" t="n"/>
      <c r="J117" s="169" t="n"/>
      <c r="K117" s="169" t="n"/>
      <c r="L117" s="169" t="n"/>
      <c r="M117" s="169" t="n"/>
      <c r="N117" s="169" t="n"/>
      <c r="O117" s="169" t="n"/>
      <c r="P117" s="169" t="n"/>
      <c r="Q117" s="169" t="n"/>
      <c r="R117" s="169" t="n"/>
      <c r="S117" s="169" t="n"/>
      <c r="T117" s="169" t="n"/>
      <c r="U117" s="169" t="n"/>
      <c r="V117" s="169" t="n"/>
      <c r="W117" s="169" t="n"/>
      <c r="X117" s="169" t="n"/>
      <c r="Y117" s="169" t="n"/>
      <c r="Z117" s="169" t="n"/>
      <c r="AA117" s="169" t="n"/>
      <c r="AB117" s="169" t="n"/>
      <c r="AC117" s="169" t="n"/>
      <c r="AD117" s="169" t="n"/>
      <c r="AE117" s="169" t="n"/>
      <c r="AF117" s="169" t="n"/>
      <c r="AG117" s="169" t="n"/>
      <c r="AH117" s="169" t="n"/>
      <c r="AI117" s="169" t="n"/>
      <c r="AJ117" s="169" t="n"/>
      <c r="AK117" s="169" t="n"/>
      <c r="AL117" s="169" t="n"/>
      <c r="AM117" s="169" t="n"/>
      <c r="AN117" s="169" t="n"/>
      <c r="AO117" s="169" t="n"/>
      <c r="AP117" s="169" t="n"/>
      <c r="AQ117" s="169" t="n"/>
      <c r="AR117" s="169" t="n"/>
      <c r="AS117" s="169" t="n"/>
      <c r="AT117" s="169" t="n"/>
      <c r="AU117" s="169" t="n"/>
      <c r="AV117" s="169" t="n"/>
      <c r="AW117" s="169" t="n"/>
      <c r="AX117" s="169" t="n"/>
      <c r="AY117" s="169" t="n"/>
      <c r="AZ117" s="169" t="n"/>
      <c r="BA117" s="169" t="n"/>
      <c r="BB117" s="169" t="n"/>
      <c r="BC117" s="169" t="n"/>
      <c r="BD117" s="169" t="n"/>
      <c r="BE117" s="169" t="n"/>
      <c r="BF117" s="169" t="n"/>
      <c r="BG117" s="169" t="n"/>
      <c r="BH117" s="169" t="n"/>
      <c r="BI117" s="169" t="n"/>
      <c r="BJ117" s="169" t="n"/>
      <c r="BK117" s="169" t="n"/>
      <c r="BL117" s="169" t="n"/>
      <c r="BM117" s="169" t="n"/>
      <c r="BN117" s="169" t="n"/>
      <c r="BO117" s="169" t="n"/>
      <c r="BP117" s="169" t="n"/>
      <c r="BQ117" s="169" t="n"/>
      <c r="BR117" s="169" t="n"/>
      <c r="BS117" s="169" t="n"/>
      <c r="BT117" s="169" t="n"/>
      <c r="BU117" s="169" t="n"/>
      <c r="BV117" s="169" t="n"/>
      <c r="BW117" s="169" t="n"/>
      <c r="BX117" s="169" t="n"/>
      <c r="BY117" s="169" t="n"/>
      <c r="BZ117" s="169" t="n"/>
      <c r="CA117" s="169" t="n"/>
      <c r="CB117" s="169" t="n"/>
      <c r="CC117" s="169" t="n"/>
      <c r="CD117" s="169" t="n"/>
      <c r="CE117" s="169" t="n"/>
      <c r="CF117" s="169" t="n"/>
      <c r="CG117" s="169" t="n"/>
      <c r="CH117" s="169" t="n"/>
      <c r="CI117" s="169" t="n"/>
      <c r="CJ117" s="169" t="n"/>
      <c r="CK117" s="169" t="n"/>
      <c r="CL117" s="169" t="n"/>
      <c r="CM117" s="169" t="n"/>
      <c r="CN117" s="169" t="n"/>
      <c r="CO117" s="169" t="n"/>
    </row>
    <row r="118" customFormat="1" s="146">
      <c r="A118" s="163" t="n"/>
      <c r="B118" s="163" t="n"/>
      <c r="C118" s="172" t="n"/>
      <c r="D118" s="88" t="inlineStr">
        <is>
          <t>less</t>
        </is>
      </c>
      <c r="E118" s="162" t="str">
        <f> E$70</f>
        <v>Forecast period total</v>
      </c>
      <c r="F118" s="162">
        <f> F$70</f>
        <v>80.0</v>
      </c>
      <c r="G118" s="162" t="str">
        <f> G$70</f>
        <v>columns</v>
      </c>
      <c r="H118" s="169" t="n"/>
      <c r="I118" s="169" t="n"/>
      <c r="J118" s="169" t="n"/>
      <c r="K118" s="169" t="n"/>
      <c r="L118" s="169" t="n"/>
      <c r="M118" s="169" t="n"/>
      <c r="N118" s="169" t="n"/>
      <c r="O118" s="169" t="n"/>
      <c r="P118" s="169" t="n"/>
      <c r="Q118" s="169" t="n"/>
      <c r="R118" s="169" t="n"/>
      <c r="S118" s="169" t="n"/>
      <c r="T118" s="169" t="n"/>
      <c r="U118" s="169" t="n"/>
      <c r="V118" s="169" t="n"/>
      <c r="W118" s="169" t="n"/>
      <c r="X118" s="169" t="n"/>
      <c r="Y118" s="169" t="n"/>
      <c r="Z118" s="169" t="n"/>
      <c r="AA118" s="169" t="n"/>
      <c r="AB118" s="169" t="n"/>
      <c r="AC118" s="169" t="n"/>
      <c r="AD118" s="169" t="n"/>
      <c r="AE118" s="169" t="n"/>
      <c r="AF118" s="169" t="n"/>
      <c r="AG118" s="169" t="n"/>
      <c r="AH118" s="169" t="n"/>
      <c r="AI118" s="169" t="n"/>
      <c r="AJ118" s="169" t="n"/>
      <c r="AK118" s="169" t="n"/>
      <c r="AL118" s="169" t="n"/>
      <c r="AM118" s="169" t="n"/>
      <c r="AN118" s="169" t="n"/>
      <c r="AO118" s="169" t="n"/>
      <c r="AP118" s="169" t="n"/>
      <c r="AQ118" s="169" t="n"/>
      <c r="AR118" s="169" t="n"/>
      <c r="AS118" s="169" t="n"/>
      <c r="AT118" s="169" t="n"/>
      <c r="AU118" s="169" t="n"/>
      <c r="AV118" s="169" t="n"/>
      <c r="AW118" s="169" t="n"/>
      <c r="AX118" s="169" t="n"/>
      <c r="AY118" s="169" t="n"/>
      <c r="AZ118" s="169" t="n"/>
      <c r="BA118" s="169" t="n"/>
      <c r="BB118" s="169" t="n"/>
      <c r="BC118" s="169" t="n"/>
      <c r="BD118" s="169" t="n"/>
      <c r="BE118" s="169" t="n"/>
      <c r="BF118" s="169" t="n"/>
      <c r="BG118" s="169" t="n"/>
      <c r="BH118" s="169" t="n"/>
      <c r="BI118" s="169" t="n"/>
      <c r="BJ118" s="169" t="n"/>
      <c r="BK118" s="169" t="n"/>
      <c r="BL118" s="169" t="n"/>
      <c r="BM118" s="169" t="n"/>
      <c r="BN118" s="169" t="n"/>
      <c r="BO118" s="169" t="n"/>
      <c r="BP118" s="169" t="n"/>
      <c r="BQ118" s="169" t="n"/>
      <c r="BR118" s="169" t="n"/>
      <c r="BS118" s="169" t="n"/>
      <c r="BT118" s="169" t="n"/>
      <c r="BU118" s="169" t="n"/>
      <c r="BV118" s="169" t="n"/>
      <c r="BW118" s="169" t="n"/>
      <c r="BX118" s="169" t="n"/>
      <c r="BY118" s="169" t="n"/>
      <c r="BZ118" s="169" t="n"/>
      <c r="CA118" s="169" t="n"/>
      <c r="CB118" s="169" t="n"/>
      <c r="CC118" s="169" t="n"/>
      <c r="CD118" s="169" t="n"/>
      <c r="CE118" s="169" t="n"/>
      <c r="CF118" s="169" t="n"/>
      <c r="CG118" s="169" t="n"/>
      <c r="CH118" s="169" t="n"/>
      <c r="CI118" s="169" t="n"/>
      <c r="CJ118" s="169" t="n"/>
      <c r="CK118" s="169" t="n"/>
      <c r="CL118" s="169" t="n"/>
      <c r="CM118" s="169" t="n"/>
      <c r="CN118" s="169" t="n"/>
      <c r="CO118" s="169" t="n"/>
    </row>
    <row r="119" customFormat="1" s="146">
      <c r="A119" s="163" t="n"/>
      <c r="B119" s="163" t="n"/>
      <c r="C119" s="172" t="n"/>
      <c r="D119" s="88" t="inlineStr">
        <is>
          <t>less</t>
        </is>
      </c>
      <c r="E119" s="162" t="str">
        <f> E$84</f>
        <v>Post forecast period total</v>
      </c>
      <c r="F119" s="162">
        <f> F$84</f>
        <v>2.0</v>
      </c>
      <c r="G119" s="162" t="str">
        <f> G$84</f>
        <v>columns</v>
      </c>
      <c r="H119" s="169" t="n"/>
      <c r="I119" s="169" t="n"/>
      <c r="J119" s="169" t="n"/>
      <c r="K119" s="169" t="n"/>
      <c r="L119" s="169" t="n"/>
      <c r="M119" s="169" t="n"/>
      <c r="N119" s="169" t="n"/>
      <c r="O119" s="169" t="n"/>
      <c r="P119" s="169" t="n"/>
      <c r="Q119" s="169" t="n"/>
      <c r="R119" s="169" t="n"/>
      <c r="S119" s="169" t="n"/>
      <c r="T119" s="169" t="n"/>
      <c r="U119" s="169" t="n"/>
      <c r="V119" s="169" t="n"/>
      <c r="W119" s="169" t="n"/>
      <c r="X119" s="169" t="n"/>
      <c r="Y119" s="169" t="n"/>
      <c r="Z119" s="169" t="n"/>
      <c r="AA119" s="169" t="n"/>
      <c r="AB119" s="169" t="n"/>
      <c r="AC119" s="169" t="n"/>
      <c r="AD119" s="169" t="n"/>
      <c r="AE119" s="169" t="n"/>
      <c r="AF119" s="169" t="n"/>
      <c r="AG119" s="169" t="n"/>
      <c r="AH119" s="169" t="n"/>
      <c r="AI119" s="169" t="n"/>
      <c r="AJ119" s="169" t="n"/>
      <c r="AK119" s="169" t="n"/>
      <c r="AL119" s="169" t="n"/>
      <c r="AM119" s="169" t="n"/>
      <c r="AN119" s="169" t="n"/>
      <c r="AO119" s="169" t="n"/>
      <c r="AP119" s="169" t="n"/>
      <c r="AQ119" s="169" t="n"/>
      <c r="AR119" s="169" t="n"/>
      <c r="AS119" s="169" t="n"/>
      <c r="AT119" s="169" t="n"/>
      <c r="AU119" s="169" t="n"/>
      <c r="AV119" s="169" t="n"/>
      <c r="AW119" s="169" t="n"/>
      <c r="AX119" s="169" t="n"/>
      <c r="AY119" s="169" t="n"/>
      <c r="AZ119" s="169" t="n"/>
      <c r="BA119" s="169" t="n"/>
      <c r="BB119" s="169" t="n"/>
      <c r="BC119" s="169" t="n"/>
      <c r="BD119" s="169" t="n"/>
      <c r="BE119" s="169" t="n"/>
      <c r="BF119" s="169" t="n"/>
      <c r="BG119" s="169" t="n"/>
      <c r="BH119" s="169" t="n"/>
      <c r="BI119" s="169" t="n"/>
      <c r="BJ119" s="169" t="n"/>
      <c r="BK119" s="169" t="n"/>
      <c r="BL119" s="169" t="n"/>
      <c r="BM119" s="169" t="n"/>
      <c r="BN119" s="169" t="n"/>
      <c r="BO119" s="169" t="n"/>
      <c r="BP119" s="169" t="n"/>
      <c r="BQ119" s="169" t="n"/>
      <c r="BR119" s="169" t="n"/>
      <c r="BS119" s="169" t="n"/>
      <c r="BT119" s="169" t="n"/>
      <c r="BU119" s="169" t="n"/>
      <c r="BV119" s="169" t="n"/>
      <c r="BW119" s="169" t="n"/>
      <c r="BX119" s="169" t="n"/>
      <c r="BY119" s="169" t="n"/>
      <c r="BZ119" s="169" t="n"/>
      <c r="CA119" s="169" t="n"/>
      <c r="CB119" s="169" t="n"/>
      <c r="CC119" s="169" t="n"/>
      <c r="CD119" s="169" t="n"/>
      <c r="CE119" s="169" t="n"/>
      <c r="CF119" s="169" t="n"/>
      <c r="CG119" s="169" t="n"/>
      <c r="CH119" s="169" t="n"/>
      <c r="CI119" s="169" t="n"/>
      <c r="CJ119" s="169" t="n"/>
      <c r="CK119" s="169" t="n"/>
      <c r="CL119" s="169" t="n"/>
      <c r="CM119" s="169" t="n"/>
      <c r="CN119" s="169" t="n"/>
      <c r="CO119" s="169" t="n"/>
    </row>
    <row r="120" customFormat="1" s="146">
      <c r="A120" s="163" t="n"/>
      <c r="B120" s="163" t="n"/>
      <c r="C120" s="172" t="n"/>
      <c r="D120" s="88" t="n"/>
      <c r="E120" s="169" t="inlineStr">
        <is>
          <t>Modelling period check</t>
        </is>
      </c>
      <c r="F120" s="164">
        <f> IF(F116 - SUM(F117:F119) &lt;&gt; 0, 1, 0)</f>
        <v>0.0</v>
      </c>
      <c r="G120" s="169" t="inlineStr">
        <is>
          <t>check</t>
        </is>
      </c>
      <c r="H120" s="169" t="n"/>
      <c r="I120" s="169" t="n"/>
      <c r="J120" s="169" t="n"/>
      <c r="K120" s="169" t="n"/>
      <c r="L120" s="169" t="n"/>
      <c r="M120" s="169" t="n"/>
      <c r="N120" s="169" t="n"/>
      <c r="O120" s="169" t="n"/>
      <c r="P120" s="169" t="n"/>
      <c r="Q120" s="169" t="n"/>
      <c r="R120" s="169" t="n"/>
      <c r="S120" s="169" t="n"/>
      <c r="T120" s="169" t="n"/>
      <c r="U120" s="169" t="n"/>
      <c r="V120" s="169" t="n"/>
      <c r="W120" s="169" t="n"/>
      <c r="X120" s="169" t="n"/>
      <c r="Y120" s="169" t="n"/>
      <c r="Z120" s="169" t="n"/>
      <c r="AA120" s="169" t="n"/>
      <c r="AB120" s="169" t="n"/>
      <c r="AC120" s="169" t="n"/>
      <c r="AD120" s="169" t="n"/>
      <c r="AE120" s="169" t="n"/>
      <c r="AF120" s="169" t="n"/>
      <c r="AG120" s="169" t="n"/>
      <c r="AH120" s="169" t="n"/>
      <c r="AI120" s="169" t="n"/>
      <c r="AJ120" s="169" t="n"/>
      <c r="AK120" s="169" t="n"/>
      <c r="AL120" s="169" t="n"/>
      <c r="AM120" s="169" t="n"/>
      <c r="AN120" s="169" t="n"/>
      <c r="AO120" s="169" t="n"/>
      <c r="AP120" s="169" t="n"/>
      <c r="AQ120" s="169" t="n"/>
      <c r="AR120" s="169" t="n"/>
      <c r="AS120" s="169" t="n"/>
      <c r="AT120" s="169" t="n"/>
      <c r="AU120" s="169" t="n"/>
      <c r="AV120" s="169" t="n"/>
      <c r="AW120" s="169" t="n"/>
      <c r="AX120" s="169" t="n"/>
      <c r="AY120" s="169" t="n"/>
      <c r="AZ120" s="169" t="n"/>
      <c r="BA120" s="169" t="n"/>
      <c r="BB120" s="169" t="n"/>
      <c r="BC120" s="169" t="n"/>
      <c r="BD120" s="169" t="n"/>
      <c r="BE120" s="169" t="n"/>
      <c r="BF120" s="169" t="n"/>
      <c r="BG120" s="169" t="n"/>
      <c r="BH120" s="169" t="n"/>
      <c r="BI120" s="169" t="n"/>
      <c r="BJ120" s="169" t="n"/>
      <c r="BK120" s="169" t="n"/>
      <c r="BL120" s="169" t="n"/>
      <c r="BM120" s="169" t="n"/>
      <c r="BN120" s="169" t="n"/>
      <c r="BO120" s="169" t="n"/>
      <c r="BP120" s="169" t="n"/>
      <c r="BQ120" s="169" t="n"/>
      <c r="BR120" s="169" t="n"/>
      <c r="BS120" s="169" t="n"/>
      <c r="BT120" s="169" t="n"/>
      <c r="BU120" s="169" t="n"/>
      <c r="BV120" s="169" t="n"/>
      <c r="BW120" s="169" t="n"/>
      <c r="BX120" s="169" t="n"/>
      <c r="BY120" s="169" t="n"/>
      <c r="BZ120" s="169" t="n"/>
      <c r="CA120" s="169" t="n"/>
      <c r="CB120" s="169" t="n"/>
      <c r="CC120" s="169" t="n"/>
      <c r="CD120" s="169" t="n"/>
      <c r="CE120" s="169" t="n"/>
      <c r="CF120" s="169" t="n"/>
      <c r="CG120" s="169" t="n"/>
      <c r="CH120" s="169" t="n"/>
      <c r="CI120" s="169" t="n"/>
      <c r="CJ120" s="169" t="n"/>
      <c r="CK120" s="169" t="n"/>
      <c r="CL120" s="169" t="n"/>
      <c r="CM120" s="169" t="n"/>
      <c r="CN120" s="169" t="n"/>
      <c r="CO120" s="169" t="n"/>
    </row>
    <row r="121" customFormat="1" s="146">
      <c r="A121" s="163" t="n"/>
      <c r="B121" s="163" t="n"/>
      <c r="C121" s="172" t="n"/>
      <c r="D121" s="88" t="n"/>
      <c r="E121" s="169" t="n"/>
      <c r="F121" s="169" t="n"/>
      <c r="G121" s="169" t="n"/>
      <c r="H121" s="169" t="n"/>
      <c r="I121" s="169" t="n"/>
      <c r="J121" s="169" t="n"/>
      <c r="K121" s="169" t="n"/>
      <c r="L121" s="169" t="n"/>
      <c r="M121" s="169" t="n"/>
      <c r="N121" s="169" t="n"/>
      <c r="O121" s="169" t="n"/>
      <c r="P121" s="169" t="n"/>
      <c r="Q121" s="169" t="n"/>
      <c r="R121" s="169" t="n"/>
      <c r="S121" s="169" t="n"/>
      <c r="T121" s="169" t="n"/>
      <c r="U121" s="169" t="n"/>
      <c r="V121" s="169" t="n"/>
      <c r="W121" s="169" t="n"/>
      <c r="X121" s="169" t="n"/>
      <c r="Y121" s="169" t="n"/>
      <c r="Z121" s="169" t="n"/>
      <c r="AA121" s="169" t="n"/>
      <c r="AB121" s="169" t="n"/>
      <c r="AC121" s="169" t="n"/>
      <c r="AD121" s="169" t="n"/>
      <c r="AE121" s="169" t="n"/>
      <c r="AF121" s="169" t="n"/>
      <c r="AG121" s="169" t="n"/>
      <c r="AH121" s="169" t="n"/>
      <c r="AI121" s="169" t="n"/>
      <c r="AJ121" s="169" t="n"/>
      <c r="AK121" s="169" t="n"/>
      <c r="AL121" s="169" t="n"/>
      <c r="AM121" s="169" t="n"/>
      <c r="AN121" s="169" t="n"/>
      <c r="AO121" s="169" t="n"/>
      <c r="AP121" s="169" t="n"/>
      <c r="AQ121" s="169" t="n"/>
      <c r="AR121" s="169" t="n"/>
      <c r="AS121" s="169" t="n"/>
      <c r="AT121" s="169" t="n"/>
      <c r="AU121" s="169" t="n"/>
      <c r="AV121" s="169" t="n"/>
      <c r="AW121" s="169" t="n"/>
      <c r="AX121" s="169" t="n"/>
      <c r="AY121" s="169" t="n"/>
      <c r="AZ121" s="169" t="n"/>
      <c r="BA121" s="169" t="n"/>
      <c r="BB121" s="169" t="n"/>
      <c r="BC121" s="169" t="n"/>
      <c r="BD121" s="169" t="n"/>
      <c r="BE121" s="169" t="n"/>
      <c r="BF121" s="169" t="n"/>
      <c r="BG121" s="169" t="n"/>
      <c r="BH121" s="169" t="n"/>
      <c r="BI121" s="169" t="n"/>
      <c r="BJ121" s="169" t="n"/>
      <c r="BK121" s="169" t="n"/>
      <c r="BL121" s="169" t="n"/>
      <c r="BM121" s="169" t="n"/>
      <c r="BN121" s="169" t="n"/>
      <c r="BO121" s="169" t="n"/>
      <c r="BP121" s="169" t="n"/>
      <c r="BQ121" s="169" t="n"/>
      <c r="BR121" s="169" t="n"/>
      <c r="BS121" s="169" t="n"/>
      <c r="BT121" s="169" t="n"/>
      <c r="BU121" s="169" t="n"/>
      <c r="BV121" s="169" t="n"/>
      <c r="BW121" s="169" t="n"/>
      <c r="BX121" s="169" t="n"/>
      <c r="BY121" s="169" t="n"/>
      <c r="BZ121" s="169" t="n"/>
      <c r="CA121" s="169" t="n"/>
      <c r="CB121" s="169" t="n"/>
      <c r="CC121" s="169" t="n"/>
      <c r="CD121" s="169" t="n"/>
      <c r="CE121" s="169" t="n"/>
      <c r="CF121" s="169" t="n"/>
      <c r="CG121" s="169" t="n"/>
      <c r="CH121" s="169" t="n"/>
      <c r="CI121" s="169" t="n"/>
      <c r="CJ121" s="169" t="n"/>
      <c r="CK121" s="169" t="n"/>
      <c r="CL121" s="169" t="n"/>
      <c r="CM121" s="169" t="n"/>
      <c r="CN121" s="169" t="n"/>
      <c r="CO121" s="169" t="n"/>
    </row>
  </sheetData>
  <conditionalFormatting sqref="A95:XFD95">
    <cfRule type="containsText" priority="1" operator="containsText" dxfId="36" text="Doctor">
      <formula>NOT(ISERROR(SEARCH("Doctor",A95)))</formula>
    </cfRule>
  </conditionalFormatting>
  <conditionalFormatting sqref="F120">
    <cfRule type="cellIs" priority="14" operator="notEqual" dxfId="10" stopIfTrue="1">
      <formula>0</formula>
    </cfRule>
    <cfRule type="cellIs" priority="15" operator="equal" dxfId="10" stopIfTrue="1">
      <formula>""</formula>
    </cfRule>
  </conditionalFormatting>
  <conditionalFormatting sqref="J3:CO3">
    <cfRule type="cellIs" priority="16" operator="equal" dxfId="1" stopIfTrue="1">
      <formula>"Pre-fcst"</formula>
    </cfRule>
    <cfRule type="cellIs" priority="17"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6.xml><?xml version="1.0" encoding="utf-8"?>
<worksheet xmlns="http://schemas.openxmlformats.org/spreadsheetml/2006/main">
  <sheetPr>
    <tabColor rgb="001C7293"/>
    <outlinePr summaryBelow="0" summaryRight="0"/>
    <pageSetUpPr/>
  </sheetPr>
  <dimension ref="A1:CO38"/>
  <sheetViews>
    <sheetView showGridLines="0" defaultGridColor="0" colorId="22" zoomScaleNormal="100" workbookViewId="0">
      <pane xSplit="9" ySplit="5" topLeftCell="J6" activePane="bottomRight" state="frozen"/>
      <selection activeCell="I34" sqref="I34"/>
      <selection pane="topRight" activeCell="I34" sqref="I34"/>
      <selection pane="bottomLeft" activeCell="I34" sqref="I34"/>
      <selection pane="bottomRight" activeCell="E16" sqref="A16:XFD16"/>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ESCALATION</t>
        </is>
      </c>
    </row>
    <row r="9">
      <c r="C9" s="212" t="inlineStr">
        <is>
          <t>CPI inflation rate</t>
        </is>
      </c>
    </row>
    <row r="10">
      <c r="E10" s="339" t="str">
        <f> InpC!E$16</f>
        <v>Start of the inflation year</v>
      </c>
      <c r="F10" s="339" t="str">
        <f> InpC!F$16</f>
        <v>% p.a</v>
      </c>
      <c r="G10" s="325">
        <f> InpC!G$16</f>
        <v>0.0</v>
      </c>
    </row>
    <row r="11">
      <c r="E11" s="338">
        <f> InpC!E$17</f>
        <v>44256.0</v>
      </c>
      <c r="F11" s="336">
        <f> InpC!F$17</f>
        <v>0.07</v>
      </c>
      <c r="G11" s="325" t="str">
        <f> InpC!G$17</f>
        <v>% p.a</v>
      </c>
    </row>
    <row r="12">
      <c r="E12" s="338">
        <f> InpC!E$18</f>
        <v>44621.0</v>
      </c>
      <c r="F12" s="336">
        <f> InpC!F$18</f>
        <v>0.06</v>
      </c>
      <c r="G12" s="325" t="str">
        <f> InpC!G$18</f>
        <v>% p.a</v>
      </c>
    </row>
    <row r="13">
      <c r="E13" s="338">
        <f> InpC!E$19</f>
        <v>44986.0</v>
      </c>
      <c r="F13" s="336">
        <f> InpC!F$19</f>
        <v>0.05</v>
      </c>
      <c r="G13" s="325" t="str">
        <f> InpC!G$19</f>
        <v>% p.a</v>
      </c>
    </row>
    <row r="14">
      <c r="E14" s="338">
        <f> InpC!E$20</f>
        <v>45352.0</v>
      </c>
      <c r="F14" s="336">
        <f> InpC!F$20</f>
        <v>0.04</v>
      </c>
      <c r="G14" s="325" t="str">
        <f> InpC!G$20</f>
        <v>% p.a</v>
      </c>
    </row>
    <row r="15">
      <c r="E15" s="338">
        <f> InpC!E$21</f>
        <v>45717.0</v>
      </c>
      <c r="F15" s="336">
        <f> InpC!F$21</f>
        <v>0.03</v>
      </c>
      <c r="G15" s="325" t="str">
        <f> InpC!G$21</f>
        <v>% p.a</v>
      </c>
    </row>
    <row r="16" customFormat="1" s="340">
      <c r="C16" s="341" t="n"/>
      <c r="D16" s="342" t="n"/>
      <c r="E16" s="343" t="str">
        <f> Time!E$25</f>
        <v>Model period ending </v>
      </c>
      <c r="F16" s="343">
        <f> Time!F$25</f>
        <v>0.0</v>
      </c>
      <c r="G16" s="343" t="str">
        <f> Time!G$25</f>
        <v>date</v>
      </c>
      <c r="H16" s="343">
        <f> Time!H$25</f>
        <v>0.0</v>
      </c>
      <c r="I16" s="343">
        <f> Time!I$25</f>
        <v>0.0</v>
      </c>
      <c r="J16" s="343">
        <f> Time!J$25</f>
        <v>44469.0</v>
      </c>
      <c r="K16" s="340">
        <f> Time!K$25</f>
        <v>44561.0</v>
      </c>
      <c r="L16" s="340">
        <f> Time!L$25</f>
        <v>44651.0</v>
      </c>
      <c r="M16" s="340">
        <f> Time!M$25</f>
        <v>44742.0</v>
      </c>
      <c r="N16" s="340">
        <f> Time!N$25</f>
        <v>44834.0</v>
      </c>
      <c r="O16" s="340">
        <f> Time!O$25</f>
        <v>44926.0</v>
      </c>
      <c r="P16" s="340">
        <f> Time!P$25</f>
        <v>45016.0</v>
      </c>
      <c r="Q16" s="340">
        <f> Time!Q$25</f>
        <v>45107.0</v>
      </c>
      <c r="R16" s="340">
        <f> Time!R$25</f>
        <v>45199.0</v>
      </c>
      <c r="S16" s="340">
        <f> Time!S$25</f>
        <v>45291.0</v>
      </c>
      <c r="T16" s="340">
        <f> Time!T$25</f>
        <v>45382.0</v>
      </c>
      <c r="U16" s="340">
        <f> Time!U$25</f>
        <v>45473.0</v>
      </c>
      <c r="V16" s="340">
        <f> Time!V$25</f>
        <v>45565.0</v>
      </c>
      <c r="W16" s="340">
        <f> Time!W$25</f>
        <v>45657.0</v>
      </c>
      <c r="X16" s="340">
        <f> Time!X$25</f>
        <v>45747.0</v>
      </c>
      <c r="Y16" s="340">
        <f> Time!Y$25</f>
        <v>45838.0</v>
      </c>
      <c r="Z16" s="340">
        <f> Time!Z$25</f>
        <v>45930.0</v>
      </c>
      <c r="AA16" s="340">
        <f> Time!AA$25</f>
        <v>46022.0</v>
      </c>
      <c r="AB16" s="340">
        <f> Time!AB$25</f>
        <v>46112.0</v>
      </c>
      <c r="AC16" s="340">
        <f> Time!AC$25</f>
        <v>46203.0</v>
      </c>
      <c r="AD16" s="340">
        <f> Time!AD$25</f>
        <v>46295.0</v>
      </c>
      <c r="AE16" s="340">
        <f> Time!AE$25</f>
        <v>46387.0</v>
      </c>
      <c r="AF16" s="340">
        <f> Time!AF$25</f>
        <v>46477.0</v>
      </c>
      <c r="AG16" s="340">
        <f> Time!AG$25</f>
        <v>46568.0</v>
      </c>
      <c r="AH16" s="340">
        <f> Time!AH$25</f>
        <v>46660.0</v>
      </c>
      <c r="AI16" s="340">
        <f> Time!AI$25</f>
        <v>46752.0</v>
      </c>
      <c r="AJ16" s="340">
        <f> Time!AJ$25</f>
        <v>46843.0</v>
      </c>
      <c r="AK16" s="340">
        <f> Time!AK$25</f>
        <v>46934.0</v>
      </c>
      <c r="AL16" s="340">
        <f> Time!AL$25</f>
        <v>47026.0</v>
      </c>
      <c r="AM16" s="340">
        <f> Time!AM$25</f>
        <v>47118.0</v>
      </c>
      <c r="AN16" s="340">
        <f> Time!AN$25</f>
        <v>47208.0</v>
      </c>
      <c r="AO16" s="340">
        <f> Time!AO$25</f>
        <v>47299.0</v>
      </c>
      <c r="AP16" s="340">
        <f> Time!AP$25</f>
        <v>47391.0</v>
      </c>
      <c r="AQ16" s="340">
        <f> Time!AQ$25</f>
        <v>47483.0</v>
      </c>
      <c r="AR16" s="340">
        <f> Time!AR$25</f>
        <v>47573.0</v>
      </c>
      <c r="AS16" s="340">
        <f> Time!AS$25</f>
        <v>47664.0</v>
      </c>
      <c r="AT16" s="340">
        <f> Time!AT$25</f>
        <v>47756.0</v>
      </c>
      <c r="AU16" s="340">
        <f> Time!AU$25</f>
        <v>47848.0</v>
      </c>
      <c r="AV16" s="340">
        <f> Time!AV$25</f>
        <v>47938.0</v>
      </c>
      <c r="AW16" s="340">
        <f> Time!AW$25</f>
        <v>48029.0</v>
      </c>
      <c r="AX16" s="340">
        <f> Time!AX$25</f>
        <v>48121.0</v>
      </c>
      <c r="AY16" s="340">
        <f> Time!AY$25</f>
        <v>48213.0</v>
      </c>
      <c r="AZ16" s="340">
        <f> Time!AZ$25</f>
        <v>48304.0</v>
      </c>
      <c r="BA16" s="340">
        <f> Time!BA$25</f>
        <v>48395.0</v>
      </c>
      <c r="BB16" s="340">
        <f> Time!BB$25</f>
        <v>48487.0</v>
      </c>
      <c r="BC16" s="340">
        <f> Time!BC$25</f>
        <v>48579.0</v>
      </c>
      <c r="BD16" s="340">
        <f> Time!BD$25</f>
        <v>48669.0</v>
      </c>
      <c r="BE16" s="340">
        <f> Time!BE$25</f>
        <v>48760.0</v>
      </c>
      <c r="BF16" s="340">
        <f> Time!BF$25</f>
        <v>48852.0</v>
      </c>
      <c r="BG16" s="340">
        <f> Time!BG$25</f>
        <v>48944.0</v>
      </c>
      <c r="BH16" s="340">
        <f> Time!BH$25</f>
        <v>49034.0</v>
      </c>
      <c r="BI16" s="340">
        <f> Time!BI$25</f>
        <v>49125.0</v>
      </c>
      <c r="BJ16" s="340">
        <f> Time!BJ$25</f>
        <v>49217.0</v>
      </c>
      <c r="BK16" s="340">
        <f> Time!BK$25</f>
        <v>49309.0</v>
      </c>
      <c r="BL16" s="340">
        <f> Time!BL$25</f>
        <v>49399.0</v>
      </c>
      <c r="BM16" s="340">
        <f> Time!BM$25</f>
        <v>49490.0</v>
      </c>
      <c r="BN16" s="340">
        <f> Time!BN$25</f>
        <v>49582.0</v>
      </c>
      <c r="BO16" s="340">
        <f> Time!BO$25</f>
        <v>49674.0</v>
      </c>
      <c r="BP16" s="340">
        <f> Time!BP$25</f>
        <v>49765.0</v>
      </c>
      <c r="BQ16" s="340">
        <f> Time!BQ$25</f>
        <v>49856.0</v>
      </c>
      <c r="BR16" s="340">
        <f> Time!BR$25</f>
        <v>49948.0</v>
      </c>
      <c r="BS16" s="340">
        <f> Time!BS$25</f>
        <v>50040.0</v>
      </c>
      <c r="BT16" s="340">
        <f> Time!BT$25</f>
        <v>50130.0</v>
      </c>
      <c r="BU16" s="340">
        <f> Time!BU$25</f>
        <v>50221.0</v>
      </c>
      <c r="BV16" s="340">
        <f> Time!BV$25</f>
        <v>50313.0</v>
      </c>
      <c r="BW16" s="340">
        <f> Time!BW$25</f>
        <v>50405.0</v>
      </c>
      <c r="BX16" s="340">
        <f> Time!BX$25</f>
        <v>50495.0</v>
      </c>
      <c r="BY16" s="340">
        <f> Time!BY$25</f>
        <v>50586.0</v>
      </c>
      <c r="BZ16" s="340">
        <f> Time!BZ$25</f>
        <v>50678.0</v>
      </c>
      <c r="CA16" s="340">
        <f> Time!CA$25</f>
        <v>50770.0</v>
      </c>
      <c r="CB16" s="340">
        <f> Time!CB$25</f>
        <v>50860.0</v>
      </c>
      <c r="CC16" s="340">
        <f> Time!CC$25</f>
        <v>50951.0</v>
      </c>
      <c r="CD16" s="340">
        <f> Time!CD$25</f>
        <v>51043.0</v>
      </c>
      <c r="CE16" s="340">
        <f> Time!CE$25</f>
        <v>51135.0</v>
      </c>
      <c r="CF16" s="340">
        <f> Time!CF$25</f>
        <v>51226.0</v>
      </c>
      <c r="CG16" s="340">
        <f> Time!CG$25</f>
        <v>51317.0</v>
      </c>
      <c r="CH16" s="340">
        <f> Time!CH$25</f>
        <v>51409.0</v>
      </c>
      <c r="CI16" s="340">
        <f> Time!CI$25</f>
        <v>51501.0</v>
      </c>
      <c r="CJ16" s="340">
        <f> Time!CJ$25</f>
        <v>51591.0</v>
      </c>
      <c r="CK16" s="340">
        <f> Time!CK$25</f>
        <v>51682.0</v>
      </c>
      <c r="CL16" s="340">
        <f> Time!CL$25</f>
        <v>51774.0</v>
      </c>
      <c r="CM16" s="340">
        <f> Time!CM$25</f>
        <v>51866.0</v>
      </c>
      <c r="CN16" s="340">
        <f> Time!CN$25</f>
        <v>51956.0</v>
      </c>
      <c r="CO16" s="340">
        <f> Time!CO$25</f>
        <v>52047.0</v>
      </c>
    </row>
    <row r="17">
      <c r="E17" s="61" t="inlineStr">
        <is>
          <t>CPI inflation rate p.a</t>
        </is>
      </c>
      <c r="G17" s="61" t="inlineStr">
        <is>
          <t>% pa.</t>
        </is>
      </c>
      <c r="J17" s="271">
        <f> VLOOKUP(J16, $E11:$F15,2,TRUE)</f>
        <v>0.07</v>
      </c>
      <c r="K17" s="271">
        <f> VLOOKUP(K16, $E11:$F15,2,TRUE)</f>
        <v>0.07</v>
      </c>
      <c r="L17" s="271">
        <f> VLOOKUP(L16, $E11:$F15,2,TRUE)</f>
        <v>0.06</v>
      </c>
      <c r="M17" s="271">
        <f> VLOOKUP(M16, $E11:$F15,2,TRUE)</f>
        <v>0.06</v>
      </c>
      <c r="N17" s="271">
        <f> VLOOKUP(N16, $E11:$F15,2,TRUE)</f>
        <v>0.06</v>
      </c>
      <c r="O17" s="271">
        <f> VLOOKUP(O16, $E11:$F15,2,TRUE)</f>
        <v>0.06</v>
      </c>
      <c r="P17" s="271">
        <f> VLOOKUP(P16, $E11:$F15,2,TRUE)</f>
        <v>0.05</v>
      </c>
      <c r="Q17" s="271">
        <f> VLOOKUP(Q16, $E11:$F15,2,TRUE)</f>
        <v>0.05</v>
      </c>
      <c r="R17" s="271">
        <f> VLOOKUP(R16, $E11:$F15,2,TRUE)</f>
        <v>0.05</v>
      </c>
      <c r="S17" s="271">
        <f> VLOOKUP(S16, $E11:$F15,2,TRUE)</f>
        <v>0.05</v>
      </c>
      <c r="T17" s="271">
        <f> VLOOKUP(T16, $E11:$F15,2,TRUE)</f>
        <v>0.04</v>
      </c>
      <c r="U17" s="271">
        <f> VLOOKUP(U16, $E11:$F15,2,TRUE)</f>
        <v>0.04</v>
      </c>
      <c r="V17" s="271">
        <f> VLOOKUP(V16, $E11:$F15,2,TRUE)</f>
        <v>0.04</v>
      </c>
      <c r="W17" s="271">
        <f> VLOOKUP(W16, $E11:$F15,2,TRUE)</f>
        <v>0.04</v>
      </c>
      <c r="X17" s="271">
        <f> VLOOKUP(X16, $E11:$F15,2,TRUE)</f>
        <v>0.03</v>
      </c>
      <c r="Y17" s="271">
        <f> VLOOKUP(Y16, $E11:$F15,2,TRUE)</f>
        <v>0.03</v>
      </c>
      <c r="Z17" s="271">
        <f> VLOOKUP(Z16, $E11:$F15,2,TRUE)</f>
        <v>0.03</v>
      </c>
      <c r="AA17" s="271">
        <f> VLOOKUP(AA16, $E11:$F15,2,TRUE)</f>
        <v>0.03</v>
      </c>
      <c r="AB17" s="271">
        <f> VLOOKUP(AB16, $E11:$F15,2,TRUE)</f>
        <v>0.03</v>
      </c>
      <c r="AC17" s="271">
        <f> VLOOKUP(AC16, $E11:$F15,2,TRUE)</f>
        <v>0.03</v>
      </c>
      <c r="AD17" s="271">
        <f> VLOOKUP(AD16, $E11:$F15,2,TRUE)</f>
        <v>0.03</v>
      </c>
      <c r="AE17" s="271">
        <f> VLOOKUP(AE16, $E11:$F15,2,TRUE)</f>
        <v>0.03</v>
      </c>
      <c r="AF17" s="271">
        <f> VLOOKUP(AF16, $E11:$F15,2,TRUE)</f>
        <v>0.03</v>
      </c>
      <c r="AG17" s="271">
        <f> VLOOKUP(AG16, $E11:$F15,2,TRUE)</f>
        <v>0.03</v>
      </c>
      <c r="AH17" s="271">
        <f> VLOOKUP(AH16, $E11:$F15,2,TRUE)</f>
        <v>0.03</v>
      </c>
      <c r="AI17" s="271">
        <f> VLOOKUP(AI16, $E11:$F15,2,TRUE)</f>
        <v>0.03</v>
      </c>
      <c r="AJ17" s="271">
        <f> VLOOKUP(AJ16, $E11:$F15,2,TRUE)</f>
        <v>0.03</v>
      </c>
      <c r="AK17" s="271">
        <f> VLOOKUP(AK16, $E11:$F15,2,TRUE)</f>
        <v>0.03</v>
      </c>
      <c r="AL17" s="271">
        <f> VLOOKUP(AL16, $E11:$F15,2,TRUE)</f>
        <v>0.03</v>
      </c>
      <c r="AM17" s="271">
        <f> VLOOKUP(AM16, $E11:$F15,2,TRUE)</f>
        <v>0.03</v>
      </c>
      <c r="AN17" s="271">
        <f> VLOOKUP(AN16, $E11:$F15,2,TRUE)</f>
        <v>0.03</v>
      </c>
      <c r="AO17" s="271">
        <f> VLOOKUP(AO16, $E11:$F15,2,TRUE)</f>
        <v>0.03</v>
      </c>
      <c r="AP17" s="271">
        <f> VLOOKUP(AP16, $E11:$F15,2,TRUE)</f>
        <v>0.03</v>
      </c>
      <c r="AQ17" s="271">
        <f> VLOOKUP(AQ16, $E11:$F15,2,TRUE)</f>
        <v>0.03</v>
      </c>
      <c r="AR17" s="271">
        <f> VLOOKUP(AR16, $E11:$F15,2,TRUE)</f>
        <v>0.03</v>
      </c>
      <c r="AS17" s="271">
        <f> VLOOKUP(AS16, $E11:$F15,2,TRUE)</f>
        <v>0.03</v>
      </c>
      <c r="AT17" s="271">
        <f> VLOOKUP(AT16, $E11:$F15,2,TRUE)</f>
        <v>0.03</v>
      </c>
      <c r="AU17" s="271">
        <f> VLOOKUP(AU16, $E11:$F15,2,TRUE)</f>
        <v>0.03</v>
      </c>
      <c r="AV17" s="271">
        <f> VLOOKUP(AV16, $E11:$F15,2,TRUE)</f>
        <v>0.03</v>
      </c>
      <c r="AW17" s="271">
        <f> VLOOKUP(AW16, $E11:$F15,2,TRUE)</f>
        <v>0.03</v>
      </c>
      <c r="AX17" s="271">
        <f> VLOOKUP(AX16, $E11:$F15,2,TRUE)</f>
        <v>0.03</v>
      </c>
      <c r="AY17" s="271">
        <f> VLOOKUP(AY16, $E11:$F15,2,TRUE)</f>
        <v>0.03</v>
      </c>
      <c r="AZ17" s="271">
        <f> VLOOKUP(AZ16, $E11:$F15,2,TRUE)</f>
        <v>0.03</v>
      </c>
      <c r="BA17" s="271">
        <f> VLOOKUP(BA16, $E11:$F15,2,TRUE)</f>
        <v>0.03</v>
      </c>
      <c r="BB17" s="271">
        <f> VLOOKUP(BB16, $E11:$F15,2,TRUE)</f>
        <v>0.03</v>
      </c>
      <c r="BC17" s="271">
        <f> VLOOKUP(BC16, $E11:$F15,2,TRUE)</f>
        <v>0.03</v>
      </c>
      <c r="BD17" s="271">
        <f> VLOOKUP(BD16, $E11:$F15,2,TRUE)</f>
        <v>0.03</v>
      </c>
      <c r="BE17" s="271">
        <f> VLOOKUP(BE16, $E11:$F15,2,TRUE)</f>
        <v>0.03</v>
      </c>
      <c r="BF17" s="271">
        <f> VLOOKUP(BF16, $E11:$F15,2,TRUE)</f>
        <v>0.03</v>
      </c>
      <c r="BG17" s="271">
        <f> VLOOKUP(BG16, $E11:$F15,2,TRUE)</f>
        <v>0.03</v>
      </c>
      <c r="BH17" s="271">
        <f> VLOOKUP(BH16, $E11:$F15,2,TRUE)</f>
        <v>0.03</v>
      </c>
      <c r="BI17" s="271">
        <f> VLOOKUP(BI16, $E11:$F15,2,TRUE)</f>
        <v>0.03</v>
      </c>
      <c r="BJ17" s="271">
        <f> VLOOKUP(BJ16, $E11:$F15,2,TRUE)</f>
        <v>0.03</v>
      </c>
      <c r="BK17" s="271">
        <f> VLOOKUP(BK16, $E11:$F15,2,TRUE)</f>
        <v>0.03</v>
      </c>
      <c r="BL17" s="271">
        <f> VLOOKUP(BL16, $E11:$F15,2,TRUE)</f>
        <v>0.03</v>
      </c>
      <c r="BM17" s="271">
        <f> VLOOKUP(BM16, $E11:$F15,2,TRUE)</f>
        <v>0.03</v>
      </c>
      <c r="BN17" s="271">
        <f> VLOOKUP(BN16, $E11:$F15,2,TRUE)</f>
        <v>0.03</v>
      </c>
      <c r="BO17" s="271">
        <f> VLOOKUP(BO16, $E11:$F15,2,TRUE)</f>
        <v>0.03</v>
      </c>
      <c r="BP17" s="271">
        <f> VLOOKUP(BP16, $E11:$F15,2,TRUE)</f>
        <v>0.03</v>
      </c>
      <c r="BQ17" s="271">
        <f> VLOOKUP(BQ16, $E11:$F15,2,TRUE)</f>
        <v>0.03</v>
      </c>
      <c r="BR17" s="271">
        <f> VLOOKUP(BR16, $E11:$F15,2,TRUE)</f>
        <v>0.03</v>
      </c>
      <c r="BS17" s="271">
        <f> VLOOKUP(BS16, $E11:$F15,2,TRUE)</f>
        <v>0.03</v>
      </c>
      <c r="BT17" s="271">
        <f> VLOOKUP(BT16, $E11:$F15,2,TRUE)</f>
        <v>0.03</v>
      </c>
      <c r="BU17" s="271">
        <f> VLOOKUP(BU16, $E11:$F15,2,TRUE)</f>
        <v>0.03</v>
      </c>
      <c r="BV17" s="271">
        <f> VLOOKUP(BV16, $E11:$F15,2,TRUE)</f>
        <v>0.03</v>
      </c>
      <c r="BW17" s="271">
        <f> VLOOKUP(BW16, $E11:$F15,2,TRUE)</f>
        <v>0.03</v>
      </c>
      <c r="BX17" s="271">
        <f> VLOOKUP(BX16, $E11:$F15,2,TRUE)</f>
        <v>0.03</v>
      </c>
      <c r="BY17" s="271">
        <f> VLOOKUP(BY16, $E11:$F15,2,TRUE)</f>
        <v>0.03</v>
      </c>
      <c r="BZ17" s="271">
        <f> VLOOKUP(BZ16, $E11:$F15,2,TRUE)</f>
        <v>0.03</v>
      </c>
      <c r="CA17" s="271">
        <f> VLOOKUP(CA16, $E11:$F15,2,TRUE)</f>
        <v>0.03</v>
      </c>
      <c r="CB17" s="271">
        <f> VLOOKUP(CB16, $E11:$F15,2,TRUE)</f>
        <v>0.03</v>
      </c>
      <c r="CC17" s="271">
        <f> VLOOKUP(CC16, $E11:$F15,2,TRUE)</f>
        <v>0.03</v>
      </c>
      <c r="CD17" s="271">
        <f> VLOOKUP(CD16, $E11:$F15,2,TRUE)</f>
        <v>0.03</v>
      </c>
      <c r="CE17" s="271">
        <f> VLOOKUP(CE16, $E11:$F15,2,TRUE)</f>
        <v>0.03</v>
      </c>
      <c r="CF17" s="271">
        <f> VLOOKUP(CF16, $E11:$F15,2,TRUE)</f>
        <v>0.03</v>
      </c>
      <c r="CG17" s="271">
        <f> VLOOKUP(CG16, $E11:$F15,2,TRUE)</f>
        <v>0.03</v>
      </c>
      <c r="CH17" s="271">
        <f> VLOOKUP(CH16, $E11:$F15,2,TRUE)</f>
        <v>0.03</v>
      </c>
      <c r="CI17" s="271">
        <f> VLOOKUP(CI16, $E11:$F15,2,TRUE)</f>
        <v>0.03</v>
      </c>
      <c r="CJ17" s="271">
        <f> VLOOKUP(CJ16, $E11:$F15,2,TRUE)</f>
        <v>0.03</v>
      </c>
      <c r="CK17" s="271">
        <f> VLOOKUP(CK16, $E11:$F15,2,TRUE)</f>
        <v>0.03</v>
      </c>
      <c r="CL17" s="271">
        <f> VLOOKUP(CL16, $E11:$F15,2,TRUE)</f>
        <v>0.03</v>
      </c>
      <c r="CM17" s="271">
        <f> VLOOKUP(CM16, $E11:$F15,2,TRUE)</f>
        <v>0.03</v>
      </c>
      <c r="CN17" s="271">
        <f> VLOOKUP(CN16, $E11:$F15,2,TRUE)</f>
        <v>0.03</v>
      </c>
      <c r="CO17" s="271">
        <f> VLOOKUP(CO16, $E11:$F15,2,TRUE)</f>
        <v>0.03</v>
      </c>
    </row>
    <row r="19">
      <c r="E19" s="325" t="str">
        <f> InpC!E$99</f>
        <v>No of periods in a year</v>
      </c>
      <c r="F19" s="325">
        <f> InpC!F$99</f>
        <v>4.0</v>
      </c>
      <c r="G19" s="325" t="str">
        <f> InpC!G$99</f>
        <v>periods</v>
      </c>
    </row>
    <row r="20">
      <c r="E20" s="271" t="str">
        <f> E$17</f>
        <v>CPI inflation rate p.a</v>
      </c>
      <c r="F20" s="271">
        <f> F$17</f>
        <v>0.0</v>
      </c>
      <c r="G20" s="271" t="str">
        <f> G$17</f>
        <v>% pa.</v>
      </c>
      <c r="H20" s="271">
        <f> H$17</f>
        <v>0.0</v>
      </c>
      <c r="I20" s="271">
        <f> I$17</f>
        <v>0.0</v>
      </c>
      <c r="J20" s="271">
        <f> J$17</f>
        <v>0.07</v>
      </c>
      <c r="K20" s="271">
        <f> K$17</f>
        <v>0.07</v>
      </c>
      <c r="L20" s="271">
        <f> L$17</f>
        <v>0.06</v>
      </c>
      <c r="M20" s="271">
        <f> M$17</f>
        <v>0.06</v>
      </c>
      <c r="N20" s="271">
        <f> N$17</f>
        <v>0.06</v>
      </c>
      <c r="O20" s="271">
        <f> O$17</f>
        <v>0.06</v>
      </c>
      <c r="P20" s="271">
        <f> P$17</f>
        <v>0.05</v>
      </c>
      <c r="Q20" s="271">
        <f> Q$17</f>
        <v>0.05</v>
      </c>
      <c r="R20" s="271">
        <f> R$17</f>
        <v>0.05</v>
      </c>
      <c r="S20" s="271">
        <f> S$17</f>
        <v>0.05</v>
      </c>
      <c r="T20" s="271">
        <f> T$17</f>
        <v>0.04</v>
      </c>
      <c r="U20" s="271">
        <f> U$17</f>
        <v>0.04</v>
      </c>
      <c r="V20" s="271">
        <f> V$17</f>
        <v>0.04</v>
      </c>
      <c r="W20" s="271">
        <f> W$17</f>
        <v>0.04</v>
      </c>
      <c r="X20" s="271">
        <f> X$17</f>
        <v>0.03</v>
      </c>
      <c r="Y20" s="271">
        <f> Y$17</f>
        <v>0.03</v>
      </c>
      <c r="Z20" s="271">
        <f> Z$17</f>
        <v>0.03</v>
      </c>
      <c r="AA20" s="271">
        <f> AA$17</f>
        <v>0.03</v>
      </c>
      <c r="AB20" s="271">
        <f> AB$17</f>
        <v>0.03</v>
      </c>
      <c r="AC20" s="271">
        <f> AC$17</f>
        <v>0.03</v>
      </c>
      <c r="AD20" s="271">
        <f> AD$17</f>
        <v>0.03</v>
      </c>
      <c r="AE20" s="271">
        <f> AE$17</f>
        <v>0.03</v>
      </c>
      <c r="AF20" s="271">
        <f> AF$17</f>
        <v>0.03</v>
      </c>
      <c r="AG20" s="271">
        <f> AG$17</f>
        <v>0.03</v>
      </c>
      <c r="AH20" s="271">
        <f> AH$17</f>
        <v>0.03</v>
      </c>
      <c r="AI20" s="271">
        <f> AI$17</f>
        <v>0.03</v>
      </c>
      <c r="AJ20" s="271">
        <f> AJ$17</f>
        <v>0.03</v>
      </c>
      <c r="AK20" s="271">
        <f> AK$17</f>
        <v>0.03</v>
      </c>
      <c r="AL20" s="271">
        <f> AL$17</f>
        <v>0.03</v>
      </c>
      <c r="AM20" s="271">
        <f> AM$17</f>
        <v>0.03</v>
      </c>
      <c r="AN20" s="271">
        <f> AN$17</f>
        <v>0.03</v>
      </c>
      <c r="AO20" s="271">
        <f> AO$17</f>
        <v>0.03</v>
      </c>
      <c r="AP20" s="271">
        <f> AP$17</f>
        <v>0.03</v>
      </c>
      <c r="AQ20" s="271">
        <f> AQ$17</f>
        <v>0.03</v>
      </c>
      <c r="AR20" s="271">
        <f> AR$17</f>
        <v>0.03</v>
      </c>
      <c r="AS20" s="271">
        <f> AS$17</f>
        <v>0.03</v>
      </c>
      <c r="AT20" s="271">
        <f> AT$17</f>
        <v>0.03</v>
      </c>
      <c r="AU20" s="271">
        <f> AU$17</f>
        <v>0.03</v>
      </c>
      <c r="AV20" s="271">
        <f> AV$17</f>
        <v>0.03</v>
      </c>
      <c r="AW20" s="271">
        <f> AW$17</f>
        <v>0.03</v>
      </c>
      <c r="AX20" s="271">
        <f> AX$17</f>
        <v>0.03</v>
      </c>
      <c r="AY20" s="271">
        <f> AY$17</f>
        <v>0.03</v>
      </c>
      <c r="AZ20" s="271">
        <f> AZ$17</f>
        <v>0.03</v>
      </c>
      <c r="BA20" s="271">
        <f> BA$17</f>
        <v>0.03</v>
      </c>
      <c r="BB20" s="271">
        <f> BB$17</f>
        <v>0.03</v>
      </c>
      <c r="BC20" s="271">
        <f> BC$17</f>
        <v>0.03</v>
      </c>
      <c r="BD20" s="271">
        <f> BD$17</f>
        <v>0.03</v>
      </c>
      <c r="BE20" s="271">
        <f> BE$17</f>
        <v>0.03</v>
      </c>
      <c r="BF20" s="271">
        <f> BF$17</f>
        <v>0.03</v>
      </c>
      <c r="BG20" s="271">
        <f> BG$17</f>
        <v>0.03</v>
      </c>
      <c r="BH20" s="271">
        <f> BH$17</f>
        <v>0.03</v>
      </c>
      <c r="BI20" s="271">
        <f> BI$17</f>
        <v>0.03</v>
      </c>
      <c r="BJ20" s="271">
        <f> BJ$17</f>
        <v>0.03</v>
      </c>
      <c r="BK20" s="271">
        <f> BK$17</f>
        <v>0.03</v>
      </c>
      <c r="BL20" s="271">
        <f> BL$17</f>
        <v>0.03</v>
      </c>
      <c r="BM20" s="271">
        <f> BM$17</f>
        <v>0.03</v>
      </c>
      <c r="BN20" s="271">
        <f> BN$17</f>
        <v>0.03</v>
      </c>
      <c r="BO20" s="271">
        <f> BO$17</f>
        <v>0.03</v>
      </c>
      <c r="BP20" s="271">
        <f> BP$17</f>
        <v>0.03</v>
      </c>
      <c r="BQ20" s="271">
        <f> BQ$17</f>
        <v>0.03</v>
      </c>
      <c r="BR20" s="271">
        <f> BR$17</f>
        <v>0.03</v>
      </c>
      <c r="BS20" s="271">
        <f> BS$17</f>
        <v>0.03</v>
      </c>
      <c r="BT20" s="271">
        <f> BT$17</f>
        <v>0.03</v>
      </c>
      <c r="BU20" s="271">
        <f> BU$17</f>
        <v>0.03</v>
      </c>
      <c r="BV20" s="271">
        <f> BV$17</f>
        <v>0.03</v>
      </c>
      <c r="BW20" s="271">
        <f> BW$17</f>
        <v>0.03</v>
      </c>
      <c r="BX20" s="271">
        <f> BX$17</f>
        <v>0.03</v>
      </c>
      <c r="BY20" s="271">
        <f> BY$17</f>
        <v>0.03</v>
      </c>
      <c r="BZ20" s="271">
        <f> BZ$17</f>
        <v>0.03</v>
      </c>
      <c r="CA20" s="271">
        <f> CA$17</f>
        <v>0.03</v>
      </c>
      <c r="CB20" s="271">
        <f> CB$17</f>
        <v>0.03</v>
      </c>
      <c r="CC20" s="271">
        <f> CC$17</f>
        <v>0.03</v>
      </c>
      <c r="CD20" s="271">
        <f> CD$17</f>
        <v>0.03</v>
      </c>
      <c r="CE20" s="271">
        <f> CE$17</f>
        <v>0.03</v>
      </c>
      <c r="CF20" s="271">
        <f> CF$17</f>
        <v>0.03</v>
      </c>
      <c r="CG20" s="271">
        <f> CG$17</f>
        <v>0.03</v>
      </c>
      <c r="CH20" s="271">
        <f> CH$17</f>
        <v>0.03</v>
      </c>
      <c r="CI20" s="271">
        <f> CI$17</f>
        <v>0.03</v>
      </c>
      <c r="CJ20" s="271">
        <f> CJ$17</f>
        <v>0.03</v>
      </c>
      <c r="CK20" s="271">
        <f> CK$17</f>
        <v>0.03</v>
      </c>
      <c r="CL20" s="271">
        <f> CL$17</f>
        <v>0.03</v>
      </c>
      <c r="CM20" s="271">
        <f> CM$17</f>
        <v>0.03</v>
      </c>
      <c r="CN20" s="271">
        <f> CN$17</f>
        <v>0.03</v>
      </c>
      <c r="CO20" s="271">
        <f> CO$17</f>
        <v>0.03</v>
      </c>
    </row>
    <row r="21">
      <c r="E21" s="61" t="inlineStr">
        <is>
          <t>Periodic CPI inflation rate</t>
        </is>
      </c>
      <c r="G21" s="61" t="inlineStr">
        <is>
          <t>%pq</t>
        </is>
      </c>
      <c r="J21" s="271">
        <f> (1 + J20) ^ (1 / $F19) -1</f>
        <v>0.017058525001811375</v>
      </c>
      <c r="K21" s="271">
        <f> (1 + K20) ^ (1 / $F19) -1</f>
        <v>0.017058525001811375</v>
      </c>
      <c r="L21" s="271">
        <f> (1 + L20) ^ (1 / $F19) -1</f>
        <v>0.0146738461686593</v>
      </c>
      <c r="M21" s="271">
        <f> (1 + M20) ^ (1 / $F19) -1</f>
        <v>0.0146738461686593</v>
      </c>
      <c r="N21" s="271">
        <f> (1 + N20) ^ (1 / $F19) -1</f>
        <v>0.0146738461686593</v>
      </c>
      <c r="O21" s="271">
        <f> (1 + O20) ^ (1 / $F19) -1</f>
        <v>0.0146738461686593</v>
      </c>
      <c r="P21" s="271">
        <f> (1 + P20) ^ (1 / $F19) -1</f>
        <v>0.012272234429039353</v>
      </c>
      <c r="Q21" s="271">
        <f> (1 + Q20) ^ (1 / $F19) -1</f>
        <v>0.012272234429039353</v>
      </c>
      <c r="R21" s="271">
        <f> (1 + R20) ^ (1 / $F19) -1</f>
        <v>0.012272234429039353</v>
      </c>
      <c r="S21" s="271">
        <f> (1 + S20) ^ (1 / $F19) -1</f>
        <v>0.012272234429039353</v>
      </c>
      <c r="T21" s="271">
        <f> (1 + T20) ^ (1 / $F19) -1</f>
        <v>0.009853406548968824</v>
      </c>
      <c r="U21" s="271">
        <f> (1 + U20) ^ (1 / $F19) -1</f>
        <v>0.009853406548968824</v>
      </c>
      <c r="V21" s="271">
        <f> (1 + V20) ^ (1 / $F19) -1</f>
        <v>0.009853406548968824</v>
      </c>
      <c r="W21" s="271">
        <f> (1 + W20) ^ (1 / $F19) -1</f>
        <v>0.009853406548968824</v>
      </c>
      <c r="X21" s="271">
        <f> (1 + X20) ^ (1 / $F19) -1</f>
        <v>0.007417071777732875</v>
      </c>
      <c r="Y21" s="271">
        <f> (1 + Y20) ^ (1 / $F19) -1</f>
        <v>0.007417071777732875</v>
      </c>
      <c r="Z21" s="271">
        <f> (1 + Z20) ^ (1 / $F19) -1</f>
        <v>0.007417071777732875</v>
      </c>
      <c r="AA21" s="271">
        <f> (1 + AA20) ^ (1 / $F19) -1</f>
        <v>0.007417071777732875</v>
      </c>
      <c r="AB21" s="271">
        <f> (1 + AB20) ^ (1 / $F19) -1</f>
        <v>0.007417071777732875</v>
      </c>
      <c r="AC21" s="271">
        <f> (1 + AC20) ^ (1 / $F19) -1</f>
        <v>0.007417071777732875</v>
      </c>
      <c r="AD21" s="271">
        <f> (1 + AD20) ^ (1 / $F19) -1</f>
        <v>0.007417071777732875</v>
      </c>
      <c r="AE21" s="271">
        <f> (1 + AE20) ^ (1 / $F19) -1</f>
        <v>0.007417071777732875</v>
      </c>
      <c r="AF21" s="271">
        <f> (1 + AF20) ^ (1 / $F19) -1</f>
        <v>0.007417071777732875</v>
      </c>
      <c r="AG21" s="271">
        <f> (1 + AG20) ^ (1 / $F19) -1</f>
        <v>0.007417071777732875</v>
      </c>
      <c r="AH21" s="271">
        <f> (1 + AH20) ^ (1 / $F19) -1</f>
        <v>0.007417071777732875</v>
      </c>
      <c r="AI21" s="271">
        <f> (1 + AI20) ^ (1 / $F19) -1</f>
        <v>0.007417071777732875</v>
      </c>
      <c r="AJ21" s="271">
        <f> (1 + AJ20) ^ (1 / $F19) -1</f>
        <v>0.007417071777732875</v>
      </c>
      <c r="AK21" s="271">
        <f> (1 + AK20) ^ (1 / $F19) -1</f>
        <v>0.007417071777732875</v>
      </c>
      <c r="AL21" s="271">
        <f> (1 + AL20) ^ (1 / $F19) -1</f>
        <v>0.007417071777732875</v>
      </c>
      <c r="AM21" s="271">
        <f> (1 + AM20) ^ (1 / $F19) -1</f>
        <v>0.007417071777732875</v>
      </c>
      <c r="AN21" s="271">
        <f> (1 + AN20) ^ (1 / $F19) -1</f>
        <v>0.007417071777732875</v>
      </c>
      <c r="AO21" s="271">
        <f> (1 + AO20) ^ (1 / $F19) -1</f>
        <v>0.007417071777732875</v>
      </c>
      <c r="AP21" s="271">
        <f> (1 + AP20) ^ (1 / $F19) -1</f>
        <v>0.007417071777732875</v>
      </c>
      <c r="AQ21" s="271">
        <f> (1 + AQ20) ^ (1 / $F19) -1</f>
        <v>0.007417071777732875</v>
      </c>
      <c r="AR21" s="271">
        <f> (1 + AR20) ^ (1 / $F19) -1</f>
        <v>0.007417071777732875</v>
      </c>
      <c r="AS21" s="271">
        <f> (1 + AS20) ^ (1 / $F19) -1</f>
        <v>0.007417071777732875</v>
      </c>
      <c r="AT21" s="271">
        <f> (1 + AT20) ^ (1 / $F19) -1</f>
        <v>0.007417071777732875</v>
      </c>
      <c r="AU21" s="271">
        <f> (1 + AU20) ^ (1 / $F19) -1</f>
        <v>0.007417071777732875</v>
      </c>
      <c r="AV21" s="271">
        <f> (1 + AV20) ^ (1 / $F19) -1</f>
        <v>0.007417071777732875</v>
      </c>
      <c r="AW21" s="271">
        <f> (1 + AW20) ^ (1 / $F19) -1</f>
        <v>0.007417071777732875</v>
      </c>
      <c r="AX21" s="271">
        <f> (1 + AX20) ^ (1 / $F19) -1</f>
        <v>0.007417071777732875</v>
      </c>
      <c r="AY21" s="271">
        <f> (1 + AY20) ^ (1 / $F19) -1</f>
        <v>0.007417071777732875</v>
      </c>
      <c r="AZ21" s="271">
        <f> (1 + AZ20) ^ (1 / $F19) -1</f>
        <v>0.007417071777732875</v>
      </c>
      <c r="BA21" s="271">
        <f> (1 + BA20) ^ (1 / $F19) -1</f>
        <v>0.007417071777732875</v>
      </c>
      <c r="BB21" s="271">
        <f> (1 + BB20) ^ (1 / $F19) -1</f>
        <v>0.007417071777732875</v>
      </c>
      <c r="BC21" s="271">
        <f> (1 + BC20) ^ (1 / $F19) -1</f>
        <v>0.007417071777732875</v>
      </c>
      <c r="BD21" s="271">
        <f> (1 + BD20) ^ (1 / $F19) -1</f>
        <v>0.007417071777732875</v>
      </c>
      <c r="BE21" s="271">
        <f> (1 + BE20) ^ (1 / $F19) -1</f>
        <v>0.007417071777732875</v>
      </c>
      <c r="BF21" s="271">
        <f> (1 + BF20) ^ (1 / $F19) -1</f>
        <v>0.007417071777732875</v>
      </c>
      <c r="BG21" s="271">
        <f> (1 + BG20) ^ (1 / $F19) -1</f>
        <v>0.007417071777732875</v>
      </c>
      <c r="BH21" s="271">
        <f> (1 + BH20) ^ (1 / $F19) -1</f>
        <v>0.007417071777732875</v>
      </c>
      <c r="BI21" s="271">
        <f> (1 + BI20) ^ (1 / $F19) -1</f>
        <v>0.007417071777732875</v>
      </c>
      <c r="BJ21" s="271">
        <f> (1 + BJ20) ^ (1 / $F19) -1</f>
        <v>0.007417071777732875</v>
      </c>
      <c r="BK21" s="271">
        <f> (1 + BK20) ^ (1 / $F19) -1</f>
        <v>0.007417071777732875</v>
      </c>
      <c r="BL21" s="271">
        <f> (1 + BL20) ^ (1 / $F19) -1</f>
        <v>0.007417071777732875</v>
      </c>
      <c r="BM21" s="271">
        <f> (1 + BM20) ^ (1 / $F19) -1</f>
        <v>0.007417071777732875</v>
      </c>
      <c r="BN21" s="271">
        <f> (1 + BN20) ^ (1 / $F19) -1</f>
        <v>0.007417071777732875</v>
      </c>
      <c r="BO21" s="271">
        <f> (1 + BO20) ^ (1 / $F19) -1</f>
        <v>0.007417071777732875</v>
      </c>
      <c r="BP21" s="271">
        <f> (1 + BP20) ^ (1 / $F19) -1</f>
        <v>0.007417071777732875</v>
      </c>
      <c r="BQ21" s="271">
        <f> (1 + BQ20) ^ (1 / $F19) -1</f>
        <v>0.007417071777732875</v>
      </c>
      <c r="BR21" s="271">
        <f> (1 + BR20) ^ (1 / $F19) -1</f>
        <v>0.007417071777732875</v>
      </c>
      <c r="BS21" s="271">
        <f> (1 + BS20) ^ (1 / $F19) -1</f>
        <v>0.007417071777732875</v>
      </c>
      <c r="BT21" s="271">
        <f> (1 + BT20) ^ (1 / $F19) -1</f>
        <v>0.007417071777732875</v>
      </c>
      <c r="BU21" s="271">
        <f> (1 + BU20) ^ (1 / $F19) -1</f>
        <v>0.007417071777732875</v>
      </c>
      <c r="BV21" s="271">
        <f> (1 + BV20) ^ (1 / $F19) -1</f>
        <v>0.007417071777732875</v>
      </c>
      <c r="BW21" s="271">
        <f> (1 + BW20) ^ (1 / $F19) -1</f>
        <v>0.007417071777732875</v>
      </c>
      <c r="BX21" s="271">
        <f> (1 + BX20) ^ (1 / $F19) -1</f>
        <v>0.007417071777732875</v>
      </c>
      <c r="BY21" s="271">
        <f> (1 + BY20) ^ (1 / $F19) -1</f>
        <v>0.007417071777732875</v>
      </c>
      <c r="BZ21" s="271">
        <f> (1 + BZ20) ^ (1 / $F19) -1</f>
        <v>0.007417071777732875</v>
      </c>
      <c r="CA21" s="271">
        <f> (1 + CA20) ^ (1 / $F19) -1</f>
        <v>0.007417071777732875</v>
      </c>
      <c r="CB21" s="271">
        <f> (1 + CB20) ^ (1 / $F19) -1</f>
        <v>0.007417071777732875</v>
      </c>
      <c r="CC21" s="271">
        <f> (1 + CC20) ^ (1 / $F19) -1</f>
        <v>0.007417071777732875</v>
      </c>
      <c r="CD21" s="271">
        <f> (1 + CD20) ^ (1 / $F19) -1</f>
        <v>0.007417071777732875</v>
      </c>
      <c r="CE21" s="271">
        <f> (1 + CE20) ^ (1 / $F19) -1</f>
        <v>0.007417071777732875</v>
      </c>
      <c r="CF21" s="271">
        <f> (1 + CF20) ^ (1 / $F19) -1</f>
        <v>0.007417071777732875</v>
      </c>
      <c r="CG21" s="271">
        <f> (1 + CG20) ^ (1 / $F19) -1</f>
        <v>0.007417071777732875</v>
      </c>
      <c r="CH21" s="271">
        <f> (1 + CH20) ^ (1 / $F19) -1</f>
        <v>0.007417071777732875</v>
      </c>
      <c r="CI21" s="271">
        <f> (1 + CI20) ^ (1 / $F19) -1</f>
        <v>0.007417071777732875</v>
      </c>
      <c r="CJ21" s="271">
        <f> (1 + CJ20) ^ (1 / $F19) -1</f>
        <v>0.007417071777732875</v>
      </c>
      <c r="CK21" s="271">
        <f> (1 + CK20) ^ (1 / $F19) -1</f>
        <v>0.007417071777732875</v>
      </c>
      <c r="CL21" s="271">
        <f> (1 + CL20) ^ (1 / $F19) -1</f>
        <v>0.007417071777732875</v>
      </c>
      <c r="CM21" s="271">
        <f> (1 + CM20) ^ (1 / $F19) -1</f>
        <v>0.007417071777732875</v>
      </c>
      <c r="CN21" s="271">
        <f> (1 + CN20) ^ (1 / $F19) -1</f>
        <v>0.007417071777732875</v>
      </c>
      <c r="CO21" s="271">
        <f> (1 + CO20) ^ (1 / $F19) -1</f>
        <v>0.007417071777732875</v>
      </c>
    </row>
    <row r="23">
      <c r="B23" s="294" t="inlineStr">
        <is>
          <t>CPI escalation factor</t>
        </is>
      </c>
    </row>
    <row r="24">
      <c r="E24" s="271" t="str">
        <f> E$21</f>
        <v>Periodic CPI inflation rate</v>
      </c>
      <c r="F24" s="271">
        <f> F$21</f>
        <v>0.0</v>
      </c>
      <c r="G24" s="271" t="str">
        <f> G$21</f>
        <v>%pq</v>
      </c>
      <c r="H24" s="271">
        <f> H$21</f>
        <v>0.0</v>
      </c>
      <c r="I24" s="271">
        <f> I$21</f>
        <v>0.0</v>
      </c>
      <c r="J24" s="271">
        <f> J$21</f>
        <v>0.017058525001811375</v>
      </c>
      <c r="K24" s="271">
        <f> K$21</f>
        <v>0.017058525001811375</v>
      </c>
      <c r="L24" s="271">
        <f> L$21</f>
        <v>0.0146738461686593</v>
      </c>
      <c r="M24" s="271">
        <f> M$21</f>
        <v>0.0146738461686593</v>
      </c>
      <c r="N24" s="271">
        <f> N$21</f>
        <v>0.0146738461686593</v>
      </c>
      <c r="O24" s="271">
        <f> O$21</f>
        <v>0.0146738461686593</v>
      </c>
      <c r="P24" s="271">
        <f> P$21</f>
        <v>0.012272234429039353</v>
      </c>
      <c r="Q24" s="271">
        <f> Q$21</f>
        <v>0.012272234429039353</v>
      </c>
      <c r="R24" s="271">
        <f> R$21</f>
        <v>0.012272234429039353</v>
      </c>
      <c r="S24" s="271">
        <f> S$21</f>
        <v>0.012272234429039353</v>
      </c>
      <c r="T24" s="271">
        <f> T$21</f>
        <v>0.009853406548968824</v>
      </c>
      <c r="U24" s="271">
        <f> U$21</f>
        <v>0.009853406548968824</v>
      </c>
      <c r="V24" s="271">
        <f> V$21</f>
        <v>0.009853406548968824</v>
      </c>
      <c r="W24" s="271">
        <f> W$21</f>
        <v>0.009853406548968824</v>
      </c>
      <c r="X24" s="271">
        <f> X$21</f>
        <v>0.007417071777732875</v>
      </c>
      <c r="Y24" s="271">
        <f> Y$21</f>
        <v>0.007417071777732875</v>
      </c>
      <c r="Z24" s="271">
        <f> Z$21</f>
        <v>0.007417071777732875</v>
      </c>
      <c r="AA24" s="271">
        <f> AA$21</f>
        <v>0.007417071777732875</v>
      </c>
      <c r="AB24" s="271">
        <f> AB$21</f>
        <v>0.007417071777732875</v>
      </c>
      <c r="AC24" s="271">
        <f> AC$21</f>
        <v>0.007417071777732875</v>
      </c>
      <c r="AD24" s="271">
        <f> AD$21</f>
        <v>0.007417071777732875</v>
      </c>
      <c r="AE24" s="271">
        <f> AE$21</f>
        <v>0.007417071777732875</v>
      </c>
      <c r="AF24" s="271">
        <f> AF$21</f>
        <v>0.007417071777732875</v>
      </c>
      <c r="AG24" s="271">
        <f> AG$21</f>
        <v>0.007417071777732875</v>
      </c>
      <c r="AH24" s="271">
        <f> AH$21</f>
        <v>0.007417071777732875</v>
      </c>
      <c r="AI24" s="271">
        <f> AI$21</f>
        <v>0.007417071777732875</v>
      </c>
      <c r="AJ24" s="271">
        <f> AJ$21</f>
        <v>0.007417071777732875</v>
      </c>
      <c r="AK24" s="271">
        <f> AK$21</f>
        <v>0.007417071777732875</v>
      </c>
      <c r="AL24" s="271">
        <f> AL$21</f>
        <v>0.007417071777732875</v>
      </c>
      <c r="AM24" s="271">
        <f> AM$21</f>
        <v>0.007417071777732875</v>
      </c>
      <c r="AN24" s="271">
        <f> AN$21</f>
        <v>0.007417071777732875</v>
      </c>
      <c r="AO24" s="271">
        <f> AO$21</f>
        <v>0.007417071777732875</v>
      </c>
      <c r="AP24" s="271">
        <f> AP$21</f>
        <v>0.007417071777732875</v>
      </c>
      <c r="AQ24" s="271">
        <f> AQ$21</f>
        <v>0.007417071777732875</v>
      </c>
      <c r="AR24" s="271">
        <f> AR$21</f>
        <v>0.007417071777732875</v>
      </c>
      <c r="AS24" s="271">
        <f> AS$21</f>
        <v>0.007417071777732875</v>
      </c>
      <c r="AT24" s="271">
        <f> AT$21</f>
        <v>0.007417071777732875</v>
      </c>
      <c r="AU24" s="271">
        <f> AU$21</f>
        <v>0.007417071777732875</v>
      </c>
      <c r="AV24" s="271">
        <f> AV$21</f>
        <v>0.007417071777732875</v>
      </c>
      <c r="AW24" s="271">
        <f> AW$21</f>
        <v>0.007417071777732875</v>
      </c>
      <c r="AX24" s="271">
        <f> AX$21</f>
        <v>0.007417071777732875</v>
      </c>
      <c r="AY24" s="271">
        <f> AY$21</f>
        <v>0.007417071777732875</v>
      </c>
      <c r="AZ24" s="271">
        <f> AZ$21</f>
        <v>0.007417071777732875</v>
      </c>
      <c r="BA24" s="271">
        <f> BA$21</f>
        <v>0.007417071777732875</v>
      </c>
      <c r="BB24" s="271">
        <f> BB$21</f>
        <v>0.007417071777732875</v>
      </c>
      <c r="BC24" s="271">
        <f> BC$21</f>
        <v>0.007417071777732875</v>
      </c>
      <c r="BD24" s="271">
        <f> BD$21</f>
        <v>0.007417071777732875</v>
      </c>
      <c r="BE24" s="271">
        <f> BE$21</f>
        <v>0.007417071777732875</v>
      </c>
      <c r="BF24" s="271">
        <f> BF$21</f>
        <v>0.007417071777732875</v>
      </c>
      <c r="BG24" s="271">
        <f> BG$21</f>
        <v>0.007417071777732875</v>
      </c>
      <c r="BH24" s="271">
        <f> BH$21</f>
        <v>0.007417071777732875</v>
      </c>
      <c r="BI24" s="271">
        <f> BI$21</f>
        <v>0.007417071777732875</v>
      </c>
      <c r="BJ24" s="271">
        <f> BJ$21</f>
        <v>0.007417071777732875</v>
      </c>
      <c r="BK24" s="271">
        <f> BK$21</f>
        <v>0.007417071777732875</v>
      </c>
      <c r="BL24" s="271">
        <f> BL$21</f>
        <v>0.007417071777732875</v>
      </c>
      <c r="BM24" s="271">
        <f> BM$21</f>
        <v>0.007417071777732875</v>
      </c>
      <c r="BN24" s="271">
        <f> BN$21</f>
        <v>0.007417071777732875</v>
      </c>
      <c r="BO24" s="271">
        <f> BO$21</f>
        <v>0.007417071777732875</v>
      </c>
      <c r="BP24" s="271">
        <f> BP$21</f>
        <v>0.007417071777732875</v>
      </c>
      <c r="BQ24" s="271">
        <f> BQ$21</f>
        <v>0.007417071777732875</v>
      </c>
      <c r="BR24" s="271">
        <f> BR$21</f>
        <v>0.007417071777732875</v>
      </c>
      <c r="BS24" s="271">
        <f> BS$21</f>
        <v>0.007417071777732875</v>
      </c>
      <c r="BT24" s="271">
        <f> BT$21</f>
        <v>0.007417071777732875</v>
      </c>
      <c r="BU24" s="271">
        <f> BU$21</f>
        <v>0.007417071777732875</v>
      </c>
      <c r="BV24" s="271">
        <f> BV$21</f>
        <v>0.007417071777732875</v>
      </c>
      <c r="BW24" s="271">
        <f> BW$21</f>
        <v>0.007417071777732875</v>
      </c>
      <c r="BX24" s="271">
        <f> BX$21</f>
        <v>0.007417071777732875</v>
      </c>
      <c r="BY24" s="271">
        <f> BY$21</f>
        <v>0.007417071777732875</v>
      </c>
      <c r="BZ24" s="271">
        <f> BZ$21</f>
        <v>0.007417071777732875</v>
      </c>
      <c r="CA24" s="271">
        <f> CA$21</f>
        <v>0.007417071777732875</v>
      </c>
      <c r="CB24" s="271">
        <f> CB$21</f>
        <v>0.007417071777732875</v>
      </c>
      <c r="CC24" s="271">
        <f> CC$21</f>
        <v>0.007417071777732875</v>
      </c>
      <c r="CD24" s="271">
        <f> CD$21</f>
        <v>0.007417071777732875</v>
      </c>
      <c r="CE24" s="271">
        <f> CE$21</f>
        <v>0.007417071777732875</v>
      </c>
      <c r="CF24" s="271">
        <f> CF$21</f>
        <v>0.007417071777732875</v>
      </c>
      <c r="CG24" s="271">
        <f> CG$21</f>
        <v>0.007417071777732875</v>
      </c>
      <c r="CH24" s="271">
        <f> CH$21</f>
        <v>0.007417071777732875</v>
      </c>
      <c r="CI24" s="271">
        <f> CI$21</f>
        <v>0.007417071777732875</v>
      </c>
      <c r="CJ24" s="271">
        <f> CJ$21</f>
        <v>0.007417071777732875</v>
      </c>
      <c r="CK24" s="271">
        <f> CK$21</f>
        <v>0.007417071777732875</v>
      </c>
      <c r="CL24" s="271">
        <f> CL$21</f>
        <v>0.007417071777732875</v>
      </c>
      <c r="CM24" s="271">
        <f> CM$21</f>
        <v>0.007417071777732875</v>
      </c>
      <c r="CN24" s="271">
        <f> CN$21</f>
        <v>0.007417071777732875</v>
      </c>
      <c r="CO24" s="271">
        <f> CO$21</f>
        <v>0.007417071777732875</v>
      </c>
    </row>
    <row r="25">
      <c r="E25" s="325" t="str">
        <f> Time!E$45</f>
        <v>Acquisition / initial balance date flag</v>
      </c>
      <c r="F25" s="325">
        <f> Time!F$45</f>
        <v>0.0</v>
      </c>
      <c r="G25" s="325" t="str">
        <f> Time!G$45</f>
        <v>flag</v>
      </c>
      <c r="H25" s="325">
        <f> Time!H$45</f>
        <v>1.0</v>
      </c>
      <c r="I25" s="325">
        <f> Time!I$45</f>
        <v>0.0</v>
      </c>
      <c r="J25" s="325">
        <f> Time!J$45</f>
        <v>0.0</v>
      </c>
      <c r="K25" s="325">
        <f> Time!K$45</f>
        <v>1.0</v>
      </c>
      <c r="L25" s="325">
        <f> Time!L$45</f>
        <v>0.0</v>
      </c>
      <c r="M25" s="325">
        <f> Time!M$45</f>
        <v>0.0</v>
      </c>
      <c r="N25" s="325">
        <f> Time!N$45</f>
        <v>0.0</v>
      </c>
      <c r="O25" s="325">
        <f> Time!O$45</f>
        <v>0.0</v>
      </c>
      <c r="P25" s="325">
        <f> Time!P$45</f>
        <v>0.0</v>
      </c>
      <c r="Q25" s="325">
        <f> Time!Q$45</f>
        <v>0.0</v>
      </c>
      <c r="R25" s="325">
        <f> Time!R$45</f>
        <v>0.0</v>
      </c>
      <c r="S25" s="325">
        <f> Time!S$45</f>
        <v>0.0</v>
      </c>
      <c r="T25" s="325">
        <f> Time!T$45</f>
        <v>0.0</v>
      </c>
      <c r="U25" s="325">
        <f> Time!U$45</f>
        <v>0.0</v>
      </c>
      <c r="V25" s="325">
        <f> Time!V$45</f>
        <v>0.0</v>
      </c>
      <c r="W25" s="325">
        <f> Time!W$45</f>
        <v>0.0</v>
      </c>
      <c r="X25" s="325">
        <f> Time!X$45</f>
        <v>0.0</v>
      </c>
      <c r="Y25" s="325">
        <f> Time!Y$45</f>
        <v>0.0</v>
      </c>
      <c r="Z25" s="325">
        <f> Time!Z$45</f>
        <v>0.0</v>
      </c>
      <c r="AA25" s="325">
        <f> Time!AA$45</f>
        <v>0.0</v>
      </c>
      <c r="AB25" s="325">
        <f> Time!AB$45</f>
        <v>0.0</v>
      </c>
      <c r="AC25" s="325">
        <f> Time!AC$45</f>
        <v>0.0</v>
      </c>
      <c r="AD25" s="325">
        <f> Time!AD$45</f>
        <v>0.0</v>
      </c>
      <c r="AE25" s="325">
        <f> Time!AE$45</f>
        <v>0.0</v>
      </c>
      <c r="AF25" s="325">
        <f> Time!AF$45</f>
        <v>0.0</v>
      </c>
      <c r="AG25" s="325">
        <f> Time!AG$45</f>
        <v>0.0</v>
      </c>
      <c r="AH25" s="325">
        <f> Time!AH$45</f>
        <v>0.0</v>
      </c>
      <c r="AI25" s="325">
        <f> Time!AI$45</f>
        <v>0.0</v>
      </c>
      <c r="AJ25" s="325">
        <f> Time!AJ$45</f>
        <v>0.0</v>
      </c>
      <c r="AK25" s="325">
        <f> Time!AK$45</f>
        <v>0.0</v>
      </c>
      <c r="AL25" s="325">
        <f> Time!AL$45</f>
        <v>0.0</v>
      </c>
      <c r="AM25" s="325">
        <f> Time!AM$45</f>
        <v>0.0</v>
      </c>
      <c r="AN25" s="325">
        <f> Time!AN$45</f>
        <v>0.0</v>
      </c>
      <c r="AO25" s="325">
        <f> Time!AO$45</f>
        <v>0.0</v>
      </c>
      <c r="AP25" s="325">
        <f> Time!AP$45</f>
        <v>0.0</v>
      </c>
      <c r="AQ25" s="325">
        <f> Time!AQ$45</f>
        <v>0.0</v>
      </c>
      <c r="AR25" s="325">
        <f> Time!AR$45</f>
        <v>0.0</v>
      </c>
      <c r="AS25" s="325">
        <f> Time!AS$45</f>
        <v>0.0</v>
      </c>
      <c r="AT25" s="325">
        <f> Time!AT$45</f>
        <v>0.0</v>
      </c>
      <c r="AU25" s="325">
        <f> Time!AU$45</f>
        <v>0.0</v>
      </c>
      <c r="AV25" s="325">
        <f> Time!AV$45</f>
        <v>0.0</v>
      </c>
      <c r="AW25" s="325">
        <f> Time!AW$45</f>
        <v>0.0</v>
      </c>
      <c r="AX25" s="325">
        <f> Time!AX$45</f>
        <v>0.0</v>
      </c>
      <c r="AY25" s="325">
        <f> Time!AY$45</f>
        <v>0.0</v>
      </c>
      <c r="AZ25" s="325">
        <f> Time!AZ$45</f>
        <v>0.0</v>
      </c>
      <c r="BA25" s="325">
        <f> Time!BA$45</f>
        <v>0.0</v>
      </c>
      <c r="BB25" s="325">
        <f> Time!BB$45</f>
        <v>0.0</v>
      </c>
      <c r="BC25" s="325">
        <f> Time!BC$45</f>
        <v>0.0</v>
      </c>
      <c r="BD25" s="325">
        <f> Time!BD$45</f>
        <v>0.0</v>
      </c>
      <c r="BE25" s="325">
        <f> Time!BE$45</f>
        <v>0.0</v>
      </c>
      <c r="BF25" s="325">
        <f> Time!BF$45</f>
        <v>0.0</v>
      </c>
      <c r="BG25" s="325">
        <f> Time!BG$45</f>
        <v>0.0</v>
      </c>
      <c r="BH25" s="325">
        <f> Time!BH$45</f>
        <v>0.0</v>
      </c>
      <c r="BI25" s="325">
        <f> Time!BI$45</f>
        <v>0.0</v>
      </c>
      <c r="BJ25" s="325">
        <f> Time!BJ$45</f>
        <v>0.0</v>
      </c>
      <c r="BK25" s="325">
        <f> Time!BK$45</f>
        <v>0.0</v>
      </c>
      <c r="BL25" s="325">
        <f> Time!BL$45</f>
        <v>0.0</v>
      </c>
      <c r="BM25" s="325">
        <f> Time!BM$45</f>
        <v>0.0</v>
      </c>
      <c r="BN25" s="325">
        <f> Time!BN$45</f>
        <v>0.0</v>
      </c>
      <c r="BO25" s="325">
        <f> Time!BO$45</f>
        <v>0.0</v>
      </c>
      <c r="BP25" s="325">
        <f> Time!BP$45</f>
        <v>0.0</v>
      </c>
      <c r="BQ25" s="325">
        <f> Time!BQ$45</f>
        <v>0.0</v>
      </c>
      <c r="BR25" s="325">
        <f> Time!BR$45</f>
        <v>0.0</v>
      </c>
      <c r="BS25" s="325">
        <f> Time!BS$45</f>
        <v>0.0</v>
      </c>
      <c r="BT25" s="325">
        <f> Time!BT$45</f>
        <v>0.0</v>
      </c>
      <c r="BU25" s="325">
        <f> Time!BU$45</f>
        <v>0.0</v>
      </c>
      <c r="BV25" s="325">
        <f> Time!BV$45</f>
        <v>0.0</v>
      </c>
      <c r="BW25" s="325">
        <f> Time!BW$45</f>
        <v>0.0</v>
      </c>
      <c r="BX25" s="325">
        <f> Time!BX$45</f>
        <v>0.0</v>
      </c>
      <c r="BY25" s="325">
        <f> Time!BY$45</f>
        <v>0.0</v>
      </c>
      <c r="BZ25" s="325">
        <f> Time!BZ$45</f>
        <v>0.0</v>
      </c>
      <c r="CA25" s="325">
        <f> Time!CA$45</f>
        <v>0.0</v>
      </c>
      <c r="CB25" s="325">
        <f> Time!CB$45</f>
        <v>0.0</v>
      </c>
      <c r="CC25" s="325">
        <f> Time!CC$45</f>
        <v>0.0</v>
      </c>
      <c r="CD25" s="325">
        <f> Time!CD$45</f>
        <v>0.0</v>
      </c>
      <c r="CE25" s="325">
        <f> Time!CE$45</f>
        <v>0.0</v>
      </c>
      <c r="CF25" s="325">
        <f> Time!CF$45</f>
        <v>0.0</v>
      </c>
      <c r="CG25" s="325">
        <f> Time!CG$45</f>
        <v>0.0</v>
      </c>
      <c r="CH25" s="325">
        <f> Time!CH$45</f>
        <v>0.0</v>
      </c>
      <c r="CI25" s="325">
        <f> Time!CI$45</f>
        <v>0.0</v>
      </c>
      <c r="CJ25" s="325">
        <f> Time!CJ$45</f>
        <v>0.0</v>
      </c>
      <c r="CK25" s="325">
        <f> Time!CK$45</f>
        <v>0.0</v>
      </c>
      <c r="CL25" s="325">
        <f> Time!CL$45</f>
        <v>0.0</v>
      </c>
      <c r="CM25" s="325">
        <f> Time!CM$45</f>
        <v>0.0</v>
      </c>
      <c r="CN25" s="325">
        <f> Time!CN$45</f>
        <v>0.0</v>
      </c>
      <c r="CO25" s="325">
        <f> Time!CO$45</f>
        <v>0.0</v>
      </c>
    </row>
    <row r="26" customFormat="1" s="345">
      <c r="A26" s="326" t="n"/>
      <c r="B26" s="326" t="n"/>
      <c r="C26" s="327" t="n"/>
      <c r="D26" s="328" t="n"/>
      <c r="E26" s="345" t="inlineStr">
        <is>
          <t>CPI escalation factor</t>
        </is>
      </c>
      <c r="G26" s="345" t="inlineStr">
        <is>
          <t>factor</t>
        </is>
      </c>
      <c r="I26" s="330" t="n"/>
      <c r="J26" s="346">
        <f> IF(J25 = 1, 1, I26 * ( 1 + J24))</f>
        <v>0.0</v>
      </c>
      <c r="K26" s="346">
        <f> IF(K25 = 1, 1, J26 * ( 1 + K24))</f>
        <v>1.0</v>
      </c>
      <c r="L26" s="346">
        <f> IF(L25 = 1, 1, K26 * ( 1 + L24))</f>
        <v>1.0146738461686593</v>
      </c>
      <c r="M26" s="346">
        <f> IF(M25 = 1, 1, L26 * ( 1 + M24))</f>
        <v>1.0295630140987</v>
      </c>
      <c r="N26" s="346">
        <f> IF(N25 = 1, 1, M26 * ( 1 + N24))</f>
        <v>1.0446706633885254</v>
      </c>
      <c r="O26" s="346">
        <f> IF(O25 = 1, 1, N26 * ( 1 + O24))</f>
        <v>1.0599999999999998</v>
      </c>
      <c r="P26" s="346">
        <f> IF(P25 = 1, 1, O26 * ( 1 + P24))</f>
        <v>1.0730085684947814</v>
      </c>
      <c r="Q26" s="346">
        <f> IF(Q25 = 1, 1, P26 * ( 1 + Q24))</f>
        <v>1.0861767811917173</v>
      </c>
      <c r="R26" s="346">
        <f> IF(R25 = 1, 1, Q26 * ( 1 + R24))</f>
        <v>1.0995065972818814</v>
      </c>
      <c r="S26" s="346">
        <f> IF(S25 = 1, 1, R26 * ( 1 + S24))</f>
        <v>1.113</v>
      </c>
      <c r="T26" s="346">
        <f> IF(T25 = 1, 1, S26 * ( 1 + T24))</f>
        <v>1.1239668414890023</v>
      </c>
      <c r="U26" s="346">
        <f> IF(U25 = 1, 1, T26 * ( 1 + U24))</f>
        <v>1.1350417437257538</v>
      </c>
      <c r="V26" s="346">
        <f> IF(V25 = 1, 1, U26 * ( 1 + V24))</f>
        <v>1.146225771476734</v>
      </c>
      <c r="W26" s="346">
        <f> IF(W25 = 1, 1, V26 * ( 1 + W24))</f>
        <v>1.1575199999999999</v>
      </c>
      <c r="X26" s="346">
        <f> IF(X25 = 1, 1, W26 * ( 1 + X24))</f>
        <v>1.1661054089241611</v>
      </c>
      <c r="Y26" s="346">
        <f> IF(Y25 = 1, 1, X26 * ( 1 + Y24))</f>
        <v>1.1747544964425543</v>
      </c>
      <c r="Z26" s="346">
        <f> IF(Z25 = 1, 1, Y26 * ( 1 + Z24))</f>
        <v>1.1834677348638831</v>
      </c>
      <c r="AA26" s="346">
        <f> IF(AA25 = 1, 1, Z26 * ( 1 + AA24))</f>
        <v>1.1922455999999995</v>
      </c>
      <c r="AB26" s="346">
        <f> IF(AB25 = 1, 1, AA26 * ( 1 + AB24))</f>
        <v>1.2010885711918857</v>
      </c>
      <c r="AC26" s="346">
        <f> IF(AC25 = 1, 1, AB26 * ( 1 + AC24))</f>
        <v>1.2099971313358306</v>
      </c>
      <c r="AD26" s="346">
        <f> IF(AD25 = 1, 1, AC26 * ( 1 + AD24))</f>
        <v>1.2189717669097995</v>
      </c>
      <c r="AE26" s="346">
        <f> IF(AE25 = 1, 1, AD26 * ( 1 + AE24))</f>
        <v>1.2280129679999994</v>
      </c>
      <c r="AF26" s="346">
        <f> IF(AF25 = 1, 1, AE26 * ( 1 + AF24))</f>
        <v>1.237121228327642</v>
      </c>
      <c r="AG26" s="346">
        <f> IF(AG25 = 1, 1, AF26 * ( 1 + AG24))</f>
        <v>1.2462970452759052</v>
      </c>
      <c r="AH26" s="346">
        <f> IF(AH25 = 1, 1, AG26 * ( 1 + AH24))</f>
        <v>1.255540919917093</v>
      </c>
      <c r="AI26" s="346">
        <f> IF(AI25 = 1, 1, AH26 * ( 1 + AI24))</f>
        <v>1.264853357039999</v>
      </c>
      <c r="AJ26" s="346">
        <f> IF(AJ25 = 1, 1, AI26 * ( 1 + AJ24))</f>
        <v>1.2742348651774709</v>
      </c>
      <c r="AK26" s="346">
        <f> IF(AK25 = 1, 1, AJ26 * ( 1 + AK24))</f>
        <v>1.2836859566341818</v>
      </c>
      <c r="AL26" s="346">
        <f> IF(AL25 = 1, 1, AK26 * ( 1 + AL24))</f>
        <v>1.2932071475146052</v>
      </c>
      <c r="AM26" s="346">
        <f> IF(AM25 = 1, 1, AL26 * ( 1 + AM24))</f>
        <v>1.3027989577511982</v>
      </c>
      <c r="AN26" s="346">
        <f> IF(AN25 = 1, 1, AM26 * ( 1 + AN24))</f>
        <v>1.3124619111327944</v>
      </c>
      <c r="AO26" s="346">
        <f> IF(AO25 = 1, 1, AN26 * ( 1 + AO24))</f>
        <v>1.3221965353332068</v>
      </c>
      <c r="AP26" s="346">
        <f> IF(AP25 = 1, 1, AO26 * ( 1 + AP24))</f>
        <v>1.3320033619400429</v>
      </c>
      <c r="AQ26" s="346">
        <f> IF(AQ25 = 1, 1, AP26 * ( 1 + AQ24))</f>
        <v>1.3418829264837338</v>
      </c>
      <c r="AR26" s="346">
        <f> IF(AR25 = 1, 1, AQ26 * ( 1 + AR24))</f>
        <v>1.3518357684667779</v>
      </c>
      <c r="AS26" s="346">
        <f> IF(AS25 = 1, 1, AR26 * ( 1 + AS24))</f>
        <v>1.3618624313932026</v>
      </c>
      <c r="AT26" s="346">
        <f> IF(AT25 = 1, 1, AS26 * ( 1 + AT24))</f>
        <v>1.3719634627982438</v>
      </c>
      <c r="AU26" s="346">
        <f> IF(AU25 = 1, 1, AT26 * ( 1 + AU24))</f>
        <v>1.3821394142782453</v>
      </c>
      <c r="AV26" s="346">
        <f> IF(AV25 = 1, 1, AU26 * ( 1 + AV24))</f>
        <v>1.3923908415207806</v>
      </c>
      <c r="AW26" s="346">
        <f> IF(AW25 = 1, 1, AV26 * ( 1 + AW24))</f>
        <v>1.4027183043349982</v>
      </c>
      <c r="AX26" s="346">
        <f> IF(AX25 = 1, 1, AW26 * ( 1 + AX24))</f>
        <v>1.4131223666821906</v>
      </c>
      <c r="AY26" s="346">
        <f> IF(AY25 = 1, 1, AX26 * ( 1 + AY24))</f>
        <v>1.423603596706592</v>
      </c>
      <c r="AZ26" s="346">
        <f> IF(AZ25 = 1, 1, AY26 * ( 1 + AZ24))</f>
        <v>1.4341625667664035</v>
      </c>
      <c r="BA26" s="346">
        <f> IF(BA25 = 1, 1, AZ26 * ( 1 + BA24))</f>
        <v>1.4447998534650475</v>
      </c>
      <c r="BB26" s="346">
        <f> IF(BB25 = 1, 1, BA26 * ( 1 + BB24))</f>
        <v>1.4555160376826557</v>
      </c>
      <c r="BC26" s="346">
        <f> IF(BC25 = 1, 1, BB26 * ( 1 + BC24))</f>
        <v>1.4663117046077894</v>
      </c>
      <c r="BD26" s="346">
        <f> IF(BD25 = 1, 1, BC26 * ( 1 + BD24))</f>
        <v>1.4771874437693953</v>
      </c>
      <c r="BE26" s="346">
        <f> IF(BE25 = 1, 1, BD26 * ( 1 + BE24))</f>
        <v>1.4881438490689987</v>
      </c>
      <c r="BF26" s="346">
        <f> IF(BF25 = 1, 1, BE26 * ( 1 + BF24))</f>
        <v>1.499181518813135</v>
      </c>
      <c r="BG26" s="346">
        <f> IF(BG25 = 1, 1, BF26 * ( 1 + BG24))</f>
        <v>1.5103010557460226</v>
      </c>
      <c r="BH26" s="346">
        <f> IF(BH25 = 1, 1, BG26 * ( 1 + BH24))</f>
        <v>1.5215030670824765</v>
      </c>
      <c r="BI26" s="346">
        <f> IF(BI25 = 1, 1, BH26 * ( 1 + BI24))</f>
        <v>1.532788164541068</v>
      </c>
      <c r="BJ26" s="346">
        <f> IF(BJ25 = 1, 1, BI26 * ( 1 + BJ24))</f>
        <v>1.5441569643775284</v>
      </c>
      <c r="BK26" s="346">
        <f> IF(BK25 = 1, 1, BJ26 * ( 1 + BK24))</f>
        <v>1.5556100874184027</v>
      </c>
      <c r="BL26" s="346">
        <f> IF(BL25 = 1, 1, BK26 * ( 1 + BL24))</f>
        <v>1.5671481590949503</v>
      </c>
      <c r="BM26" s="346">
        <f> IF(BM25 = 1, 1, BL26 * ( 1 + BM24))</f>
        <v>1.5787718094772996</v>
      </c>
      <c r="BN26" s="346">
        <f> IF(BN25 = 1, 1, BM26 * ( 1 + BN24))</f>
        <v>1.5904816733088538</v>
      </c>
      <c r="BO26" s="346">
        <f> IF(BO25 = 1, 1, BN26 * ( 1 + BO24))</f>
        <v>1.6022783900409543</v>
      </c>
      <c r="BP26" s="346">
        <f> IF(BP25 = 1, 1, BO26 * ( 1 + BP24))</f>
        <v>1.6141626038677983</v>
      </c>
      <c r="BQ26" s="346">
        <f> IF(BQ25 = 1, 1, BP26 * ( 1 + BQ24))</f>
        <v>1.626134963761618</v>
      </c>
      <c r="BR26" s="346">
        <f> IF(BR25 = 1, 1, BQ26 * ( 1 + BR24))</f>
        <v>1.638196123508119</v>
      </c>
      <c r="BS26" s="346">
        <f> IF(BS25 = 1, 1, BR26 * ( 1 + BS24))</f>
        <v>1.6503467417421824</v>
      </c>
      <c r="BT26" s="346">
        <f> IF(BT25 = 1, 1, BS26 * ( 1 + BT24))</f>
        <v>1.6625874819838318</v>
      </c>
      <c r="BU26" s="346">
        <f> IF(BU25 = 1, 1, BT26 * ( 1 + BU24))</f>
        <v>1.674919012674466</v>
      </c>
      <c r="BV26" s="346">
        <f> IF(BV25 = 1, 1, BU26 * ( 1 + BV24))</f>
        <v>1.687342007213362</v>
      </c>
      <c r="BW26" s="346">
        <f> IF(BW25 = 1, 1, BV26 * ( 1 + BW24))</f>
        <v>1.6998571439944474</v>
      </c>
      <c r="BX26" s="346">
        <f> IF(BX25 = 1, 1, BW26 * ( 1 + BX24))</f>
        <v>1.7124651064433463</v>
      </c>
      <c r="BY26" s="346">
        <f> IF(BY25 = 1, 1, BX26 * ( 1 + BY24))</f>
        <v>1.7251665830546996</v>
      </c>
      <c r="BZ26" s="346">
        <f> IF(BZ25 = 1, 1, BY26 * ( 1 + BZ24))</f>
        <v>1.7379622674297626</v>
      </c>
      <c r="CA26" s="346">
        <f> IF(CA25 = 1, 1, BZ26 * ( 1 + CA24))</f>
        <v>1.7508528583142804</v>
      </c>
      <c r="CB26" s="346">
        <f> IF(CB25 = 1, 1, CA26 * ( 1 + CB24))</f>
        <v>1.7638390596366462</v>
      </c>
      <c r="CC26" s="346">
        <f> IF(CC25 = 1, 1, CB26 * ( 1 + CC24))</f>
        <v>1.77692158054634</v>
      </c>
      <c r="CD26" s="346">
        <f> IF(CD25 = 1, 1, CC26 * ( 1 + CD24))</f>
        <v>1.7901011354526548</v>
      </c>
      <c r="CE26" s="346">
        <f> IF(CE25 = 1, 1, CD26 * ( 1 + CE24))</f>
        <v>1.8033784440637082</v>
      </c>
      <c r="CF26" s="346">
        <f> IF(CF25 = 1, 1, CE26 * ( 1 + CF24))</f>
        <v>1.816754231425745</v>
      </c>
      <c r="CG26" s="346">
        <f> IF(CG25 = 1, 1, CF26 * ( 1 + CG24))</f>
        <v>1.8302292279627297</v>
      </c>
      <c r="CH26" s="346">
        <f> IF(CH25 = 1, 1, CG26 * ( 1 + CH24))</f>
        <v>1.843804169516234</v>
      </c>
      <c r="CI26" s="346">
        <f> IF(CI25 = 1, 1, CH26 * ( 1 + CI24))</f>
        <v>1.857479797385619</v>
      </c>
      <c r="CJ26" s="346">
        <f> IF(CJ25 = 1, 1, CI26 * ( 1 + CJ24))</f>
        <v>1.8712568583685167</v>
      </c>
      <c r="CK26" s="346">
        <f> IF(CK25 = 1, 1, CJ26 * ( 1 + CK24))</f>
        <v>1.8851361048016109</v>
      </c>
      <c r="CL26" s="346">
        <f> IF(CL25 = 1, 1, CK26 * ( 1 + CL24))</f>
        <v>1.8991182946017202</v>
      </c>
      <c r="CM26" s="346">
        <f> IF(CM25 = 1, 1, CL26 * ( 1 + CM24))</f>
        <v>1.9132041913071869</v>
      </c>
      <c r="CN26" s="346">
        <f> IF(CN25 = 1, 1, CM26 * ( 1 + CN24))</f>
        <v>1.9273945641195718</v>
      </c>
      <c r="CO26" s="346">
        <f> IF(CO25 = 1, 1, CN26 * ( 1 + CO24))</f>
        <v>1.9416901879456587</v>
      </c>
    </row>
    <row r="28">
      <c r="B28" s="294" t="inlineStr">
        <is>
          <t>Handling escalation factor</t>
        </is>
      </c>
    </row>
    <row r="29">
      <c r="E29" s="325" t="str">
        <f> InpC!E$23</f>
        <v>CPI index at acquisition date</v>
      </c>
      <c r="F29" s="325">
        <f> InpC!F$23</f>
        <v>145.0</v>
      </c>
      <c r="G29" s="325" t="str">
        <f> InpC!G$23</f>
        <v>index</v>
      </c>
    </row>
    <row r="30">
      <c r="E30" s="325" t="str">
        <f> InpC!E$25</f>
        <v>CPI index at handling signature date</v>
      </c>
      <c r="F30" s="325">
        <f> InpC!F$25</f>
        <v>120.0</v>
      </c>
      <c r="G30" s="325" t="str">
        <f> InpC!G$25</f>
        <v>index</v>
      </c>
    </row>
    <row r="31">
      <c r="E31" s="277" t="str">
        <f> E$26</f>
        <v>CPI escalation factor</v>
      </c>
      <c r="F31" s="277">
        <f> F$26</f>
        <v>0.0</v>
      </c>
      <c r="G31" s="277" t="str">
        <f> G$26</f>
        <v>factor</v>
      </c>
      <c r="H31" s="277">
        <f> H$26</f>
        <v>0.0</v>
      </c>
      <c r="I31" s="277">
        <f> I$26</f>
        <v>0.0</v>
      </c>
      <c r="J31" s="277">
        <f> J$26</f>
        <v>0.0</v>
      </c>
      <c r="K31" s="277">
        <f> K$26</f>
        <v>1.0</v>
      </c>
      <c r="L31" s="277">
        <f> L$26</f>
        <v>1.0146738461686593</v>
      </c>
      <c r="M31" s="277">
        <f> M$26</f>
        <v>1.0295630140987</v>
      </c>
      <c r="N31" s="277">
        <f> N$26</f>
        <v>1.0446706633885254</v>
      </c>
      <c r="O31" s="277">
        <f> O$26</f>
        <v>1.0599999999999998</v>
      </c>
      <c r="P31" s="277">
        <f> P$26</f>
        <v>1.0730085684947814</v>
      </c>
      <c r="Q31" s="277">
        <f> Q$26</f>
        <v>1.0861767811917173</v>
      </c>
      <c r="R31" s="277">
        <f> R$26</f>
        <v>1.0995065972818814</v>
      </c>
      <c r="S31" s="277">
        <f> S$26</f>
        <v>1.113</v>
      </c>
      <c r="T31" s="277">
        <f> T$26</f>
        <v>1.1239668414890023</v>
      </c>
      <c r="U31" s="277">
        <f> U$26</f>
        <v>1.1350417437257538</v>
      </c>
      <c r="V31" s="277">
        <f> V$26</f>
        <v>1.146225771476734</v>
      </c>
      <c r="W31" s="277">
        <f> W$26</f>
        <v>1.1575199999999999</v>
      </c>
      <c r="X31" s="277">
        <f> X$26</f>
        <v>1.1661054089241611</v>
      </c>
      <c r="Y31" s="277">
        <f> Y$26</f>
        <v>1.1747544964425543</v>
      </c>
      <c r="Z31" s="277">
        <f> Z$26</f>
        <v>1.1834677348638831</v>
      </c>
      <c r="AA31" s="277">
        <f> AA$26</f>
        <v>1.1922455999999995</v>
      </c>
      <c r="AB31" s="277">
        <f> AB$26</f>
        <v>1.2010885711918857</v>
      </c>
      <c r="AC31" s="277">
        <f> AC$26</f>
        <v>1.2099971313358306</v>
      </c>
      <c r="AD31" s="277">
        <f> AD$26</f>
        <v>1.2189717669097995</v>
      </c>
      <c r="AE31" s="277">
        <f> AE$26</f>
        <v>1.2280129679999994</v>
      </c>
      <c r="AF31" s="277">
        <f> AF$26</f>
        <v>1.237121228327642</v>
      </c>
      <c r="AG31" s="277">
        <f> AG$26</f>
        <v>1.2462970452759052</v>
      </c>
      <c r="AH31" s="277">
        <f> AH$26</f>
        <v>1.255540919917093</v>
      </c>
      <c r="AI31" s="277">
        <f> AI$26</f>
        <v>1.264853357039999</v>
      </c>
      <c r="AJ31" s="277">
        <f> AJ$26</f>
        <v>1.2742348651774709</v>
      </c>
      <c r="AK31" s="277">
        <f> AK$26</f>
        <v>1.2836859566341818</v>
      </c>
      <c r="AL31" s="277">
        <f> AL$26</f>
        <v>1.2932071475146052</v>
      </c>
      <c r="AM31" s="277">
        <f> AM$26</f>
        <v>1.3027989577511982</v>
      </c>
      <c r="AN31" s="277">
        <f> AN$26</f>
        <v>1.3124619111327944</v>
      </c>
      <c r="AO31" s="277">
        <f> AO$26</f>
        <v>1.3221965353332068</v>
      </c>
      <c r="AP31" s="277">
        <f> AP$26</f>
        <v>1.3320033619400429</v>
      </c>
      <c r="AQ31" s="277">
        <f> AQ$26</f>
        <v>1.3418829264837338</v>
      </c>
      <c r="AR31" s="277">
        <f> AR$26</f>
        <v>1.3518357684667779</v>
      </c>
      <c r="AS31" s="277">
        <f> AS$26</f>
        <v>1.3618624313932026</v>
      </c>
      <c r="AT31" s="277">
        <f> AT$26</f>
        <v>1.3719634627982438</v>
      </c>
      <c r="AU31" s="277">
        <f> AU$26</f>
        <v>1.3821394142782453</v>
      </c>
      <c r="AV31" s="277">
        <f> AV$26</f>
        <v>1.3923908415207806</v>
      </c>
      <c r="AW31" s="277">
        <f> AW$26</f>
        <v>1.4027183043349982</v>
      </c>
      <c r="AX31" s="277">
        <f> AX$26</f>
        <v>1.4131223666821906</v>
      </c>
      <c r="AY31" s="277">
        <f> AY$26</f>
        <v>1.423603596706592</v>
      </c>
      <c r="AZ31" s="277">
        <f> AZ$26</f>
        <v>1.4341625667664035</v>
      </c>
      <c r="BA31" s="277">
        <f> BA$26</f>
        <v>1.4447998534650475</v>
      </c>
      <c r="BB31" s="277">
        <f> BB$26</f>
        <v>1.4555160376826557</v>
      </c>
      <c r="BC31" s="277">
        <f> BC$26</f>
        <v>1.4663117046077894</v>
      </c>
      <c r="BD31" s="277">
        <f> BD$26</f>
        <v>1.4771874437693953</v>
      </c>
      <c r="BE31" s="277">
        <f> BE$26</f>
        <v>1.4881438490689987</v>
      </c>
      <c r="BF31" s="277">
        <f> BF$26</f>
        <v>1.499181518813135</v>
      </c>
      <c r="BG31" s="277">
        <f> BG$26</f>
        <v>1.5103010557460226</v>
      </c>
      <c r="BH31" s="277">
        <f> BH$26</f>
        <v>1.5215030670824765</v>
      </c>
      <c r="BI31" s="277">
        <f> BI$26</f>
        <v>1.532788164541068</v>
      </c>
      <c r="BJ31" s="277">
        <f> BJ$26</f>
        <v>1.5441569643775284</v>
      </c>
      <c r="BK31" s="277">
        <f> BK$26</f>
        <v>1.5556100874184027</v>
      </c>
      <c r="BL31" s="277">
        <f> BL$26</f>
        <v>1.5671481590949503</v>
      </c>
      <c r="BM31" s="277">
        <f> BM$26</f>
        <v>1.5787718094772996</v>
      </c>
      <c r="BN31" s="277">
        <f> BN$26</f>
        <v>1.5904816733088538</v>
      </c>
      <c r="BO31" s="277">
        <f> BO$26</f>
        <v>1.6022783900409543</v>
      </c>
      <c r="BP31" s="277">
        <f> BP$26</f>
        <v>1.6141626038677983</v>
      </c>
      <c r="BQ31" s="277">
        <f> BQ$26</f>
        <v>1.626134963761618</v>
      </c>
      <c r="BR31" s="277">
        <f> BR$26</f>
        <v>1.638196123508119</v>
      </c>
      <c r="BS31" s="277">
        <f> BS$26</f>
        <v>1.6503467417421824</v>
      </c>
      <c r="BT31" s="277">
        <f> BT$26</f>
        <v>1.6625874819838318</v>
      </c>
      <c r="BU31" s="277">
        <f> BU$26</f>
        <v>1.674919012674466</v>
      </c>
      <c r="BV31" s="277">
        <f> BV$26</f>
        <v>1.687342007213362</v>
      </c>
      <c r="BW31" s="277">
        <f> BW$26</f>
        <v>1.6998571439944474</v>
      </c>
      <c r="BX31" s="277">
        <f> BX$26</f>
        <v>1.7124651064433463</v>
      </c>
      <c r="BY31" s="277">
        <f> BY$26</f>
        <v>1.7251665830546996</v>
      </c>
      <c r="BZ31" s="277">
        <f> BZ$26</f>
        <v>1.7379622674297626</v>
      </c>
      <c r="CA31" s="277">
        <f> CA$26</f>
        <v>1.7508528583142804</v>
      </c>
      <c r="CB31" s="277">
        <f> CB$26</f>
        <v>1.7638390596366462</v>
      </c>
      <c r="CC31" s="277">
        <f> CC$26</f>
        <v>1.77692158054634</v>
      </c>
      <c r="CD31" s="277">
        <f> CD$26</f>
        <v>1.7901011354526548</v>
      </c>
      <c r="CE31" s="277">
        <f> CE$26</f>
        <v>1.8033784440637082</v>
      </c>
      <c r="CF31" s="277">
        <f> CF$26</f>
        <v>1.816754231425745</v>
      </c>
      <c r="CG31" s="277">
        <f> CG$26</f>
        <v>1.8302292279627297</v>
      </c>
      <c r="CH31" s="277">
        <f> CH$26</f>
        <v>1.843804169516234</v>
      </c>
      <c r="CI31" s="277">
        <f> CI$26</f>
        <v>1.857479797385619</v>
      </c>
      <c r="CJ31" s="277">
        <f> CJ$26</f>
        <v>1.8712568583685167</v>
      </c>
      <c r="CK31" s="277">
        <f> CK$26</f>
        <v>1.8851361048016109</v>
      </c>
      <c r="CL31" s="277">
        <f> CL$26</f>
        <v>1.8991182946017202</v>
      </c>
      <c r="CM31" s="277">
        <f> CM$26</f>
        <v>1.9132041913071869</v>
      </c>
      <c r="CN31" s="277">
        <f> CN$26</f>
        <v>1.9273945641195718</v>
      </c>
      <c r="CO31" s="277">
        <f> CO$26</f>
        <v>1.9416901879456587</v>
      </c>
    </row>
    <row r="32" customFormat="1" s="345">
      <c r="A32" s="326" t="n"/>
      <c r="B32" s="326" t="n"/>
      <c r="C32" s="327" t="n"/>
      <c r="D32" s="328" t="n"/>
      <c r="E32" s="345" t="inlineStr">
        <is>
          <t>Handling escalation factor</t>
        </is>
      </c>
      <c r="G32" s="345" t="inlineStr">
        <is>
          <t>factor</t>
        </is>
      </c>
      <c r="J32" s="346">
        <f> $F29 / $F30 * J31</f>
        <v>0.0</v>
      </c>
      <c r="K32" s="346">
        <f> $F29 / $F30 * K31</f>
        <v>1.2083333333333333</v>
      </c>
      <c r="L32" s="346">
        <f> $F29 / $F30 * L31</f>
        <v>1.22606423078713</v>
      </c>
      <c r="M32" s="346">
        <f> $F29 / $F30 * M31</f>
        <v>1.2440553087025958</v>
      </c>
      <c r="N32" s="346">
        <f> $F29 / $F30 * N31</f>
        <v>1.2623103849278015</v>
      </c>
      <c r="O32" s="346">
        <f> $F29 / $F30 * O31</f>
        <v>1.280833333333333</v>
      </c>
      <c r="P32" s="346">
        <f> $F29 / $F30 * P31</f>
        <v>1.2965520202645275</v>
      </c>
      <c r="Q32" s="346">
        <f> $F29 / $F30 * Q31</f>
        <v>1.3124636106066583</v>
      </c>
      <c r="R32" s="346">
        <f> $F29 / $F30 * R31</f>
        <v>1.3285704717156066</v>
      </c>
      <c r="S32" s="346">
        <f> $F29 / $F30 * S31</f>
        <v>1.3448749999999998</v>
      </c>
      <c r="T32" s="346">
        <f> $F29 / $F30 * T31</f>
        <v>1.3581266001325443</v>
      </c>
      <c r="U32" s="346">
        <f> $F29 / $F30 * U31</f>
        <v>1.3715087736686191</v>
      </c>
      <c r="V32" s="346">
        <f> $F29 / $F30 * V31</f>
        <v>1.3850228072010535</v>
      </c>
      <c r="W32" s="346">
        <f> $F29 / $F30 * W31</f>
        <v>1.3986699999999999</v>
      </c>
      <c r="X32" s="346">
        <f> $F29 / $F30 * X31</f>
        <v>1.4090440357833613</v>
      </c>
      <c r="Y32" s="346">
        <f> $F29 / $F30 * Y31</f>
        <v>1.419495016534753</v>
      </c>
      <c r="Z32" s="346">
        <f> $F29 / $F30 * Z31</f>
        <v>1.4300235129605254</v>
      </c>
      <c r="AA32" s="346">
        <f> $F29 / $F30 * AA31</f>
        <v>1.4406300999999992</v>
      </c>
      <c r="AB32" s="346">
        <f> $F29 / $F30 * AB31</f>
        <v>1.4513153568568617</v>
      </c>
      <c r="AC32" s="346">
        <f> $F29 / $F30 * AC31</f>
        <v>1.4620798670307953</v>
      </c>
      <c r="AD32" s="346">
        <f> $F29 / $F30 * AD31</f>
        <v>1.472924218349341</v>
      </c>
      <c r="AE32" s="346">
        <f> $F29 / $F30 * AE31</f>
        <v>1.4838490029999991</v>
      </c>
      <c r="AF32" s="346">
        <f> $F29 / $F30 * AF31</f>
        <v>1.4948548175625673</v>
      </c>
      <c r="AG32" s="346">
        <f> $F29 / $F30 * AG31</f>
        <v>1.5059422630417187</v>
      </c>
      <c r="AH32" s="346">
        <f> $F29 / $F30 * AH31</f>
        <v>1.5171119448998207</v>
      </c>
      <c r="AI32" s="346">
        <f> $F29 / $F30 * AI31</f>
        <v>1.5283644730899986</v>
      </c>
      <c r="AJ32" s="346">
        <f> $F29 / $F30 * AJ31</f>
        <v>1.5397004620894439</v>
      </c>
      <c r="AK32" s="346">
        <f> $F29 / $F30 * AK31</f>
        <v>1.5511205309329696</v>
      </c>
      <c r="AL32" s="346">
        <f> $F29 / $F30 * AL31</f>
        <v>1.5626253032468145</v>
      </c>
      <c r="AM32" s="346">
        <f> $F29 / $F30 * AM31</f>
        <v>1.5742154072826977</v>
      </c>
      <c r="AN32" s="346">
        <f> $F29 / $F30 * AN31</f>
        <v>1.5858914759521265</v>
      </c>
      <c r="AO32" s="346">
        <f> $F29 / $F30 * AO31</f>
        <v>1.5976541468609582</v>
      </c>
      <c r="AP32" s="346">
        <f> $F29 / $F30 * AP31</f>
        <v>1.6095040623442183</v>
      </c>
      <c r="AQ32" s="346">
        <f> $F29 / $F30 * AQ31</f>
        <v>1.621441869501178</v>
      </c>
      <c r="AR32" s="346">
        <f> $F29 / $F30 * AR31</f>
        <v>1.6334682202306898</v>
      </c>
      <c r="AS32" s="346">
        <f> $F29 / $F30 * AS31</f>
        <v>1.6455837712667865</v>
      </c>
      <c r="AT32" s="346">
        <f> $F29 / $F30 * AT31</f>
        <v>1.6577891842145445</v>
      </c>
      <c r="AU32" s="346">
        <f> $F29 / $F30 * AU31</f>
        <v>1.670085125586213</v>
      </c>
      <c r="AV32" s="346">
        <f> $F29 / $F30 * AV31</f>
        <v>1.6824722668376098</v>
      </c>
      <c r="AW32" s="346">
        <f> $F29 / $F30 * AW31</f>
        <v>1.6949512844047894</v>
      </c>
      <c r="AX32" s="346">
        <f> $F29 / $F30 * AX31</f>
        <v>1.7075228597409802</v>
      </c>
      <c r="AY32" s="346">
        <f> $F29 / $F30 * AY31</f>
        <v>1.7201876793537987</v>
      </c>
      <c r="AZ32" s="346">
        <f> $F29 / $F30 * AZ31</f>
        <v>1.7329464348427375</v>
      </c>
      <c r="BA32" s="346">
        <f> $F29 / $F30 * BA31</f>
        <v>1.7457998229369323</v>
      </c>
      <c r="BB32" s="346">
        <f> $F29 / $F30 * BB31</f>
        <v>1.7587485455332088</v>
      </c>
      <c r="BC32" s="346">
        <f> $F29 / $F30 * BC31</f>
        <v>1.771793309734412</v>
      </c>
      <c r="BD32" s="346">
        <f> $F29 / $F30 * BD31</f>
        <v>1.7849348278880193</v>
      </c>
      <c r="BE32" s="346">
        <f> $F29 / $F30 * BE31</f>
        <v>1.79817381762504</v>
      </c>
      <c r="BF32" s="346">
        <f> $F29 / $F30 * BF31</f>
        <v>1.8115110018992047</v>
      </c>
      <c r="BG32" s="346">
        <f> $F29 / $F30 * BG31</f>
        <v>1.8249471090264437</v>
      </c>
      <c r="BH32" s="346">
        <f> $F29 / $F30 * BH31</f>
        <v>1.838482872724659</v>
      </c>
      <c r="BI32" s="346">
        <f> $F29 / $F30 * BI31</f>
        <v>1.8521190321537904</v>
      </c>
      <c r="BJ32" s="346">
        <f> $F29 / $F30 * BJ31</f>
        <v>1.86585633195618</v>
      </c>
      <c r="BK32" s="346">
        <f> $F29 / $F30 * BK31</f>
        <v>1.8796955222972365</v>
      </c>
      <c r="BL32" s="346">
        <f> $F29 / $F30 * BL31</f>
        <v>1.8936373589063982</v>
      </c>
      <c r="BM32" s="346">
        <f> $F29 / $F30 * BM31</f>
        <v>1.9076826031184035</v>
      </c>
      <c r="BN32" s="346">
        <f> $F29 / $F30 * BN31</f>
        <v>1.921832021914865</v>
      </c>
      <c r="BO32" s="346">
        <f> $F29 / $F30 * BO31</f>
        <v>1.936086387966153</v>
      </c>
      <c r="BP32" s="346">
        <f> $F29 / $F30 * BP31</f>
        <v>1.9504464796735894</v>
      </c>
      <c r="BQ32" s="346">
        <f> $F29 / $F30 * BQ31</f>
        <v>1.964913081211955</v>
      </c>
      <c r="BR32" s="346">
        <f> $F29 / $F30 * BR31</f>
        <v>1.9794869825723105</v>
      </c>
      <c r="BS32" s="346">
        <f> $F29 / $F30 * BS31</f>
        <v>1.994168979605137</v>
      </c>
      <c r="BT32" s="346">
        <f> $F29 / $F30 * BT31</f>
        <v>2.0089598740637964</v>
      </c>
      <c r="BU32" s="346">
        <f> $F29 / $F30 * BU31</f>
        <v>2.023860473648313</v>
      </c>
      <c r="BV32" s="346">
        <f> $F29 / $F30 * BV31</f>
        <v>2.038871592049479</v>
      </c>
      <c r="BW32" s="346">
        <f> $F29 / $F30 * BW31</f>
        <v>2.0539940489932906</v>
      </c>
      <c r="BX32" s="346">
        <f> $F29 / $F30 * BX31</f>
        <v>2.06922867028571</v>
      </c>
      <c r="BY32" s="346">
        <f> $F29 / $F30 * BY31</f>
        <v>2.084576287857762</v>
      </c>
      <c r="BZ32" s="346">
        <f> $F29 / $F30 * BZ31</f>
        <v>2.100037739810963</v>
      </c>
      <c r="CA32" s="346">
        <f> $F29 / $F30 * CA31</f>
        <v>2.1156138704630885</v>
      </c>
      <c r="CB32" s="346">
        <f> $F29 / $F30 * CB31</f>
        <v>2.1313055303942807</v>
      </c>
      <c r="CC32" s="346">
        <f> $F29 / $F30 * CC31</f>
        <v>2.1471135764934943</v>
      </c>
      <c r="CD32" s="346">
        <f> $F29 / $F30 * CD31</f>
        <v>2.163038872005291</v>
      </c>
      <c r="CE32" s="346">
        <f> $F29 / $F30 * CE31</f>
        <v>2.1790822865769806</v>
      </c>
      <c r="CF32" s="346">
        <f> $F29 / $F30 * CF31</f>
        <v>2.1952446963061085</v>
      </c>
      <c r="CG32" s="346">
        <f> $F29 / $F30 * CG31</f>
        <v>2.211526983788298</v>
      </c>
      <c r="CH32" s="346">
        <f> $F29 / $F30 * CH31</f>
        <v>2.227930038165449</v>
      </c>
      <c r="CI32" s="346">
        <f> $F29 / $F30 * CI31</f>
        <v>2.2444547551742895</v>
      </c>
      <c r="CJ32" s="346">
        <f> $F29 / $F30 * CJ31</f>
        <v>2.261102037195291</v>
      </c>
      <c r="CK32" s="346">
        <f> $F29 / $F30 * CK31</f>
        <v>2.2778727933019463</v>
      </c>
      <c r="CL32" s="346">
        <f> $F29 / $F30 * CL31</f>
        <v>2.294767939310412</v>
      </c>
      <c r="CM32" s="346">
        <f> $F29 / $F30 * CM31</f>
        <v>2.3117883978295173</v>
      </c>
      <c r="CN32" s="346">
        <f> $F29 / $F30 * CN31</f>
        <v>2.328935098311149</v>
      </c>
      <c r="CO32" s="346">
        <f> $F29 / $F30 * CO31</f>
        <v>2.346208977101004</v>
      </c>
    </row>
    <row r="34">
      <c r="B34" s="294" t="inlineStr">
        <is>
          <t>O&amp;M escalation factor</t>
        </is>
      </c>
    </row>
    <row r="35">
      <c r="E35" s="325" t="str">
        <f> InpC!E$23</f>
        <v>CPI index at acquisition date</v>
      </c>
      <c r="F35" s="325">
        <f> InpC!F$23</f>
        <v>145.0</v>
      </c>
      <c r="G35" s="325" t="str">
        <f> InpC!G$23</f>
        <v>index</v>
      </c>
    </row>
    <row r="36">
      <c r="E36" s="325" t="str">
        <f> InpC!E$27</f>
        <v>CPI index at O&amp;M signature date</v>
      </c>
      <c r="F36" s="325">
        <f> InpC!F$27</f>
        <v>132.0</v>
      </c>
      <c r="G36" s="325" t="str">
        <f> InpC!G$27</f>
        <v>index</v>
      </c>
    </row>
    <row r="37">
      <c r="E37" s="277" t="str">
        <f> E$26</f>
        <v>CPI escalation factor</v>
      </c>
      <c r="F37" s="277">
        <f> F$26</f>
        <v>0.0</v>
      </c>
      <c r="G37" s="277" t="str">
        <f> G$26</f>
        <v>factor</v>
      </c>
      <c r="H37" s="277">
        <f> H$26</f>
        <v>0.0</v>
      </c>
      <c r="I37" s="277">
        <f> I$26</f>
        <v>0.0</v>
      </c>
      <c r="J37" s="277">
        <f> J$26</f>
        <v>0.0</v>
      </c>
      <c r="K37" s="277">
        <f> K$26</f>
        <v>1.0</v>
      </c>
      <c r="L37" s="277">
        <f> L$26</f>
        <v>1.0146738461686593</v>
      </c>
      <c r="M37" s="277">
        <f> M$26</f>
        <v>1.0295630140987</v>
      </c>
      <c r="N37" s="277">
        <f> N$26</f>
        <v>1.0446706633885254</v>
      </c>
      <c r="O37" s="277">
        <f> O$26</f>
        <v>1.0599999999999998</v>
      </c>
      <c r="P37" s="277">
        <f> P$26</f>
        <v>1.0730085684947814</v>
      </c>
      <c r="Q37" s="277">
        <f> Q$26</f>
        <v>1.0861767811917173</v>
      </c>
      <c r="R37" s="277">
        <f> R$26</f>
        <v>1.0995065972818814</v>
      </c>
      <c r="S37" s="277">
        <f> S$26</f>
        <v>1.113</v>
      </c>
      <c r="T37" s="277">
        <f> T$26</f>
        <v>1.1239668414890023</v>
      </c>
      <c r="U37" s="277">
        <f> U$26</f>
        <v>1.1350417437257538</v>
      </c>
      <c r="V37" s="277">
        <f> V$26</f>
        <v>1.146225771476734</v>
      </c>
      <c r="W37" s="277">
        <f> W$26</f>
        <v>1.1575199999999999</v>
      </c>
      <c r="X37" s="277">
        <f> X$26</f>
        <v>1.1661054089241611</v>
      </c>
      <c r="Y37" s="277">
        <f> Y$26</f>
        <v>1.1747544964425543</v>
      </c>
      <c r="Z37" s="277">
        <f> Z$26</f>
        <v>1.1834677348638831</v>
      </c>
      <c r="AA37" s="277">
        <f> AA$26</f>
        <v>1.1922455999999995</v>
      </c>
      <c r="AB37" s="277">
        <f> AB$26</f>
        <v>1.2010885711918857</v>
      </c>
      <c r="AC37" s="277">
        <f> AC$26</f>
        <v>1.2099971313358306</v>
      </c>
      <c r="AD37" s="277">
        <f> AD$26</f>
        <v>1.2189717669097995</v>
      </c>
      <c r="AE37" s="277">
        <f> AE$26</f>
        <v>1.2280129679999994</v>
      </c>
      <c r="AF37" s="277">
        <f> AF$26</f>
        <v>1.237121228327642</v>
      </c>
      <c r="AG37" s="277">
        <f> AG$26</f>
        <v>1.2462970452759052</v>
      </c>
      <c r="AH37" s="277">
        <f> AH$26</f>
        <v>1.255540919917093</v>
      </c>
      <c r="AI37" s="277">
        <f> AI$26</f>
        <v>1.264853357039999</v>
      </c>
      <c r="AJ37" s="277">
        <f> AJ$26</f>
        <v>1.2742348651774709</v>
      </c>
      <c r="AK37" s="277">
        <f> AK$26</f>
        <v>1.2836859566341818</v>
      </c>
      <c r="AL37" s="277">
        <f> AL$26</f>
        <v>1.2932071475146052</v>
      </c>
      <c r="AM37" s="277">
        <f> AM$26</f>
        <v>1.3027989577511982</v>
      </c>
      <c r="AN37" s="277">
        <f> AN$26</f>
        <v>1.3124619111327944</v>
      </c>
      <c r="AO37" s="277">
        <f> AO$26</f>
        <v>1.3221965353332068</v>
      </c>
      <c r="AP37" s="277">
        <f> AP$26</f>
        <v>1.3320033619400429</v>
      </c>
      <c r="AQ37" s="277">
        <f> AQ$26</f>
        <v>1.3418829264837338</v>
      </c>
      <c r="AR37" s="277">
        <f> AR$26</f>
        <v>1.3518357684667779</v>
      </c>
      <c r="AS37" s="277">
        <f> AS$26</f>
        <v>1.3618624313932026</v>
      </c>
      <c r="AT37" s="277">
        <f> AT$26</f>
        <v>1.3719634627982438</v>
      </c>
      <c r="AU37" s="277">
        <f> AU$26</f>
        <v>1.3821394142782453</v>
      </c>
      <c r="AV37" s="277">
        <f> AV$26</f>
        <v>1.3923908415207806</v>
      </c>
      <c r="AW37" s="277">
        <f> AW$26</f>
        <v>1.4027183043349982</v>
      </c>
      <c r="AX37" s="277">
        <f> AX$26</f>
        <v>1.4131223666821906</v>
      </c>
      <c r="AY37" s="277">
        <f> AY$26</f>
        <v>1.423603596706592</v>
      </c>
      <c r="AZ37" s="277">
        <f> AZ$26</f>
        <v>1.4341625667664035</v>
      </c>
      <c r="BA37" s="277">
        <f> BA$26</f>
        <v>1.4447998534650475</v>
      </c>
      <c r="BB37" s="277">
        <f> BB$26</f>
        <v>1.4555160376826557</v>
      </c>
      <c r="BC37" s="277">
        <f> BC$26</f>
        <v>1.4663117046077894</v>
      </c>
      <c r="BD37" s="277">
        <f> BD$26</f>
        <v>1.4771874437693953</v>
      </c>
      <c r="BE37" s="277">
        <f> BE$26</f>
        <v>1.4881438490689987</v>
      </c>
      <c r="BF37" s="277">
        <f> BF$26</f>
        <v>1.499181518813135</v>
      </c>
      <c r="BG37" s="277">
        <f> BG$26</f>
        <v>1.5103010557460226</v>
      </c>
      <c r="BH37" s="277">
        <f> BH$26</f>
        <v>1.5215030670824765</v>
      </c>
      <c r="BI37" s="277">
        <f> BI$26</f>
        <v>1.532788164541068</v>
      </c>
      <c r="BJ37" s="277">
        <f> BJ$26</f>
        <v>1.5441569643775284</v>
      </c>
      <c r="BK37" s="277">
        <f> BK$26</f>
        <v>1.5556100874184027</v>
      </c>
      <c r="BL37" s="277">
        <f> BL$26</f>
        <v>1.5671481590949503</v>
      </c>
      <c r="BM37" s="277">
        <f> BM$26</f>
        <v>1.5787718094772996</v>
      </c>
      <c r="BN37" s="277">
        <f> BN$26</f>
        <v>1.5904816733088538</v>
      </c>
      <c r="BO37" s="277">
        <f> BO$26</f>
        <v>1.6022783900409543</v>
      </c>
      <c r="BP37" s="277">
        <f> BP$26</f>
        <v>1.6141626038677983</v>
      </c>
      <c r="BQ37" s="277">
        <f> BQ$26</f>
        <v>1.626134963761618</v>
      </c>
      <c r="BR37" s="277">
        <f> BR$26</f>
        <v>1.638196123508119</v>
      </c>
      <c r="BS37" s="277">
        <f> BS$26</f>
        <v>1.6503467417421824</v>
      </c>
      <c r="BT37" s="277">
        <f> BT$26</f>
        <v>1.6625874819838318</v>
      </c>
      <c r="BU37" s="277">
        <f> BU$26</f>
        <v>1.674919012674466</v>
      </c>
      <c r="BV37" s="277">
        <f> BV$26</f>
        <v>1.687342007213362</v>
      </c>
      <c r="BW37" s="277">
        <f> BW$26</f>
        <v>1.6998571439944474</v>
      </c>
      <c r="BX37" s="277">
        <f> BX$26</f>
        <v>1.7124651064433463</v>
      </c>
      <c r="BY37" s="277">
        <f> BY$26</f>
        <v>1.7251665830546996</v>
      </c>
      <c r="BZ37" s="277">
        <f> BZ$26</f>
        <v>1.7379622674297626</v>
      </c>
      <c r="CA37" s="277">
        <f> CA$26</f>
        <v>1.7508528583142804</v>
      </c>
      <c r="CB37" s="277">
        <f> CB$26</f>
        <v>1.7638390596366462</v>
      </c>
      <c r="CC37" s="277">
        <f> CC$26</f>
        <v>1.77692158054634</v>
      </c>
      <c r="CD37" s="277">
        <f> CD$26</f>
        <v>1.7901011354526548</v>
      </c>
      <c r="CE37" s="277">
        <f> CE$26</f>
        <v>1.8033784440637082</v>
      </c>
      <c r="CF37" s="277">
        <f> CF$26</f>
        <v>1.816754231425745</v>
      </c>
      <c r="CG37" s="277">
        <f> CG$26</f>
        <v>1.8302292279627297</v>
      </c>
      <c r="CH37" s="277">
        <f> CH$26</f>
        <v>1.843804169516234</v>
      </c>
      <c r="CI37" s="277">
        <f> CI$26</f>
        <v>1.857479797385619</v>
      </c>
      <c r="CJ37" s="277">
        <f> CJ$26</f>
        <v>1.8712568583685167</v>
      </c>
      <c r="CK37" s="277">
        <f> CK$26</f>
        <v>1.8851361048016109</v>
      </c>
      <c r="CL37" s="277">
        <f> CL$26</f>
        <v>1.8991182946017202</v>
      </c>
      <c r="CM37" s="277">
        <f> CM$26</f>
        <v>1.9132041913071869</v>
      </c>
      <c r="CN37" s="277">
        <f> CN$26</f>
        <v>1.9273945641195718</v>
      </c>
      <c r="CO37" s="277">
        <f> CO$26</f>
        <v>1.9416901879456587</v>
      </c>
    </row>
    <row r="38" customFormat="1" s="345">
      <c r="A38" s="326" t="n"/>
      <c r="B38" s="326" t="n"/>
      <c r="C38" s="327" t="n"/>
      <c r="D38" s="328" t="n"/>
      <c r="E38" s="345" t="inlineStr">
        <is>
          <t>O&amp;M escalation factor</t>
        </is>
      </c>
      <c r="G38" s="345" t="inlineStr">
        <is>
          <t>factor</t>
        </is>
      </c>
      <c r="J38" s="346">
        <f> $F35 / $F36 * J37</f>
        <v>0.0</v>
      </c>
      <c r="K38" s="346">
        <f> $F35 / $F36 * K37</f>
        <v>1.0984848484848484</v>
      </c>
      <c r="L38" s="346">
        <f> $F35 / $F36 * L37</f>
        <v>1.114603846170118</v>
      </c>
      <c r="M38" s="346">
        <f> $F35 / $F36 * M37</f>
        <v>1.1309593715478143</v>
      </c>
      <c r="N38" s="346">
        <f> $F35 / $F36 * N37</f>
        <v>1.1475548953889103</v>
      </c>
      <c r="O38" s="346">
        <f> $F35 / $F36 * O37</f>
        <v>1.164393939393939</v>
      </c>
      <c r="P38" s="346">
        <f> $F35 / $F36 * P37</f>
        <v>1.178683654785934</v>
      </c>
      <c r="Q38" s="346">
        <f> $F35 / $F36 * Q37</f>
        <v>1.193148736915144</v>
      </c>
      <c r="R38" s="346">
        <f> $F35 / $F36 * R37</f>
        <v>1.2077913379232788</v>
      </c>
      <c r="S38" s="346">
        <f> $F35 / $F36 * S37</f>
        <v>1.2226136363636362</v>
      </c>
      <c r="T38" s="346">
        <f> $F35 / $F36 * T37</f>
        <v>1.2346605455750403</v>
      </c>
      <c r="U38" s="346">
        <f> $F35 / $F36 * U37</f>
        <v>1.2468261578805628</v>
      </c>
      <c r="V38" s="346">
        <f> $F35 / $F36 * V37</f>
        <v>1.2591116429100486</v>
      </c>
      <c r="W38" s="346">
        <f> $F35 / $F36 * W37</f>
        <v>1.2715181818181815</v>
      </c>
      <c r="X38" s="346">
        <f> $F35 / $F36 * X37</f>
        <v>1.2809491234394192</v>
      </c>
      <c r="Y38" s="346">
        <f> $F35 / $F36 * Y37</f>
        <v>1.2904500150315936</v>
      </c>
      <c r="Z38" s="346">
        <f> $F35 / $F36 * Z37</f>
        <v>1.3000213754186594</v>
      </c>
      <c r="AA38" s="346">
        <f> $F35 / $F36 * AA37</f>
        <v>1.3096637272727265</v>
      </c>
      <c r="AB38" s="346">
        <f> $F35 / $F36 * AB37</f>
        <v>1.3193775971426016</v>
      </c>
      <c r="AC38" s="346">
        <f> $F35 / $F36 * AC37</f>
        <v>1.3291635154825412</v>
      </c>
      <c r="AD38" s="346">
        <f> $F35 / $F36 * AD37</f>
        <v>1.339022016681219</v>
      </c>
      <c r="AE38" s="346">
        <f> $F35 / $F36 * AE37</f>
        <v>1.3489536390909083</v>
      </c>
      <c r="AF38" s="346">
        <f> $F35 / $F36 * AF37</f>
        <v>1.3589589250568794</v>
      </c>
      <c r="AG38" s="346">
        <f> $F35 / $F36 * AG37</f>
        <v>1.369038420947017</v>
      </c>
      <c r="AH38" s="346">
        <f> $F35 / $F36 * AH37</f>
        <v>1.3791926771816552</v>
      </c>
      <c r="AI38" s="346">
        <f> $F35 / $F36 * AI37</f>
        <v>1.3894222482636351</v>
      </c>
      <c r="AJ38" s="346">
        <f> $F35 / $F36 * AJ37</f>
        <v>1.3997276928085853</v>
      </c>
      <c r="AK38" s="346">
        <f> $F35 / $F36 * AK37</f>
        <v>1.410109573575427</v>
      </c>
      <c r="AL38" s="346">
        <f> $F35 / $F36 * AL37</f>
        <v>1.420568457497104</v>
      </c>
      <c r="AM38" s="346">
        <f> $F35 / $F36 * AM37</f>
        <v>1.4311049157115434</v>
      </c>
      <c r="AN38" s="346">
        <f> $F35 / $F36 * AN37</f>
        <v>1.4417195235928422</v>
      </c>
      <c r="AO38" s="346">
        <f> $F35 / $F36 * AO37</f>
        <v>1.4524128607826892</v>
      </c>
      <c r="AP38" s="346">
        <f> $F35 / $F36 * AP37</f>
        <v>1.4631855112220167</v>
      </c>
      <c r="AQ38" s="346">
        <f> $F35 / $F36 * AQ37</f>
        <v>1.4740380631828893</v>
      </c>
      <c r="AR38" s="346">
        <f> $F35 / $F36 * AR37</f>
        <v>1.484971109300627</v>
      </c>
      <c r="AS38" s="346">
        <f> $F35 / $F36 * AS37</f>
        <v>1.4959852466061694</v>
      </c>
      <c r="AT38" s="346">
        <f> $F35 / $F36 * AT37</f>
        <v>1.5070810765586768</v>
      </c>
      <c r="AU38" s="346">
        <f> $F35 / $F36 * AU37</f>
        <v>1.5182592050783754</v>
      </c>
      <c r="AV38" s="346">
        <f> $F35 / $F36 * AV37</f>
        <v>1.5295202425796453</v>
      </c>
      <c r="AW38" s="346">
        <f> $F35 / $F36 * AW37</f>
        <v>1.540864804004354</v>
      </c>
      <c r="AX38" s="346">
        <f> $F35 / $F36 * AX37</f>
        <v>1.5522935088554366</v>
      </c>
      <c r="AY38" s="346">
        <f> $F35 / $F36 * AY37</f>
        <v>1.563806981230726</v>
      </c>
      <c r="AZ38" s="346">
        <f> $F35 / $F36 * AZ37</f>
        <v>1.575405849857034</v>
      </c>
      <c r="BA38" s="346">
        <f> $F35 / $F36 * BA37</f>
        <v>1.5870907481244838</v>
      </c>
      <c r="BB38" s="346">
        <f> $F35 / $F36 * BB37</f>
        <v>1.598862314121099</v>
      </c>
      <c r="BC38" s="346">
        <f> $F35 / $F36 * BC37</f>
        <v>1.6107211906676473</v>
      </c>
      <c r="BD38" s="346">
        <f> $F35 / $F36 * BD37</f>
        <v>1.6226680253527446</v>
      </c>
      <c r="BE38" s="346">
        <f> $F35 / $F36 * BE37</f>
        <v>1.6347034705682182</v>
      </c>
      <c r="BF38" s="346">
        <f> $F35 / $F36 * BF37</f>
        <v>1.6468281835447316</v>
      </c>
      <c r="BG38" s="346">
        <f> $F35 / $F36 * BG37</f>
        <v>1.6590428263876762</v>
      </c>
      <c r="BH38" s="346">
        <f> $F35 / $F36 * BH37</f>
        <v>1.6713480661133264</v>
      </c>
      <c r="BI38" s="346">
        <f> $F35 / $F36 * BI37</f>
        <v>1.683744574685264</v>
      </c>
      <c r="BJ38" s="346">
        <f> $F35 / $F36 * BJ37</f>
        <v>1.6962330290510728</v>
      </c>
      <c r="BK38" s="346">
        <f> $F35 / $F36 * BK37</f>
        <v>1.7088141111793058</v>
      </c>
      <c r="BL38" s="346">
        <f> $F35 / $F36 * BL37</f>
        <v>1.7214885080967255</v>
      </c>
      <c r="BM38" s="346">
        <f> $F35 / $F36 * BM37</f>
        <v>1.7342569119258213</v>
      </c>
      <c r="BN38" s="346">
        <f> $F35 / $F36 * BN37</f>
        <v>1.7471200199226045</v>
      </c>
      <c r="BO38" s="346">
        <f> $F35 / $F36 * BO37</f>
        <v>1.7600785345146845</v>
      </c>
      <c r="BP38" s="346">
        <f> $F35 / $F36 * BP37</f>
        <v>1.7731331633396268</v>
      </c>
      <c r="BQ38" s="346">
        <f> $F35 / $F36 * BQ37</f>
        <v>1.7862846192835955</v>
      </c>
      <c r="BR38" s="346">
        <f> $F35 / $F36 * BR37</f>
        <v>1.799533620520282</v>
      </c>
      <c r="BS38" s="346">
        <f> $F35 / $F36 * BS37</f>
        <v>1.8128808905501246</v>
      </c>
      <c r="BT38" s="346">
        <f> $F35 / $F36 * BT37</f>
        <v>1.826327158239815</v>
      </c>
      <c r="BU38" s="346">
        <f> $F35 / $F36 * BU37</f>
        <v>1.8398731578621026</v>
      </c>
      <c r="BV38" s="346">
        <f> $F35 / $F36 * BV37</f>
        <v>1.85351962913589</v>
      </c>
      <c r="BW38" s="346">
        <f> $F35 / $F36 * BW37</f>
        <v>1.8672673172666276</v>
      </c>
      <c r="BX38" s="346">
        <f> $F35 / $F36 * BX37</f>
        <v>1.881116972987009</v>
      </c>
      <c r="BY38" s="346">
        <f> $F35 / $F36 * BY37</f>
        <v>1.8950693525979654</v>
      </c>
      <c r="BZ38" s="346">
        <f> $F35 / $F36 * BZ37</f>
        <v>1.9091252180099663</v>
      </c>
      <c r="CA38" s="346">
        <f> $F35 / $F36 * CA37</f>
        <v>1.923285336784626</v>
      </c>
      <c r="CB38" s="346">
        <f> $F35 / $F36 * CB37</f>
        <v>1.9375504821766187</v>
      </c>
      <c r="CC38" s="346">
        <f> $F35 / $F36 * CC37</f>
        <v>1.9519214331759038</v>
      </c>
      <c r="CD38" s="346">
        <f> $F35 / $F36 * CD37</f>
        <v>1.9663989745502646</v>
      </c>
      <c r="CE38" s="346">
        <f> $F35 / $F36 * CE37</f>
        <v>1.9809838968881641</v>
      </c>
      <c r="CF38" s="346">
        <f> $F35 / $F36 * CF37</f>
        <v>1.9956769966419168</v>
      </c>
      <c r="CG38" s="346">
        <f> $F35 / $F36 * CG37</f>
        <v>2.01047907617118</v>
      </c>
      <c r="CH38" s="346">
        <f> $F35 / $F36 * CH37</f>
        <v>2.025390943786772</v>
      </c>
      <c r="CI38" s="346">
        <f> $F35 / $F36 * CI37</f>
        <v>2.0404134137948087</v>
      </c>
      <c r="CJ38" s="346">
        <f> $F35 / $F36 * CJ37</f>
        <v>2.0555473065411736</v>
      </c>
      <c r="CK38" s="346">
        <f> $F35 / $F36 * CK37</f>
        <v>2.070793448456315</v>
      </c>
      <c r="CL38" s="346">
        <f> $F35 / $F36 * CL37</f>
        <v>2.0861526721003743</v>
      </c>
      <c r="CM38" s="346">
        <f> $F35 / $F36 * CM37</f>
        <v>2.101625816208652</v>
      </c>
      <c r="CN38" s="346">
        <f> $F35 / $F36 * CN37</f>
        <v>2.1172137257374084</v>
      </c>
      <c r="CO38" s="346">
        <f> $F35 / $F36 * CO37</f>
        <v>2.132917251910004</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7.xml><?xml version="1.0" encoding="utf-8"?>
<worksheet xmlns="http://schemas.openxmlformats.org/spreadsheetml/2006/main">
  <sheetPr>
    <tabColor rgb="000B5E82"/>
    <outlinePr summaryBelow="0" summaryRight="0"/>
    <pageSetUpPr/>
  </sheetPr>
  <dimension ref="A1:CO65"/>
  <sheetViews>
    <sheetView showGridLines="0" defaultGridColor="0" colorId="22" zoomScaleNormal="100" workbookViewId="0">
      <pane xSplit="9" ySplit="5" topLeftCell="J48" activePane="bottomRight" state="frozen"/>
      <selection activeCell="I34" sqref="I34"/>
      <selection pane="topRight" activeCell="I34" sqref="I34"/>
      <selection pane="bottomLeft" activeCell="I34" sqref="I34"/>
      <selection pane="bottomRight" activeCell="B45" sqref="A45:XFD65"/>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OPERATING REVENUE</t>
        </is>
      </c>
    </row>
    <row r="9">
      <c r="B9" s="294" t="inlineStr">
        <is>
          <t>DEMAND FORECAST</t>
        </is>
      </c>
    </row>
    <row r="11">
      <c r="E11" s="324" t="str">
        <f> InpS!E$8</f>
        <v>Trains - domestic </v>
      </c>
      <c r="F11" s="324">
        <f> InpS!F$8</f>
        <v>0.0</v>
      </c>
      <c r="G11" s="324" t="str">
        <f> InpS!G$8</f>
        <v>trains</v>
      </c>
      <c r="H11" s="324">
        <f> InpS!H$8</f>
        <v>2520.0</v>
      </c>
      <c r="I11" s="324">
        <f> InpS!I$8</f>
        <v>0.0</v>
      </c>
      <c r="J11" s="324">
        <f> InpS!J$8</f>
        <v>30.0</v>
      </c>
      <c r="K11" s="324">
        <f> InpS!K$8</f>
        <v>30.0</v>
      </c>
      <c r="L11" s="324">
        <f> InpS!L$8</f>
        <v>30.0</v>
      </c>
      <c r="M11" s="324">
        <f> InpS!M$8</f>
        <v>30.0</v>
      </c>
      <c r="N11" s="324">
        <f> InpS!N$8</f>
        <v>30.0</v>
      </c>
      <c r="O11" s="324">
        <f> InpS!O$8</f>
        <v>30.0</v>
      </c>
      <c r="P11" s="324">
        <f> InpS!P$8</f>
        <v>30.0</v>
      </c>
      <c r="Q11" s="324">
        <f> InpS!Q$8</f>
        <v>30.0</v>
      </c>
      <c r="R11" s="324">
        <f> InpS!R$8</f>
        <v>30.0</v>
      </c>
      <c r="S11" s="324">
        <f> InpS!S$8</f>
        <v>30.0</v>
      </c>
      <c r="T11" s="324">
        <f> InpS!T$8</f>
        <v>30.0</v>
      </c>
      <c r="U11" s="324">
        <f> InpS!U$8</f>
        <v>30.0</v>
      </c>
      <c r="V11" s="324">
        <f> InpS!V$8</f>
        <v>30.0</v>
      </c>
      <c r="W11" s="324">
        <f> InpS!W$8</f>
        <v>30.0</v>
      </c>
      <c r="X11" s="324">
        <f> InpS!X$8</f>
        <v>30.0</v>
      </c>
      <c r="Y11" s="324">
        <f> InpS!Y$8</f>
        <v>30.0</v>
      </c>
      <c r="Z11" s="324">
        <f> InpS!Z$8</f>
        <v>30.0</v>
      </c>
      <c r="AA11" s="324">
        <f> InpS!AA$8</f>
        <v>30.0</v>
      </c>
      <c r="AB11" s="324">
        <f> InpS!AB$8</f>
        <v>30.0</v>
      </c>
      <c r="AC11" s="324">
        <f> InpS!AC$8</f>
        <v>30.0</v>
      </c>
      <c r="AD11" s="324">
        <f> InpS!AD$8</f>
        <v>30.0</v>
      </c>
      <c r="AE11" s="324">
        <f> InpS!AE$8</f>
        <v>30.0</v>
      </c>
      <c r="AF11" s="324">
        <f> InpS!AF$8</f>
        <v>30.0</v>
      </c>
      <c r="AG11" s="324">
        <f> InpS!AG$8</f>
        <v>30.0</v>
      </c>
      <c r="AH11" s="324">
        <f> InpS!AH$8</f>
        <v>30.0</v>
      </c>
      <c r="AI11" s="324">
        <f> InpS!AI$8</f>
        <v>30.0</v>
      </c>
      <c r="AJ11" s="324">
        <f> InpS!AJ$8</f>
        <v>30.0</v>
      </c>
      <c r="AK11" s="324">
        <f> InpS!AK$8</f>
        <v>30.0</v>
      </c>
      <c r="AL11" s="324">
        <f> InpS!AL$8</f>
        <v>30.0</v>
      </c>
      <c r="AM11" s="324">
        <f> InpS!AM$8</f>
        <v>30.0</v>
      </c>
      <c r="AN11" s="324">
        <f> InpS!AN$8</f>
        <v>30.0</v>
      </c>
      <c r="AO11" s="324">
        <f> InpS!AO$8</f>
        <v>30.0</v>
      </c>
      <c r="AP11" s="324">
        <f> InpS!AP$8</f>
        <v>30.0</v>
      </c>
      <c r="AQ11" s="324">
        <f> InpS!AQ$8</f>
        <v>30.0</v>
      </c>
      <c r="AR11" s="324">
        <f> InpS!AR$8</f>
        <v>30.0</v>
      </c>
      <c r="AS11" s="324">
        <f> InpS!AS$8</f>
        <v>30.0</v>
      </c>
      <c r="AT11" s="324">
        <f> InpS!AT$8</f>
        <v>30.0</v>
      </c>
      <c r="AU11" s="324">
        <f> InpS!AU$8</f>
        <v>30.0</v>
      </c>
      <c r="AV11" s="324">
        <f> InpS!AV$8</f>
        <v>30.0</v>
      </c>
      <c r="AW11" s="324">
        <f> InpS!AW$8</f>
        <v>30.0</v>
      </c>
      <c r="AX11" s="324">
        <f> InpS!AX$8</f>
        <v>30.0</v>
      </c>
      <c r="AY11" s="324">
        <f> InpS!AY$8</f>
        <v>30.0</v>
      </c>
      <c r="AZ11" s="324">
        <f> InpS!AZ$8</f>
        <v>30.0</v>
      </c>
      <c r="BA11" s="324">
        <f> InpS!BA$8</f>
        <v>30.0</v>
      </c>
      <c r="BB11" s="324">
        <f> InpS!BB$8</f>
        <v>30.0</v>
      </c>
      <c r="BC11" s="324">
        <f> InpS!BC$8</f>
        <v>30.0</v>
      </c>
      <c r="BD11" s="324">
        <f> InpS!BD$8</f>
        <v>30.0</v>
      </c>
      <c r="BE11" s="324">
        <f> InpS!BE$8</f>
        <v>30.0</v>
      </c>
      <c r="BF11" s="324">
        <f> InpS!BF$8</f>
        <v>30.0</v>
      </c>
      <c r="BG11" s="324">
        <f> InpS!BG$8</f>
        <v>30.0</v>
      </c>
      <c r="BH11" s="324">
        <f> InpS!BH$8</f>
        <v>30.0</v>
      </c>
      <c r="BI11" s="324">
        <f> InpS!BI$8</f>
        <v>30.0</v>
      </c>
      <c r="BJ11" s="324">
        <f> InpS!BJ$8</f>
        <v>30.0</v>
      </c>
      <c r="BK11" s="324">
        <f> InpS!BK$8</f>
        <v>30.0</v>
      </c>
      <c r="BL11" s="324">
        <f> InpS!BL$8</f>
        <v>30.0</v>
      </c>
      <c r="BM11" s="324">
        <f> InpS!BM$8</f>
        <v>30.0</v>
      </c>
      <c r="BN11" s="324">
        <f> InpS!BN$8</f>
        <v>30.0</v>
      </c>
      <c r="BO11" s="324">
        <f> InpS!BO$8</f>
        <v>30.0</v>
      </c>
      <c r="BP11" s="324">
        <f> InpS!BP$8</f>
        <v>30.0</v>
      </c>
      <c r="BQ11" s="324">
        <f> InpS!BQ$8</f>
        <v>30.0</v>
      </c>
      <c r="BR11" s="324">
        <f> InpS!BR$8</f>
        <v>30.0</v>
      </c>
      <c r="BS11" s="324">
        <f> InpS!BS$8</f>
        <v>30.0</v>
      </c>
      <c r="BT11" s="324">
        <f> InpS!BT$8</f>
        <v>30.0</v>
      </c>
      <c r="BU11" s="324">
        <f> InpS!BU$8</f>
        <v>30.0</v>
      </c>
      <c r="BV11" s="324">
        <f> InpS!BV$8</f>
        <v>30.0</v>
      </c>
      <c r="BW11" s="324">
        <f> InpS!BW$8</f>
        <v>30.0</v>
      </c>
      <c r="BX11" s="324">
        <f> InpS!BX$8</f>
        <v>30.0</v>
      </c>
      <c r="BY11" s="324">
        <f> InpS!BY$8</f>
        <v>30.0</v>
      </c>
      <c r="BZ11" s="324">
        <f> InpS!BZ$8</f>
        <v>30.0</v>
      </c>
      <c r="CA11" s="324">
        <f> InpS!CA$8</f>
        <v>30.0</v>
      </c>
      <c r="CB11" s="324">
        <f> InpS!CB$8</f>
        <v>30.0</v>
      </c>
      <c r="CC11" s="324">
        <f> InpS!CC$8</f>
        <v>30.0</v>
      </c>
      <c r="CD11" s="324">
        <f> InpS!CD$8</f>
        <v>30.0</v>
      </c>
      <c r="CE11" s="324">
        <f> InpS!CE$8</f>
        <v>30.0</v>
      </c>
      <c r="CF11" s="324">
        <f> InpS!CF$8</f>
        <v>30.0</v>
      </c>
      <c r="CG11" s="324">
        <f> InpS!CG$8</f>
        <v>30.0</v>
      </c>
      <c r="CH11" s="324">
        <f> InpS!CH$8</f>
        <v>30.0</v>
      </c>
      <c r="CI11" s="324">
        <f> InpS!CI$8</f>
        <v>30.0</v>
      </c>
      <c r="CJ11" s="324">
        <f> InpS!CJ$8</f>
        <v>30.0</v>
      </c>
      <c r="CK11" s="324">
        <f> InpS!CK$8</f>
        <v>30.0</v>
      </c>
      <c r="CL11" s="324">
        <f> InpS!CL$8</f>
        <v>30.0</v>
      </c>
      <c r="CM11" s="324">
        <f> InpS!CM$8</f>
        <v>30.0</v>
      </c>
      <c r="CN11" s="324">
        <f> InpS!CN$8</f>
        <v>30.0</v>
      </c>
      <c r="CO11" s="324">
        <f> InpS!CO$8</f>
        <v>30.0</v>
      </c>
    </row>
    <row r="12">
      <c r="E12" s="324" t="str">
        <f> InpS!E$9</f>
        <v>Trains - international </v>
      </c>
      <c r="F12" s="324">
        <f> InpS!F$9</f>
        <v>0.0</v>
      </c>
      <c r="G12" s="324" t="str">
        <f> InpS!G$9</f>
        <v>trains</v>
      </c>
      <c r="H12" s="324">
        <f> InpS!H$9</f>
        <v>1326.0</v>
      </c>
      <c r="I12" s="324">
        <f> InpS!I$9</f>
        <v>0.0</v>
      </c>
      <c r="J12" s="324">
        <f> InpS!J$9</f>
        <v>10.0</v>
      </c>
      <c r="K12" s="324">
        <f> InpS!K$9</f>
        <v>12.0</v>
      </c>
      <c r="L12" s="324">
        <f> InpS!L$9</f>
        <v>12.0</v>
      </c>
      <c r="M12" s="324">
        <f> InpS!M$9</f>
        <v>14.0</v>
      </c>
      <c r="N12" s="324">
        <f> InpS!N$9</f>
        <v>14.0</v>
      </c>
      <c r="O12" s="324">
        <f> InpS!O$9</f>
        <v>16.0</v>
      </c>
      <c r="P12" s="324">
        <f> InpS!P$9</f>
        <v>16.0</v>
      </c>
      <c r="Q12" s="324">
        <f> InpS!Q$9</f>
        <v>16.0</v>
      </c>
      <c r="R12" s="324">
        <f> InpS!R$9</f>
        <v>16.0</v>
      </c>
      <c r="S12" s="324">
        <f> InpS!S$9</f>
        <v>16.0</v>
      </c>
      <c r="T12" s="324">
        <f> InpS!T$9</f>
        <v>16.0</v>
      </c>
      <c r="U12" s="324">
        <f> InpS!U$9</f>
        <v>16.0</v>
      </c>
      <c r="V12" s="324">
        <f> InpS!V$9</f>
        <v>16.0</v>
      </c>
      <c r="W12" s="324">
        <f> InpS!W$9</f>
        <v>16.0</v>
      </c>
      <c r="X12" s="324">
        <f> InpS!X$9</f>
        <v>16.0</v>
      </c>
      <c r="Y12" s="324">
        <f> InpS!Y$9</f>
        <v>16.0</v>
      </c>
      <c r="Z12" s="324">
        <f> InpS!Z$9</f>
        <v>16.0</v>
      </c>
      <c r="AA12" s="324">
        <f> InpS!AA$9</f>
        <v>16.0</v>
      </c>
      <c r="AB12" s="324">
        <f> InpS!AB$9</f>
        <v>16.0</v>
      </c>
      <c r="AC12" s="324">
        <f> InpS!AC$9</f>
        <v>16.0</v>
      </c>
      <c r="AD12" s="324">
        <f> InpS!AD$9</f>
        <v>16.0</v>
      </c>
      <c r="AE12" s="324">
        <f> InpS!AE$9</f>
        <v>16.0</v>
      </c>
      <c r="AF12" s="324">
        <f> InpS!AF$9</f>
        <v>16.0</v>
      </c>
      <c r="AG12" s="324">
        <f> InpS!AG$9</f>
        <v>16.0</v>
      </c>
      <c r="AH12" s="324">
        <f> InpS!AH$9</f>
        <v>16.0</v>
      </c>
      <c r="AI12" s="324">
        <f> InpS!AI$9</f>
        <v>16.0</v>
      </c>
      <c r="AJ12" s="324">
        <f> InpS!AJ$9</f>
        <v>16.0</v>
      </c>
      <c r="AK12" s="324">
        <f> InpS!AK$9</f>
        <v>16.0</v>
      </c>
      <c r="AL12" s="324">
        <f> InpS!AL$9</f>
        <v>16.0</v>
      </c>
      <c r="AM12" s="324">
        <f> InpS!AM$9</f>
        <v>16.0</v>
      </c>
      <c r="AN12" s="324">
        <f> InpS!AN$9</f>
        <v>16.0</v>
      </c>
      <c r="AO12" s="324">
        <f> InpS!AO$9</f>
        <v>16.0</v>
      </c>
      <c r="AP12" s="324">
        <f> InpS!AP$9</f>
        <v>16.0</v>
      </c>
      <c r="AQ12" s="324">
        <f> InpS!AQ$9</f>
        <v>16.0</v>
      </c>
      <c r="AR12" s="324">
        <f> InpS!AR$9</f>
        <v>16.0</v>
      </c>
      <c r="AS12" s="324">
        <f> InpS!AS$9</f>
        <v>16.0</v>
      </c>
      <c r="AT12" s="324">
        <f> InpS!AT$9</f>
        <v>16.0</v>
      </c>
      <c r="AU12" s="324">
        <f> InpS!AU$9</f>
        <v>16.0</v>
      </c>
      <c r="AV12" s="324">
        <f> InpS!AV$9</f>
        <v>16.0</v>
      </c>
      <c r="AW12" s="324">
        <f> InpS!AW$9</f>
        <v>16.0</v>
      </c>
      <c r="AX12" s="324">
        <f> InpS!AX$9</f>
        <v>16.0</v>
      </c>
      <c r="AY12" s="324">
        <f> InpS!AY$9</f>
        <v>16.0</v>
      </c>
      <c r="AZ12" s="324">
        <f> InpS!AZ$9</f>
        <v>16.0</v>
      </c>
      <c r="BA12" s="324">
        <f> InpS!BA$9</f>
        <v>16.0</v>
      </c>
      <c r="BB12" s="324">
        <f> InpS!BB$9</f>
        <v>16.0</v>
      </c>
      <c r="BC12" s="324">
        <f> InpS!BC$9</f>
        <v>16.0</v>
      </c>
      <c r="BD12" s="324">
        <f> InpS!BD$9</f>
        <v>16.0</v>
      </c>
      <c r="BE12" s="324">
        <f> InpS!BE$9</f>
        <v>16.0</v>
      </c>
      <c r="BF12" s="324">
        <f> InpS!BF$9</f>
        <v>16.0</v>
      </c>
      <c r="BG12" s="324">
        <f> InpS!BG$9</f>
        <v>16.0</v>
      </c>
      <c r="BH12" s="324">
        <f> InpS!BH$9</f>
        <v>16.0</v>
      </c>
      <c r="BI12" s="324">
        <f> InpS!BI$9</f>
        <v>16.0</v>
      </c>
      <c r="BJ12" s="324">
        <f> InpS!BJ$9</f>
        <v>16.0</v>
      </c>
      <c r="BK12" s="324">
        <f> InpS!BK$9</f>
        <v>16.0</v>
      </c>
      <c r="BL12" s="324">
        <f> InpS!BL$9</f>
        <v>16.0</v>
      </c>
      <c r="BM12" s="324">
        <f> InpS!BM$9</f>
        <v>16.0</v>
      </c>
      <c r="BN12" s="324">
        <f> InpS!BN$9</f>
        <v>16.0</v>
      </c>
      <c r="BO12" s="324">
        <f> InpS!BO$9</f>
        <v>16.0</v>
      </c>
      <c r="BP12" s="324">
        <f> InpS!BP$9</f>
        <v>16.0</v>
      </c>
      <c r="BQ12" s="324">
        <f> InpS!BQ$9</f>
        <v>16.0</v>
      </c>
      <c r="BR12" s="324">
        <f> InpS!BR$9</f>
        <v>16.0</v>
      </c>
      <c r="BS12" s="324">
        <f> InpS!BS$9</f>
        <v>16.0</v>
      </c>
      <c r="BT12" s="324">
        <f> InpS!BT$9</f>
        <v>16.0</v>
      </c>
      <c r="BU12" s="324">
        <f> InpS!BU$9</f>
        <v>16.0</v>
      </c>
      <c r="BV12" s="324">
        <f> InpS!BV$9</f>
        <v>16.0</v>
      </c>
      <c r="BW12" s="324">
        <f> InpS!BW$9</f>
        <v>16.0</v>
      </c>
      <c r="BX12" s="324">
        <f> InpS!BX$9</f>
        <v>16.0</v>
      </c>
      <c r="BY12" s="324">
        <f> InpS!BY$9</f>
        <v>16.0</v>
      </c>
      <c r="BZ12" s="324">
        <f> InpS!BZ$9</f>
        <v>16.0</v>
      </c>
      <c r="CA12" s="324">
        <f> InpS!CA$9</f>
        <v>16.0</v>
      </c>
      <c r="CB12" s="324">
        <f> InpS!CB$9</f>
        <v>16.0</v>
      </c>
      <c r="CC12" s="324">
        <f> InpS!CC$9</f>
        <v>16.0</v>
      </c>
      <c r="CD12" s="324">
        <f> InpS!CD$9</f>
        <v>16.0</v>
      </c>
      <c r="CE12" s="324">
        <f> InpS!CE$9</f>
        <v>16.0</v>
      </c>
      <c r="CF12" s="324">
        <f> InpS!CF$9</f>
        <v>16.0</v>
      </c>
      <c r="CG12" s="324">
        <f> InpS!CG$9</f>
        <v>16.0</v>
      </c>
      <c r="CH12" s="324">
        <f> InpS!CH$9</f>
        <v>16.0</v>
      </c>
      <c r="CI12" s="324">
        <f> InpS!CI$9</f>
        <v>16.0</v>
      </c>
      <c r="CJ12" s="324">
        <f> InpS!CJ$9</f>
        <v>16.0</v>
      </c>
      <c r="CK12" s="324">
        <f> InpS!CK$9</f>
        <v>16.0</v>
      </c>
      <c r="CL12" s="324">
        <f> InpS!CL$9</f>
        <v>16.0</v>
      </c>
      <c r="CM12" s="324">
        <f> InpS!CM$9</f>
        <v>16.0</v>
      </c>
      <c r="CN12" s="324">
        <f> InpS!CN$9</f>
        <v>16.0</v>
      </c>
      <c r="CO12" s="324">
        <f> InpS!CO$9</f>
        <v>16.0</v>
      </c>
    </row>
    <row r="13">
      <c r="E13" s="325" t="n"/>
      <c r="F13" s="325" t="n"/>
      <c r="G13" s="325" t="n"/>
      <c r="H13" s="325" t="n"/>
      <c r="I13" s="325" t="n"/>
      <c r="J13" s="325" t="n"/>
      <c r="K13" s="325" t="n"/>
      <c r="L13" s="325" t="n"/>
      <c r="M13" s="325" t="n"/>
      <c r="N13" s="325" t="n"/>
      <c r="O13" s="325" t="n"/>
      <c r="P13" s="325" t="n"/>
      <c r="Q13" s="325" t="n"/>
      <c r="R13" s="325" t="n"/>
      <c r="S13" s="325" t="n"/>
      <c r="T13" s="325" t="n"/>
      <c r="U13" s="325" t="n"/>
      <c r="V13" s="325" t="n"/>
      <c r="W13" s="325" t="n"/>
      <c r="X13" s="325" t="n"/>
      <c r="Y13" s="325" t="n"/>
      <c r="Z13" s="325" t="n"/>
      <c r="AA13" s="325" t="n"/>
      <c r="AB13" s="325" t="n"/>
      <c r="AC13" s="325" t="n"/>
      <c r="AD13" s="325" t="n"/>
      <c r="AE13" s="325" t="n"/>
      <c r="AF13" s="325" t="n"/>
      <c r="AG13" s="325" t="n"/>
      <c r="AH13" s="325" t="n"/>
      <c r="AI13" s="325" t="n"/>
      <c r="AJ13" s="325" t="n"/>
      <c r="AK13" s="325" t="n"/>
      <c r="AL13" s="325" t="n"/>
      <c r="AM13" s="325" t="n"/>
      <c r="AN13" s="325" t="n"/>
      <c r="AO13" s="325" t="n"/>
      <c r="AP13" s="325" t="n"/>
      <c r="AQ13" s="325" t="n"/>
      <c r="AR13" s="325" t="n"/>
      <c r="AS13" s="325" t="n"/>
      <c r="AT13" s="325" t="n"/>
      <c r="AU13" s="325" t="n"/>
      <c r="AV13" s="325" t="n"/>
      <c r="AW13" s="325" t="n"/>
      <c r="AX13" s="325" t="n"/>
      <c r="AY13" s="325" t="n"/>
      <c r="AZ13" s="325" t="n"/>
      <c r="BA13" s="325" t="n"/>
      <c r="BB13" s="325" t="n"/>
      <c r="BC13" s="325" t="n"/>
      <c r="BD13" s="325" t="n"/>
      <c r="BE13" s="325" t="n"/>
      <c r="BF13" s="325" t="n"/>
      <c r="BG13" s="325" t="n"/>
      <c r="BH13" s="325" t="n"/>
      <c r="BI13" s="325" t="n"/>
      <c r="BJ13" s="325" t="n"/>
      <c r="BK13" s="325" t="n"/>
      <c r="BL13" s="325" t="n"/>
      <c r="BM13" s="325" t="n"/>
      <c r="BN13" s="325" t="n"/>
      <c r="BO13" s="325" t="n"/>
      <c r="BP13" s="325" t="n"/>
      <c r="BQ13" s="325" t="n"/>
      <c r="BR13" s="325" t="n"/>
      <c r="BS13" s="325" t="n"/>
      <c r="BT13" s="325" t="n"/>
      <c r="BU13" s="325" t="n"/>
      <c r="BV13" s="325" t="n"/>
      <c r="BW13" s="325" t="n"/>
      <c r="BX13" s="325" t="n"/>
      <c r="BY13" s="325" t="n"/>
      <c r="BZ13" s="325" t="n"/>
      <c r="CA13" s="325" t="n"/>
      <c r="CB13" s="325" t="n"/>
      <c r="CC13" s="325" t="n"/>
      <c r="CD13" s="325" t="n"/>
      <c r="CE13" s="325" t="n"/>
      <c r="CF13" s="325" t="n"/>
      <c r="CG13" s="325" t="n"/>
      <c r="CH13" s="325" t="n"/>
      <c r="CI13" s="325" t="n"/>
      <c r="CJ13" s="325" t="n"/>
      <c r="CK13" s="325" t="n"/>
      <c r="CL13" s="325" t="n"/>
      <c r="CM13" s="325" t="n"/>
      <c r="CN13" s="325" t="n"/>
      <c r="CO13" s="325" t="n"/>
    </row>
    <row r="14">
      <c r="E14" s="324" t="str">
        <f> InpS!E$11</f>
        <v>Arrivals per train - domestic </v>
      </c>
      <c r="F14" s="324">
        <f> InpS!F$11</f>
        <v>0.0</v>
      </c>
      <c r="G14" s="324" t="str">
        <f> InpS!G$11</f>
        <v>arrivals / train</v>
      </c>
      <c r="H14" s="324">
        <f> InpS!H$11</f>
        <v>0.0</v>
      </c>
      <c r="I14" s="324">
        <f> InpS!I$11</f>
        <v>0.0</v>
      </c>
      <c r="J14" s="324">
        <f> InpS!J$11</f>
        <v>370.0</v>
      </c>
      <c r="K14" s="324">
        <f> InpS!K$11</f>
        <v>350.0</v>
      </c>
      <c r="L14" s="324">
        <f> InpS!L$11</f>
        <v>370.0</v>
      </c>
      <c r="M14" s="324">
        <f> InpS!M$11</f>
        <v>350.0</v>
      </c>
      <c r="N14" s="324">
        <f> InpS!N$11</f>
        <v>370.0</v>
      </c>
      <c r="O14" s="324">
        <f> InpS!O$11</f>
        <v>350.0</v>
      </c>
      <c r="P14" s="324">
        <f> InpS!P$11</f>
        <v>370.0</v>
      </c>
      <c r="Q14" s="324">
        <f> InpS!Q$11</f>
        <v>350.0</v>
      </c>
      <c r="R14" s="324">
        <f> InpS!R$11</f>
        <v>370.0</v>
      </c>
      <c r="S14" s="324">
        <f> InpS!S$11</f>
        <v>350.0</v>
      </c>
      <c r="T14" s="324">
        <f> InpS!T$11</f>
        <v>370.0</v>
      </c>
      <c r="U14" s="324">
        <f> InpS!U$11</f>
        <v>350.0</v>
      </c>
      <c r="V14" s="324">
        <f> InpS!V$11</f>
        <v>370.0</v>
      </c>
      <c r="W14" s="324">
        <f> InpS!W$11</f>
        <v>350.0</v>
      </c>
      <c r="X14" s="324">
        <f> InpS!X$11</f>
        <v>370.0</v>
      </c>
      <c r="Y14" s="324">
        <f> InpS!Y$11</f>
        <v>350.0</v>
      </c>
      <c r="Z14" s="324">
        <f> InpS!Z$11</f>
        <v>370.0</v>
      </c>
      <c r="AA14" s="324">
        <f> InpS!AA$11</f>
        <v>350.0</v>
      </c>
      <c r="AB14" s="324">
        <f> InpS!AB$11</f>
        <v>370.0</v>
      </c>
      <c r="AC14" s="324">
        <f> InpS!AC$11</f>
        <v>350.0</v>
      </c>
      <c r="AD14" s="324">
        <f> InpS!AD$11</f>
        <v>370.0</v>
      </c>
      <c r="AE14" s="324">
        <f> InpS!AE$11</f>
        <v>350.0</v>
      </c>
      <c r="AF14" s="324">
        <f> InpS!AF$11</f>
        <v>370.0</v>
      </c>
      <c r="AG14" s="324">
        <f> InpS!AG$11</f>
        <v>350.0</v>
      </c>
      <c r="AH14" s="324">
        <f> InpS!AH$11</f>
        <v>370.0</v>
      </c>
      <c r="AI14" s="324">
        <f> InpS!AI$11</f>
        <v>350.0</v>
      </c>
      <c r="AJ14" s="324">
        <f> InpS!AJ$11</f>
        <v>370.0</v>
      </c>
      <c r="AK14" s="324">
        <f> InpS!AK$11</f>
        <v>350.0</v>
      </c>
      <c r="AL14" s="324">
        <f> InpS!AL$11</f>
        <v>370.0</v>
      </c>
      <c r="AM14" s="324">
        <f> InpS!AM$11</f>
        <v>350.0</v>
      </c>
      <c r="AN14" s="324">
        <f> InpS!AN$11</f>
        <v>370.0</v>
      </c>
      <c r="AO14" s="324">
        <f> InpS!AO$11</f>
        <v>350.0</v>
      </c>
      <c r="AP14" s="324">
        <f> InpS!AP$11</f>
        <v>370.0</v>
      </c>
      <c r="AQ14" s="324">
        <f> InpS!AQ$11</f>
        <v>350.0</v>
      </c>
      <c r="AR14" s="324">
        <f> InpS!AR$11</f>
        <v>370.0</v>
      </c>
      <c r="AS14" s="324">
        <f> InpS!AS$11</f>
        <v>350.0</v>
      </c>
      <c r="AT14" s="324">
        <f> InpS!AT$11</f>
        <v>370.0</v>
      </c>
      <c r="AU14" s="324">
        <f> InpS!AU$11</f>
        <v>350.0</v>
      </c>
      <c r="AV14" s="324">
        <f> InpS!AV$11</f>
        <v>370.0</v>
      </c>
      <c r="AW14" s="324">
        <f> InpS!AW$11</f>
        <v>350.0</v>
      </c>
      <c r="AX14" s="324">
        <f> InpS!AX$11</f>
        <v>370.0</v>
      </c>
      <c r="AY14" s="324">
        <f> InpS!AY$11</f>
        <v>350.0</v>
      </c>
      <c r="AZ14" s="324">
        <f> InpS!AZ$11</f>
        <v>370.0</v>
      </c>
      <c r="BA14" s="324">
        <f> InpS!BA$11</f>
        <v>350.0</v>
      </c>
      <c r="BB14" s="324">
        <f> InpS!BB$11</f>
        <v>370.0</v>
      </c>
      <c r="BC14" s="324">
        <f> InpS!BC$11</f>
        <v>350.0</v>
      </c>
      <c r="BD14" s="324">
        <f> InpS!BD$11</f>
        <v>370.0</v>
      </c>
      <c r="BE14" s="324">
        <f> InpS!BE$11</f>
        <v>350.0</v>
      </c>
      <c r="BF14" s="324">
        <f> InpS!BF$11</f>
        <v>370.0</v>
      </c>
      <c r="BG14" s="324">
        <f> InpS!BG$11</f>
        <v>350.0</v>
      </c>
      <c r="BH14" s="324">
        <f> InpS!BH$11</f>
        <v>350.0</v>
      </c>
      <c r="BI14" s="324">
        <f> InpS!BI$11</f>
        <v>370.0</v>
      </c>
      <c r="BJ14" s="324">
        <f> InpS!BJ$11</f>
        <v>350.0</v>
      </c>
      <c r="BK14" s="324">
        <f> InpS!BK$11</f>
        <v>370.0</v>
      </c>
      <c r="BL14" s="324">
        <f> InpS!BL$11</f>
        <v>350.0</v>
      </c>
      <c r="BM14" s="324">
        <f> InpS!BM$11</f>
        <v>370.0</v>
      </c>
      <c r="BN14" s="324">
        <f> InpS!BN$11</f>
        <v>350.0</v>
      </c>
      <c r="BO14" s="324">
        <f> InpS!BO$11</f>
        <v>370.0</v>
      </c>
      <c r="BP14" s="324">
        <f> InpS!BP$11</f>
        <v>350.0</v>
      </c>
      <c r="BQ14" s="324">
        <f> InpS!BQ$11</f>
        <v>350.0</v>
      </c>
      <c r="BR14" s="324">
        <f> InpS!BR$11</f>
        <v>370.0</v>
      </c>
      <c r="BS14" s="324">
        <f> InpS!BS$11</f>
        <v>350.0</v>
      </c>
      <c r="BT14" s="324">
        <f> InpS!BT$11</f>
        <v>370.0</v>
      </c>
      <c r="BU14" s="324">
        <f> InpS!BU$11</f>
        <v>350.0</v>
      </c>
      <c r="BV14" s="324">
        <f> InpS!BV$11</f>
        <v>370.0</v>
      </c>
      <c r="BW14" s="324">
        <f> InpS!BW$11</f>
        <v>370.0</v>
      </c>
      <c r="BX14" s="324">
        <f> InpS!BX$11</f>
        <v>370.0</v>
      </c>
      <c r="BY14" s="324">
        <f> InpS!BY$11</f>
        <v>370.0</v>
      </c>
      <c r="BZ14" s="324">
        <f> InpS!BZ$11</f>
        <v>370.0</v>
      </c>
      <c r="CA14" s="324">
        <f> InpS!CA$11</f>
        <v>370.0</v>
      </c>
      <c r="CB14" s="324">
        <f> InpS!CB$11</f>
        <v>370.0</v>
      </c>
      <c r="CC14" s="324">
        <f> InpS!CC$11</f>
        <v>370.0</v>
      </c>
      <c r="CD14" s="324">
        <f> InpS!CD$11</f>
        <v>370.0</v>
      </c>
      <c r="CE14" s="324">
        <f> InpS!CE$11</f>
        <v>370.0</v>
      </c>
      <c r="CF14" s="324">
        <f> InpS!CF$11</f>
        <v>370.0</v>
      </c>
      <c r="CG14" s="324">
        <f> InpS!CG$11</f>
        <v>370.0</v>
      </c>
      <c r="CH14" s="324">
        <f> InpS!CH$11</f>
        <v>370.0</v>
      </c>
      <c r="CI14" s="324">
        <f> InpS!CI$11</f>
        <v>370.0</v>
      </c>
      <c r="CJ14" s="324">
        <f> InpS!CJ$11</f>
        <v>370.0</v>
      </c>
      <c r="CK14" s="324">
        <f> InpS!CK$11</f>
        <v>370.0</v>
      </c>
      <c r="CL14" s="324">
        <f> InpS!CL$11</f>
        <v>370.0</v>
      </c>
      <c r="CM14" s="324">
        <f> InpS!CM$11</f>
        <v>370.0</v>
      </c>
      <c r="CN14" s="324">
        <f> InpS!CN$11</f>
        <v>370.0</v>
      </c>
      <c r="CO14" s="324">
        <f> InpS!CO$11</f>
        <v>370.0</v>
      </c>
    </row>
    <row r="15">
      <c r="E15" s="324" t="str">
        <f> InpS!E$12</f>
        <v>Arrivals per train - international </v>
      </c>
      <c r="F15" s="324">
        <f> InpS!F$12</f>
        <v>0.0</v>
      </c>
      <c r="G15" s="324" t="str">
        <f> InpS!G$12</f>
        <v>arrivals / train</v>
      </c>
      <c r="H15" s="324">
        <f> InpS!H$12</f>
        <v>0.0</v>
      </c>
      <c r="I15" s="324">
        <f> InpS!I$12</f>
        <v>0.0</v>
      </c>
      <c r="J15" s="324">
        <f> InpS!J$12</f>
        <v>34.0</v>
      </c>
      <c r="K15" s="324">
        <f> InpS!K$12</f>
        <v>34.0</v>
      </c>
      <c r="L15" s="324">
        <f> InpS!L$12</f>
        <v>34.0</v>
      </c>
      <c r="M15" s="324">
        <f> InpS!M$12</f>
        <v>44.0</v>
      </c>
      <c r="N15" s="324">
        <f> InpS!N$12</f>
        <v>44.0</v>
      </c>
      <c r="O15" s="324">
        <f> InpS!O$12</f>
        <v>44.0</v>
      </c>
      <c r="P15" s="324">
        <f> InpS!P$12</f>
        <v>44.0</v>
      </c>
      <c r="Q15" s="324">
        <f> InpS!Q$12</f>
        <v>44.0</v>
      </c>
      <c r="R15" s="324">
        <f> InpS!R$12</f>
        <v>44.0</v>
      </c>
      <c r="S15" s="324">
        <f> InpS!S$12</f>
        <v>44.0</v>
      </c>
      <c r="T15" s="324">
        <f> InpS!T$12</f>
        <v>44.0</v>
      </c>
      <c r="U15" s="324">
        <f> InpS!U$12</f>
        <v>44.0</v>
      </c>
      <c r="V15" s="324">
        <f> InpS!V$12</f>
        <v>44.0</v>
      </c>
      <c r="W15" s="324">
        <f> InpS!W$12</f>
        <v>44.0</v>
      </c>
      <c r="X15" s="324">
        <f> InpS!X$12</f>
        <v>44.0</v>
      </c>
      <c r="Y15" s="324">
        <f> InpS!Y$12</f>
        <v>44.0</v>
      </c>
      <c r="Z15" s="324">
        <f> InpS!Z$12</f>
        <v>44.0</v>
      </c>
      <c r="AA15" s="324">
        <f> InpS!AA$12</f>
        <v>44.0</v>
      </c>
      <c r="AB15" s="324">
        <f> InpS!AB$12</f>
        <v>44.0</v>
      </c>
      <c r="AC15" s="324">
        <f> InpS!AC$12</f>
        <v>44.0</v>
      </c>
      <c r="AD15" s="324">
        <f> InpS!AD$12</f>
        <v>44.0</v>
      </c>
      <c r="AE15" s="324">
        <f> InpS!AE$12</f>
        <v>44.0</v>
      </c>
      <c r="AF15" s="324">
        <f> InpS!AF$12</f>
        <v>44.0</v>
      </c>
      <c r="AG15" s="324">
        <f> InpS!AG$12</f>
        <v>44.0</v>
      </c>
      <c r="AH15" s="324">
        <f> InpS!AH$12</f>
        <v>44.0</v>
      </c>
      <c r="AI15" s="324">
        <f> InpS!AI$12</f>
        <v>44.0</v>
      </c>
      <c r="AJ15" s="324">
        <f> InpS!AJ$12</f>
        <v>44.0</v>
      </c>
      <c r="AK15" s="324">
        <f> InpS!AK$12</f>
        <v>44.0</v>
      </c>
      <c r="AL15" s="324">
        <f> InpS!AL$12</f>
        <v>44.0</v>
      </c>
      <c r="AM15" s="324">
        <f> InpS!AM$12</f>
        <v>44.0</v>
      </c>
      <c r="AN15" s="324">
        <f> InpS!AN$12</f>
        <v>44.0</v>
      </c>
      <c r="AO15" s="324">
        <f> InpS!AO$12</f>
        <v>44.0</v>
      </c>
      <c r="AP15" s="324">
        <f> InpS!AP$12</f>
        <v>44.0</v>
      </c>
      <c r="AQ15" s="324">
        <f> InpS!AQ$12</f>
        <v>44.0</v>
      </c>
      <c r="AR15" s="324">
        <f> InpS!AR$12</f>
        <v>44.0</v>
      </c>
      <c r="AS15" s="324">
        <f> InpS!AS$12</f>
        <v>44.0</v>
      </c>
      <c r="AT15" s="324">
        <f> InpS!AT$12</f>
        <v>44.0</v>
      </c>
      <c r="AU15" s="324">
        <f> InpS!AU$12</f>
        <v>44.0</v>
      </c>
      <c r="AV15" s="324">
        <f> InpS!AV$12</f>
        <v>44.0</v>
      </c>
      <c r="AW15" s="324">
        <f> InpS!AW$12</f>
        <v>44.0</v>
      </c>
      <c r="AX15" s="324">
        <f> InpS!AX$12</f>
        <v>44.0</v>
      </c>
      <c r="AY15" s="324">
        <f> InpS!AY$12</f>
        <v>44.0</v>
      </c>
      <c r="AZ15" s="324">
        <f> InpS!AZ$12</f>
        <v>44.0</v>
      </c>
      <c r="BA15" s="324">
        <f> InpS!BA$12</f>
        <v>44.0</v>
      </c>
      <c r="BB15" s="324">
        <f> InpS!BB$12</f>
        <v>44.0</v>
      </c>
      <c r="BC15" s="324">
        <f> InpS!BC$12</f>
        <v>44.0</v>
      </c>
      <c r="BD15" s="324">
        <f> InpS!BD$12</f>
        <v>44.0</v>
      </c>
      <c r="BE15" s="324">
        <f> InpS!BE$12</f>
        <v>44.0</v>
      </c>
      <c r="BF15" s="324">
        <f> InpS!BF$12</f>
        <v>44.0</v>
      </c>
      <c r="BG15" s="324">
        <f> InpS!BG$12</f>
        <v>44.0</v>
      </c>
      <c r="BH15" s="324">
        <f> InpS!BH$12</f>
        <v>44.0</v>
      </c>
      <c r="BI15" s="324">
        <f> InpS!BI$12</f>
        <v>44.0</v>
      </c>
      <c r="BJ15" s="324">
        <f> InpS!BJ$12</f>
        <v>44.0</v>
      </c>
      <c r="BK15" s="324">
        <f> InpS!BK$12</f>
        <v>44.0</v>
      </c>
      <c r="BL15" s="324">
        <f> InpS!BL$12</f>
        <v>44.0</v>
      </c>
      <c r="BM15" s="324">
        <f> InpS!BM$12</f>
        <v>44.0</v>
      </c>
      <c r="BN15" s="324">
        <f> InpS!BN$12</f>
        <v>44.0</v>
      </c>
      <c r="BO15" s="324">
        <f> InpS!BO$12</f>
        <v>44.0</v>
      </c>
      <c r="BP15" s="324">
        <f> InpS!BP$12</f>
        <v>44.0</v>
      </c>
      <c r="BQ15" s="324">
        <f> InpS!BQ$12</f>
        <v>44.0</v>
      </c>
      <c r="BR15" s="324">
        <f> InpS!BR$12</f>
        <v>44.0</v>
      </c>
      <c r="BS15" s="324">
        <f> InpS!BS$12</f>
        <v>44.0</v>
      </c>
      <c r="BT15" s="324">
        <f> InpS!BT$12</f>
        <v>44.0</v>
      </c>
      <c r="BU15" s="324">
        <f> InpS!BU$12</f>
        <v>44.0</v>
      </c>
      <c r="BV15" s="324">
        <f> InpS!BV$12</f>
        <v>44.0</v>
      </c>
      <c r="BW15" s="324">
        <f> InpS!BW$12</f>
        <v>44.0</v>
      </c>
      <c r="BX15" s="324">
        <f> InpS!BX$12</f>
        <v>44.0</v>
      </c>
      <c r="BY15" s="324">
        <f> InpS!BY$12</f>
        <v>44.0</v>
      </c>
      <c r="BZ15" s="324">
        <f> InpS!BZ$12</f>
        <v>44.0</v>
      </c>
      <c r="CA15" s="324">
        <f> InpS!CA$12</f>
        <v>44.0</v>
      </c>
      <c r="CB15" s="324">
        <f> InpS!CB$12</f>
        <v>44.0</v>
      </c>
      <c r="CC15" s="324">
        <f> InpS!CC$12</f>
        <v>44.0</v>
      </c>
      <c r="CD15" s="324">
        <f> InpS!CD$12</f>
        <v>44.0</v>
      </c>
      <c r="CE15" s="324">
        <f> InpS!CE$12</f>
        <v>44.0</v>
      </c>
      <c r="CF15" s="324">
        <f> InpS!CF$12</f>
        <v>44.0</v>
      </c>
      <c r="CG15" s="324">
        <f> InpS!CG$12</f>
        <v>44.0</v>
      </c>
      <c r="CH15" s="324">
        <f> InpS!CH$12</f>
        <v>44.0</v>
      </c>
      <c r="CI15" s="324">
        <f> InpS!CI$12</f>
        <v>44.0</v>
      </c>
      <c r="CJ15" s="324">
        <f> InpS!CJ$12</f>
        <v>44.0</v>
      </c>
      <c r="CK15" s="324">
        <f> InpS!CK$12</f>
        <v>44.0</v>
      </c>
      <c r="CL15" s="324">
        <f> InpS!CL$12</f>
        <v>44.0</v>
      </c>
      <c r="CM15" s="324">
        <f> InpS!CM$12</f>
        <v>44.0</v>
      </c>
      <c r="CN15" s="324">
        <f> InpS!CN$12</f>
        <v>44.0</v>
      </c>
      <c r="CO15" s="324">
        <f> InpS!CO$12</f>
        <v>44.0</v>
      </c>
    </row>
    <row r="16">
      <c r="E16" s="325" t="n"/>
      <c r="F16" s="325" t="n"/>
      <c r="G16" s="325" t="n"/>
      <c r="H16" s="325" t="n"/>
      <c r="I16" s="325" t="n"/>
      <c r="J16" s="325" t="n"/>
      <c r="K16" s="325" t="n"/>
      <c r="L16" s="325" t="n"/>
      <c r="M16" s="325" t="n"/>
      <c r="N16" s="325" t="n"/>
      <c r="O16" s="325" t="n"/>
      <c r="P16" s="325" t="n"/>
      <c r="Q16" s="325" t="n"/>
      <c r="R16" s="325" t="n"/>
      <c r="S16" s="325" t="n"/>
      <c r="T16" s="325" t="n"/>
      <c r="U16" s="325" t="n"/>
      <c r="V16" s="325" t="n"/>
      <c r="W16" s="325" t="n"/>
      <c r="X16" s="325" t="n"/>
      <c r="Y16" s="325" t="n"/>
      <c r="Z16" s="325" t="n"/>
      <c r="AA16" s="325" t="n"/>
      <c r="AB16" s="325" t="n"/>
      <c r="AC16" s="325" t="n"/>
      <c r="AD16" s="325" t="n"/>
      <c r="AE16" s="325" t="n"/>
      <c r="AF16" s="325" t="n"/>
      <c r="AG16" s="325" t="n"/>
      <c r="AH16" s="325" t="n"/>
      <c r="AI16" s="325" t="n"/>
      <c r="AJ16" s="325" t="n"/>
      <c r="AK16" s="325" t="n"/>
      <c r="AL16" s="325" t="n"/>
      <c r="AM16" s="325" t="n"/>
      <c r="AN16" s="325" t="n"/>
      <c r="AO16" s="325" t="n"/>
      <c r="AP16" s="325" t="n"/>
      <c r="AQ16" s="325" t="n"/>
      <c r="AR16" s="325" t="n"/>
      <c r="AS16" s="325" t="n"/>
      <c r="AT16" s="325" t="n"/>
      <c r="AU16" s="325" t="n"/>
      <c r="AV16" s="325" t="n"/>
      <c r="AW16" s="325" t="n"/>
      <c r="AX16" s="325" t="n"/>
      <c r="AY16" s="325" t="n"/>
      <c r="AZ16" s="325" t="n"/>
      <c r="BA16" s="325" t="n"/>
      <c r="BB16" s="325" t="n"/>
      <c r="BC16" s="325" t="n"/>
      <c r="BD16" s="325" t="n"/>
      <c r="BE16" s="325" t="n"/>
      <c r="BF16" s="325" t="n"/>
      <c r="BG16" s="325" t="n"/>
      <c r="BH16" s="325" t="n"/>
      <c r="BI16" s="325" t="n"/>
      <c r="BJ16" s="325" t="n"/>
      <c r="BK16" s="325" t="n"/>
      <c r="BL16" s="325" t="n"/>
      <c r="BM16" s="325" t="n"/>
      <c r="BN16" s="325" t="n"/>
      <c r="BO16" s="325" t="n"/>
      <c r="BP16" s="325" t="n"/>
      <c r="BQ16" s="325" t="n"/>
      <c r="BR16" s="325" t="n"/>
      <c r="BS16" s="325" t="n"/>
      <c r="BT16" s="325" t="n"/>
      <c r="BU16" s="325" t="n"/>
      <c r="BV16" s="325" t="n"/>
      <c r="BW16" s="325" t="n"/>
      <c r="BX16" s="325" t="n"/>
      <c r="BY16" s="325" t="n"/>
      <c r="BZ16" s="325" t="n"/>
      <c r="CA16" s="325" t="n"/>
      <c r="CB16" s="325" t="n"/>
      <c r="CC16" s="325" t="n"/>
      <c r="CD16" s="325" t="n"/>
      <c r="CE16" s="325" t="n"/>
      <c r="CF16" s="325" t="n"/>
      <c r="CG16" s="325" t="n"/>
      <c r="CH16" s="325" t="n"/>
      <c r="CI16" s="325" t="n"/>
      <c r="CJ16" s="325" t="n"/>
      <c r="CK16" s="325" t="n"/>
      <c r="CL16" s="325" t="n"/>
      <c r="CM16" s="325" t="n"/>
      <c r="CN16" s="325" t="n"/>
      <c r="CO16" s="325" t="n"/>
    </row>
    <row r="17">
      <c r="E17" s="325" t="str">
        <f> Time!E$69</f>
        <v>Forecast period flag</v>
      </c>
      <c r="F17" s="325">
        <f> Time!F$69</f>
        <v>0.0</v>
      </c>
      <c r="G17" s="325" t="str">
        <f> Time!G$69</f>
        <v>flag</v>
      </c>
      <c r="H17" s="325">
        <f> Time!H$69</f>
        <v>80.0</v>
      </c>
      <c r="I17" s="325">
        <f> Time!I$69</f>
        <v>0.0</v>
      </c>
      <c r="J17" s="325">
        <f> Time!J$69</f>
        <v>0.0</v>
      </c>
      <c r="K17" s="325">
        <f> Time!K$69</f>
        <v>0.0</v>
      </c>
      <c r="L17" s="325">
        <f> Time!L$69</f>
        <v>1.0</v>
      </c>
      <c r="M17" s="325">
        <f> Time!M$69</f>
        <v>1.0</v>
      </c>
      <c r="N17" s="325">
        <f> Time!N$69</f>
        <v>1.0</v>
      </c>
      <c r="O17" s="325">
        <f> Time!O$69</f>
        <v>1.0</v>
      </c>
      <c r="P17" s="325">
        <f> Time!P$69</f>
        <v>1.0</v>
      </c>
      <c r="Q17" s="325">
        <f> Time!Q$69</f>
        <v>1.0</v>
      </c>
      <c r="R17" s="325">
        <f> Time!R$69</f>
        <v>1.0</v>
      </c>
      <c r="S17" s="325">
        <f> Time!S$69</f>
        <v>1.0</v>
      </c>
      <c r="T17" s="325">
        <f> Time!T$69</f>
        <v>1.0</v>
      </c>
      <c r="U17" s="325">
        <f> Time!U$69</f>
        <v>1.0</v>
      </c>
      <c r="V17" s="325">
        <f> Time!V$69</f>
        <v>1.0</v>
      </c>
      <c r="W17" s="325">
        <f> Time!W$69</f>
        <v>1.0</v>
      </c>
      <c r="X17" s="325">
        <f> Time!X$69</f>
        <v>1.0</v>
      </c>
      <c r="Y17" s="325">
        <f> Time!Y$69</f>
        <v>1.0</v>
      </c>
      <c r="Z17" s="325">
        <f> Time!Z$69</f>
        <v>1.0</v>
      </c>
      <c r="AA17" s="325">
        <f> Time!AA$69</f>
        <v>1.0</v>
      </c>
      <c r="AB17" s="325">
        <f> Time!AB$69</f>
        <v>1.0</v>
      </c>
      <c r="AC17" s="325">
        <f> Time!AC$69</f>
        <v>1.0</v>
      </c>
      <c r="AD17" s="325">
        <f> Time!AD$69</f>
        <v>1.0</v>
      </c>
      <c r="AE17" s="325">
        <f> Time!AE$69</f>
        <v>1.0</v>
      </c>
      <c r="AF17" s="325">
        <f> Time!AF$69</f>
        <v>1.0</v>
      </c>
      <c r="AG17" s="325">
        <f> Time!AG$69</f>
        <v>1.0</v>
      </c>
      <c r="AH17" s="325">
        <f> Time!AH$69</f>
        <v>1.0</v>
      </c>
      <c r="AI17" s="325">
        <f> Time!AI$69</f>
        <v>1.0</v>
      </c>
      <c r="AJ17" s="325">
        <f> Time!AJ$69</f>
        <v>1.0</v>
      </c>
      <c r="AK17" s="325">
        <f> Time!AK$69</f>
        <v>1.0</v>
      </c>
      <c r="AL17" s="325">
        <f> Time!AL$69</f>
        <v>1.0</v>
      </c>
      <c r="AM17" s="325">
        <f> Time!AM$69</f>
        <v>1.0</v>
      </c>
      <c r="AN17" s="325">
        <f> Time!AN$69</f>
        <v>1.0</v>
      </c>
      <c r="AO17" s="325">
        <f> Time!AO$69</f>
        <v>1.0</v>
      </c>
      <c r="AP17" s="325">
        <f> Time!AP$69</f>
        <v>1.0</v>
      </c>
      <c r="AQ17" s="325">
        <f> Time!AQ$69</f>
        <v>1.0</v>
      </c>
      <c r="AR17" s="325">
        <f> Time!AR$69</f>
        <v>1.0</v>
      </c>
      <c r="AS17" s="325">
        <f> Time!AS$69</f>
        <v>1.0</v>
      </c>
      <c r="AT17" s="325">
        <f> Time!AT$69</f>
        <v>1.0</v>
      </c>
      <c r="AU17" s="325">
        <f> Time!AU$69</f>
        <v>1.0</v>
      </c>
      <c r="AV17" s="325">
        <f> Time!AV$69</f>
        <v>1.0</v>
      </c>
      <c r="AW17" s="325">
        <f> Time!AW$69</f>
        <v>1.0</v>
      </c>
      <c r="AX17" s="325">
        <f> Time!AX$69</f>
        <v>1.0</v>
      </c>
      <c r="AY17" s="325">
        <f> Time!AY$69</f>
        <v>1.0</v>
      </c>
      <c r="AZ17" s="325">
        <f> Time!AZ$69</f>
        <v>1.0</v>
      </c>
      <c r="BA17" s="325">
        <f> Time!BA$69</f>
        <v>1.0</v>
      </c>
      <c r="BB17" s="325">
        <f> Time!BB$69</f>
        <v>1.0</v>
      </c>
      <c r="BC17" s="325">
        <f> Time!BC$69</f>
        <v>1.0</v>
      </c>
      <c r="BD17" s="325">
        <f> Time!BD$69</f>
        <v>1.0</v>
      </c>
      <c r="BE17" s="325">
        <f> Time!BE$69</f>
        <v>1.0</v>
      </c>
      <c r="BF17" s="325">
        <f> Time!BF$69</f>
        <v>1.0</v>
      </c>
      <c r="BG17" s="325">
        <f> Time!BG$69</f>
        <v>1.0</v>
      </c>
      <c r="BH17" s="325">
        <f> Time!BH$69</f>
        <v>1.0</v>
      </c>
      <c r="BI17" s="325">
        <f> Time!BI$69</f>
        <v>1.0</v>
      </c>
      <c r="BJ17" s="325">
        <f> Time!BJ$69</f>
        <v>1.0</v>
      </c>
      <c r="BK17" s="325">
        <f> Time!BK$69</f>
        <v>1.0</v>
      </c>
      <c r="BL17" s="325">
        <f> Time!BL$69</f>
        <v>1.0</v>
      </c>
      <c r="BM17" s="325">
        <f> Time!BM$69</f>
        <v>1.0</v>
      </c>
      <c r="BN17" s="325">
        <f> Time!BN$69</f>
        <v>1.0</v>
      </c>
      <c r="BO17" s="325">
        <f> Time!BO$69</f>
        <v>1.0</v>
      </c>
      <c r="BP17" s="325">
        <f> Time!BP$69</f>
        <v>1.0</v>
      </c>
      <c r="BQ17" s="325">
        <f> Time!BQ$69</f>
        <v>1.0</v>
      </c>
      <c r="BR17" s="325">
        <f> Time!BR$69</f>
        <v>1.0</v>
      </c>
      <c r="BS17" s="325">
        <f> Time!BS$69</f>
        <v>1.0</v>
      </c>
      <c r="BT17" s="325">
        <f> Time!BT$69</f>
        <v>1.0</v>
      </c>
      <c r="BU17" s="325">
        <f> Time!BU$69</f>
        <v>1.0</v>
      </c>
      <c r="BV17" s="325">
        <f> Time!BV$69</f>
        <v>1.0</v>
      </c>
      <c r="BW17" s="325">
        <f> Time!BW$69</f>
        <v>1.0</v>
      </c>
      <c r="BX17" s="325">
        <f> Time!BX$69</f>
        <v>1.0</v>
      </c>
      <c r="BY17" s="325">
        <f> Time!BY$69</f>
        <v>1.0</v>
      </c>
      <c r="BZ17" s="325">
        <f> Time!BZ$69</f>
        <v>1.0</v>
      </c>
      <c r="CA17" s="325">
        <f> Time!CA$69</f>
        <v>1.0</v>
      </c>
      <c r="CB17" s="325">
        <f> Time!CB$69</f>
        <v>1.0</v>
      </c>
      <c r="CC17" s="325">
        <f> Time!CC$69</f>
        <v>1.0</v>
      </c>
      <c r="CD17" s="325">
        <f> Time!CD$69</f>
        <v>1.0</v>
      </c>
      <c r="CE17" s="325">
        <f> Time!CE$69</f>
        <v>1.0</v>
      </c>
      <c r="CF17" s="325">
        <f> Time!CF$69</f>
        <v>1.0</v>
      </c>
      <c r="CG17" s="325">
        <f> Time!CG$69</f>
        <v>1.0</v>
      </c>
      <c r="CH17" s="325">
        <f> Time!CH$69</f>
        <v>1.0</v>
      </c>
      <c r="CI17" s="325">
        <f> Time!CI$69</f>
        <v>1.0</v>
      </c>
      <c r="CJ17" s="325">
        <f> Time!CJ$69</f>
        <v>1.0</v>
      </c>
      <c r="CK17" s="325">
        <f> Time!CK$69</f>
        <v>1.0</v>
      </c>
      <c r="CL17" s="325">
        <f> Time!CL$69</f>
        <v>1.0</v>
      </c>
      <c r="CM17" s="325">
        <f> Time!CM$69</f>
        <v>1.0</v>
      </c>
      <c r="CN17" s="325">
        <f> Time!CN$69</f>
        <v>0.0</v>
      </c>
      <c r="CO17" s="325">
        <f> Time!CO$69</f>
        <v>0.0</v>
      </c>
    </row>
    <row r="19">
      <c r="E19" s="61" t="inlineStr">
        <is>
          <t>Arrivals - Domestic</t>
        </is>
      </c>
      <c r="G19" s="61" t="inlineStr">
        <is>
          <t xml:space="preserve">arrivals </t>
        </is>
      </c>
      <c r="H19" s="61">
        <f> SUM(J19:CO19)</f>
        <v>868800.0</v>
      </c>
      <c r="J19" s="61">
        <f> IF(J$17 = 1, J11 * J14, 0)</f>
        <v>0.0</v>
      </c>
      <c r="K19" s="61">
        <f> IF(K$17 = 1, K11 * K14, 0)</f>
        <v>0.0</v>
      </c>
      <c r="L19" s="61">
        <f> IF(L$17 = 1, L11 * L14, 0)</f>
        <v>11100.0</v>
      </c>
      <c r="M19" s="61">
        <f> IF(M$17 = 1, M11 * M14, 0)</f>
        <v>10500.0</v>
      </c>
      <c r="N19" s="61">
        <f> IF(N$17 = 1, N11 * N14, 0)</f>
        <v>11100.0</v>
      </c>
      <c r="O19" s="61">
        <f> IF(O$17 = 1, O11 * O14, 0)</f>
        <v>10500.0</v>
      </c>
      <c r="P19" s="61">
        <f> IF(P$17 = 1, P11 * P14, 0)</f>
        <v>11100.0</v>
      </c>
      <c r="Q19" s="61">
        <f> IF(Q$17 = 1, Q11 * Q14, 0)</f>
        <v>10500.0</v>
      </c>
      <c r="R19" s="61">
        <f> IF(R$17 = 1, R11 * R14, 0)</f>
        <v>11100.0</v>
      </c>
      <c r="S19" s="61">
        <f> IF(S$17 = 1, S11 * S14, 0)</f>
        <v>10500.0</v>
      </c>
      <c r="T19" s="61">
        <f> IF(T$17 = 1, T11 * T14, 0)</f>
        <v>11100.0</v>
      </c>
      <c r="U19" s="61">
        <f> IF(U$17 = 1, U11 * U14, 0)</f>
        <v>10500.0</v>
      </c>
      <c r="V19" s="61">
        <f> IF(V$17 = 1, V11 * V14, 0)</f>
        <v>11100.0</v>
      </c>
      <c r="W19" s="61">
        <f> IF(W$17 = 1, W11 * W14, 0)</f>
        <v>10500.0</v>
      </c>
      <c r="X19" s="61">
        <f> IF(X$17 = 1, X11 * X14, 0)</f>
        <v>11100.0</v>
      </c>
      <c r="Y19" s="61">
        <f> IF(Y$17 = 1, Y11 * Y14, 0)</f>
        <v>10500.0</v>
      </c>
      <c r="Z19" s="61">
        <f> IF(Z$17 = 1, Z11 * Z14, 0)</f>
        <v>11100.0</v>
      </c>
      <c r="AA19" s="61">
        <f> IF(AA$17 = 1, AA11 * AA14, 0)</f>
        <v>10500.0</v>
      </c>
      <c r="AB19" s="61">
        <f> IF(AB$17 = 1, AB11 * AB14, 0)</f>
        <v>11100.0</v>
      </c>
      <c r="AC19" s="61">
        <f> IF(AC$17 = 1, AC11 * AC14, 0)</f>
        <v>10500.0</v>
      </c>
      <c r="AD19" s="61">
        <f> IF(AD$17 = 1, AD11 * AD14, 0)</f>
        <v>11100.0</v>
      </c>
      <c r="AE19" s="61">
        <f> IF(AE$17 = 1, AE11 * AE14, 0)</f>
        <v>10500.0</v>
      </c>
      <c r="AF19" s="61">
        <f> IF(AF$17 = 1, AF11 * AF14, 0)</f>
        <v>11100.0</v>
      </c>
      <c r="AG19" s="61">
        <f> IF(AG$17 = 1, AG11 * AG14, 0)</f>
        <v>10500.0</v>
      </c>
      <c r="AH19" s="61">
        <f> IF(AH$17 = 1, AH11 * AH14, 0)</f>
        <v>11100.0</v>
      </c>
      <c r="AI19" s="61">
        <f> IF(AI$17 = 1, AI11 * AI14, 0)</f>
        <v>10500.0</v>
      </c>
      <c r="AJ19" s="61">
        <f> IF(AJ$17 = 1, AJ11 * AJ14, 0)</f>
        <v>11100.0</v>
      </c>
      <c r="AK19" s="61">
        <f> IF(AK$17 = 1, AK11 * AK14, 0)</f>
        <v>10500.0</v>
      </c>
      <c r="AL19" s="61">
        <f> IF(AL$17 = 1, AL11 * AL14, 0)</f>
        <v>11100.0</v>
      </c>
      <c r="AM19" s="61">
        <f> IF(AM$17 = 1, AM11 * AM14, 0)</f>
        <v>10500.0</v>
      </c>
      <c r="AN19" s="61">
        <f> IF(AN$17 = 1, AN11 * AN14, 0)</f>
        <v>11100.0</v>
      </c>
      <c r="AO19" s="61">
        <f> IF(AO$17 = 1, AO11 * AO14, 0)</f>
        <v>10500.0</v>
      </c>
      <c r="AP19" s="61">
        <f> IF(AP$17 = 1, AP11 * AP14, 0)</f>
        <v>11100.0</v>
      </c>
      <c r="AQ19" s="61">
        <f> IF(AQ$17 = 1, AQ11 * AQ14, 0)</f>
        <v>10500.0</v>
      </c>
      <c r="AR19" s="61">
        <f> IF(AR$17 = 1, AR11 * AR14, 0)</f>
        <v>11100.0</v>
      </c>
      <c r="AS19" s="61">
        <f> IF(AS$17 = 1, AS11 * AS14, 0)</f>
        <v>10500.0</v>
      </c>
      <c r="AT19" s="61">
        <f> IF(AT$17 = 1, AT11 * AT14, 0)</f>
        <v>11100.0</v>
      </c>
      <c r="AU19" s="61">
        <f> IF(AU$17 = 1, AU11 * AU14, 0)</f>
        <v>10500.0</v>
      </c>
      <c r="AV19" s="61">
        <f> IF(AV$17 = 1, AV11 * AV14, 0)</f>
        <v>11100.0</v>
      </c>
      <c r="AW19" s="61">
        <f> IF(AW$17 = 1, AW11 * AW14, 0)</f>
        <v>10500.0</v>
      </c>
      <c r="AX19" s="61">
        <f> IF(AX$17 = 1, AX11 * AX14, 0)</f>
        <v>11100.0</v>
      </c>
      <c r="AY19" s="61">
        <f> IF(AY$17 = 1, AY11 * AY14, 0)</f>
        <v>10500.0</v>
      </c>
      <c r="AZ19" s="61">
        <f> IF(AZ$17 = 1, AZ11 * AZ14, 0)</f>
        <v>11100.0</v>
      </c>
      <c r="BA19" s="61">
        <f> IF(BA$17 = 1, BA11 * BA14, 0)</f>
        <v>10500.0</v>
      </c>
      <c r="BB19" s="61">
        <f> IF(BB$17 = 1, BB11 * BB14, 0)</f>
        <v>11100.0</v>
      </c>
      <c r="BC19" s="61">
        <f> IF(BC$17 = 1, BC11 * BC14, 0)</f>
        <v>10500.0</v>
      </c>
      <c r="BD19" s="61">
        <f> IF(BD$17 = 1, BD11 * BD14, 0)</f>
        <v>11100.0</v>
      </c>
      <c r="BE19" s="61">
        <f> IF(BE$17 = 1, BE11 * BE14, 0)</f>
        <v>10500.0</v>
      </c>
      <c r="BF19" s="61">
        <f> IF(BF$17 = 1, BF11 * BF14, 0)</f>
        <v>11100.0</v>
      </c>
      <c r="BG19" s="61">
        <f> IF(BG$17 = 1, BG11 * BG14, 0)</f>
        <v>10500.0</v>
      </c>
      <c r="BH19" s="61">
        <f> IF(BH$17 = 1, BH11 * BH14, 0)</f>
        <v>10500.0</v>
      </c>
      <c r="BI19" s="61">
        <f> IF(BI$17 = 1, BI11 * BI14, 0)</f>
        <v>11100.0</v>
      </c>
      <c r="BJ19" s="61">
        <f> IF(BJ$17 = 1, BJ11 * BJ14, 0)</f>
        <v>10500.0</v>
      </c>
      <c r="BK19" s="61">
        <f> IF(BK$17 = 1, BK11 * BK14, 0)</f>
        <v>11100.0</v>
      </c>
      <c r="BL19" s="61">
        <f> IF(BL$17 = 1, BL11 * BL14, 0)</f>
        <v>10500.0</v>
      </c>
      <c r="BM19" s="61">
        <f> IF(BM$17 = 1, BM11 * BM14, 0)</f>
        <v>11100.0</v>
      </c>
      <c r="BN19" s="61">
        <f> IF(BN$17 = 1, BN11 * BN14, 0)</f>
        <v>10500.0</v>
      </c>
      <c r="BO19" s="61">
        <f> IF(BO$17 = 1, BO11 * BO14, 0)</f>
        <v>11100.0</v>
      </c>
      <c r="BP19" s="61">
        <f> IF(BP$17 = 1, BP11 * BP14, 0)</f>
        <v>10500.0</v>
      </c>
      <c r="BQ19" s="61">
        <f> IF(BQ$17 = 1, BQ11 * BQ14, 0)</f>
        <v>10500.0</v>
      </c>
      <c r="BR19" s="61">
        <f> IF(BR$17 = 1, BR11 * BR14, 0)</f>
        <v>11100.0</v>
      </c>
      <c r="BS19" s="61">
        <f> IF(BS$17 = 1, BS11 * BS14, 0)</f>
        <v>10500.0</v>
      </c>
      <c r="BT19" s="61">
        <f> IF(BT$17 = 1, BT11 * BT14, 0)</f>
        <v>11100.0</v>
      </c>
      <c r="BU19" s="61">
        <f> IF(BU$17 = 1, BU11 * BU14, 0)</f>
        <v>10500.0</v>
      </c>
      <c r="BV19" s="61">
        <f> IF(BV$17 = 1, BV11 * BV14, 0)</f>
        <v>11100.0</v>
      </c>
      <c r="BW19" s="61">
        <f> IF(BW$17 = 1, BW11 * BW14, 0)</f>
        <v>11100.0</v>
      </c>
      <c r="BX19" s="61">
        <f> IF(BX$17 = 1, BX11 * BX14, 0)</f>
        <v>11100.0</v>
      </c>
      <c r="BY19" s="61">
        <f> IF(BY$17 = 1, BY11 * BY14, 0)</f>
        <v>11100.0</v>
      </c>
      <c r="BZ19" s="61">
        <f> IF(BZ$17 = 1, BZ11 * BZ14, 0)</f>
        <v>11100.0</v>
      </c>
      <c r="CA19" s="61">
        <f> IF(CA$17 = 1, CA11 * CA14, 0)</f>
        <v>11100.0</v>
      </c>
      <c r="CB19" s="61">
        <f> IF(CB$17 = 1, CB11 * CB14, 0)</f>
        <v>11100.0</v>
      </c>
      <c r="CC19" s="61">
        <f> IF(CC$17 = 1, CC11 * CC14, 0)</f>
        <v>11100.0</v>
      </c>
      <c r="CD19" s="61">
        <f> IF(CD$17 = 1, CD11 * CD14, 0)</f>
        <v>11100.0</v>
      </c>
      <c r="CE19" s="61">
        <f> IF(CE$17 = 1, CE11 * CE14, 0)</f>
        <v>11100.0</v>
      </c>
      <c r="CF19" s="61">
        <f> IF(CF$17 = 1, CF11 * CF14, 0)</f>
        <v>11100.0</v>
      </c>
      <c r="CG19" s="61">
        <f> IF(CG$17 = 1, CG11 * CG14, 0)</f>
        <v>11100.0</v>
      </c>
      <c r="CH19" s="61">
        <f> IF(CH$17 = 1, CH11 * CH14, 0)</f>
        <v>11100.0</v>
      </c>
      <c r="CI19" s="61">
        <f> IF(CI$17 = 1, CI11 * CI14, 0)</f>
        <v>11100.0</v>
      </c>
      <c r="CJ19" s="61">
        <f> IF(CJ$17 = 1, CJ11 * CJ14, 0)</f>
        <v>11100.0</v>
      </c>
      <c r="CK19" s="61">
        <f> IF(CK$17 = 1, CK11 * CK14, 0)</f>
        <v>11100.0</v>
      </c>
      <c r="CL19" s="61">
        <f> IF(CL$17 = 1, CL11 * CL14, 0)</f>
        <v>11100.0</v>
      </c>
      <c r="CM19" s="61">
        <f> IF(CM$17 = 1, CM11 * CM14, 0)</f>
        <v>11100.0</v>
      </c>
      <c r="CN19" s="61">
        <f> IF(CN$17 = 1, CN11 * CN14, 0)</f>
        <v>0.0</v>
      </c>
      <c r="CO19" s="61">
        <f> IF(CO$17 = 1, CO11 * CO14, 0)</f>
        <v>0.0</v>
      </c>
    </row>
    <row r="20">
      <c r="E20" s="61" t="inlineStr">
        <is>
          <t xml:space="preserve">Arrivals - International </t>
        </is>
      </c>
      <c r="G20" s="61" t="inlineStr">
        <is>
          <t xml:space="preserve">arrivals </t>
        </is>
      </c>
      <c r="H20" s="61">
        <f> SUM(J20:CO20)</f>
        <v>55848.0</v>
      </c>
      <c r="J20" s="61">
        <f> IF(J$17 = 1, J12 * J15, 0)</f>
        <v>0.0</v>
      </c>
      <c r="K20" s="61">
        <f> IF(K$17 = 1, K12 * K15, 0)</f>
        <v>0.0</v>
      </c>
      <c r="L20" s="61">
        <f> IF(L$17 = 1, L12 * L15, 0)</f>
        <v>408.0</v>
      </c>
      <c r="M20" s="61">
        <f> IF(M$17 = 1, M12 * M15, 0)</f>
        <v>616.0</v>
      </c>
      <c r="N20" s="61">
        <f> IF(N$17 = 1, N12 * N15, 0)</f>
        <v>616.0</v>
      </c>
      <c r="O20" s="61">
        <f> IF(O$17 = 1, O12 * O15, 0)</f>
        <v>704.0</v>
      </c>
      <c r="P20" s="61">
        <f> IF(P$17 = 1, P12 * P15, 0)</f>
        <v>704.0</v>
      </c>
      <c r="Q20" s="61">
        <f> IF(Q$17 = 1, Q12 * Q15, 0)</f>
        <v>704.0</v>
      </c>
      <c r="R20" s="61">
        <f> IF(R$17 = 1, R12 * R15, 0)</f>
        <v>704.0</v>
      </c>
      <c r="S20" s="61">
        <f> IF(S$17 = 1, S12 * S15, 0)</f>
        <v>704.0</v>
      </c>
      <c r="T20" s="61">
        <f> IF(T$17 = 1, T12 * T15, 0)</f>
        <v>704.0</v>
      </c>
      <c r="U20" s="61">
        <f> IF(U$17 = 1, U12 * U15, 0)</f>
        <v>704.0</v>
      </c>
      <c r="V20" s="61">
        <f> IF(V$17 = 1, V12 * V15, 0)</f>
        <v>704.0</v>
      </c>
      <c r="W20" s="61">
        <f> IF(W$17 = 1, W12 * W15, 0)</f>
        <v>704.0</v>
      </c>
      <c r="X20" s="61">
        <f> IF(X$17 = 1, X12 * X15, 0)</f>
        <v>704.0</v>
      </c>
      <c r="Y20" s="61">
        <f> IF(Y$17 = 1, Y12 * Y15, 0)</f>
        <v>704.0</v>
      </c>
      <c r="Z20" s="61">
        <f> IF(Z$17 = 1, Z12 * Z15, 0)</f>
        <v>704.0</v>
      </c>
      <c r="AA20" s="61">
        <f> IF(AA$17 = 1, AA12 * AA15, 0)</f>
        <v>704.0</v>
      </c>
      <c r="AB20" s="61">
        <f> IF(AB$17 = 1, AB12 * AB15, 0)</f>
        <v>704.0</v>
      </c>
      <c r="AC20" s="61">
        <f> IF(AC$17 = 1, AC12 * AC15, 0)</f>
        <v>704.0</v>
      </c>
      <c r="AD20" s="61">
        <f> IF(AD$17 = 1, AD12 * AD15, 0)</f>
        <v>704.0</v>
      </c>
      <c r="AE20" s="61">
        <f> IF(AE$17 = 1, AE12 * AE15, 0)</f>
        <v>704.0</v>
      </c>
      <c r="AF20" s="61">
        <f> IF(AF$17 = 1, AF12 * AF15, 0)</f>
        <v>704.0</v>
      </c>
      <c r="AG20" s="61">
        <f> IF(AG$17 = 1, AG12 * AG15, 0)</f>
        <v>704.0</v>
      </c>
      <c r="AH20" s="61">
        <f> IF(AH$17 = 1, AH12 * AH15, 0)</f>
        <v>704.0</v>
      </c>
      <c r="AI20" s="61">
        <f> IF(AI$17 = 1, AI12 * AI15, 0)</f>
        <v>704.0</v>
      </c>
      <c r="AJ20" s="61">
        <f> IF(AJ$17 = 1, AJ12 * AJ15, 0)</f>
        <v>704.0</v>
      </c>
      <c r="AK20" s="61">
        <f> IF(AK$17 = 1, AK12 * AK15, 0)</f>
        <v>704.0</v>
      </c>
      <c r="AL20" s="61">
        <f> IF(AL$17 = 1, AL12 * AL15, 0)</f>
        <v>704.0</v>
      </c>
      <c r="AM20" s="61">
        <f> IF(AM$17 = 1, AM12 * AM15, 0)</f>
        <v>704.0</v>
      </c>
      <c r="AN20" s="61">
        <f> IF(AN$17 = 1, AN12 * AN15, 0)</f>
        <v>704.0</v>
      </c>
      <c r="AO20" s="61">
        <f> IF(AO$17 = 1, AO12 * AO15, 0)</f>
        <v>704.0</v>
      </c>
      <c r="AP20" s="61">
        <f> IF(AP$17 = 1, AP12 * AP15, 0)</f>
        <v>704.0</v>
      </c>
      <c r="AQ20" s="61">
        <f> IF(AQ$17 = 1, AQ12 * AQ15, 0)</f>
        <v>704.0</v>
      </c>
      <c r="AR20" s="61">
        <f> IF(AR$17 = 1, AR12 * AR15, 0)</f>
        <v>704.0</v>
      </c>
      <c r="AS20" s="61">
        <f> IF(AS$17 = 1, AS12 * AS15, 0)</f>
        <v>704.0</v>
      </c>
      <c r="AT20" s="61">
        <f> IF(AT$17 = 1, AT12 * AT15, 0)</f>
        <v>704.0</v>
      </c>
      <c r="AU20" s="61">
        <f> IF(AU$17 = 1, AU12 * AU15, 0)</f>
        <v>704.0</v>
      </c>
      <c r="AV20" s="61">
        <f> IF(AV$17 = 1, AV12 * AV15, 0)</f>
        <v>704.0</v>
      </c>
      <c r="AW20" s="61">
        <f> IF(AW$17 = 1, AW12 * AW15, 0)</f>
        <v>704.0</v>
      </c>
      <c r="AX20" s="61">
        <f> IF(AX$17 = 1, AX12 * AX15, 0)</f>
        <v>704.0</v>
      </c>
      <c r="AY20" s="61">
        <f> IF(AY$17 = 1, AY12 * AY15, 0)</f>
        <v>704.0</v>
      </c>
      <c r="AZ20" s="61">
        <f> IF(AZ$17 = 1, AZ12 * AZ15, 0)</f>
        <v>704.0</v>
      </c>
      <c r="BA20" s="61">
        <f> IF(BA$17 = 1, BA12 * BA15, 0)</f>
        <v>704.0</v>
      </c>
      <c r="BB20" s="61">
        <f> IF(BB$17 = 1, BB12 * BB15, 0)</f>
        <v>704.0</v>
      </c>
      <c r="BC20" s="61">
        <f> IF(BC$17 = 1, BC12 * BC15, 0)</f>
        <v>704.0</v>
      </c>
      <c r="BD20" s="61">
        <f> IF(BD$17 = 1, BD12 * BD15, 0)</f>
        <v>704.0</v>
      </c>
      <c r="BE20" s="61">
        <f> IF(BE$17 = 1, BE12 * BE15, 0)</f>
        <v>704.0</v>
      </c>
      <c r="BF20" s="61">
        <f> IF(BF$17 = 1, BF12 * BF15, 0)</f>
        <v>704.0</v>
      </c>
      <c r="BG20" s="61">
        <f> IF(BG$17 = 1, BG12 * BG15, 0)</f>
        <v>704.0</v>
      </c>
      <c r="BH20" s="61">
        <f> IF(BH$17 = 1, BH12 * BH15, 0)</f>
        <v>704.0</v>
      </c>
      <c r="BI20" s="61">
        <f> IF(BI$17 = 1, BI12 * BI15, 0)</f>
        <v>704.0</v>
      </c>
      <c r="BJ20" s="61">
        <f> IF(BJ$17 = 1, BJ12 * BJ15, 0)</f>
        <v>704.0</v>
      </c>
      <c r="BK20" s="61">
        <f> IF(BK$17 = 1, BK12 * BK15, 0)</f>
        <v>704.0</v>
      </c>
      <c r="BL20" s="61">
        <f> IF(BL$17 = 1, BL12 * BL15, 0)</f>
        <v>704.0</v>
      </c>
      <c r="BM20" s="61">
        <f> IF(BM$17 = 1, BM12 * BM15, 0)</f>
        <v>704.0</v>
      </c>
      <c r="BN20" s="61">
        <f> IF(BN$17 = 1, BN12 * BN15, 0)</f>
        <v>704.0</v>
      </c>
      <c r="BO20" s="61">
        <f> IF(BO$17 = 1, BO12 * BO15, 0)</f>
        <v>704.0</v>
      </c>
      <c r="BP20" s="61">
        <f> IF(BP$17 = 1, BP12 * BP15, 0)</f>
        <v>704.0</v>
      </c>
      <c r="BQ20" s="61">
        <f> IF(BQ$17 = 1, BQ12 * BQ15, 0)</f>
        <v>704.0</v>
      </c>
      <c r="BR20" s="61">
        <f> IF(BR$17 = 1, BR12 * BR15, 0)</f>
        <v>704.0</v>
      </c>
      <c r="BS20" s="61">
        <f> IF(BS$17 = 1, BS12 * BS15, 0)</f>
        <v>704.0</v>
      </c>
      <c r="BT20" s="61">
        <f> IF(BT$17 = 1, BT12 * BT15, 0)</f>
        <v>704.0</v>
      </c>
      <c r="BU20" s="61">
        <f> IF(BU$17 = 1, BU12 * BU15, 0)</f>
        <v>704.0</v>
      </c>
      <c r="BV20" s="61">
        <f> IF(BV$17 = 1, BV12 * BV15, 0)</f>
        <v>704.0</v>
      </c>
      <c r="BW20" s="61">
        <f> IF(BW$17 = 1, BW12 * BW15, 0)</f>
        <v>704.0</v>
      </c>
      <c r="BX20" s="61">
        <f> IF(BX$17 = 1, BX12 * BX15, 0)</f>
        <v>704.0</v>
      </c>
      <c r="BY20" s="61">
        <f> IF(BY$17 = 1, BY12 * BY15, 0)</f>
        <v>704.0</v>
      </c>
      <c r="BZ20" s="61">
        <f> IF(BZ$17 = 1, BZ12 * BZ15, 0)</f>
        <v>704.0</v>
      </c>
      <c r="CA20" s="61">
        <f> IF(CA$17 = 1, CA12 * CA15, 0)</f>
        <v>704.0</v>
      </c>
      <c r="CB20" s="61">
        <f> IF(CB$17 = 1, CB12 * CB15, 0)</f>
        <v>704.0</v>
      </c>
      <c r="CC20" s="61">
        <f> IF(CC$17 = 1, CC12 * CC15, 0)</f>
        <v>704.0</v>
      </c>
      <c r="CD20" s="61">
        <f> IF(CD$17 = 1, CD12 * CD15, 0)</f>
        <v>704.0</v>
      </c>
      <c r="CE20" s="61">
        <f> IF(CE$17 = 1, CE12 * CE15, 0)</f>
        <v>704.0</v>
      </c>
      <c r="CF20" s="61">
        <f> IF(CF$17 = 1, CF12 * CF15, 0)</f>
        <v>704.0</v>
      </c>
      <c r="CG20" s="61">
        <f> IF(CG$17 = 1, CG12 * CG15, 0)</f>
        <v>704.0</v>
      </c>
      <c r="CH20" s="61">
        <f> IF(CH$17 = 1, CH12 * CH15, 0)</f>
        <v>704.0</v>
      </c>
      <c r="CI20" s="61">
        <f> IF(CI$17 = 1, CI12 * CI15, 0)</f>
        <v>704.0</v>
      </c>
      <c r="CJ20" s="61">
        <f> IF(CJ$17 = 1, CJ12 * CJ15, 0)</f>
        <v>704.0</v>
      </c>
      <c r="CK20" s="61">
        <f> IF(CK$17 = 1, CK12 * CK15, 0)</f>
        <v>704.0</v>
      </c>
      <c r="CL20" s="61">
        <f> IF(CL$17 = 1, CL12 * CL15, 0)</f>
        <v>704.0</v>
      </c>
      <c r="CM20" s="61">
        <f> IF(CM$17 = 1, CM12 * CM15, 0)</f>
        <v>704.0</v>
      </c>
      <c r="CN20" s="61">
        <f> IF(CN$17 = 1, CN12 * CN15, 0)</f>
        <v>0.0</v>
      </c>
      <c r="CO20" s="61">
        <f> IF(CO$17 = 1, CO12 * CO15, 0)</f>
        <v>0.0</v>
      </c>
    </row>
    <row r="21" customFormat="1" s="390">
      <c r="A21" s="358" t="n"/>
      <c r="B21" s="358" t="n"/>
      <c r="C21" s="359" t="n"/>
      <c r="D21" s="360" t="n"/>
      <c r="E21" s="390" t="inlineStr">
        <is>
          <t>Arrivals</t>
        </is>
      </c>
      <c r="G21" s="390" t="inlineStr">
        <is>
          <t xml:space="preserve">arrivals </t>
        </is>
      </c>
      <c r="H21" s="390">
        <f> SUM(J21:CO21)</f>
        <v>924648.0</v>
      </c>
      <c r="J21" s="390">
        <f>SUM(J19:J20)</f>
        <v>0.0</v>
      </c>
      <c r="K21" s="390">
        <f>SUM(K19:K20)</f>
        <v>0.0</v>
      </c>
      <c r="L21" s="390">
        <f>SUM(L19:L20)</f>
        <v>11508.0</v>
      </c>
      <c r="M21" s="390">
        <f>SUM(M19:M20)</f>
        <v>11116.0</v>
      </c>
      <c r="N21" s="390">
        <f>SUM(N19:N20)</f>
        <v>11716.0</v>
      </c>
      <c r="O21" s="390">
        <f>SUM(O19:O20)</f>
        <v>11204.0</v>
      </c>
      <c r="P21" s="390">
        <f>SUM(P19:P20)</f>
        <v>11804.0</v>
      </c>
      <c r="Q21" s="390">
        <f>SUM(Q19:Q20)</f>
        <v>11204.0</v>
      </c>
      <c r="R21" s="390">
        <f>SUM(R19:R20)</f>
        <v>11804.0</v>
      </c>
      <c r="S21" s="390">
        <f>SUM(S19:S20)</f>
        <v>11204.0</v>
      </c>
      <c r="T21" s="390">
        <f>SUM(T19:T20)</f>
        <v>11804.0</v>
      </c>
      <c r="U21" s="390">
        <f>SUM(U19:U20)</f>
        <v>11204.0</v>
      </c>
      <c r="V21" s="390">
        <f>SUM(V19:V20)</f>
        <v>11804.0</v>
      </c>
      <c r="W21" s="390">
        <f>SUM(W19:W20)</f>
        <v>11204.0</v>
      </c>
      <c r="X21" s="390">
        <f>SUM(X19:X20)</f>
        <v>11804.0</v>
      </c>
      <c r="Y21" s="390">
        <f>SUM(Y19:Y20)</f>
        <v>11204.0</v>
      </c>
      <c r="Z21" s="390">
        <f>SUM(Z19:Z20)</f>
        <v>11804.0</v>
      </c>
      <c r="AA21" s="390">
        <f>SUM(AA19:AA20)</f>
        <v>11204.0</v>
      </c>
      <c r="AB21" s="390">
        <f>SUM(AB19:AB20)</f>
        <v>11804.0</v>
      </c>
      <c r="AC21" s="390">
        <f>SUM(AC19:AC20)</f>
        <v>11204.0</v>
      </c>
      <c r="AD21" s="390">
        <f>SUM(AD19:AD20)</f>
        <v>11804.0</v>
      </c>
      <c r="AE21" s="390">
        <f>SUM(AE19:AE20)</f>
        <v>11204.0</v>
      </c>
      <c r="AF21" s="390">
        <f>SUM(AF19:AF20)</f>
        <v>11804.0</v>
      </c>
      <c r="AG21" s="390">
        <f>SUM(AG19:AG20)</f>
        <v>11204.0</v>
      </c>
      <c r="AH21" s="390">
        <f>SUM(AH19:AH20)</f>
        <v>11804.0</v>
      </c>
      <c r="AI21" s="390">
        <f>SUM(AI19:AI20)</f>
        <v>11204.0</v>
      </c>
      <c r="AJ21" s="390">
        <f>SUM(AJ19:AJ20)</f>
        <v>11804.0</v>
      </c>
      <c r="AK21" s="390">
        <f>SUM(AK19:AK20)</f>
        <v>11204.0</v>
      </c>
      <c r="AL21" s="390">
        <f>SUM(AL19:AL20)</f>
        <v>11804.0</v>
      </c>
      <c r="AM21" s="390">
        <f>SUM(AM19:AM20)</f>
        <v>11204.0</v>
      </c>
      <c r="AN21" s="390">
        <f>SUM(AN19:AN20)</f>
        <v>11804.0</v>
      </c>
      <c r="AO21" s="390">
        <f>SUM(AO19:AO20)</f>
        <v>11204.0</v>
      </c>
      <c r="AP21" s="390">
        <f>SUM(AP19:AP20)</f>
        <v>11804.0</v>
      </c>
      <c r="AQ21" s="390">
        <f>SUM(AQ19:AQ20)</f>
        <v>11204.0</v>
      </c>
      <c r="AR21" s="390">
        <f>SUM(AR19:AR20)</f>
        <v>11804.0</v>
      </c>
      <c r="AS21" s="390">
        <f>SUM(AS19:AS20)</f>
        <v>11204.0</v>
      </c>
      <c r="AT21" s="390">
        <f>SUM(AT19:AT20)</f>
        <v>11804.0</v>
      </c>
      <c r="AU21" s="390">
        <f>SUM(AU19:AU20)</f>
        <v>11204.0</v>
      </c>
      <c r="AV21" s="390">
        <f>SUM(AV19:AV20)</f>
        <v>11804.0</v>
      </c>
      <c r="AW21" s="390">
        <f>SUM(AW19:AW20)</f>
        <v>11204.0</v>
      </c>
      <c r="AX21" s="390">
        <f>SUM(AX19:AX20)</f>
        <v>11804.0</v>
      </c>
      <c r="AY21" s="390">
        <f>SUM(AY19:AY20)</f>
        <v>11204.0</v>
      </c>
      <c r="AZ21" s="390">
        <f>SUM(AZ19:AZ20)</f>
        <v>11804.0</v>
      </c>
      <c r="BA21" s="390">
        <f>SUM(BA19:BA20)</f>
        <v>11204.0</v>
      </c>
      <c r="BB21" s="390">
        <f>SUM(BB19:BB20)</f>
        <v>11804.0</v>
      </c>
      <c r="BC21" s="390">
        <f>SUM(BC19:BC20)</f>
        <v>11204.0</v>
      </c>
      <c r="BD21" s="390">
        <f>SUM(BD19:BD20)</f>
        <v>11804.0</v>
      </c>
      <c r="BE21" s="390">
        <f>SUM(BE19:BE20)</f>
        <v>11204.0</v>
      </c>
      <c r="BF21" s="390">
        <f>SUM(BF19:BF20)</f>
        <v>11804.0</v>
      </c>
      <c r="BG21" s="390">
        <f>SUM(BG19:BG20)</f>
        <v>11204.0</v>
      </c>
      <c r="BH21" s="390">
        <f>SUM(BH19:BH20)</f>
        <v>11204.0</v>
      </c>
      <c r="BI21" s="390">
        <f>SUM(BI19:BI20)</f>
        <v>11804.0</v>
      </c>
      <c r="BJ21" s="390">
        <f>SUM(BJ19:BJ20)</f>
        <v>11204.0</v>
      </c>
      <c r="BK21" s="390">
        <f>SUM(BK19:BK20)</f>
        <v>11804.0</v>
      </c>
      <c r="BL21" s="390">
        <f>SUM(BL19:BL20)</f>
        <v>11204.0</v>
      </c>
      <c r="BM21" s="390">
        <f>SUM(BM19:BM20)</f>
        <v>11804.0</v>
      </c>
      <c r="BN21" s="390">
        <f>SUM(BN19:BN20)</f>
        <v>11204.0</v>
      </c>
      <c r="BO21" s="390">
        <f>SUM(BO19:BO20)</f>
        <v>11804.0</v>
      </c>
      <c r="BP21" s="390">
        <f>SUM(BP19:BP20)</f>
        <v>11204.0</v>
      </c>
      <c r="BQ21" s="390">
        <f>SUM(BQ19:BQ20)</f>
        <v>11204.0</v>
      </c>
      <c r="BR21" s="390">
        <f>SUM(BR19:BR20)</f>
        <v>11804.0</v>
      </c>
      <c r="BS21" s="390">
        <f>SUM(BS19:BS20)</f>
        <v>11204.0</v>
      </c>
      <c r="BT21" s="390">
        <f>SUM(BT19:BT20)</f>
        <v>11804.0</v>
      </c>
      <c r="BU21" s="390">
        <f>SUM(BU19:BU20)</f>
        <v>11204.0</v>
      </c>
      <c r="BV21" s="390">
        <f>SUM(BV19:BV20)</f>
        <v>11804.0</v>
      </c>
      <c r="BW21" s="390">
        <f>SUM(BW19:BW20)</f>
        <v>11804.0</v>
      </c>
      <c r="BX21" s="390">
        <f>SUM(BX19:BX20)</f>
        <v>11804.0</v>
      </c>
      <c r="BY21" s="390">
        <f>SUM(BY19:BY20)</f>
        <v>11804.0</v>
      </c>
      <c r="BZ21" s="390">
        <f>SUM(BZ19:BZ20)</f>
        <v>11804.0</v>
      </c>
      <c r="CA21" s="390">
        <f>SUM(CA19:CA20)</f>
        <v>11804.0</v>
      </c>
      <c r="CB21" s="390">
        <f>SUM(CB19:CB20)</f>
        <v>11804.0</v>
      </c>
      <c r="CC21" s="390">
        <f>SUM(CC19:CC20)</f>
        <v>11804.0</v>
      </c>
      <c r="CD21" s="390">
        <f>SUM(CD19:CD20)</f>
        <v>11804.0</v>
      </c>
      <c r="CE21" s="390">
        <f>SUM(CE19:CE20)</f>
        <v>11804.0</v>
      </c>
      <c r="CF21" s="390">
        <f>SUM(CF19:CF20)</f>
        <v>11804.0</v>
      </c>
      <c r="CG21" s="390">
        <f>SUM(CG19:CG20)</f>
        <v>11804.0</v>
      </c>
      <c r="CH21" s="390">
        <f>SUM(CH19:CH20)</f>
        <v>11804.0</v>
      </c>
      <c r="CI21" s="390">
        <f>SUM(CI19:CI20)</f>
        <v>11804.0</v>
      </c>
      <c r="CJ21" s="390">
        <f>SUM(CJ19:CJ20)</f>
        <v>11804.0</v>
      </c>
      <c r="CK21" s="390">
        <f>SUM(CK19:CK20)</f>
        <v>11804.0</v>
      </c>
      <c r="CL21" s="390">
        <f>SUM(CL19:CL20)</f>
        <v>11804.0</v>
      </c>
      <c r="CM21" s="390">
        <f>SUM(CM19:CM20)</f>
        <v>11804.0</v>
      </c>
      <c r="CN21" s="390">
        <f>SUM(CN19:CN20)</f>
        <v>0.0</v>
      </c>
      <c r="CO21" s="390">
        <f>SUM(CO19:CO20)</f>
        <v>0.0</v>
      </c>
    </row>
    <row r="23">
      <c r="E23" s="324" t="str">
        <f> InpC!E$31</f>
        <v>Train capacity - domestic </v>
      </c>
      <c r="F23" s="324">
        <f> InpC!F$31</f>
        <v>350.0</v>
      </c>
      <c r="G23" s="324" t="str">
        <f> InpC!G$31</f>
        <v>seats</v>
      </c>
    </row>
    <row r="24">
      <c r="E24" s="324" t="str">
        <f> InpC!E$33</f>
        <v>Train capacity - international </v>
      </c>
      <c r="F24" s="324">
        <f> InpC!F$33</f>
        <v>150.0</v>
      </c>
      <c r="G24" s="324" t="str">
        <f> InpC!G$33</f>
        <v>seats</v>
      </c>
    </row>
    <row r="26">
      <c r="E26" s="336" t="str">
        <f> InpS!E$14</f>
        <v>Occupancy - domestic </v>
      </c>
      <c r="F26" s="336">
        <f> InpS!F$14</f>
        <v>0.0</v>
      </c>
      <c r="G26" s="336" t="str">
        <f> InpS!G$14</f>
        <v>%</v>
      </c>
      <c r="H26" s="336">
        <f> InpS!H$14</f>
        <v>0.0</v>
      </c>
      <c r="I26" s="336">
        <f> InpS!I$14</f>
        <v>0.0</v>
      </c>
      <c r="J26" s="336">
        <f> InpS!J$14</f>
        <v>0.55</v>
      </c>
      <c r="K26" s="336">
        <f> InpS!K$14</f>
        <v>0.55</v>
      </c>
      <c r="L26" s="336">
        <f> InpS!L$14</f>
        <v>0.55</v>
      </c>
      <c r="M26" s="336">
        <f> InpS!M$14</f>
        <v>0.55</v>
      </c>
      <c r="N26" s="336">
        <f> InpS!N$14</f>
        <v>0.55</v>
      </c>
      <c r="O26" s="336">
        <f> InpS!O$14</f>
        <v>0.55</v>
      </c>
      <c r="P26" s="336">
        <f> InpS!P$14</f>
        <v>0.55</v>
      </c>
      <c r="Q26" s="336">
        <f> InpS!Q$14</f>
        <v>0.55</v>
      </c>
      <c r="R26" s="336">
        <f> InpS!R$14</f>
        <v>0.55</v>
      </c>
      <c r="S26" s="336">
        <f> InpS!S$14</f>
        <v>0.55</v>
      </c>
      <c r="T26" s="336">
        <f> InpS!T$14</f>
        <v>0.56</v>
      </c>
      <c r="U26" s="336">
        <f> InpS!U$14</f>
        <v>0.56</v>
      </c>
      <c r="V26" s="336">
        <f> InpS!V$14</f>
        <v>0.56</v>
      </c>
      <c r="W26" s="336">
        <f> InpS!W$14</f>
        <v>0.56</v>
      </c>
      <c r="X26" s="336">
        <f> InpS!X$14</f>
        <v>0.56</v>
      </c>
      <c r="Y26" s="336">
        <f> InpS!Y$14</f>
        <v>0.56</v>
      </c>
      <c r="Z26" s="336">
        <f> InpS!Z$14</f>
        <v>0.56</v>
      </c>
      <c r="AA26" s="336">
        <f> InpS!AA$14</f>
        <v>0.56</v>
      </c>
      <c r="AB26" s="336">
        <f> InpS!AB$14</f>
        <v>0.56</v>
      </c>
      <c r="AC26" s="336">
        <f> InpS!AC$14</f>
        <v>0.56</v>
      </c>
      <c r="AD26" s="336">
        <f> InpS!AD$14</f>
        <v>0.58</v>
      </c>
      <c r="AE26" s="336">
        <f> InpS!AE$14</f>
        <v>0.58</v>
      </c>
      <c r="AF26" s="336">
        <f> InpS!AF$14</f>
        <v>0.58</v>
      </c>
      <c r="AG26" s="336">
        <f> InpS!AG$14</f>
        <v>0.58</v>
      </c>
      <c r="AH26" s="336">
        <f> InpS!AH$14</f>
        <v>0.58</v>
      </c>
      <c r="AI26" s="336">
        <f> InpS!AI$14</f>
        <v>0.58</v>
      </c>
      <c r="AJ26" s="336">
        <f> InpS!AJ$14</f>
        <v>0.58</v>
      </c>
      <c r="AK26" s="336">
        <f> InpS!AK$14</f>
        <v>0.58</v>
      </c>
      <c r="AL26" s="336">
        <f> InpS!AL$14</f>
        <v>0.58</v>
      </c>
      <c r="AM26" s="336">
        <f> InpS!AM$14</f>
        <v>0.6</v>
      </c>
      <c r="AN26" s="336">
        <f> InpS!AN$14</f>
        <v>0.6</v>
      </c>
      <c r="AO26" s="336">
        <f> InpS!AO$14</f>
        <v>0.6</v>
      </c>
      <c r="AP26" s="336">
        <f> InpS!AP$14</f>
        <v>0.6</v>
      </c>
      <c r="AQ26" s="336">
        <f> InpS!AQ$14</f>
        <v>0.6</v>
      </c>
      <c r="AR26" s="336">
        <f> InpS!AR$14</f>
        <v>0.6</v>
      </c>
      <c r="AS26" s="336">
        <f> InpS!AS$14</f>
        <v>0.6</v>
      </c>
      <c r="AT26" s="336">
        <f> InpS!AT$14</f>
        <v>0.6</v>
      </c>
      <c r="AU26" s="336">
        <f> InpS!AU$14</f>
        <v>0.6</v>
      </c>
      <c r="AV26" s="336">
        <f> InpS!AV$14</f>
        <v>0.6</v>
      </c>
      <c r="AW26" s="336">
        <f> InpS!AW$14</f>
        <v>0.6</v>
      </c>
      <c r="AX26" s="336">
        <f> InpS!AX$14</f>
        <v>0.62</v>
      </c>
      <c r="AY26" s="336">
        <f> InpS!AY$14</f>
        <v>0.62</v>
      </c>
      <c r="AZ26" s="336">
        <f> InpS!AZ$14</f>
        <v>0.62</v>
      </c>
      <c r="BA26" s="336">
        <f> InpS!BA$14</f>
        <v>0.62</v>
      </c>
      <c r="BB26" s="336">
        <f> InpS!BB$14</f>
        <v>0.62</v>
      </c>
      <c r="BC26" s="336">
        <f> InpS!BC$14</f>
        <v>0.62</v>
      </c>
      <c r="BD26" s="336">
        <f> InpS!BD$14</f>
        <v>0.62</v>
      </c>
      <c r="BE26" s="336">
        <f> InpS!BE$14</f>
        <v>0.62</v>
      </c>
      <c r="BF26" s="336">
        <f> InpS!BF$14</f>
        <v>0.62</v>
      </c>
      <c r="BG26" s="336">
        <f> InpS!BG$14</f>
        <v>0.62</v>
      </c>
      <c r="BH26" s="336">
        <f> InpS!BH$14</f>
        <v>0.62</v>
      </c>
      <c r="BI26" s="336">
        <f> InpS!BI$14</f>
        <v>0.62</v>
      </c>
      <c r="BJ26" s="336">
        <f> InpS!BJ$14</f>
        <v>0.62</v>
      </c>
      <c r="BK26" s="336">
        <f> InpS!BK$14</f>
        <v>0.62</v>
      </c>
      <c r="BL26" s="336">
        <f> InpS!BL$14</f>
        <v>0.62</v>
      </c>
      <c r="BM26" s="336">
        <f> InpS!BM$14</f>
        <v>0.62</v>
      </c>
      <c r="BN26" s="336">
        <f> InpS!BN$14</f>
        <v>0.62</v>
      </c>
      <c r="BO26" s="336">
        <f> InpS!BO$14</f>
        <v>0.62</v>
      </c>
      <c r="BP26" s="336">
        <f> InpS!BP$14</f>
        <v>0.62</v>
      </c>
      <c r="BQ26" s="336">
        <f> InpS!BQ$14</f>
        <v>0.62</v>
      </c>
      <c r="BR26" s="336">
        <f> InpS!BR$14</f>
        <v>0.62</v>
      </c>
      <c r="BS26" s="336">
        <f> InpS!BS$14</f>
        <v>0.62</v>
      </c>
      <c r="BT26" s="336">
        <f> InpS!BT$14</f>
        <v>0.62</v>
      </c>
      <c r="BU26" s="336">
        <f> InpS!BU$14</f>
        <v>0.62</v>
      </c>
      <c r="BV26" s="336">
        <f> InpS!BV$14</f>
        <v>0.62</v>
      </c>
      <c r="BW26" s="336">
        <f> InpS!BW$14</f>
        <v>0.62</v>
      </c>
      <c r="BX26" s="336">
        <f> InpS!BX$14</f>
        <v>0.62</v>
      </c>
      <c r="BY26" s="336">
        <f> InpS!BY$14</f>
        <v>0.62</v>
      </c>
      <c r="BZ26" s="336">
        <f> InpS!BZ$14</f>
        <v>0.62</v>
      </c>
      <c r="CA26" s="336">
        <f> InpS!CA$14</f>
        <v>0.62</v>
      </c>
      <c r="CB26" s="336">
        <f> InpS!CB$14</f>
        <v>0.62</v>
      </c>
      <c r="CC26" s="336">
        <f> InpS!CC$14</f>
        <v>0.62</v>
      </c>
      <c r="CD26" s="336">
        <f> InpS!CD$14</f>
        <v>0.62</v>
      </c>
      <c r="CE26" s="336">
        <f> InpS!CE$14</f>
        <v>0.62</v>
      </c>
      <c r="CF26" s="336">
        <f> InpS!CF$14</f>
        <v>0.62</v>
      </c>
      <c r="CG26" s="336">
        <f> InpS!CG$14</f>
        <v>0.62</v>
      </c>
      <c r="CH26" s="336">
        <f> InpS!CH$14</f>
        <v>0.62</v>
      </c>
      <c r="CI26" s="336">
        <f> InpS!CI$14</f>
        <v>0.62</v>
      </c>
      <c r="CJ26" s="336">
        <f> InpS!CJ$14</f>
        <v>0.62</v>
      </c>
      <c r="CK26" s="336">
        <f> InpS!CK$14</f>
        <v>0.62</v>
      </c>
      <c r="CL26" s="336">
        <f> InpS!CL$14</f>
        <v>0.62</v>
      </c>
      <c r="CM26" s="336">
        <f> InpS!CM$14</f>
        <v>0.62</v>
      </c>
      <c r="CN26" s="336">
        <f> InpS!CN$14</f>
        <v>0.62</v>
      </c>
      <c r="CO26" s="336">
        <f> InpS!CO$14</f>
        <v>0.62</v>
      </c>
    </row>
    <row r="27">
      <c r="E27" s="337" t="str">
        <f> InpS!E$15</f>
        <v>Occupancy - international </v>
      </c>
      <c r="F27" s="337">
        <f> InpS!F$15</f>
        <v>0.0</v>
      </c>
      <c r="G27" s="337" t="str">
        <f> InpS!G$15</f>
        <v>%</v>
      </c>
      <c r="H27" s="337">
        <f> InpS!H$15</f>
        <v>0.0</v>
      </c>
      <c r="I27" s="337">
        <f> InpS!I$15</f>
        <v>0.0</v>
      </c>
      <c r="J27" s="337">
        <f> InpS!J$15</f>
        <v>0.45</v>
      </c>
      <c r="K27" s="337">
        <f> InpS!K$15</f>
        <v>0.45</v>
      </c>
      <c r="L27" s="337">
        <f> InpS!L$15</f>
        <v>0.45</v>
      </c>
      <c r="M27" s="337">
        <f> InpS!M$15</f>
        <v>0.45</v>
      </c>
      <c r="N27" s="337">
        <f> InpS!N$15</f>
        <v>0.45</v>
      </c>
      <c r="O27" s="337">
        <f> InpS!O$15</f>
        <v>0.45</v>
      </c>
      <c r="P27" s="337">
        <f> InpS!P$15</f>
        <v>0.45</v>
      </c>
      <c r="Q27" s="337">
        <f> InpS!Q$15</f>
        <v>0.45</v>
      </c>
      <c r="R27" s="337">
        <f> InpS!R$15</f>
        <v>0.45</v>
      </c>
      <c r="S27" s="337">
        <f> InpS!S$15</f>
        <v>0.45</v>
      </c>
      <c r="T27" s="337">
        <f> InpS!T$15</f>
        <v>0.45</v>
      </c>
      <c r="U27" s="337">
        <f> InpS!U$15</f>
        <v>0.45</v>
      </c>
      <c r="V27" s="337">
        <f> InpS!V$15</f>
        <v>0.45</v>
      </c>
      <c r="W27" s="337">
        <f> InpS!W$15</f>
        <v>0.45</v>
      </c>
      <c r="X27" s="337">
        <f> InpS!X$15</f>
        <v>0.45</v>
      </c>
      <c r="Y27" s="337">
        <f> InpS!Y$15</f>
        <v>0.45</v>
      </c>
      <c r="Z27" s="337">
        <f> InpS!Z$15</f>
        <v>0.45</v>
      </c>
      <c r="AA27" s="337">
        <f> InpS!AA$15</f>
        <v>0.45</v>
      </c>
      <c r="AB27" s="337">
        <f> InpS!AB$15</f>
        <v>0.45</v>
      </c>
      <c r="AC27" s="337">
        <f> InpS!AC$15</f>
        <v>0.45</v>
      </c>
      <c r="AD27" s="337">
        <f> InpS!AD$15</f>
        <v>0.45</v>
      </c>
      <c r="AE27" s="337">
        <f> InpS!AE$15</f>
        <v>0.45</v>
      </c>
      <c r="AF27" s="337">
        <f> InpS!AF$15</f>
        <v>0.45</v>
      </c>
      <c r="AG27" s="337">
        <f> InpS!AG$15</f>
        <v>0.45</v>
      </c>
      <c r="AH27" s="337">
        <f> InpS!AH$15</f>
        <v>0.45</v>
      </c>
      <c r="AI27" s="337">
        <f> InpS!AI$15</f>
        <v>0.45</v>
      </c>
      <c r="AJ27" s="337">
        <f> InpS!AJ$15</f>
        <v>0.45</v>
      </c>
      <c r="AK27" s="337">
        <f> InpS!AK$15</f>
        <v>0.45</v>
      </c>
      <c r="AL27" s="337">
        <f> InpS!AL$15</f>
        <v>0.45</v>
      </c>
      <c r="AM27" s="337">
        <f> InpS!AM$15</f>
        <v>0.45</v>
      </c>
      <c r="AN27" s="337">
        <f> InpS!AN$15</f>
        <v>0.45</v>
      </c>
      <c r="AO27" s="337">
        <f> InpS!AO$15</f>
        <v>0.45</v>
      </c>
      <c r="AP27" s="337">
        <f> InpS!AP$15</f>
        <v>0.45</v>
      </c>
      <c r="AQ27" s="337">
        <f> InpS!AQ$15</f>
        <v>0.45</v>
      </c>
      <c r="AR27" s="337">
        <f> InpS!AR$15</f>
        <v>0.45</v>
      </c>
      <c r="AS27" s="337">
        <f> InpS!AS$15</f>
        <v>0.45</v>
      </c>
      <c r="AT27" s="337">
        <f> InpS!AT$15</f>
        <v>0.45</v>
      </c>
      <c r="AU27" s="337">
        <f> InpS!AU$15</f>
        <v>0.45</v>
      </c>
      <c r="AV27" s="337">
        <f> InpS!AV$15</f>
        <v>0.45</v>
      </c>
      <c r="AW27" s="337">
        <f> InpS!AW$15</f>
        <v>0.45</v>
      </c>
      <c r="AX27" s="337">
        <f> InpS!AX$15</f>
        <v>0.55</v>
      </c>
      <c r="AY27" s="337">
        <f> InpS!AY$15</f>
        <v>0.55</v>
      </c>
      <c r="AZ27" s="337">
        <f> InpS!AZ$15</f>
        <v>0.55</v>
      </c>
      <c r="BA27" s="337">
        <f> InpS!BA$15</f>
        <v>0.55</v>
      </c>
      <c r="BB27" s="337">
        <f> InpS!BB$15</f>
        <v>0.55</v>
      </c>
      <c r="BC27" s="337">
        <f> InpS!BC$15</f>
        <v>0.55</v>
      </c>
      <c r="BD27" s="337">
        <f> InpS!BD$15</f>
        <v>0.55</v>
      </c>
      <c r="BE27" s="337">
        <f> InpS!BE$15</f>
        <v>0.55</v>
      </c>
      <c r="BF27" s="337">
        <f> InpS!BF$15</f>
        <v>0.55</v>
      </c>
      <c r="BG27" s="337">
        <f> InpS!BG$15</f>
        <v>0.55</v>
      </c>
      <c r="BH27" s="337">
        <f> InpS!BH$15</f>
        <v>0.55</v>
      </c>
      <c r="BI27" s="337">
        <f> InpS!BI$15</f>
        <v>0.55</v>
      </c>
      <c r="BJ27" s="337">
        <f> InpS!BJ$15</f>
        <v>0.55</v>
      </c>
      <c r="BK27" s="337">
        <f> InpS!BK$15</f>
        <v>0.55</v>
      </c>
      <c r="BL27" s="337">
        <f> InpS!BL$15</f>
        <v>0.55</v>
      </c>
      <c r="BM27" s="337">
        <f> InpS!BM$15</f>
        <v>0.55</v>
      </c>
      <c r="BN27" s="337">
        <f> InpS!BN$15</f>
        <v>0.55</v>
      </c>
      <c r="BO27" s="337">
        <f> InpS!BO$15</f>
        <v>0.55</v>
      </c>
      <c r="BP27" s="337">
        <f> InpS!BP$15</f>
        <v>0.55</v>
      </c>
      <c r="BQ27" s="337">
        <f> InpS!BQ$15</f>
        <v>0.55</v>
      </c>
      <c r="BR27" s="337">
        <f> InpS!BR$15</f>
        <v>0.55</v>
      </c>
      <c r="BS27" s="337">
        <f> InpS!BS$15</f>
        <v>0.55</v>
      </c>
      <c r="BT27" s="337">
        <f> InpS!BT$15</f>
        <v>0.55</v>
      </c>
      <c r="BU27" s="337">
        <f> InpS!BU$15</f>
        <v>0.55</v>
      </c>
      <c r="BV27" s="337">
        <f> InpS!BV$15</f>
        <v>0.55</v>
      </c>
      <c r="BW27" s="337">
        <f> InpS!BW$15</f>
        <v>0.55</v>
      </c>
      <c r="BX27" s="337">
        <f> InpS!BX$15</f>
        <v>0.55</v>
      </c>
      <c r="BY27" s="337">
        <f> InpS!BY$15</f>
        <v>0.55</v>
      </c>
      <c r="BZ27" s="337">
        <f> InpS!BZ$15</f>
        <v>0.55</v>
      </c>
      <c r="CA27" s="337">
        <f> InpS!CA$15</f>
        <v>0.55</v>
      </c>
      <c r="CB27" s="337">
        <f> InpS!CB$15</f>
        <v>0.55</v>
      </c>
      <c r="CC27" s="337">
        <f> InpS!CC$15</f>
        <v>0.55</v>
      </c>
      <c r="CD27" s="337">
        <f> InpS!CD$15</f>
        <v>0.55</v>
      </c>
      <c r="CE27" s="337">
        <f> InpS!CE$15</f>
        <v>0.55</v>
      </c>
      <c r="CF27" s="337">
        <f> InpS!CF$15</f>
        <v>0.55</v>
      </c>
      <c r="CG27" s="337">
        <f> InpS!CG$15</f>
        <v>0.55</v>
      </c>
      <c r="CH27" s="337">
        <f> InpS!CH$15</f>
        <v>0.55</v>
      </c>
      <c r="CI27" s="337">
        <f> InpS!CI$15</f>
        <v>0.55</v>
      </c>
      <c r="CJ27" s="337">
        <f> InpS!CJ$15</f>
        <v>0.55</v>
      </c>
      <c r="CK27" s="337">
        <f> InpS!CK$15</f>
        <v>0.55</v>
      </c>
      <c r="CL27" s="337">
        <f> InpS!CL$15</f>
        <v>0.55</v>
      </c>
      <c r="CM27" s="337">
        <f> InpS!CM$15</f>
        <v>0.55</v>
      </c>
      <c r="CN27" s="337">
        <f> InpS!CN$15</f>
        <v>0.55</v>
      </c>
      <c r="CO27" s="337">
        <f> InpS!CO$15</f>
        <v>0.55</v>
      </c>
    </row>
    <row r="29">
      <c r="E29" s="61" t="str">
        <f> E$19</f>
        <v>Arrivals - Domestic</v>
      </c>
      <c r="F29" s="61">
        <f> F$19</f>
        <v>0.0</v>
      </c>
      <c r="G29" s="61" t="str">
        <f> G$19</f>
        <v>arrivals </v>
      </c>
      <c r="H29" s="61">
        <f> H$19</f>
        <v>868800.0</v>
      </c>
      <c r="I29" s="61">
        <f> I$19</f>
        <v>0.0</v>
      </c>
      <c r="J29" s="61">
        <f> J$19</f>
        <v>0.0</v>
      </c>
      <c r="K29" s="61">
        <f> K$19</f>
        <v>0.0</v>
      </c>
      <c r="L29" s="61">
        <f> L$19</f>
        <v>11100.0</v>
      </c>
      <c r="M29" s="61">
        <f> M$19</f>
        <v>10500.0</v>
      </c>
      <c r="N29" s="61">
        <f> N$19</f>
        <v>11100.0</v>
      </c>
      <c r="O29" s="61">
        <f> O$19</f>
        <v>10500.0</v>
      </c>
      <c r="P29" s="61">
        <f> P$19</f>
        <v>11100.0</v>
      </c>
      <c r="Q29" s="61">
        <f> Q$19</f>
        <v>10500.0</v>
      </c>
      <c r="R29" s="61">
        <f> R$19</f>
        <v>11100.0</v>
      </c>
      <c r="S29" s="61">
        <f> S$19</f>
        <v>10500.0</v>
      </c>
      <c r="T29" s="61">
        <f> T$19</f>
        <v>11100.0</v>
      </c>
      <c r="U29" s="61">
        <f> U$19</f>
        <v>10500.0</v>
      </c>
      <c r="V29" s="61">
        <f> V$19</f>
        <v>11100.0</v>
      </c>
      <c r="W29" s="61">
        <f> W$19</f>
        <v>10500.0</v>
      </c>
      <c r="X29" s="61">
        <f> X$19</f>
        <v>11100.0</v>
      </c>
      <c r="Y29" s="61">
        <f> Y$19</f>
        <v>10500.0</v>
      </c>
      <c r="Z29" s="61">
        <f> Z$19</f>
        <v>11100.0</v>
      </c>
      <c r="AA29" s="61">
        <f> AA$19</f>
        <v>10500.0</v>
      </c>
      <c r="AB29" s="61">
        <f> AB$19</f>
        <v>11100.0</v>
      </c>
      <c r="AC29" s="61">
        <f> AC$19</f>
        <v>10500.0</v>
      </c>
      <c r="AD29" s="61">
        <f> AD$19</f>
        <v>11100.0</v>
      </c>
      <c r="AE29" s="61">
        <f> AE$19</f>
        <v>10500.0</v>
      </c>
      <c r="AF29" s="61">
        <f> AF$19</f>
        <v>11100.0</v>
      </c>
      <c r="AG29" s="61">
        <f> AG$19</f>
        <v>10500.0</v>
      </c>
      <c r="AH29" s="61">
        <f> AH$19</f>
        <v>11100.0</v>
      </c>
      <c r="AI29" s="61">
        <f> AI$19</f>
        <v>10500.0</v>
      </c>
      <c r="AJ29" s="61">
        <f> AJ$19</f>
        <v>11100.0</v>
      </c>
      <c r="AK29" s="61">
        <f> AK$19</f>
        <v>10500.0</v>
      </c>
      <c r="AL29" s="61">
        <f> AL$19</f>
        <v>11100.0</v>
      </c>
      <c r="AM29" s="61">
        <f> AM$19</f>
        <v>10500.0</v>
      </c>
      <c r="AN29" s="61">
        <f> AN$19</f>
        <v>11100.0</v>
      </c>
      <c r="AO29" s="61">
        <f> AO$19</f>
        <v>10500.0</v>
      </c>
      <c r="AP29" s="61">
        <f> AP$19</f>
        <v>11100.0</v>
      </c>
      <c r="AQ29" s="61">
        <f> AQ$19</f>
        <v>10500.0</v>
      </c>
      <c r="AR29" s="61">
        <f> AR$19</f>
        <v>11100.0</v>
      </c>
      <c r="AS29" s="61">
        <f> AS$19</f>
        <v>10500.0</v>
      </c>
      <c r="AT29" s="61">
        <f> AT$19</f>
        <v>11100.0</v>
      </c>
      <c r="AU29" s="61">
        <f> AU$19</f>
        <v>10500.0</v>
      </c>
      <c r="AV29" s="61">
        <f> AV$19</f>
        <v>11100.0</v>
      </c>
      <c r="AW29" s="61">
        <f> AW$19</f>
        <v>10500.0</v>
      </c>
      <c r="AX29" s="61">
        <f> AX$19</f>
        <v>11100.0</v>
      </c>
      <c r="AY29" s="61">
        <f> AY$19</f>
        <v>10500.0</v>
      </c>
      <c r="AZ29" s="61">
        <f> AZ$19</f>
        <v>11100.0</v>
      </c>
      <c r="BA29" s="61">
        <f> BA$19</f>
        <v>10500.0</v>
      </c>
      <c r="BB29" s="61">
        <f> BB$19</f>
        <v>11100.0</v>
      </c>
      <c r="BC29" s="61">
        <f> BC$19</f>
        <v>10500.0</v>
      </c>
      <c r="BD29" s="61">
        <f> BD$19</f>
        <v>11100.0</v>
      </c>
      <c r="BE29" s="61">
        <f> BE$19</f>
        <v>10500.0</v>
      </c>
      <c r="BF29" s="61">
        <f> BF$19</f>
        <v>11100.0</v>
      </c>
      <c r="BG29" s="61">
        <f> BG$19</f>
        <v>10500.0</v>
      </c>
      <c r="BH29" s="61">
        <f> BH$19</f>
        <v>10500.0</v>
      </c>
      <c r="BI29" s="61">
        <f> BI$19</f>
        <v>11100.0</v>
      </c>
      <c r="BJ29" s="61">
        <f> BJ$19</f>
        <v>10500.0</v>
      </c>
      <c r="BK29" s="61">
        <f> BK$19</f>
        <v>11100.0</v>
      </c>
      <c r="BL29" s="61">
        <f> BL$19</f>
        <v>10500.0</v>
      </c>
      <c r="BM29" s="61">
        <f> BM$19</f>
        <v>11100.0</v>
      </c>
      <c r="BN29" s="61">
        <f> BN$19</f>
        <v>10500.0</v>
      </c>
      <c r="BO29" s="61">
        <f> BO$19</f>
        <v>11100.0</v>
      </c>
      <c r="BP29" s="61">
        <f> BP$19</f>
        <v>10500.0</v>
      </c>
      <c r="BQ29" s="61">
        <f> BQ$19</f>
        <v>10500.0</v>
      </c>
      <c r="BR29" s="61">
        <f> BR$19</f>
        <v>11100.0</v>
      </c>
      <c r="BS29" s="61">
        <f> BS$19</f>
        <v>10500.0</v>
      </c>
      <c r="BT29" s="61">
        <f> BT$19</f>
        <v>11100.0</v>
      </c>
      <c r="BU29" s="61">
        <f> BU$19</f>
        <v>10500.0</v>
      </c>
      <c r="BV29" s="61">
        <f> BV$19</f>
        <v>11100.0</v>
      </c>
      <c r="BW29" s="61">
        <f> BW$19</f>
        <v>11100.0</v>
      </c>
      <c r="BX29" s="61">
        <f> BX$19</f>
        <v>11100.0</v>
      </c>
      <c r="BY29" s="61">
        <f> BY$19</f>
        <v>11100.0</v>
      </c>
      <c r="BZ29" s="61">
        <f> BZ$19</f>
        <v>11100.0</v>
      </c>
      <c r="CA29" s="61">
        <f> CA$19</f>
        <v>11100.0</v>
      </c>
      <c r="CB29" s="61">
        <f> CB$19</f>
        <v>11100.0</v>
      </c>
      <c r="CC29" s="61">
        <f> CC$19</f>
        <v>11100.0</v>
      </c>
      <c r="CD29" s="61">
        <f> CD$19</f>
        <v>11100.0</v>
      </c>
      <c r="CE29" s="61">
        <f> CE$19</f>
        <v>11100.0</v>
      </c>
      <c r="CF29" s="61">
        <f> CF$19</f>
        <v>11100.0</v>
      </c>
      <c r="CG29" s="61">
        <f> CG$19</f>
        <v>11100.0</v>
      </c>
      <c r="CH29" s="61">
        <f> CH$19</f>
        <v>11100.0</v>
      </c>
      <c r="CI29" s="61">
        <f> CI$19</f>
        <v>11100.0</v>
      </c>
      <c r="CJ29" s="61">
        <f> CJ$19</f>
        <v>11100.0</v>
      </c>
      <c r="CK29" s="61">
        <f> CK$19</f>
        <v>11100.0</v>
      </c>
      <c r="CL29" s="61">
        <f> CL$19</f>
        <v>11100.0</v>
      </c>
      <c r="CM29" s="61">
        <f> CM$19</f>
        <v>11100.0</v>
      </c>
      <c r="CN29" s="61">
        <f> CN$19</f>
        <v>0.0</v>
      </c>
      <c r="CO29" s="61">
        <f> CO$19</f>
        <v>0.0</v>
      </c>
    </row>
    <row r="30">
      <c r="E30" s="61" t="str">
        <f> E$20</f>
        <v>Arrivals - International </v>
      </c>
      <c r="F30" s="61">
        <f> F$20</f>
        <v>0.0</v>
      </c>
      <c r="G30" s="61" t="str">
        <f> G$20</f>
        <v>arrivals </v>
      </c>
      <c r="H30" s="61">
        <f> H$20</f>
        <v>55848.0</v>
      </c>
      <c r="I30" s="61">
        <f> I$20</f>
        <v>0.0</v>
      </c>
      <c r="J30" s="61">
        <f> J$20</f>
        <v>0.0</v>
      </c>
      <c r="K30" s="61">
        <f> K$20</f>
        <v>0.0</v>
      </c>
      <c r="L30" s="61">
        <f> L$20</f>
        <v>408.0</v>
      </c>
      <c r="M30" s="61">
        <f> M$20</f>
        <v>616.0</v>
      </c>
      <c r="N30" s="61">
        <f> N$20</f>
        <v>616.0</v>
      </c>
      <c r="O30" s="61">
        <f> O$20</f>
        <v>704.0</v>
      </c>
      <c r="P30" s="61">
        <f> P$20</f>
        <v>704.0</v>
      </c>
      <c r="Q30" s="61">
        <f> Q$20</f>
        <v>704.0</v>
      </c>
      <c r="R30" s="61">
        <f> R$20</f>
        <v>704.0</v>
      </c>
      <c r="S30" s="61">
        <f> S$20</f>
        <v>704.0</v>
      </c>
      <c r="T30" s="61">
        <f> T$20</f>
        <v>704.0</v>
      </c>
      <c r="U30" s="61">
        <f> U$20</f>
        <v>704.0</v>
      </c>
      <c r="V30" s="61">
        <f> V$20</f>
        <v>704.0</v>
      </c>
      <c r="W30" s="61">
        <f> W$20</f>
        <v>704.0</v>
      </c>
      <c r="X30" s="61">
        <f> X$20</f>
        <v>704.0</v>
      </c>
      <c r="Y30" s="61">
        <f> Y$20</f>
        <v>704.0</v>
      </c>
      <c r="Z30" s="61">
        <f> Z$20</f>
        <v>704.0</v>
      </c>
      <c r="AA30" s="61">
        <f> AA$20</f>
        <v>704.0</v>
      </c>
      <c r="AB30" s="61">
        <f> AB$20</f>
        <v>704.0</v>
      </c>
      <c r="AC30" s="61">
        <f> AC$20</f>
        <v>704.0</v>
      </c>
      <c r="AD30" s="61">
        <f> AD$20</f>
        <v>704.0</v>
      </c>
      <c r="AE30" s="61">
        <f> AE$20</f>
        <v>704.0</v>
      </c>
      <c r="AF30" s="61">
        <f> AF$20</f>
        <v>704.0</v>
      </c>
      <c r="AG30" s="61">
        <f> AG$20</f>
        <v>704.0</v>
      </c>
      <c r="AH30" s="61">
        <f> AH$20</f>
        <v>704.0</v>
      </c>
      <c r="AI30" s="61">
        <f> AI$20</f>
        <v>704.0</v>
      </c>
      <c r="AJ30" s="61">
        <f> AJ$20</f>
        <v>704.0</v>
      </c>
      <c r="AK30" s="61">
        <f> AK$20</f>
        <v>704.0</v>
      </c>
      <c r="AL30" s="61">
        <f> AL$20</f>
        <v>704.0</v>
      </c>
      <c r="AM30" s="61">
        <f> AM$20</f>
        <v>704.0</v>
      </c>
      <c r="AN30" s="61">
        <f> AN$20</f>
        <v>704.0</v>
      </c>
      <c r="AO30" s="61">
        <f> AO$20</f>
        <v>704.0</v>
      </c>
      <c r="AP30" s="61">
        <f> AP$20</f>
        <v>704.0</v>
      </c>
      <c r="AQ30" s="61">
        <f> AQ$20</f>
        <v>704.0</v>
      </c>
      <c r="AR30" s="61">
        <f> AR$20</f>
        <v>704.0</v>
      </c>
      <c r="AS30" s="61">
        <f> AS$20</f>
        <v>704.0</v>
      </c>
      <c r="AT30" s="61">
        <f> AT$20</f>
        <v>704.0</v>
      </c>
      <c r="AU30" s="61">
        <f> AU$20</f>
        <v>704.0</v>
      </c>
      <c r="AV30" s="61">
        <f> AV$20</f>
        <v>704.0</v>
      </c>
      <c r="AW30" s="61">
        <f> AW$20</f>
        <v>704.0</v>
      </c>
      <c r="AX30" s="61">
        <f> AX$20</f>
        <v>704.0</v>
      </c>
      <c r="AY30" s="61">
        <f> AY$20</f>
        <v>704.0</v>
      </c>
      <c r="AZ30" s="61">
        <f> AZ$20</f>
        <v>704.0</v>
      </c>
      <c r="BA30" s="61">
        <f> BA$20</f>
        <v>704.0</v>
      </c>
      <c r="BB30" s="61">
        <f> BB$20</f>
        <v>704.0</v>
      </c>
      <c r="BC30" s="61">
        <f> BC$20</f>
        <v>704.0</v>
      </c>
      <c r="BD30" s="61">
        <f> BD$20</f>
        <v>704.0</v>
      </c>
      <c r="BE30" s="61">
        <f> BE$20</f>
        <v>704.0</v>
      </c>
      <c r="BF30" s="61">
        <f> BF$20</f>
        <v>704.0</v>
      </c>
      <c r="BG30" s="61">
        <f> BG$20</f>
        <v>704.0</v>
      </c>
      <c r="BH30" s="61">
        <f> BH$20</f>
        <v>704.0</v>
      </c>
      <c r="BI30" s="61">
        <f> BI$20</f>
        <v>704.0</v>
      </c>
      <c r="BJ30" s="61">
        <f> BJ$20</f>
        <v>704.0</v>
      </c>
      <c r="BK30" s="61">
        <f> BK$20</f>
        <v>704.0</v>
      </c>
      <c r="BL30" s="61">
        <f> BL$20</f>
        <v>704.0</v>
      </c>
      <c r="BM30" s="61">
        <f> BM$20</f>
        <v>704.0</v>
      </c>
      <c r="BN30" s="61">
        <f> BN$20</f>
        <v>704.0</v>
      </c>
      <c r="BO30" s="61">
        <f> BO$20</f>
        <v>704.0</v>
      </c>
      <c r="BP30" s="61">
        <f> BP$20</f>
        <v>704.0</v>
      </c>
      <c r="BQ30" s="61">
        <f> BQ$20</f>
        <v>704.0</v>
      </c>
      <c r="BR30" s="61">
        <f> BR$20</f>
        <v>704.0</v>
      </c>
      <c r="BS30" s="61">
        <f> BS$20</f>
        <v>704.0</v>
      </c>
      <c r="BT30" s="61">
        <f> BT$20</f>
        <v>704.0</v>
      </c>
      <c r="BU30" s="61">
        <f> BU$20</f>
        <v>704.0</v>
      </c>
      <c r="BV30" s="61">
        <f> BV$20</f>
        <v>704.0</v>
      </c>
      <c r="BW30" s="61">
        <f> BW$20</f>
        <v>704.0</v>
      </c>
      <c r="BX30" s="61">
        <f> BX$20</f>
        <v>704.0</v>
      </c>
      <c r="BY30" s="61">
        <f> BY$20</f>
        <v>704.0</v>
      </c>
      <c r="BZ30" s="61">
        <f> BZ$20</f>
        <v>704.0</v>
      </c>
      <c r="CA30" s="61">
        <f> CA$20</f>
        <v>704.0</v>
      </c>
      <c r="CB30" s="61">
        <f> CB$20</f>
        <v>704.0</v>
      </c>
      <c r="CC30" s="61">
        <f> CC$20</f>
        <v>704.0</v>
      </c>
      <c r="CD30" s="61">
        <f> CD$20</f>
        <v>704.0</v>
      </c>
      <c r="CE30" s="61">
        <f> CE$20</f>
        <v>704.0</v>
      </c>
      <c r="CF30" s="61">
        <f> CF$20</f>
        <v>704.0</v>
      </c>
      <c r="CG30" s="61">
        <f> CG$20</f>
        <v>704.0</v>
      </c>
      <c r="CH30" s="61">
        <f> CH$20</f>
        <v>704.0</v>
      </c>
      <c r="CI30" s="61">
        <f> CI$20</f>
        <v>704.0</v>
      </c>
      <c r="CJ30" s="61">
        <f> CJ$20</f>
        <v>704.0</v>
      </c>
      <c r="CK30" s="61">
        <f> CK$20</f>
        <v>704.0</v>
      </c>
      <c r="CL30" s="61">
        <f> CL$20</f>
        <v>704.0</v>
      </c>
      <c r="CM30" s="61">
        <f> CM$20</f>
        <v>704.0</v>
      </c>
      <c r="CN30" s="61">
        <f> CN$20</f>
        <v>0.0</v>
      </c>
      <c r="CO30" s="61">
        <f> CO$20</f>
        <v>0.0</v>
      </c>
    </row>
    <row r="32">
      <c r="E32" s="61" t="inlineStr">
        <is>
          <t>Passengers - domestic</t>
        </is>
      </c>
      <c r="G32" s="61" t="inlineStr">
        <is>
          <t>pax</t>
        </is>
      </c>
      <c r="H32" s="61">
        <f> SUM(J32:CO32)</f>
        <v>181950300.0</v>
      </c>
      <c r="J32" s="61">
        <f> $F23 * J26 * J29</f>
        <v>0.0</v>
      </c>
      <c r="K32" s="61">
        <f> $F23 * K26 * K29</f>
        <v>0.0</v>
      </c>
      <c r="L32" s="61">
        <f> $F23 * L26 * L29</f>
        <v>2136750.0000000005</v>
      </c>
      <c r="M32" s="61">
        <f> $F23 * M26 * M29</f>
        <v>2021250.0000000002</v>
      </c>
      <c r="N32" s="61">
        <f> $F23 * N26 * N29</f>
        <v>2136750.0000000005</v>
      </c>
      <c r="O32" s="61">
        <f> $F23 * O26 * O29</f>
        <v>2021250.0000000002</v>
      </c>
      <c r="P32" s="61">
        <f> $F23 * P26 * P29</f>
        <v>2136750.0000000005</v>
      </c>
      <c r="Q32" s="61">
        <f> $F23 * Q26 * Q29</f>
        <v>2021250.0000000002</v>
      </c>
      <c r="R32" s="61">
        <f> $F23 * R26 * R29</f>
        <v>2136750.0000000005</v>
      </c>
      <c r="S32" s="61">
        <f> $F23 * S26 * S29</f>
        <v>2021250.0000000002</v>
      </c>
      <c r="T32" s="61">
        <f> $F23 * T26 * T29</f>
        <v>2175600.0000000005</v>
      </c>
      <c r="U32" s="61">
        <f> $F23 * U26 * U29</f>
        <v>2058000.0000000002</v>
      </c>
      <c r="V32" s="61">
        <f> $F23 * V26 * V29</f>
        <v>2175600.0000000005</v>
      </c>
      <c r="W32" s="61">
        <f> $F23 * W26 * W29</f>
        <v>2058000.0000000002</v>
      </c>
      <c r="X32" s="61">
        <f> $F23 * X26 * X29</f>
        <v>2175600.0000000005</v>
      </c>
      <c r="Y32" s="61">
        <f> $F23 * Y26 * Y29</f>
        <v>2058000.0000000002</v>
      </c>
      <c r="Z32" s="61">
        <f> $F23 * Z26 * Z29</f>
        <v>2175600.0000000005</v>
      </c>
      <c r="AA32" s="61">
        <f> $F23 * AA26 * AA29</f>
        <v>2058000.0000000002</v>
      </c>
      <c r="AB32" s="61">
        <f> $F23 * AB26 * AB29</f>
        <v>2175600.0000000005</v>
      </c>
      <c r="AC32" s="61">
        <f> $F23 * AC26 * AC29</f>
        <v>2058000.0000000002</v>
      </c>
      <c r="AD32" s="61">
        <f> $F23 * AD26 * AD29</f>
        <v>2253300.0</v>
      </c>
      <c r="AE32" s="61">
        <f> $F23 * AE26 * AE29</f>
        <v>2131500.0</v>
      </c>
      <c r="AF32" s="61">
        <f> $F23 * AF26 * AF29</f>
        <v>2253300.0</v>
      </c>
      <c r="AG32" s="61">
        <f> $F23 * AG26 * AG29</f>
        <v>2131500.0</v>
      </c>
      <c r="AH32" s="61">
        <f> $F23 * AH26 * AH29</f>
        <v>2253300.0</v>
      </c>
      <c r="AI32" s="61">
        <f> $F23 * AI26 * AI29</f>
        <v>2131500.0</v>
      </c>
      <c r="AJ32" s="61">
        <f> $F23 * AJ26 * AJ29</f>
        <v>2253300.0</v>
      </c>
      <c r="AK32" s="61">
        <f> $F23 * AK26 * AK29</f>
        <v>2131500.0</v>
      </c>
      <c r="AL32" s="61">
        <f> $F23 * AL26 * AL29</f>
        <v>2253300.0</v>
      </c>
      <c r="AM32" s="61">
        <f> $F23 * AM26 * AM29</f>
        <v>2205000.0</v>
      </c>
      <c r="AN32" s="61">
        <f> $F23 * AN26 * AN29</f>
        <v>2331000.0</v>
      </c>
      <c r="AO32" s="61">
        <f> $F23 * AO26 * AO29</f>
        <v>2205000.0</v>
      </c>
      <c r="AP32" s="61">
        <f> $F23 * AP26 * AP29</f>
        <v>2331000.0</v>
      </c>
      <c r="AQ32" s="61">
        <f> $F23 * AQ26 * AQ29</f>
        <v>2205000.0</v>
      </c>
      <c r="AR32" s="61">
        <f> $F23 * AR26 * AR29</f>
        <v>2331000.0</v>
      </c>
      <c r="AS32" s="61">
        <f> $F23 * AS26 * AS29</f>
        <v>2205000.0</v>
      </c>
      <c r="AT32" s="61">
        <f> $F23 * AT26 * AT29</f>
        <v>2331000.0</v>
      </c>
      <c r="AU32" s="61">
        <f> $F23 * AU26 * AU29</f>
        <v>2205000.0</v>
      </c>
      <c r="AV32" s="61">
        <f> $F23 * AV26 * AV29</f>
        <v>2331000.0</v>
      </c>
      <c r="AW32" s="61">
        <f> $F23 * AW26 * AW29</f>
        <v>2205000.0</v>
      </c>
      <c r="AX32" s="61">
        <f> $F23 * AX26 * AX29</f>
        <v>2408700.0</v>
      </c>
      <c r="AY32" s="61">
        <f> $F23 * AY26 * AY29</f>
        <v>2278500.0</v>
      </c>
      <c r="AZ32" s="61">
        <f> $F23 * AZ26 * AZ29</f>
        <v>2408700.0</v>
      </c>
      <c r="BA32" s="61">
        <f> $F23 * BA26 * BA29</f>
        <v>2278500.0</v>
      </c>
      <c r="BB32" s="61">
        <f> $F23 * BB26 * BB29</f>
        <v>2408700.0</v>
      </c>
      <c r="BC32" s="61">
        <f> $F23 * BC26 * BC29</f>
        <v>2278500.0</v>
      </c>
      <c r="BD32" s="61">
        <f> $F23 * BD26 * BD29</f>
        <v>2408700.0</v>
      </c>
      <c r="BE32" s="61">
        <f> $F23 * BE26 * BE29</f>
        <v>2278500.0</v>
      </c>
      <c r="BF32" s="61">
        <f> $F23 * BF26 * BF29</f>
        <v>2408700.0</v>
      </c>
      <c r="BG32" s="61">
        <f> $F23 * BG26 * BG29</f>
        <v>2278500.0</v>
      </c>
      <c r="BH32" s="61">
        <f> $F23 * BH26 * BH29</f>
        <v>2278500.0</v>
      </c>
      <c r="BI32" s="61">
        <f> $F23 * BI26 * BI29</f>
        <v>2408700.0</v>
      </c>
      <c r="BJ32" s="61">
        <f> $F23 * BJ26 * BJ29</f>
        <v>2278500.0</v>
      </c>
      <c r="BK32" s="61">
        <f> $F23 * BK26 * BK29</f>
        <v>2408700.0</v>
      </c>
      <c r="BL32" s="61">
        <f> $F23 * BL26 * BL29</f>
        <v>2278500.0</v>
      </c>
      <c r="BM32" s="61">
        <f> $F23 * BM26 * BM29</f>
        <v>2408700.0</v>
      </c>
      <c r="BN32" s="61">
        <f> $F23 * BN26 * BN29</f>
        <v>2278500.0</v>
      </c>
      <c r="BO32" s="61">
        <f> $F23 * BO26 * BO29</f>
        <v>2408700.0</v>
      </c>
      <c r="BP32" s="61">
        <f> $F23 * BP26 * BP29</f>
        <v>2278500.0</v>
      </c>
      <c r="BQ32" s="61">
        <f> $F23 * BQ26 * BQ29</f>
        <v>2278500.0</v>
      </c>
      <c r="BR32" s="61">
        <f> $F23 * BR26 * BR29</f>
        <v>2408700.0</v>
      </c>
      <c r="BS32" s="61">
        <f> $F23 * BS26 * BS29</f>
        <v>2278500.0</v>
      </c>
      <c r="BT32" s="61">
        <f> $F23 * BT26 * BT29</f>
        <v>2408700.0</v>
      </c>
      <c r="BU32" s="61">
        <f> $F23 * BU26 * BU29</f>
        <v>2278500.0</v>
      </c>
      <c r="BV32" s="61">
        <f> $F23 * BV26 * BV29</f>
        <v>2408700.0</v>
      </c>
      <c r="BW32" s="61">
        <f> $F23 * BW26 * BW29</f>
        <v>2408700.0</v>
      </c>
      <c r="BX32" s="61">
        <f> $F23 * BX26 * BX29</f>
        <v>2408700.0</v>
      </c>
      <c r="BY32" s="61">
        <f> $F23 * BY26 * BY29</f>
        <v>2408700.0</v>
      </c>
      <c r="BZ32" s="61">
        <f> $F23 * BZ26 * BZ29</f>
        <v>2408700.0</v>
      </c>
      <c r="CA32" s="61">
        <f> $F23 * CA26 * CA29</f>
        <v>2408700.0</v>
      </c>
      <c r="CB32" s="61">
        <f> $F23 * CB26 * CB29</f>
        <v>2408700.0</v>
      </c>
      <c r="CC32" s="61">
        <f> $F23 * CC26 * CC29</f>
        <v>2408700.0</v>
      </c>
      <c r="CD32" s="61">
        <f> $F23 * CD26 * CD29</f>
        <v>2408700.0</v>
      </c>
      <c r="CE32" s="61">
        <f> $F23 * CE26 * CE29</f>
        <v>2408700.0</v>
      </c>
      <c r="CF32" s="61">
        <f> $F23 * CF26 * CF29</f>
        <v>2408700.0</v>
      </c>
      <c r="CG32" s="61">
        <f> $F23 * CG26 * CG29</f>
        <v>2408700.0</v>
      </c>
      <c r="CH32" s="61">
        <f> $F23 * CH26 * CH29</f>
        <v>2408700.0</v>
      </c>
      <c r="CI32" s="61">
        <f> $F23 * CI26 * CI29</f>
        <v>2408700.0</v>
      </c>
      <c r="CJ32" s="61">
        <f> $F23 * CJ26 * CJ29</f>
        <v>2408700.0</v>
      </c>
      <c r="CK32" s="61">
        <f> $F23 * CK26 * CK29</f>
        <v>2408700.0</v>
      </c>
      <c r="CL32" s="61">
        <f> $F23 * CL26 * CL29</f>
        <v>2408700.0</v>
      </c>
      <c r="CM32" s="61">
        <f> $F23 * CM26 * CM29</f>
        <v>2408700.0</v>
      </c>
      <c r="CN32" s="61">
        <f> $F23 * CN26 * CN29</f>
        <v>0.0</v>
      </c>
      <c r="CO32" s="61">
        <f> $F23 * CO26 * CO29</f>
        <v>0.0</v>
      </c>
    </row>
    <row r="33">
      <c r="E33" s="61" t="inlineStr">
        <is>
          <t xml:space="preserve">Passengers - international </t>
        </is>
      </c>
      <c r="G33" s="61" t="inlineStr">
        <is>
          <t>pax</t>
        </is>
      </c>
      <c r="H33" s="61">
        <f> SUM(J33:CO33)</f>
        <v>4213260.0</v>
      </c>
      <c r="J33" s="61">
        <f> $F24 * J27 * J30</f>
        <v>0.0</v>
      </c>
      <c r="K33" s="61">
        <f> $F24 * K27 * K30</f>
        <v>0.0</v>
      </c>
      <c r="L33" s="61">
        <f> $F24 * L27 * L30</f>
        <v>27540.0</v>
      </c>
      <c r="M33" s="61">
        <f> $F24 * M27 * M30</f>
        <v>41580.0</v>
      </c>
      <c r="N33" s="61">
        <f> $F24 * N27 * N30</f>
        <v>41580.0</v>
      </c>
      <c r="O33" s="61">
        <f> $F24 * O27 * O30</f>
        <v>47520.0</v>
      </c>
      <c r="P33" s="61">
        <f> $F24 * P27 * P30</f>
        <v>47520.0</v>
      </c>
      <c r="Q33" s="61">
        <f> $F24 * Q27 * Q30</f>
        <v>47520.0</v>
      </c>
      <c r="R33" s="61">
        <f> $F24 * R27 * R30</f>
        <v>47520.0</v>
      </c>
      <c r="S33" s="61">
        <f> $F24 * S27 * S30</f>
        <v>47520.0</v>
      </c>
      <c r="T33" s="61">
        <f> $F24 * T27 * T30</f>
        <v>47520.0</v>
      </c>
      <c r="U33" s="61">
        <f> $F24 * U27 * U30</f>
        <v>47520.0</v>
      </c>
      <c r="V33" s="61">
        <f> $F24 * V27 * V30</f>
        <v>47520.0</v>
      </c>
      <c r="W33" s="61">
        <f> $F24 * W27 * W30</f>
        <v>47520.0</v>
      </c>
      <c r="X33" s="61">
        <f> $F24 * X27 * X30</f>
        <v>47520.0</v>
      </c>
      <c r="Y33" s="61">
        <f> $F24 * Y27 * Y30</f>
        <v>47520.0</v>
      </c>
      <c r="Z33" s="61">
        <f> $F24 * Z27 * Z30</f>
        <v>47520.0</v>
      </c>
      <c r="AA33" s="61">
        <f> $F24 * AA27 * AA30</f>
        <v>47520.0</v>
      </c>
      <c r="AB33" s="61">
        <f> $F24 * AB27 * AB30</f>
        <v>47520.0</v>
      </c>
      <c r="AC33" s="61">
        <f> $F24 * AC27 * AC30</f>
        <v>47520.0</v>
      </c>
      <c r="AD33" s="61">
        <f> $F24 * AD27 * AD30</f>
        <v>47520.0</v>
      </c>
      <c r="AE33" s="61">
        <f> $F24 * AE27 * AE30</f>
        <v>47520.0</v>
      </c>
      <c r="AF33" s="61">
        <f> $F24 * AF27 * AF30</f>
        <v>47520.0</v>
      </c>
      <c r="AG33" s="61">
        <f> $F24 * AG27 * AG30</f>
        <v>47520.0</v>
      </c>
      <c r="AH33" s="61">
        <f> $F24 * AH27 * AH30</f>
        <v>47520.0</v>
      </c>
      <c r="AI33" s="61">
        <f> $F24 * AI27 * AI30</f>
        <v>47520.0</v>
      </c>
      <c r="AJ33" s="61">
        <f> $F24 * AJ27 * AJ30</f>
        <v>47520.0</v>
      </c>
      <c r="AK33" s="61">
        <f> $F24 * AK27 * AK30</f>
        <v>47520.0</v>
      </c>
      <c r="AL33" s="61">
        <f> $F24 * AL27 * AL30</f>
        <v>47520.0</v>
      </c>
      <c r="AM33" s="61">
        <f> $F24 * AM27 * AM30</f>
        <v>47520.0</v>
      </c>
      <c r="AN33" s="61">
        <f> $F24 * AN27 * AN30</f>
        <v>47520.0</v>
      </c>
      <c r="AO33" s="61">
        <f> $F24 * AO27 * AO30</f>
        <v>47520.0</v>
      </c>
      <c r="AP33" s="61">
        <f> $F24 * AP27 * AP30</f>
        <v>47520.0</v>
      </c>
      <c r="AQ33" s="61">
        <f> $F24 * AQ27 * AQ30</f>
        <v>47520.0</v>
      </c>
      <c r="AR33" s="61">
        <f> $F24 * AR27 * AR30</f>
        <v>47520.0</v>
      </c>
      <c r="AS33" s="61">
        <f> $F24 * AS27 * AS30</f>
        <v>47520.0</v>
      </c>
      <c r="AT33" s="61">
        <f> $F24 * AT27 * AT30</f>
        <v>47520.0</v>
      </c>
      <c r="AU33" s="61">
        <f> $F24 * AU27 * AU30</f>
        <v>47520.0</v>
      </c>
      <c r="AV33" s="61">
        <f> $F24 * AV27 * AV30</f>
        <v>47520.0</v>
      </c>
      <c r="AW33" s="61">
        <f> $F24 * AW27 * AW30</f>
        <v>47520.0</v>
      </c>
      <c r="AX33" s="61">
        <f> $F24 * AX27 * AX30</f>
        <v>58080.0</v>
      </c>
      <c r="AY33" s="61">
        <f> $F24 * AY27 * AY30</f>
        <v>58080.0</v>
      </c>
      <c r="AZ33" s="61">
        <f> $F24 * AZ27 * AZ30</f>
        <v>58080.0</v>
      </c>
      <c r="BA33" s="61">
        <f> $F24 * BA27 * BA30</f>
        <v>58080.0</v>
      </c>
      <c r="BB33" s="61">
        <f> $F24 * BB27 * BB30</f>
        <v>58080.0</v>
      </c>
      <c r="BC33" s="61">
        <f> $F24 * BC27 * BC30</f>
        <v>58080.0</v>
      </c>
      <c r="BD33" s="61">
        <f> $F24 * BD27 * BD30</f>
        <v>58080.0</v>
      </c>
      <c r="BE33" s="61">
        <f> $F24 * BE27 * BE30</f>
        <v>58080.0</v>
      </c>
      <c r="BF33" s="61">
        <f> $F24 * BF27 * BF30</f>
        <v>58080.0</v>
      </c>
      <c r="BG33" s="61">
        <f> $F24 * BG27 * BG30</f>
        <v>58080.0</v>
      </c>
      <c r="BH33" s="61">
        <f> $F24 * BH27 * BH30</f>
        <v>58080.0</v>
      </c>
      <c r="BI33" s="61">
        <f> $F24 * BI27 * BI30</f>
        <v>58080.0</v>
      </c>
      <c r="BJ33" s="61">
        <f> $F24 * BJ27 * BJ30</f>
        <v>58080.0</v>
      </c>
      <c r="BK33" s="61">
        <f> $F24 * BK27 * BK30</f>
        <v>58080.0</v>
      </c>
      <c r="BL33" s="61">
        <f> $F24 * BL27 * BL30</f>
        <v>58080.0</v>
      </c>
      <c r="BM33" s="61">
        <f> $F24 * BM27 * BM30</f>
        <v>58080.0</v>
      </c>
      <c r="BN33" s="61">
        <f> $F24 * BN27 * BN30</f>
        <v>58080.0</v>
      </c>
      <c r="BO33" s="61">
        <f> $F24 * BO27 * BO30</f>
        <v>58080.0</v>
      </c>
      <c r="BP33" s="61">
        <f> $F24 * BP27 * BP30</f>
        <v>58080.0</v>
      </c>
      <c r="BQ33" s="61">
        <f> $F24 * BQ27 * BQ30</f>
        <v>58080.0</v>
      </c>
      <c r="BR33" s="61">
        <f> $F24 * BR27 * BR30</f>
        <v>58080.0</v>
      </c>
      <c r="BS33" s="61">
        <f> $F24 * BS27 * BS30</f>
        <v>58080.0</v>
      </c>
      <c r="BT33" s="61">
        <f> $F24 * BT27 * BT30</f>
        <v>58080.0</v>
      </c>
      <c r="BU33" s="61">
        <f> $F24 * BU27 * BU30</f>
        <v>58080.0</v>
      </c>
      <c r="BV33" s="61">
        <f> $F24 * BV27 * BV30</f>
        <v>58080.0</v>
      </c>
      <c r="BW33" s="61">
        <f> $F24 * BW27 * BW30</f>
        <v>58080.0</v>
      </c>
      <c r="BX33" s="61">
        <f> $F24 * BX27 * BX30</f>
        <v>58080.0</v>
      </c>
      <c r="BY33" s="61">
        <f> $F24 * BY27 * BY30</f>
        <v>58080.0</v>
      </c>
      <c r="BZ33" s="61">
        <f> $F24 * BZ27 * BZ30</f>
        <v>58080.0</v>
      </c>
      <c r="CA33" s="61">
        <f> $F24 * CA27 * CA30</f>
        <v>58080.0</v>
      </c>
      <c r="CB33" s="61">
        <f> $F24 * CB27 * CB30</f>
        <v>58080.0</v>
      </c>
      <c r="CC33" s="61">
        <f> $F24 * CC27 * CC30</f>
        <v>58080.0</v>
      </c>
      <c r="CD33" s="61">
        <f> $F24 * CD27 * CD30</f>
        <v>58080.0</v>
      </c>
      <c r="CE33" s="61">
        <f> $F24 * CE27 * CE30</f>
        <v>58080.0</v>
      </c>
      <c r="CF33" s="61">
        <f> $F24 * CF27 * CF30</f>
        <v>58080.0</v>
      </c>
      <c r="CG33" s="61">
        <f> $F24 * CG27 * CG30</f>
        <v>58080.0</v>
      </c>
      <c r="CH33" s="61">
        <f> $F24 * CH27 * CH30</f>
        <v>58080.0</v>
      </c>
      <c r="CI33" s="61">
        <f> $F24 * CI27 * CI30</f>
        <v>58080.0</v>
      </c>
      <c r="CJ33" s="61">
        <f> $F24 * CJ27 * CJ30</f>
        <v>58080.0</v>
      </c>
      <c r="CK33" s="61">
        <f> $F24 * CK27 * CK30</f>
        <v>58080.0</v>
      </c>
      <c r="CL33" s="61">
        <f> $F24 * CL27 * CL30</f>
        <v>58080.0</v>
      </c>
      <c r="CM33" s="61">
        <f> $F24 * CM27 * CM30</f>
        <v>58080.0</v>
      </c>
      <c r="CN33" s="61">
        <f> $F24 * CN27 * CN30</f>
        <v>0.0</v>
      </c>
      <c r="CO33" s="61">
        <f> $F24 * CO27 * CO30</f>
        <v>0.0</v>
      </c>
    </row>
    <row r="34" customFormat="1" s="260">
      <c r="A34" s="263" t="n"/>
      <c r="B34" s="263" t="n"/>
      <c r="C34" s="264" t="n"/>
      <c r="D34" s="335" t="n"/>
      <c r="E34" s="260" t="inlineStr">
        <is>
          <t xml:space="preserve">Passengers </t>
        </is>
      </c>
      <c r="G34" s="260" t="inlineStr">
        <is>
          <t>pax</t>
        </is>
      </c>
      <c r="H34" s="260">
        <f> SUM(J34:CO34)</f>
        <v>186163560.0</v>
      </c>
      <c r="J34" s="260">
        <f>SUM(J32:J33)</f>
        <v>0.0</v>
      </c>
      <c r="K34" s="260">
        <f>SUM(K32:K33)</f>
        <v>0.0</v>
      </c>
      <c r="L34" s="260">
        <f>SUM(L32:L33)</f>
        <v>2164290.0000000005</v>
      </c>
      <c r="M34" s="260">
        <f>SUM(M32:M33)</f>
        <v>2062830.0000000002</v>
      </c>
      <c r="N34" s="260">
        <f>SUM(N32:N33)</f>
        <v>2178330.0000000005</v>
      </c>
      <c r="O34" s="260">
        <f>SUM(O32:O33)</f>
        <v>2068770.0000000002</v>
      </c>
      <c r="P34" s="260">
        <f>SUM(P32:P33)</f>
        <v>2184270.0000000005</v>
      </c>
      <c r="Q34" s="260">
        <f>SUM(Q32:Q33)</f>
        <v>2068770.0000000002</v>
      </c>
      <c r="R34" s="260">
        <f>SUM(R32:R33)</f>
        <v>2184270.0000000005</v>
      </c>
      <c r="S34" s="260">
        <f>SUM(S32:S33)</f>
        <v>2068770.0000000002</v>
      </c>
      <c r="T34" s="260">
        <f>SUM(T32:T33)</f>
        <v>2223120.0000000005</v>
      </c>
      <c r="U34" s="260">
        <f>SUM(U32:U33)</f>
        <v>2105520.0</v>
      </c>
      <c r="V34" s="260">
        <f>SUM(V32:V33)</f>
        <v>2223120.0000000005</v>
      </c>
      <c r="W34" s="260">
        <f>SUM(W32:W33)</f>
        <v>2105520.0</v>
      </c>
      <c r="X34" s="260">
        <f>SUM(X32:X33)</f>
        <v>2223120.0000000005</v>
      </c>
      <c r="Y34" s="260">
        <f>SUM(Y32:Y33)</f>
        <v>2105520.0</v>
      </c>
      <c r="Z34" s="260">
        <f>SUM(Z32:Z33)</f>
        <v>2223120.0000000005</v>
      </c>
      <c r="AA34" s="260">
        <f>SUM(AA32:AA33)</f>
        <v>2105520.0</v>
      </c>
      <c r="AB34" s="260">
        <f>SUM(AB32:AB33)</f>
        <v>2223120.0000000005</v>
      </c>
      <c r="AC34" s="260">
        <f>SUM(AC32:AC33)</f>
        <v>2105520.0</v>
      </c>
      <c r="AD34" s="260">
        <f>SUM(AD32:AD33)</f>
        <v>2300820.0</v>
      </c>
      <c r="AE34" s="260">
        <f>SUM(AE32:AE33)</f>
        <v>2179020.0</v>
      </c>
      <c r="AF34" s="260">
        <f>SUM(AF32:AF33)</f>
        <v>2300820.0</v>
      </c>
      <c r="AG34" s="260">
        <f>SUM(AG32:AG33)</f>
        <v>2179020.0</v>
      </c>
      <c r="AH34" s="260">
        <f>SUM(AH32:AH33)</f>
        <v>2300820.0</v>
      </c>
      <c r="AI34" s="260">
        <f>SUM(AI32:AI33)</f>
        <v>2179020.0</v>
      </c>
      <c r="AJ34" s="260">
        <f>SUM(AJ32:AJ33)</f>
        <v>2300820.0</v>
      </c>
      <c r="AK34" s="260">
        <f>SUM(AK32:AK33)</f>
        <v>2179020.0</v>
      </c>
      <c r="AL34" s="260">
        <f>SUM(AL32:AL33)</f>
        <v>2300820.0</v>
      </c>
      <c r="AM34" s="260">
        <f>SUM(AM32:AM33)</f>
        <v>2252520.0</v>
      </c>
      <c r="AN34" s="260">
        <f>SUM(AN32:AN33)</f>
        <v>2378520.0</v>
      </c>
      <c r="AO34" s="260">
        <f>SUM(AO32:AO33)</f>
        <v>2252520.0</v>
      </c>
      <c r="AP34" s="260">
        <f>SUM(AP32:AP33)</f>
        <v>2378520.0</v>
      </c>
      <c r="AQ34" s="260">
        <f>SUM(AQ32:AQ33)</f>
        <v>2252520.0</v>
      </c>
      <c r="AR34" s="260">
        <f>SUM(AR32:AR33)</f>
        <v>2378520.0</v>
      </c>
      <c r="AS34" s="260">
        <f>SUM(AS32:AS33)</f>
        <v>2252520.0</v>
      </c>
      <c r="AT34" s="260">
        <f>SUM(AT32:AT33)</f>
        <v>2378520.0</v>
      </c>
      <c r="AU34" s="260">
        <f>SUM(AU32:AU33)</f>
        <v>2252520.0</v>
      </c>
      <c r="AV34" s="260">
        <f>SUM(AV32:AV33)</f>
        <v>2378520.0</v>
      </c>
      <c r="AW34" s="260">
        <f>SUM(AW32:AW33)</f>
        <v>2252520.0</v>
      </c>
      <c r="AX34" s="260">
        <f>SUM(AX32:AX33)</f>
        <v>2466780.0</v>
      </c>
      <c r="AY34" s="260">
        <f>SUM(AY32:AY33)</f>
        <v>2336580.0</v>
      </c>
      <c r="AZ34" s="260">
        <f>SUM(AZ32:AZ33)</f>
        <v>2466780.0</v>
      </c>
      <c r="BA34" s="260">
        <f>SUM(BA32:BA33)</f>
        <v>2336580.0</v>
      </c>
      <c r="BB34" s="260">
        <f>SUM(BB32:BB33)</f>
        <v>2466780.0</v>
      </c>
      <c r="BC34" s="260">
        <f>SUM(BC32:BC33)</f>
        <v>2336580.0</v>
      </c>
      <c r="BD34" s="260">
        <f>SUM(BD32:BD33)</f>
        <v>2466780.0</v>
      </c>
      <c r="BE34" s="260">
        <f>SUM(BE32:BE33)</f>
        <v>2336580.0</v>
      </c>
      <c r="BF34" s="260">
        <f>SUM(BF32:BF33)</f>
        <v>2466780.0</v>
      </c>
      <c r="BG34" s="260">
        <f>SUM(BG32:BG33)</f>
        <v>2336580.0</v>
      </c>
      <c r="BH34" s="260">
        <f>SUM(BH32:BH33)</f>
        <v>2336580.0</v>
      </c>
      <c r="BI34" s="260">
        <f>SUM(BI32:BI33)</f>
        <v>2466780.0</v>
      </c>
      <c r="BJ34" s="260">
        <f>SUM(BJ32:BJ33)</f>
        <v>2336580.0</v>
      </c>
      <c r="BK34" s="260">
        <f>SUM(BK32:BK33)</f>
        <v>2466780.0</v>
      </c>
      <c r="BL34" s="260">
        <f>SUM(BL32:BL33)</f>
        <v>2336580.0</v>
      </c>
      <c r="BM34" s="260">
        <f>SUM(BM32:BM33)</f>
        <v>2466780.0</v>
      </c>
      <c r="BN34" s="260">
        <f>SUM(BN32:BN33)</f>
        <v>2336580.0</v>
      </c>
      <c r="BO34" s="260">
        <f>SUM(BO32:BO33)</f>
        <v>2466780.0</v>
      </c>
      <c r="BP34" s="260">
        <f>SUM(BP32:BP33)</f>
        <v>2336580.0</v>
      </c>
      <c r="BQ34" s="260">
        <f>SUM(BQ32:BQ33)</f>
        <v>2336580.0</v>
      </c>
      <c r="BR34" s="260">
        <f>SUM(BR32:BR33)</f>
        <v>2466780.0</v>
      </c>
      <c r="BS34" s="260">
        <f>SUM(BS32:BS33)</f>
        <v>2336580.0</v>
      </c>
      <c r="BT34" s="260">
        <f>SUM(BT32:BT33)</f>
        <v>2466780.0</v>
      </c>
      <c r="BU34" s="260">
        <f>SUM(BU32:BU33)</f>
        <v>2336580.0</v>
      </c>
      <c r="BV34" s="260">
        <f>SUM(BV32:BV33)</f>
        <v>2466780.0</v>
      </c>
      <c r="BW34" s="260">
        <f>SUM(BW32:BW33)</f>
        <v>2466780.0</v>
      </c>
      <c r="BX34" s="260">
        <f>SUM(BX32:BX33)</f>
        <v>2466780.0</v>
      </c>
      <c r="BY34" s="260">
        <f>SUM(BY32:BY33)</f>
        <v>2466780.0</v>
      </c>
      <c r="BZ34" s="260">
        <f>SUM(BZ32:BZ33)</f>
        <v>2466780.0</v>
      </c>
      <c r="CA34" s="260">
        <f>SUM(CA32:CA33)</f>
        <v>2466780.0</v>
      </c>
      <c r="CB34" s="260">
        <f>SUM(CB32:CB33)</f>
        <v>2466780.0</v>
      </c>
      <c r="CC34" s="260">
        <f>SUM(CC32:CC33)</f>
        <v>2466780.0</v>
      </c>
      <c r="CD34" s="260">
        <f>SUM(CD32:CD33)</f>
        <v>2466780.0</v>
      </c>
      <c r="CE34" s="260">
        <f>SUM(CE32:CE33)</f>
        <v>2466780.0</v>
      </c>
      <c r="CF34" s="260">
        <f>SUM(CF32:CF33)</f>
        <v>2466780.0</v>
      </c>
      <c r="CG34" s="260">
        <f>SUM(CG32:CG33)</f>
        <v>2466780.0</v>
      </c>
      <c r="CH34" s="260">
        <f>SUM(CH32:CH33)</f>
        <v>2466780.0</v>
      </c>
      <c r="CI34" s="260">
        <f>SUM(CI32:CI33)</f>
        <v>2466780.0</v>
      </c>
      <c r="CJ34" s="260">
        <f>SUM(CJ32:CJ33)</f>
        <v>2466780.0</v>
      </c>
      <c r="CK34" s="260">
        <f>SUM(CK32:CK33)</f>
        <v>2466780.0</v>
      </c>
      <c r="CL34" s="260">
        <f>SUM(CL32:CL33)</f>
        <v>2466780.0</v>
      </c>
      <c r="CM34" s="260">
        <f>SUM(CM32:CM33)</f>
        <v>2466780.0</v>
      </c>
      <c r="CN34" s="260">
        <f>SUM(CN32:CN33)</f>
        <v>0.0</v>
      </c>
      <c r="CO34" s="260">
        <f>SUM(CO32:CO33)</f>
        <v>0.0</v>
      </c>
    </row>
    <row r="36">
      <c r="B36" s="294" t="inlineStr">
        <is>
          <t>Operating revenue</t>
        </is>
      </c>
    </row>
    <row r="37">
      <c r="E37" s="344" t="str">
        <f> InpC!E$35</f>
        <v>Average fare per passenger</v>
      </c>
      <c r="F37" s="344">
        <f> InpC!F$35</f>
        <v>7.15</v>
      </c>
      <c r="G37" s="344" t="str">
        <f> InpC!G$35</f>
        <v>USD/pax</v>
      </c>
    </row>
    <row r="38">
      <c r="E38" s="325" t="str">
        <f> InpC!E$102</f>
        <v>Unit in thousand</v>
      </c>
      <c r="F38" s="325">
        <f> InpC!F$102</f>
        <v>1000.0</v>
      </c>
      <c r="G38" s="325" t="str">
        <f> InpC!G$102</f>
        <v>units</v>
      </c>
    </row>
    <row r="39">
      <c r="E39" s="61" t="str">
        <f> E$34</f>
        <v>Passengers </v>
      </c>
      <c r="F39" s="61">
        <f> F$34</f>
        <v>0.0</v>
      </c>
      <c r="G39" s="61" t="str">
        <f> G$34</f>
        <v>pax</v>
      </c>
      <c r="H39" s="61">
        <f> H$34</f>
        <v>186163560.0</v>
      </c>
      <c r="I39" s="61">
        <f> I$34</f>
        <v>0.0</v>
      </c>
      <c r="J39" s="61">
        <f> J$34</f>
        <v>0.0</v>
      </c>
      <c r="K39" s="61">
        <f> K$34</f>
        <v>0.0</v>
      </c>
      <c r="L39" s="61">
        <f> L$34</f>
        <v>2164290.0000000005</v>
      </c>
      <c r="M39" s="61">
        <f> M$34</f>
        <v>2062830.0000000002</v>
      </c>
      <c r="N39" s="61">
        <f> N$34</f>
        <v>2178330.0000000005</v>
      </c>
      <c r="O39" s="61">
        <f> O$34</f>
        <v>2068770.0000000002</v>
      </c>
      <c r="P39" s="61">
        <f> P$34</f>
        <v>2184270.0000000005</v>
      </c>
      <c r="Q39" s="61">
        <f> Q$34</f>
        <v>2068770.0000000002</v>
      </c>
      <c r="R39" s="61">
        <f> R$34</f>
        <v>2184270.0000000005</v>
      </c>
      <c r="S39" s="61">
        <f> S$34</f>
        <v>2068770.0000000002</v>
      </c>
      <c r="T39" s="61">
        <f> T$34</f>
        <v>2223120.0000000005</v>
      </c>
      <c r="U39" s="61">
        <f> U$34</f>
        <v>2105520.0</v>
      </c>
      <c r="V39" s="61">
        <f> V$34</f>
        <v>2223120.0000000005</v>
      </c>
      <c r="W39" s="61">
        <f> W$34</f>
        <v>2105520.0</v>
      </c>
      <c r="X39" s="61">
        <f> X$34</f>
        <v>2223120.0000000005</v>
      </c>
      <c r="Y39" s="61">
        <f> Y$34</f>
        <v>2105520.0</v>
      </c>
      <c r="Z39" s="61">
        <f> Z$34</f>
        <v>2223120.0000000005</v>
      </c>
      <c r="AA39" s="61">
        <f> AA$34</f>
        <v>2105520.0</v>
      </c>
      <c r="AB39" s="61">
        <f> AB$34</f>
        <v>2223120.0000000005</v>
      </c>
      <c r="AC39" s="61">
        <f> AC$34</f>
        <v>2105520.0</v>
      </c>
      <c r="AD39" s="61">
        <f> AD$34</f>
        <v>2300820.0</v>
      </c>
      <c r="AE39" s="61">
        <f> AE$34</f>
        <v>2179020.0</v>
      </c>
      <c r="AF39" s="61">
        <f> AF$34</f>
        <v>2300820.0</v>
      </c>
      <c r="AG39" s="61">
        <f> AG$34</f>
        <v>2179020.0</v>
      </c>
      <c r="AH39" s="61">
        <f> AH$34</f>
        <v>2300820.0</v>
      </c>
      <c r="AI39" s="61">
        <f> AI$34</f>
        <v>2179020.0</v>
      </c>
      <c r="AJ39" s="61">
        <f> AJ$34</f>
        <v>2300820.0</v>
      </c>
      <c r="AK39" s="61">
        <f> AK$34</f>
        <v>2179020.0</v>
      </c>
      <c r="AL39" s="61">
        <f> AL$34</f>
        <v>2300820.0</v>
      </c>
      <c r="AM39" s="61">
        <f> AM$34</f>
        <v>2252520.0</v>
      </c>
      <c r="AN39" s="61">
        <f> AN$34</f>
        <v>2378520.0</v>
      </c>
      <c r="AO39" s="61">
        <f> AO$34</f>
        <v>2252520.0</v>
      </c>
      <c r="AP39" s="61">
        <f> AP$34</f>
        <v>2378520.0</v>
      </c>
      <c r="AQ39" s="61">
        <f> AQ$34</f>
        <v>2252520.0</v>
      </c>
      <c r="AR39" s="61">
        <f> AR$34</f>
        <v>2378520.0</v>
      </c>
      <c r="AS39" s="61">
        <f> AS$34</f>
        <v>2252520.0</v>
      </c>
      <c r="AT39" s="61">
        <f> AT$34</f>
        <v>2378520.0</v>
      </c>
      <c r="AU39" s="61">
        <f> AU$34</f>
        <v>2252520.0</v>
      </c>
      <c r="AV39" s="61">
        <f> AV$34</f>
        <v>2378520.0</v>
      </c>
      <c r="AW39" s="61">
        <f> AW$34</f>
        <v>2252520.0</v>
      </c>
      <c r="AX39" s="61">
        <f> AX$34</f>
        <v>2466780.0</v>
      </c>
      <c r="AY39" s="61">
        <f> AY$34</f>
        <v>2336580.0</v>
      </c>
      <c r="AZ39" s="61">
        <f> AZ$34</f>
        <v>2466780.0</v>
      </c>
      <c r="BA39" s="61">
        <f> BA$34</f>
        <v>2336580.0</v>
      </c>
      <c r="BB39" s="61">
        <f> BB$34</f>
        <v>2466780.0</v>
      </c>
      <c r="BC39" s="61">
        <f> BC$34</f>
        <v>2336580.0</v>
      </c>
      <c r="BD39" s="61">
        <f> BD$34</f>
        <v>2466780.0</v>
      </c>
      <c r="BE39" s="61">
        <f> BE$34</f>
        <v>2336580.0</v>
      </c>
      <c r="BF39" s="61">
        <f> BF$34</f>
        <v>2466780.0</v>
      </c>
      <c r="BG39" s="61">
        <f> BG$34</f>
        <v>2336580.0</v>
      </c>
      <c r="BH39" s="61">
        <f> BH$34</f>
        <v>2336580.0</v>
      </c>
      <c r="BI39" s="61">
        <f> BI$34</f>
        <v>2466780.0</v>
      </c>
      <c r="BJ39" s="61">
        <f> BJ$34</f>
        <v>2336580.0</v>
      </c>
      <c r="BK39" s="61">
        <f> BK$34</f>
        <v>2466780.0</v>
      </c>
      <c r="BL39" s="61">
        <f> BL$34</f>
        <v>2336580.0</v>
      </c>
      <c r="BM39" s="61">
        <f> BM$34</f>
        <v>2466780.0</v>
      </c>
      <c r="BN39" s="61">
        <f> BN$34</f>
        <v>2336580.0</v>
      </c>
      <c r="BO39" s="61">
        <f> BO$34</f>
        <v>2466780.0</v>
      </c>
      <c r="BP39" s="61">
        <f> BP$34</f>
        <v>2336580.0</v>
      </c>
      <c r="BQ39" s="61">
        <f> BQ$34</f>
        <v>2336580.0</v>
      </c>
      <c r="BR39" s="61">
        <f> BR$34</f>
        <v>2466780.0</v>
      </c>
      <c r="BS39" s="61">
        <f> BS$34</f>
        <v>2336580.0</v>
      </c>
      <c r="BT39" s="61">
        <f> BT$34</f>
        <v>2466780.0</v>
      </c>
      <c r="BU39" s="61">
        <f> BU$34</f>
        <v>2336580.0</v>
      </c>
      <c r="BV39" s="61">
        <f> BV$34</f>
        <v>2466780.0</v>
      </c>
      <c r="BW39" s="61">
        <f> BW$34</f>
        <v>2466780.0</v>
      </c>
      <c r="BX39" s="61">
        <f> BX$34</f>
        <v>2466780.0</v>
      </c>
      <c r="BY39" s="61">
        <f> BY$34</f>
        <v>2466780.0</v>
      </c>
      <c r="BZ39" s="61">
        <f> BZ$34</f>
        <v>2466780.0</v>
      </c>
      <c r="CA39" s="61">
        <f> CA$34</f>
        <v>2466780.0</v>
      </c>
      <c r="CB39" s="61">
        <f> CB$34</f>
        <v>2466780.0</v>
      </c>
      <c r="CC39" s="61">
        <f> CC$34</f>
        <v>2466780.0</v>
      </c>
      <c r="CD39" s="61">
        <f> CD$34</f>
        <v>2466780.0</v>
      </c>
      <c r="CE39" s="61">
        <f> CE$34</f>
        <v>2466780.0</v>
      </c>
      <c r="CF39" s="61">
        <f> CF$34</f>
        <v>2466780.0</v>
      </c>
      <c r="CG39" s="61">
        <f> CG$34</f>
        <v>2466780.0</v>
      </c>
      <c r="CH39" s="61">
        <f> CH$34</f>
        <v>2466780.0</v>
      </c>
      <c r="CI39" s="61">
        <f> CI$34</f>
        <v>2466780.0</v>
      </c>
      <c r="CJ39" s="61">
        <f> CJ$34</f>
        <v>2466780.0</v>
      </c>
      <c r="CK39" s="61">
        <f> CK$34</f>
        <v>2466780.0</v>
      </c>
      <c r="CL39" s="61">
        <f> CL$34</f>
        <v>2466780.0</v>
      </c>
      <c r="CM39" s="61">
        <f> CM$34</f>
        <v>2466780.0</v>
      </c>
      <c r="CN39" s="61">
        <f> CN$34</f>
        <v>0.0</v>
      </c>
      <c r="CO39" s="61">
        <f> CO$34</f>
        <v>0.0</v>
      </c>
    </row>
    <row r="40">
      <c r="E40" s="347" t="str">
        <f> Esc!E$26</f>
        <v>CPI escalation factor</v>
      </c>
      <c r="F40" s="347">
        <f> Esc!F$26</f>
        <v>0.0</v>
      </c>
      <c r="G40" s="347" t="str">
        <f> Esc!G$26</f>
        <v>factor</v>
      </c>
      <c r="H40" s="347">
        <f> Esc!H$26</f>
        <v>0.0</v>
      </c>
      <c r="I40" s="347">
        <f> Esc!I$26</f>
        <v>0.0</v>
      </c>
      <c r="J40" s="347">
        <f> Esc!J$26</f>
        <v>0.0</v>
      </c>
      <c r="K40" s="347">
        <f> Esc!K$26</f>
        <v>1.0</v>
      </c>
      <c r="L40" s="347">
        <f> Esc!L$26</f>
        <v>1.0146738461686593</v>
      </c>
      <c r="M40" s="347">
        <f> Esc!M$26</f>
        <v>1.0295630140987</v>
      </c>
      <c r="N40" s="347">
        <f> Esc!N$26</f>
        <v>1.0446706633885254</v>
      </c>
      <c r="O40" s="347">
        <f> Esc!O$26</f>
        <v>1.0599999999999998</v>
      </c>
      <c r="P40" s="347">
        <f> Esc!P$26</f>
        <v>1.0730085684947814</v>
      </c>
      <c r="Q40" s="347">
        <f> Esc!Q$26</f>
        <v>1.0861767811917173</v>
      </c>
      <c r="R40" s="347">
        <f> Esc!R$26</f>
        <v>1.0995065972818814</v>
      </c>
      <c r="S40" s="347">
        <f> Esc!S$26</f>
        <v>1.113</v>
      </c>
      <c r="T40" s="347">
        <f> Esc!T$26</f>
        <v>1.1239668414890023</v>
      </c>
      <c r="U40" s="347">
        <f> Esc!U$26</f>
        <v>1.1350417437257538</v>
      </c>
      <c r="V40" s="347">
        <f> Esc!V$26</f>
        <v>1.146225771476734</v>
      </c>
      <c r="W40" s="347">
        <f> Esc!W$26</f>
        <v>1.1575199999999999</v>
      </c>
      <c r="X40" s="347">
        <f> Esc!X$26</f>
        <v>1.1661054089241611</v>
      </c>
      <c r="Y40" s="347">
        <f> Esc!Y$26</f>
        <v>1.1747544964425543</v>
      </c>
      <c r="Z40" s="347">
        <f> Esc!Z$26</f>
        <v>1.1834677348638831</v>
      </c>
      <c r="AA40" s="347">
        <f> Esc!AA$26</f>
        <v>1.1922455999999995</v>
      </c>
      <c r="AB40" s="347">
        <f> Esc!AB$26</f>
        <v>1.2010885711918857</v>
      </c>
      <c r="AC40" s="347">
        <f> Esc!AC$26</f>
        <v>1.2099971313358306</v>
      </c>
      <c r="AD40" s="347">
        <f> Esc!AD$26</f>
        <v>1.2189717669097995</v>
      </c>
      <c r="AE40" s="347">
        <f> Esc!AE$26</f>
        <v>1.2280129679999994</v>
      </c>
      <c r="AF40" s="347">
        <f> Esc!AF$26</f>
        <v>1.237121228327642</v>
      </c>
      <c r="AG40" s="347">
        <f> Esc!AG$26</f>
        <v>1.2462970452759052</v>
      </c>
      <c r="AH40" s="347">
        <f> Esc!AH$26</f>
        <v>1.255540919917093</v>
      </c>
      <c r="AI40" s="347">
        <f> Esc!AI$26</f>
        <v>1.264853357039999</v>
      </c>
      <c r="AJ40" s="347">
        <f> Esc!AJ$26</f>
        <v>1.2742348651774709</v>
      </c>
      <c r="AK40" s="347">
        <f> Esc!AK$26</f>
        <v>1.2836859566341818</v>
      </c>
      <c r="AL40" s="347">
        <f> Esc!AL$26</f>
        <v>1.2932071475146052</v>
      </c>
      <c r="AM40" s="347">
        <f> Esc!AM$26</f>
        <v>1.3027989577511982</v>
      </c>
      <c r="AN40" s="347">
        <f> Esc!AN$26</f>
        <v>1.3124619111327944</v>
      </c>
      <c r="AO40" s="347">
        <f> Esc!AO$26</f>
        <v>1.3221965353332068</v>
      </c>
      <c r="AP40" s="347">
        <f> Esc!AP$26</f>
        <v>1.3320033619400429</v>
      </c>
      <c r="AQ40" s="347">
        <f> Esc!AQ$26</f>
        <v>1.3418829264837338</v>
      </c>
      <c r="AR40" s="347">
        <f> Esc!AR$26</f>
        <v>1.3518357684667779</v>
      </c>
      <c r="AS40" s="347">
        <f> Esc!AS$26</f>
        <v>1.3618624313932026</v>
      </c>
      <c r="AT40" s="347">
        <f> Esc!AT$26</f>
        <v>1.3719634627982438</v>
      </c>
      <c r="AU40" s="347">
        <f> Esc!AU$26</f>
        <v>1.3821394142782453</v>
      </c>
      <c r="AV40" s="347">
        <f> Esc!AV$26</f>
        <v>1.3923908415207806</v>
      </c>
      <c r="AW40" s="347">
        <f> Esc!AW$26</f>
        <v>1.4027183043349982</v>
      </c>
      <c r="AX40" s="347">
        <f> Esc!AX$26</f>
        <v>1.4131223666821906</v>
      </c>
      <c r="AY40" s="347">
        <f> Esc!AY$26</f>
        <v>1.423603596706592</v>
      </c>
      <c r="AZ40" s="347">
        <f> Esc!AZ$26</f>
        <v>1.4341625667664035</v>
      </c>
      <c r="BA40" s="347">
        <f> Esc!BA$26</f>
        <v>1.4447998534650475</v>
      </c>
      <c r="BB40" s="347">
        <f> Esc!BB$26</f>
        <v>1.4555160376826557</v>
      </c>
      <c r="BC40" s="347">
        <f> Esc!BC$26</f>
        <v>1.4663117046077894</v>
      </c>
      <c r="BD40" s="347">
        <f> Esc!BD$26</f>
        <v>1.4771874437693953</v>
      </c>
      <c r="BE40" s="347">
        <f> Esc!BE$26</f>
        <v>1.4881438490689987</v>
      </c>
      <c r="BF40" s="347">
        <f> Esc!BF$26</f>
        <v>1.499181518813135</v>
      </c>
      <c r="BG40" s="347">
        <f> Esc!BG$26</f>
        <v>1.5103010557460226</v>
      </c>
      <c r="BH40" s="347">
        <f> Esc!BH$26</f>
        <v>1.5215030670824765</v>
      </c>
      <c r="BI40" s="347">
        <f> Esc!BI$26</f>
        <v>1.532788164541068</v>
      </c>
      <c r="BJ40" s="347">
        <f> Esc!BJ$26</f>
        <v>1.5441569643775284</v>
      </c>
      <c r="BK40" s="347">
        <f> Esc!BK$26</f>
        <v>1.5556100874184027</v>
      </c>
      <c r="BL40" s="347">
        <f> Esc!BL$26</f>
        <v>1.5671481590949503</v>
      </c>
      <c r="BM40" s="347">
        <f> Esc!BM$26</f>
        <v>1.5787718094772996</v>
      </c>
      <c r="BN40" s="347">
        <f> Esc!BN$26</f>
        <v>1.5904816733088538</v>
      </c>
      <c r="BO40" s="347">
        <f> Esc!BO$26</f>
        <v>1.6022783900409543</v>
      </c>
      <c r="BP40" s="347">
        <f> Esc!BP$26</f>
        <v>1.6141626038677983</v>
      </c>
      <c r="BQ40" s="347">
        <f> Esc!BQ$26</f>
        <v>1.626134963761618</v>
      </c>
      <c r="BR40" s="347">
        <f> Esc!BR$26</f>
        <v>1.638196123508119</v>
      </c>
      <c r="BS40" s="347">
        <f> Esc!BS$26</f>
        <v>1.6503467417421824</v>
      </c>
      <c r="BT40" s="347">
        <f> Esc!BT$26</f>
        <v>1.6625874819838318</v>
      </c>
      <c r="BU40" s="347">
        <f> Esc!BU$26</f>
        <v>1.674919012674466</v>
      </c>
      <c r="BV40" s="347">
        <f> Esc!BV$26</f>
        <v>1.687342007213362</v>
      </c>
      <c r="BW40" s="347">
        <f> Esc!BW$26</f>
        <v>1.6998571439944474</v>
      </c>
      <c r="BX40" s="347">
        <f> Esc!BX$26</f>
        <v>1.7124651064433463</v>
      </c>
      <c r="BY40" s="347">
        <f> Esc!BY$26</f>
        <v>1.7251665830546996</v>
      </c>
      <c r="BZ40" s="347">
        <f> Esc!BZ$26</f>
        <v>1.7379622674297626</v>
      </c>
      <c r="CA40" s="347">
        <f> Esc!CA$26</f>
        <v>1.7508528583142804</v>
      </c>
      <c r="CB40" s="347">
        <f> Esc!CB$26</f>
        <v>1.7638390596366462</v>
      </c>
      <c r="CC40" s="347">
        <f> Esc!CC$26</f>
        <v>1.77692158054634</v>
      </c>
      <c r="CD40" s="347">
        <f> Esc!CD$26</f>
        <v>1.7901011354526548</v>
      </c>
      <c r="CE40" s="347">
        <f> Esc!CE$26</f>
        <v>1.8033784440637082</v>
      </c>
      <c r="CF40" s="347">
        <f> Esc!CF$26</f>
        <v>1.816754231425745</v>
      </c>
      <c r="CG40" s="347">
        <f> Esc!CG$26</f>
        <v>1.8302292279627297</v>
      </c>
      <c r="CH40" s="347">
        <f> Esc!CH$26</f>
        <v>1.843804169516234</v>
      </c>
      <c r="CI40" s="347">
        <f> Esc!CI$26</f>
        <v>1.857479797385619</v>
      </c>
      <c r="CJ40" s="347">
        <f> Esc!CJ$26</f>
        <v>1.8712568583685167</v>
      </c>
      <c r="CK40" s="347">
        <f> Esc!CK$26</f>
        <v>1.8851361048016109</v>
      </c>
      <c r="CL40" s="347">
        <f> Esc!CL$26</f>
        <v>1.8991182946017202</v>
      </c>
      <c r="CM40" s="347">
        <f> Esc!CM$26</f>
        <v>1.9132041913071869</v>
      </c>
      <c r="CN40" s="347">
        <f> Esc!CN$26</f>
        <v>1.9273945641195718</v>
      </c>
      <c r="CO40" s="347">
        <f> Esc!CO$26</f>
        <v>1.9416901879456587</v>
      </c>
    </row>
    <row r="41">
      <c r="E41" s="325" t="str">
        <f> Time!E$69</f>
        <v>Forecast period flag</v>
      </c>
      <c r="F41" s="325">
        <f> Time!F$69</f>
        <v>0.0</v>
      </c>
      <c r="G41" s="325" t="str">
        <f> Time!G$69</f>
        <v>flag</v>
      </c>
      <c r="H41" s="325">
        <f> Time!H$69</f>
        <v>80.0</v>
      </c>
      <c r="I41" s="325">
        <f> Time!I$69</f>
        <v>0.0</v>
      </c>
      <c r="J41" s="325">
        <f> Time!J$69</f>
        <v>0.0</v>
      </c>
      <c r="K41" s="325">
        <f> Time!K$69</f>
        <v>0.0</v>
      </c>
      <c r="L41" s="325">
        <f> Time!L$69</f>
        <v>1.0</v>
      </c>
      <c r="M41" s="325">
        <f> Time!M$69</f>
        <v>1.0</v>
      </c>
      <c r="N41" s="325">
        <f> Time!N$69</f>
        <v>1.0</v>
      </c>
      <c r="O41" s="325">
        <f> Time!O$69</f>
        <v>1.0</v>
      </c>
      <c r="P41" s="325">
        <f> Time!P$69</f>
        <v>1.0</v>
      </c>
      <c r="Q41" s="325">
        <f> Time!Q$69</f>
        <v>1.0</v>
      </c>
      <c r="R41" s="325">
        <f> Time!R$69</f>
        <v>1.0</v>
      </c>
      <c r="S41" s="325">
        <f> Time!S$69</f>
        <v>1.0</v>
      </c>
      <c r="T41" s="325">
        <f> Time!T$69</f>
        <v>1.0</v>
      </c>
      <c r="U41" s="325">
        <f> Time!U$69</f>
        <v>1.0</v>
      </c>
      <c r="V41" s="325">
        <f> Time!V$69</f>
        <v>1.0</v>
      </c>
      <c r="W41" s="325">
        <f> Time!W$69</f>
        <v>1.0</v>
      </c>
      <c r="X41" s="325">
        <f> Time!X$69</f>
        <v>1.0</v>
      </c>
      <c r="Y41" s="325">
        <f> Time!Y$69</f>
        <v>1.0</v>
      </c>
      <c r="Z41" s="325">
        <f> Time!Z$69</f>
        <v>1.0</v>
      </c>
      <c r="AA41" s="325">
        <f> Time!AA$69</f>
        <v>1.0</v>
      </c>
      <c r="AB41" s="325">
        <f> Time!AB$69</f>
        <v>1.0</v>
      </c>
      <c r="AC41" s="325">
        <f> Time!AC$69</f>
        <v>1.0</v>
      </c>
      <c r="AD41" s="325">
        <f> Time!AD$69</f>
        <v>1.0</v>
      </c>
      <c r="AE41" s="325">
        <f> Time!AE$69</f>
        <v>1.0</v>
      </c>
      <c r="AF41" s="325">
        <f> Time!AF$69</f>
        <v>1.0</v>
      </c>
      <c r="AG41" s="325">
        <f> Time!AG$69</f>
        <v>1.0</v>
      </c>
      <c r="AH41" s="325">
        <f> Time!AH$69</f>
        <v>1.0</v>
      </c>
      <c r="AI41" s="325">
        <f> Time!AI$69</f>
        <v>1.0</v>
      </c>
      <c r="AJ41" s="325">
        <f> Time!AJ$69</f>
        <v>1.0</v>
      </c>
      <c r="AK41" s="325">
        <f> Time!AK$69</f>
        <v>1.0</v>
      </c>
      <c r="AL41" s="325">
        <f> Time!AL$69</f>
        <v>1.0</v>
      </c>
      <c r="AM41" s="325">
        <f> Time!AM$69</f>
        <v>1.0</v>
      </c>
      <c r="AN41" s="325">
        <f> Time!AN$69</f>
        <v>1.0</v>
      </c>
      <c r="AO41" s="325">
        <f> Time!AO$69</f>
        <v>1.0</v>
      </c>
      <c r="AP41" s="325">
        <f> Time!AP$69</f>
        <v>1.0</v>
      </c>
      <c r="AQ41" s="325">
        <f> Time!AQ$69</f>
        <v>1.0</v>
      </c>
      <c r="AR41" s="325">
        <f> Time!AR$69</f>
        <v>1.0</v>
      </c>
      <c r="AS41" s="325">
        <f> Time!AS$69</f>
        <v>1.0</v>
      </c>
      <c r="AT41" s="325">
        <f> Time!AT$69</f>
        <v>1.0</v>
      </c>
      <c r="AU41" s="325">
        <f> Time!AU$69</f>
        <v>1.0</v>
      </c>
      <c r="AV41" s="325">
        <f> Time!AV$69</f>
        <v>1.0</v>
      </c>
      <c r="AW41" s="325">
        <f> Time!AW$69</f>
        <v>1.0</v>
      </c>
      <c r="AX41" s="325">
        <f> Time!AX$69</f>
        <v>1.0</v>
      </c>
      <c r="AY41" s="325">
        <f> Time!AY$69</f>
        <v>1.0</v>
      </c>
      <c r="AZ41" s="325">
        <f> Time!AZ$69</f>
        <v>1.0</v>
      </c>
      <c r="BA41" s="325">
        <f> Time!BA$69</f>
        <v>1.0</v>
      </c>
      <c r="BB41" s="325">
        <f> Time!BB$69</f>
        <v>1.0</v>
      </c>
      <c r="BC41" s="325">
        <f> Time!BC$69</f>
        <v>1.0</v>
      </c>
      <c r="BD41" s="325">
        <f> Time!BD$69</f>
        <v>1.0</v>
      </c>
      <c r="BE41" s="325">
        <f> Time!BE$69</f>
        <v>1.0</v>
      </c>
      <c r="BF41" s="325">
        <f> Time!BF$69</f>
        <v>1.0</v>
      </c>
      <c r="BG41" s="325">
        <f> Time!BG$69</f>
        <v>1.0</v>
      </c>
      <c r="BH41" s="325">
        <f> Time!BH$69</f>
        <v>1.0</v>
      </c>
      <c r="BI41" s="325">
        <f> Time!BI$69</f>
        <v>1.0</v>
      </c>
      <c r="BJ41" s="325">
        <f> Time!BJ$69</f>
        <v>1.0</v>
      </c>
      <c r="BK41" s="325">
        <f> Time!BK$69</f>
        <v>1.0</v>
      </c>
      <c r="BL41" s="325">
        <f> Time!BL$69</f>
        <v>1.0</v>
      </c>
      <c r="BM41" s="325">
        <f> Time!BM$69</f>
        <v>1.0</v>
      </c>
      <c r="BN41" s="325">
        <f> Time!BN$69</f>
        <v>1.0</v>
      </c>
      <c r="BO41" s="325">
        <f> Time!BO$69</f>
        <v>1.0</v>
      </c>
      <c r="BP41" s="325">
        <f> Time!BP$69</f>
        <v>1.0</v>
      </c>
      <c r="BQ41" s="325">
        <f> Time!BQ$69</f>
        <v>1.0</v>
      </c>
      <c r="BR41" s="325">
        <f> Time!BR$69</f>
        <v>1.0</v>
      </c>
      <c r="BS41" s="325">
        <f> Time!BS$69</f>
        <v>1.0</v>
      </c>
      <c r="BT41" s="325">
        <f> Time!BT$69</f>
        <v>1.0</v>
      </c>
      <c r="BU41" s="325">
        <f> Time!BU$69</f>
        <v>1.0</v>
      </c>
      <c r="BV41" s="325">
        <f> Time!BV$69</f>
        <v>1.0</v>
      </c>
      <c r="BW41" s="325">
        <f> Time!BW$69</f>
        <v>1.0</v>
      </c>
      <c r="BX41" s="325">
        <f> Time!BX$69</f>
        <v>1.0</v>
      </c>
      <c r="BY41" s="325">
        <f> Time!BY$69</f>
        <v>1.0</v>
      </c>
      <c r="BZ41" s="325">
        <f> Time!BZ$69</f>
        <v>1.0</v>
      </c>
      <c r="CA41" s="325">
        <f> Time!CA$69</f>
        <v>1.0</v>
      </c>
      <c r="CB41" s="325">
        <f> Time!CB$69</f>
        <v>1.0</v>
      </c>
      <c r="CC41" s="325">
        <f> Time!CC$69</f>
        <v>1.0</v>
      </c>
      <c r="CD41" s="325">
        <f> Time!CD$69</f>
        <v>1.0</v>
      </c>
      <c r="CE41" s="325">
        <f> Time!CE$69</f>
        <v>1.0</v>
      </c>
      <c r="CF41" s="325">
        <f> Time!CF$69</f>
        <v>1.0</v>
      </c>
      <c r="CG41" s="325">
        <f> Time!CG$69</f>
        <v>1.0</v>
      </c>
      <c r="CH41" s="325">
        <f> Time!CH$69</f>
        <v>1.0</v>
      </c>
      <c r="CI41" s="325">
        <f> Time!CI$69</f>
        <v>1.0</v>
      </c>
      <c r="CJ41" s="325">
        <f> Time!CJ$69</f>
        <v>1.0</v>
      </c>
      <c r="CK41" s="325">
        <f> Time!CK$69</f>
        <v>1.0</v>
      </c>
      <c r="CL41" s="325">
        <f> Time!CL$69</f>
        <v>1.0</v>
      </c>
      <c r="CM41" s="325">
        <f> Time!CM$69</f>
        <v>1.0</v>
      </c>
      <c r="CN41" s="325">
        <f> Time!CN$69</f>
        <v>0.0</v>
      </c>
      <c r="CO41" s="325">
        <f> Time!CO$69</f>
        <v>0.0</v>
      </c>
    </row>
    <row r="42" customFormat="1" s="390">
      <c r="A42" s="358" t="n"/>
      <c r="B42" s="358" t="n"/>
      <c r="C42" s="359" t="n"/>
      <c r="D42" s="360" t="n"/>
      <c r="E42" s="390" t="inlineStr">
        <is>
          <t>Operating revenue</t>
        </is>
      </c>
      <c r="F42" s="390" t="inlineStr">
        <is>
          <t>IS</t>
        </is>
      </c>
      <c r="G42" s="390" t="str">
        <f>SMU</f>
        <v>$ 000s</v>
      </c>
      <c r="H42" s="390">
        <f> SUM(J42:CO42)</f>
        <v>1941568.6331634293</v>
      </c>
      <c r="J42" s="390">
        <f> IF( J41 = 1,$F37 / $F38 * J39 * J40, 0)</f>
        <v>0.0</v>
      </c>
      <c r="K42" s="390">
        <f> IF( K41 = 1,$F37 / $F38 * K39 * K40, 0)</f>
        <v>0.0</v>
      </c>
      <c r="L42" s="390">
        <f> IF( L41 = 1,$F37 / $F38 * L39 * L40, 0)</f>
        <v>15701.746478449233</v>
      </c>
      <c r="M42" s="390">
        <f> IF( M41 = 1,$F37 / $F38 * M39 * M40, 0)</f>
        <v>15185.266327468535</v>
      </c>
      <c r="N42" s="390">
        <f> IF( N41 = 1,$F37 / $F38 * N39 * N40, 0)</f>
        <v>16270.807740180759</v>
      </c>
      <c r="O42" s="390">
        <f> IF( O41 = 1,$F37 / $F38 * O39 * O40, 0)</f>
        <v>15679.20783</v>
      </c>
      <c r="P42" s="390">
        <f> IF( P41 = 1,$F37 / $F38 * P39 * P40, 0)</f>
        <v>16757.744045228592</v>
      </c>
      <c r="Q42" s="390">
        <f> IF( Q41 = 1,$F37 / $F38 * Q39 * Q40, 0)</f>
        <v>16066.407068325823</v>
      </c>
      <c r="R42" s="390">
        <f> IF( R41 = 1,$F37 / $F38 * R39 * R40, 0)</f>
        <v>17171.577818001006</v>
      </c>
      <c r="S42" s="390">
        <f> IF( S41 = 1,$F37 / $F38 * S39 * S40, 0)</f>
        <v>16463.168221500004</v>
      </c>
      <c r="T42" s="390">
        <f> IF( T41 = 1,$F37 / $F38 * T39 * T40, 0)</f>
        <v>17865.79912725487</v>
      </c>
      <c r="U42" s="390">
        <f> IF( U41 = 1,$F37 / $F38 * U39 * U40, 0)</f>
        <v>17087.449609583564</v>
      </c>
      <c r="V42" s="390">
        <f> IF( V41 = 1,$F37 / $F38 * V39 * V40, 0)</f>
        <v>18219.611675160308</v>
      </c>
      <c r="W42" s="390">
        <f> IF( W41 = 1,$F37 / $F38 * W39 * W40, 0)</f>
        <v>17425.84779936</v>
      </c>
      <c r="X42" s="390">
        <f> IF( X41 = 1,$F37 / $F38 * X39 * X40, 0)</f>
        <v>18535.604635315492</v>
      </c>
      <c r="Y42" s="390">
        <f> IF( Y41 = 1,$F37 / $F38 * Y39 * Y40, 0)</f>
        <v>17685.30397455055</v>
      </c>
      <c r="Z42" s="390">
        <f> IF( Z41 = 1,$F37 / $F38 * Z39 * Z40, 0)</f>
        <v>18811.584153723765</v>
      </c>
      <c r="AA42" s="390">
        <f> IF( AA41 = 1,$F37 / $F38 * AA39 * AA40, 0)</f>
        <v>17948.623233340793</v>
      </c>
      <c r="AB42" s="390">
        <f> IF( AB41 = 1,$F37 / $F38 * AB39 * AB40, 0)</f>
        <v>19091.672774374954</v>
      </c>
      <c r="AC42" s="390">
        <f> IF( AC41 = 1,$F37 / $F38 * AC39 * AC40, 0)</f>
        <v>18215.863093787062</v>
      </c>
      <c r="AD42" s="390">
        <f> IF( AD41 = 1,$F37 / $F38 * AD39 * AD40, 0)</f>
        <v>20053.137538301045</v>
      </c>
      <c r="AE42" s="390">
        <f> IF( AE41 = 1,$F37 / $F38 * AE39 * AE40, 0)</f>
        <v>19132.433445349216</v>
      </c>
      <c r="AF42" s="390">
        <f> IF( AF41 = 1,$F37 / $F38 * AF39 * AF40, 0)</f>
        <v>20351.71184160976</v>
      </c>
      <c r="AG42" s="390">
        <f> IF( AG41 = 1,$F37 / $F38 * AG39 * AG40, 0)</f>
        <v>19417.299241319288</v>
      </c>
      <c r="AH42" s="390">
        <f> IF( AH41 = 1,$F37 / $F38 * AH39 * AH40, 0)</f>
        <v>20654.73166445007</v>
      </c>
      <c r="AI42" s="390">
        <f> IF( AI41 = 1,$F37 / $F38 * AI39 * AI40, 0)</f>
        <v>19706.406448709684</v>
      </c>
      <c r="AJ42" s="390">
        <f> IF( AJ41 = 1,$F37 / $F38 * AJ39 * AJ40, 0)</f>
        <v>20962.263196858046</v>
      </c>
      <c r="AK42" s="390">
        <f> IF( AK41 = 1,$F37 / $F38 * AK39 * AK40, 0)</f>
        <v>19999.818218558856</v>
      </c>
      <c r="AL42" s="390">
        <f> IF( AL41 = 1,$F37 / $F38 * AL39 * AL40, 0)</f>
        <v>21274.373614383563</v>
      </c>
      <c r="AM42" s="390">
        <f> IF( AM41 = 1,$F37 / $F38 * AM39 * AM40, 0)</f>
        <v>20982.252064443164</v>
      </c>
      <c r="AN42" s="390">
        <f> IF( AN41 = 1,$F37 / $F38 * AN39 * AN40, 0)</f>
        <v>22320.275869803158</v>
      </c>
      <c r="AO42" s="390">
        <f> IF( AO41 = 1,$F37 / $F38 * AO39 * AO40, 0)</f>
        <v>21294.660099346598</v>
      </c>
      <c r="AP42" s="390">
        <f> IF( AP41 = 1,$F37 / $F38 * AP39 * AP40, 0)</f>
        <v>22652.605950557663</v>
      </c>
      <c r="AQ42" s="390">
        <f> IF( AQ41 = 1,$F37 / $F38 * AQ39 * AQ40, 0)</f>
        <v>21611.71962637645</v>
      </c>
      <c r="AR42" s="390">
        <f> IF( AR41 = 1,$F37 / $F38 * AR39 * AR40, 0)</f>
        <v>22989.884145897246</v>
      </c>
      <c r="AS42" s="390">
        <f> IF( AS41 = 1,$F37 / $F38 * AS39 * AS40, 0)</f>
        <v>21933.49990232699</v>
      </c>
      <c r="AT42" s="390">
        <f> IF( AT41 = 1,$F37 / $F38 * AT39 * AT40, 0)</f>
        <v>23332.184129074387</v>
      </c>
      <c r="AU42" s="390">
        <f> IF( AU41 = 1,$F37 / $F38 * AU39 * AU40, 0)</f>
        <v>22260.071215167736</v>
      </c>
      <c r="AV42" s="390">
        <f> IF( AV41 = 1,$F37 / $F38 * AV39 * AV40, 0)</f>
        <v>23679.580670274154</v>
      </c>
      <c r="AW42" s="390">
        <f> IF( AW41 = 1,$F37 / $F38 * AW39 * AW40, 0)</f>
        <v>22591.50489939679</v>
      </c>
      <c r="AX42" s="390">
        <f> IF( AX41 = 1,$F37 / $F38 * AX39 * AX40, 0)</f>
        <v>24923.9132405427</v>
      </c>
      <c r="AY42" s="390">
        <f> IF( AY41 = 1,$F37 / $F38 * AY39 * AY40, 0)</f>
        <v>23783.500397747724</v>
      </c>
      <c r="AZ42" s="390">
        <f> IF( AZ41 = 1,$F37 / $F38 * AZ39 * AZ40, 0)</f>
        <v>25295.009285603406</v>
      </c>
      <c r="BA42" s="390">
        <f> IF( BA41 = 1,$F37 / $F38 * BA39 * BA40, 0)</f>
        <v>24137.616657506926</v>
      </c>
      <c r="BB42" s="390">
        <f> IF( BB41 = 1,$F37 / $F38 * BB39 * BB40, 0)</f>
        <v>25671.63063775897</v>
      </c>
      <c r="BC42" s="390">
        <f> IF( BC41 = 1,$F37 / $F38 * BC39 * BC40, 0)</f>
        <v>24497.005409680147</v>
      </c>
      <c r="BD42" s="390">
        <f> IF( BD41 = 1,$F37 / $F38 * BD39 * BD40, 0)</f>
        <v>26053.8595641715</v>
      </c>
      <c r="BE42" s="390">
        <f> IF( BE41 = 1,$F37 / $F38 * BE39 * BE40, 0)</f>
        <v>24861.74515723213</v>
      </c>
      <c r="BF42" s="390">
        <f> IF( BF41 = 1,$F37 / $F38 * BF39 * BF40, 0)</f>
        <v>26441.779556891735</v>
      </c>
      <c r="BG42" s="390">
        <f> IF( BG41 = 1,$F37 / $F38 * BG39 * BG40, 0)</f>
        <v>25231.915571970545</v>
      </c>
      <c r="BH42" s="390">
        <f> IF( BH41 = 1,$F37 / $F38 * BH39 * BH40, 0)</f>
        <v>25419.062500857544</v>
      </c>
      <c r="BI42" s="390">
        <f> IF( BI41 = 1,$F37 / $F38 * BI39 * BI40, 0)</f>
        <v>27034.5159979653</v>
      </c>
      <c r="BJ42" s="390">
        <f> IF( BJ41 = 1,$F37 / $F38 * BJ39 * BJ40, 0)</f>
        <v>25797.530900750502</v>
      </c>
      <c r="BK42" s="390">
        <f> IF( BK41 = 1,$F37 / $F38 * BK39 * BK40, 0)</f>
        <v>27437.037137810064</v>
      </c>
      <c r="BL42" s="390">
        <f> IF( BL41 = 1,$F37 / $F38 * BL39 * BL40, 0)</f>
        <v>26181.634375883263</v>
      </c>
      <c r="BM42" s="390">
        <f> IF( BM41 = 1,$F37 / $F38 * BM39 * BM40, 0)</f>
        <v>27845.55147790425</v>
      </c>
      <c r="BN42" s="390">
        <f> IF( BN41 = 1,$F37 / $F38 * BN39 * BN40, 0)</f>
        <v>26571.45682777301</v>
      </c>
      <c r="BO42" s="390">
        <f> IF( BO41 = 1,$F37 / $F38 * BO39 * BO40, 0)</f>
        <v>28260.14825194436</v>
      </c>
      <c r="BP42" s="390">
        <f> IF( BP41 = 1,$F37 / $F38 * BP39 * BP40, 0)</f>
        <v>26967.083407159753</v>
      </c>
      <c r="BQ42" s="390">
        <f> IF( BQ41 = 1,$F37 / $F38 * BQ39 * BQ40, 0)</f>
        <v>27167.100200426765</v>
      </c>
      <c r="BR42" s="390">
        <f> IF( BR41 = 1,$F37 / $F38 * BR39 * BR40, 0)</f>
        <v>28893.64644986361</v>
      </c>
      <c r="BS42" s="390">
        <f> IF( BS41 = 1,$F37 / $F38 * BS39 * BS40, 0)</f>
        <v>27571.59540721263</v>
      </c>
      <c r="BT42" s="390">
        <f> IF( BT41 = 1,$F37 / $F38 * BT39 * BT40, 0)</f>
        <v>29323.848473977745</v>
      </c>
      <c r="BU42" s="390">
        <f> IF( BU41 = 1,$F37 / $F38 * BU39 * BU40, 0)</f>
        <v>27982.11320643956</v>
      </c>
      <c r="BV42" s="390">
        <f> IF( BV41 = 1,$F37 / $F38 * BV39 * BV40, 0)</f>
        <v>29760.455843359505</v>
      </c>
      <c r="BW42" s="390">
        <f> IF( BW41 = 1,$F37 / $F38 * BW39 * BW40, 0)</f>
        <v>29981.191280487754</v>
      </c>
      <c r="BX42" s="390">
        <f> IF( BX41 = 1,$F37 / $F38 * BX39 * BX40, 0)</f>
        <v>30203.56392819707</v>
      </c>
      <c r="BY42" s="390">
        <f> IF( BY41 = 1,$F37 / $F38 * BY39 * BY40, 0)</f>
        <v>30427.585929795852</v>
      </c>
      <c r="BZ42" s="390">
        <f> IF( BZ41 = 1,$F37 / $F38 * BZ39 * BZ40, 0)</f>
        <v>30653.269518660283</v>
      </c>
      <c r="CA42" s="390">
        <f> IF( CA41 = 1,$F37 / $F38 * CA39 * CA40, 0)</f>
        <v>30880.627018902378</v>
      </c>
      <c r="CB42" s="390">
        <f> IF( CB41 = 1,$F37 / $F38 * CB39 * CB40, 0)</f>
        <v>31109.670846042973</v>
      </c>
      <c r="CC42" s="390">
        <f> IF( CC41 = 1,$F37 / $F38 * CC39 * CC40, 0)</f>
        <v>31340.41350768972</v>
      </c>
      <c r="CD42" s="390">
        <f> IF( CD41 = 1,$F37 / $F38 * CD39 * CD40, 0)</f>
        <v>31572.867604220082</v>
      </c>
      <c r="CE42" s="390">
        <f> IF( CE41 = 1,$F37 / $F38 * CE39 * CE40, 0)</f>
        <v>31807.045829469436</v>
      </c>
      <c r="CF42" s="390">
        <f> IF( CF41 = 1,$F37 / $F38 * CF39 * CF40, 0)</f>
        <v>32042.960971424254</v>
      </c>
      <c r="CG42" s="390">
        <f> IF( CG41 = 1,$F37 / $F38 * CG39 * CG40, 0)</f>
        <v>32280.6259129204</v>
      </c>
      <c r="CH42" s="390">
        <f> IF( CH41 = 1,$F37 / $F38 * CH39 * CH40, 0)</f>
        <v>32520.053632346677</v>
      </c>
      <c r="CI42" s="390">
        <f> IF( CI41 = 1,$F37 / $F38 * CI39 * CI40, 0)</f>
        <v>32761.25720435351</v>
      </c>
      <c r="CJ42" s="390">
        <f> IF( CJ41 = 1,$F37 / $F38 * CJ39 * CJ40, 0)</f>
        <v>33004.24980056697</v>
      </c>
      <c r="CK42" s="390">
        <f> IF( CK41 = 1,$F37 / $F38 * CK39 * CK40, 0)</f>
        <v>33249.044690308</v>
      </c>
      <c r="CL42" s="390">
        <f> IF( CL41 = 1,$F37 / $F38 * CL39 * CL40, 0)</f>
        <v>33495.655241317065</v>
      </c>
      <c r="CM42" s="390">
        <f> IF( CM41 = 1,$F37 / $F38 * CM39 * CM40, 0)</f>
        <v>33744.09492048411</v>
      </c>
      <c r="CN42" s="390">
        <f> IF( CN41 = 1,$F37 / $F38 * CN39 * CN40, 0)</f>
        <v>0.0</v>
      </c>
      <c r="CO42" s="390">
        <f> IF( CO41 = 1,$F37 / $F38 * CO39 * CO40, 0)</f>
        <v>0.0</v>
      </c>
    </row>
    <row r="45">
      <c r="A45" s="294" t="inlineStr">
        <is>
          <t xml:space="preserve">OPERATING REVENUE RECEIVED </t>
        </is>
      </c>
    </row>
    <row r="47">
      <c r="E47" s="325" t="str">
        <f> InpC!E$37</f>
        <v>Account receivables days</v>
      </c>
      <c r="F47" s="325">
        <f> InpC!F$37</f>
        <v>25.0</v>
      </c>
      <c r="G47" s="325" t="str">
        <f> InpC!G$37</f>
        <v>days</v>
      </c>
    </row>
    <row r="48">
      <c r="E48" s="324" t="str">
        <f> Time!E$30</f>
        <v>Days in model period</v>
      </c>
      <c r="F48" s="324">
        <f> Time!F$30</f>
        <v>0.0</v>
      </c>
      <c r="G48" s="324" t="str">
        <f> Time!G$30</f>
        <v>days</v>
      </c>
      <c r="H48" s="324">
        <f> Time!H$30</f>
        <v>0.0</v>
      </c>
      <c r="I48" s="324">
        <f> Time!I$30</f>
        <v>0.0</v>
      </c>
      <c r="J48" s="324">
        <f> Time!J$30</f>
        <v>92.0</v>
      </c>
      <c r="K48" s="324">
        <f> Time!K$30</f>
        <v>92.0</v>
      </c>
      <c r="L48" s="324">
        <f> Time!L$30</f>
        <v>90.0</v>
      </c>
      <c r="M48" s="324">
        <f> Time!M$30</f>
        <v>91.0</v>
      </c>
      <c r="N48" s="324">
        <f> Time!N$30</f>
        <v>92.0</v>
      </c>
      <c r="O48" s="324">
        <f> Time!O$30</f>
        <v>92.0</v>
      </c>
      <c r="P48" s="324">
        <f> Time!P$30</f>
        <v>90.0</v>
      </c>
      <c r="Q48" s="324">
        <f> Time!Q$30</f>
        <v>91.0</v>
      </c>
      <c r="R48" s="324">
        <f> Time!R$30</f>
        <v>92.0</v>
      </c>
      <c r="S48" s="324">
        <f> Time!S$30</f>
        <v>92.0</v>
      </c>
      <c r="T48" s="324">
        <f> Time!T$30</f>
        <v>91.0</v>
      </c>
      <c r="U48" s="324">
        <f> Time!U$30</f>
        <v>91.0</v>
      </c>
      <c r="V48" s="324">
        <f> Time!V$30</f>
        <v>92.0</v>
      </c>
      <c r="W48" s="324">
        <f> Time!W$30</f>
        <v>92.0</v>
      </c>
      <c r="X48" s="324">
        <f> Time!X$30</f>
        <v>90.0</v>
      </c>
      <c r="Y48" s="324">
        <f> Time!Y$30</f>
        <v>91.0</v>
      </c>
      <c r="Z48" s="324">
        <f> Time!Z$30</f>
        <v>92.0</v>
      </c>
      <c r="AA48" s="324">
        <f> Time!AA$30</f>
        <v>92.0</v>
      </c>
      <c r="AB48" s="324">
        <f> Time!AB$30</f>
        <v>90.0</v>
      </c>
      <c r="AC48" s="324">
        <f> Time!AC$30</f>
        <v>91.0</v>
      </c>
      <c r="AD48" s="324">
        <f> Time!AD$30</f>
        <v>92.0</v>
      </c>
      <c r="AE48" s="324">
        <f> Time!AE$30</f>
        <v>92.0</v>
      </c>
      <c r="AF48" s="324">
        <f> Time!AF$30</f>
        <v>90.0</v>
      </c>
      <c r="AG48" s="324">
        <f> Time!AG$30</f>
        <v>91.0</v>
      </c>
      <c r="AH48" s="324">
        <f> Time!AH$30</f>
        <v>92.0</v>
      </c>
      <c r="AI48" s="324">
        <f> Time!AI$30</f>
        <v>92.0</v>
      </c>
      <c r="AJ48" s="324">
        <f> Time!AJ$30</f>
        <v>91.0</v>
      </c>
      <c r="AK48" s="324">
        <f> Time!AK$30</f>
        <v>91.0</v>
      </c>
      <c r="AL48" s="324">
        <f> Time!AL$30</f>
        <v>92.0</v>
      </c>
      <c r="AM48" s="324">
        <f> Time!AM$30</f>
        <v>92.0</v>
      </c>
      <c r="AN48" s="324">
        <f> Time!AN$30</f>
        <v>90.0</v>
      </c>
      <c r="AO48" s="324">
        <f> Time!AO$30</f>
        <v>91.0</v>
      </c>
      <c r="AP48" s="324">
        <f> Time!AP$30</f>
        <v>92.0</v>
      </c>
      <c r="AQ48" s="324">
        <f> Time!AQ$30</f>
        <v>92.0</v>
      </c>
      <c r="AR48" s="324">
        <f> Time!AR$30</f>
        <v>90.0</v>
      </c>
      <c r="AS48" s="324">
        <f> Time!AS$30</f>
        <v>91.0</v>
      </c>
      <c r="AT48" s="324">
        <f> Time!AT$30</f>
        <v>92.0</v>
      </c>
      <c r="AU48" s="324">
        <f> Time!AU$30</f>
        <v>92.0</v>
      </c>
      <c r="AV48" s="324">
        <f> Time!AV$30</f>
        <v>90.0</v>
      </c>
      <c r="AW48" s="324">
        <f> Time!AW$30</f>
        <v>91.0</v>
      </c>
      <c r="AX48" s="324">
        <f> Time!AX$30</f>
        <v>92.0</v>
      </c>
      <c r="AY48" s="324">
        <f> Time!AY$30</f>
        <v>92.0</v>
      </c>
      <c r="AZ48" s="324">
        <f> Time!AZ$30</f>
        <v>91.0</v>
      </c>
      <c r="BA48" s="324">
        <f> Time!BA$30</f>
        <v>91.0</v>
      </c>
      <c r="BB48" s="324">
        <f> Time!BB$30</f>
        <v>92.0</v>
      </c>
      <c r="BC48" s="324">
        <f> Time!BC$30</f>
        <v>92.0</v>
      </c>
      <c r="BD48" s="324">
        <f> Time!BD$30</f>
        <v>90.0</v>
      </c>
      <c r="BE48" s="324">
        <f> Time!BE$30</f>
        <v>91.0</v>
      </c>
      <c r="BF48" s="324">
        <f> Time!BF$30</f>
        <v>92.0</v>
      </c>
      <c r="BG48" s="324">
        <f> Time!BG$30</f>
        <v>92.0</v>
      </c>
      <c r="BH48" s="324">
        <f> Time!BH$30</f>
        <v>90.0</v>
      </c>
      <c r="BI48" s="324">
        <f> Time!BI$30</f>
        <v>91.0</v>
      </c>
      <c r="BJ48" s="324">
        <f> Time!BJ$30</f>
        <v>92.0</v>
      </c>
      <c r="BK48" s="324">
        <f> Time!BK$30</f>
        <v>92.0</v>
      </c>
      <c r="BL48" s="324">
        <f> Time!BL$30</f>
        <v>90.0</v>
      </c>
      <c r="BM48" s="324">
        <f> Time!BM$30</f>
        <v>91.0</v>
      </c>
      <c r="BN48" s="324">
        <f> Time!BN$30</f>
        <v>92.0</v>
      </c>
      <c r="BO48" s="324">
        <f> Time!BO$30</f>
        <v>92.0</v>
      </c>
      <c r="BP48" s="324">
        <f> Time!BP$30</f>
        <v>91.0</v>
      </c>
      <c r="BQ48" s="324">
        <f> Time!BQ$30</f>
        <v>91.0</v>
      </c>
      <c r="BR48" s="324">
        <f> Time!BR$30</f>
        <v>92.0</v>
      </c>
      <c r="BS48" s="324">
        <f> Time!BS$30</f>
        <v>92.0</v>
      </c>
      <c r="BT48" s="324">
        <f> Time!BT$30</f>
        <v>90.0</v>
      </c>
      <c r="BU48" s="324">
        <f> Time!BU$30</f>
        <v>91.0</v>
      </c>
      <c r="BV48" s="324">
        <f> Time!BV$30</f>
        <v>92.0</v>
      </c>
      <c r="BW48" s="324">
        <f> Time!BW$30</f>
        <v>92.0</v>
      </c>
      <c r="BX48" s="324">
        <f> Time!BX$30</f>
        <v>90.0</v>
      </c>
      <c r="BY48" s="324">
        <f> Time!BY$30</f>
        <v>91.0</v>
      </c>
      <c r="BZ48" s="324">
        <f> Time!BZ$30</f>
        <v>92.0</v>
      </c>
      <c r="CA48" s="324">
        <f> Time!CA$30</f>
        <v>92.0</v>
      </c>
      <c r="CB48" s="324">
        <f> Time!CB$30</f>
        <v>90.0</v>
      </c>
      <c r="CC48" s="324">
        <f> Time!CC$30</f>
        <v>91.0</v>
      </c>
      <c r="CD48" s="324">
        <f> Time!CD$30</f>
        <v>92.0</v>
      </c>
      <c r="CE48" s="324">
        <f> Time!CE$30</f>
        <v>92.0</v>
      </c>
      <c r="CF48" s="324">
        <f> Time!CF$30</f>
        <v>91.0</v>
      </c>
      <c r="CG48" s="324">
        <f> Time!CG$30</f>
        <v>91.0</v>
      </c>
      <c r="CH48" s="324">
        <f> Time!CH$30</f>
        <v>92.0</v>
      </c>
      <c r="CI48" s="324">
        <f> Time!CI$30</f>
        <v>92.0</v>
      </c>
      <c r="CJ48" s="324">
        <f> Time!CJ$30</f>
        <v>90.0</v>
      </c>
      <c r="CK48" s="324">
        <f> Time!CK$30</f>
        <v>91.0</v>
      </c>
      <c r="CL48" s="324">
        <f> Time!CL$30</f>
        <v>92.0</v>
      </c>
      <c r="CM48" s="324">
        <f> Time!CM$30</f>
        <v>92.0</v>
      </c>
      <c r="CN48" s="324">
        <f> Time!CN$30</f>
        <v>90.0</v>
      </c>
      <c r="CO48" s="324">
        <f> Time!CO$30</f>
        <v>91.0</v>
      </c>
    </row>
    <row r="49">
      <c r="E49" s="61" t="str">
        <f> E$42</f>
        <v>Operating revenue</v>
      </c>
      <c r="F49" s="61" t="str">
        <f> F$42</f>
        <v>IS</v>
      </c>
      <c r="G49" s="61" t="str">
        <f> G$42</f>
        <v>$ 000s</v>
      </c>
      <c r="H49" s="61">
        <f> H$42</f>
        <v>1941568.6331634293</v>
      </c>
      <c r="I49" s="61">
        <f> I$42</f>
        <v>0.0</v>
      </c>
      <c r="J49" s="61">
        <f> J$42</f>
        <v>0.0</v>
      </c>
      <c r="K49" s="61">
        <f> K$42</f>
        <v>0.0</v>
      </c>
      <c r="L49" s="61">
        <f> L$42</f>
        <v>15701.746478449233</v>
      </c>
      <c r="M49" s="61">
        <f> M$42</f>
        <v>15185.266327468535</v>
      </c>
      <c r="N49" s="61">
        <f> N$42</f>
        <v>16270.807740180759</v>
      </c>
      <c r="O49" s="61">
        <f> O$42</f>
        <v>15679.20783</v>
      </c>
      <c r="P49" s="61">
        <f> P$42</f>
        <v>16757.744045228592</v>
      </c>
      <c r="Q49" s="61">
        <f> Q$42</f>
        <v>16066.407068325823</v>
      </c>
      <c r="R49" s="61">
        <f> R$42</f>
        <v>17171.577818001006</v>
      </c>
      <c r="S49" s="61">
        <f> S$42</f>
        <v>16463.168221500004</v>
      </c>
      <c r="T49" s="61">
        <f> T$42</f>
        <v>17865.79912725487</v>
      </c>
      <c r="U49" s="61">
        <f> U$42</f>
        <v>17087.449609583564</v>
      </c>
      <c r="V49" s="61">
        <f> V$42</f>
        <v>18219.611675160308</v>
      </c>
      <c r="W49" s="61">
        <f> W$42</f>
        <v>17425.84779936</v>
      </c>
      <c r="X49" s="61">
        <f> X$42</f>
        <v>18535.604635315492</v>
      </c>
      <c r="Y49" s="61">
        <f> Y$42</f>
        <v>17685.30397455055</v>
      </c>
      <c r="Z49" s="61">
        <f> Z$42</f>
        <v>18811.584153723765</v>
      </c>
      <c r="AA49" s="61">
        <f> AA$42</f>
        <v>17948.623233340793</v>
      </c>
      <c r="AB49" s="61">
        <f> AB$42</f>
        <v>19091.672774374954</v>
      </c>
      <c r="AC49" s="61">
        <f> AC$42</f>
        <v>18215.863093787062</v>
      </c>
      <c r="AD49" s="61">
        <f> AD$42</f>
        <v>20053.137538301045</v>
      </c>
      <c r="AE49" s="61">
        <f> AE$42</f>
        <v>19132.433445349216</v>
      </c>
      <c r="AF49" s="61">
        <f> AF$42</f>
        <v>20351.71184160976</v>
      </c>
      <c r="AG49" s="61">
        <f> AG$42</f>
        <v>19417.299241319288</v>
      </c>
      <c r="AH49" s="61">
        <f> AH$42</f>
        <v>20654.73166445007</v>
      </c>
      <c r="AI49" s="61">
        <f> AI$42</f>
        <v>19706.406448709684</v>
      </c>
      <c r="AJ49" s="61">
        <f> AJ$42</f>
        <v>20962.263196858046</v>
      </c>
      <c r="AK49" s="61">
        <f> AK$42</f>
        <v>19999.818218558856</v>
      </c>
      <c r="AL49" s="61">
        <f> AL$42</f>
        <v>21274.373614383563</v>
      </c>
      <c r="AM49" s="61">
        <f> AM$42</f>
        <v>20982.252064443164</v>
      </c>
      <c r="AN49" s="61">
        <f> AN$42</f>
        <v>22320.275869803158</v>
      </c>
      <c r="AO49" s="61">
        <f> AO$42</f>
        <v>21294.660099346598</v>
      </c>
      <c r="AP49" s="61">
        <f> AP$42</f>
        <v>22652.605950557663</v>
      </c>
      <c r="AQ49" s="61">
        <f> AQ$42</f>
        <v>21611.71962637645</v>
      </c>
      <c r="AR49" s="61">
        <f> AR$42</f>
        <v>22989.884145897246</v>
      </c>
      <c r="AS49" s="61">
        <f> AS$42</f>
        <v>21933.49990232699</v>
      </c>
      <c r="AT49" s="61">
        <f> AT$42</f>
        <v>23332.184129074387</v>
      </c>
      <c r="AU49" s="61">
        <f> AU$42</f>
        <v>22260.071215167736</v>
      </c>
      <c r="AV49" s="61">
        <f> AV$42</f>
        <v>23679.580670274154</v>
      </c>
      <c r="AW49" s="61">
        <f> AW$42</f>
        <v>22591.50489939679</v>
      </c>
      <c r="AX49" s="61">
        <f> AX$42</f>
        <v>24923.9132405427</v>
      </c>
      <c r="AY49" s="61">
        <f> AY$42</f>
        <v>23783.500397747724</v>
      </c>
      <c r="AZ49" s="61">
        <f> AZ$42</f>
        <v>25295.009285603406</v>
      </c>
      <c r="BA49" s="61">
        <f> BA$42</f>
        <v>24137.616657506926</v>
      </c>
      <c r="BB49" s="61">
        <f> BB$42</f>
        <v>25671.63063775897</v>
      </c>
      <c r="BC49" s="61">
        <f> BC$42</f>
        <v>24497.005409680147</v>
      </c>
      <c r="BD49" s="61">
        <f> BD$42</f>
        <v>26053.8595641715</v>
      </c>
      <c r="BE49" s="61">
        <f> BE$42</f>
        <v>24861.74515723213</v>
      </c>
      <c r="BF49" s="61">
        <f> BF$42</f>
        <v>26441.779556891735</v>
      </c>
      <c r="BG49" s="61">
        <f> BG$42</f>
        <v>25231.915571970545</v>
      </c>
      <c r="BH49" s="61">
        <f> BH$42</f>
        <v>25419.062500857544</v>
      </c>
      <c r="BI49" s="61">
        <f> BI$42</f>
        <v>27034.5159979653</v>
      </c>
      <c r="BJ49" s="61">
        <f> BJ$42</f>
        <v>25797.530900750502</v>
      </c>
      <c r="BK49" s="61">
        <f> BK$42</f>
        <v>27437.037137810064</v>
      </c>
      <c r="BL49" s="61">
        <f> BL$42</f>
        <v>26181.634375883263</v>
      </c>
      <c r="BM49" s="61">
        <f> BM$42</f>
        <v>27845.55147790425</v>
      </c>
      <c r="BN49" s="61">
        <f> BN$42</f>
        <v>26571.45682777301</v>
      </c>
      <c r="BO49" s="61">
        <f> BO$42</f>
        <v>28260.14825194436</v>
      </c>
      <c r="BP49" s="61">
        <f> BP$42</f>
        <v>26967.083407159753</v>
      </c>
      <c r="BQ49" s="61">
        <f> BQ$42</f>
        <v>27167.100200426765</v>
      </c>
      <c r="BR49" s="61">
        <f> BR$42</f>
        <v>28893.64644986361</v>
      </c>
      <c r="BS49" s="61">
        <f> BS$42</f>
        <v>27571.59540721263</v>
      </c>
      <c r="BT49" s="61">
        <f> BT$42</f>
        <v>29323.848473977745</v>
      </c>
      <c r="BU49" s="61">
        <f> BU$42</f>
        <v>27982.11320643956</v>
      </c>
      <c r="BV49" s="61">
        <f> BV$42</f>
        <v>29760.455843359505</v>
      </c>
      <c r="BW49" s="61">
        <f> BW$42</f>
        <v>29981.191280487754</v>
      </c>
      <c r="BX49" s="61">
        <f> BX$42</f>
        <v>30203.56392819707</v>
      </c>
      <c r="BY49" s="61">
        <f> BY$42</f>
        <v>30427.585929795852</v>
      </c>
      <c r="BZ49" s="61">
        <f> BZ$42</f>
        <v>30653.269518660283</v>
      </c>
      <c r="CA49" s="61">
        <f> CA$42</f>
        <v>30880.627018902378</v>
      </c>
      <c r="CB49" s="61">
        <f> CB$42</f>
        <v>31109.670846042973</v>
      </c>
      <c r="CC49" s="61">
        <f> CC$42</f>
        <v>31340.41350768972</v>
      </c>
      <c r="CD49" s="61">
        <f> CD$42</f>
        <v>31572.867604220082</v>
      </c>
      <c r="CE49" s="61">
        <f> CE$42</f>
        <v>31807.045829469436</v>
      </c>
      <c r="CF49" s="61">
        <f> CF$42</f>
        <v>32042.960971424254</v>
      </c>
      <c r="CG49" s="61">
        <f> CG$42</f>
        <v>32280.6259129204</v>
      </c>
      <c r="CH49" s="61">
        <f> CH$42</f>
        <v>32520.053632346677</v>
      </c>
      <c r="CI49" s="61">
        <f> CI$42</f>
        <v>32761.25720435351</v>
      </c>
      <c r="CJ49" s="61">
        <f> CJ$42</f>
        <v>33004.24980056697</v>
      </c>
      <c r="CK49" s="61">
        <f> CK$42</f>
        <v>33249.044690308</v>
      </c>
      <c r="CL49" s="61">
        <f> CL$42</f>
        <v>33495.655241317065</v>
      </c>
      <c r="CM49" s="61">
        <f> CM$42</f>
        <v>33744.09492048411</v>
      </c>
      <c r="CN49" s="61">
        <f> CN$42</f>
        <v>0.0</v>
      </c>
      <c r="CO49" s="61">
        <f> CO$42</f>
        <v>0.0</v>
      </c>
    </row>
    <row r="50">
      <c r="E50" s="61" t="inlineStr">
        <is>
          <t>Cash from paid invoices</t>
        </is>
      </c>
      <c r="G50" s="61" t="str">
        <f>SMU</f>
        <v>$ 000s</v>
      </c>
      <c r="J50" s="61">
        <f> (J48 - $F47) / J48 * J49</f>
        <v>0.0</v>
      </c>
      <c r="K50" s="61">
        <f> (K48 - $F47) / K48 * K49</f>
        <v>0.0</v>
      </c>
      <c r="L50" s="61">
        <f> (L48 - $F47) / L48 * L49</f>
        <v>11340.150234435558</v>
      </c>
      <c r="M50" s="61">
        <f> (M48 - $F47) / M48 * M49</f>
        <v>11013.489863878278</v>
      </c>
      <c r="N50" s="61">
        <f> (N48 - $F47) / N48 * N49</f>
        <v>11849.39259339251</v>
      </c>
      <c r="O50" s="61">
        <f> (O48 - $F47) / O48 * O49</f>
        <v>11418.553528369564</v>
      </c>
      <c r="P50" s="61">
        <f> (P48 - $F47) / P48 * P49</f>
        <v>12102.815143776204</v>
      </c>
      <c r="Q50" s="61">
        <f> (Q48 - $F47) / Q48 * Q49</f>
        <v>11652.558972631916</v>
      </c>
      <c r="R50" s="61">
        <f> (R48 - $F47) / R48 * R49</f>
        <v>12505.388193544211</v>
      </c>
      <c r="S50" s="61">
        <f> (S48 - $F47) / S48 * S49</f>
        <v>11989.481204788046</v>
      </c>
      <c r="T50" s="61">
        <f> (T48 - $F47) / T48 * T49</f>
        <v>12957.612553833203</v>
      </c>
      <c r="U50" s="61">
        <f> (U48 - $F47) / U48 * U49</f>
        <v>12393.095321236431</v>
      </c>
      <c r="V50" s="61">
        <f> (V48 - $F47) / V48 * V49</f>
        <v>13268.630241692834</v>
      </c>
      <c r="W50" s="61">
        <f> (W48 - $F47) / W48 * W49</f>
        <v>12690.563071273044</v>
      </c>
      <c r="X50" s="61">
        <f> (X48 - $F47) / X48 * X49</f>
        <v>13386.825569950077</v>
      </c>
      <c r="Y50" s="61">
        <f> (Y48 - $F47) / Y48 * Y49</f>
        <v>12826.703981542156</v>
      </c>
      <c r="Z50" s="61">
        <f> (Z48 - $F47) / Z48 * Z49</f>
        <v>13699.740633690133</v>
      </c>
      <c r="AA50" s="61">
        <f> (AA48 - $F47) / AA48 * AA49</f>
        <v>13071.27996341123</v>
      </c>
      <c r="AB50" s="61">
        <f> (AB48 - $F47) / AB48 * AB49</f>
        <v>13788.430337048578</v>
      </c>
      <c r="AC50" s="61">
        <f> (AC48 - $F47) / AC48 * AC49</f>
        <v>13211.50510098842</v>
      </c>
      <c r="AD50" s="61">
        <f> (AD48 - $F47) / AD48 * AD49</f>
        <v>14603.915381154022</v>
      </c>
      <c r="AE50" s="61">
        <f> (AE48 - $F47) / AE48 * AE49</f>
        <v>13933.402617808668</v>
      </c>
      <c r="AF50" s="61">
        <f> (AF48 - $F47) / AF48 * AF49</f>
        <v>14698.458552273714</v>
      </c>
      <c r="AG50" s="61">
        <f> (AG48 - $F47) / AG48 * AG49</f>
        <v>14082.876372824978</v>
      </c>
      <c r="AH50" s="61">
        <f> (AH48 - $F47) / AH48 * AH49</f>
        <v>15042.03284258864</v>
      </c>
      <c r="AI50" s="61">
        <f> (AI48 - $F47) / AI48 * AI49</f>
        <v>14351.404696342923</v>
      </c>
      <c r="AJ50" s="61">
        <f> (AJ48 - $F47) / AJ48 * AJ49</f>
        <v>15203.399681237703</v>
      </c>
      <c r="AK50" s="61">
        <f> (AK48 - $F47) / AK48 * AK49</f>
        <v>14505.362664009719</v>
      </c>
      <c r="AL50" s="61">
        <f> (AL48 - $F47) / AL48 * AL49</f>
        <v>15493.293827866291</v>
      </c>
      <c r="AM50" s="61">
        <f> (AM48 - $F47) / AM48 * AM49</f>
        <v>15280.553133887957</v>
      </c>
      <c r="AN50" s="61">
        <f> (AN48 - $F47) / AN48 * AN49</f>
        <v>16120.199239302281</v>
      </c>
      <c r="AO50" s="61">
        <f> (AO48 - $F47) / AO48 * AO49</f>
        <v>15444.478753372257</v>
      </c>
      <c r="AP50" s="61">
        <f> (AP48 - $F47) / AP48 * AP49</f>
        <v>16497.006507471342</v>
      </c>
      <c r="AQ50" s="61">
        <f> (AQ48 - $F47) / AQ48 * AQ49</f>
        <v>15738.969727904589</v>
      </c>
      <c r="AR50" s="61">
        <f> (AR48 - $F47) / AR48 * AR49</f>
        <v>16603.805216481345</v>
      </c>
      <c r="AS50" s="61">
        <f> (AS48 - $F47) / AS48 * AS49</f>
        <v>15907.81311597342</v>
      </c>
      <c r="AT50" s="61">
        <f> (AT48 - $F47) / AT48 * AT49</f>
        <v>16991.91670269548</v>
      </c>
      <c r="AU50" s="61">
        <f> (AU48 - $F47) / AU48 * AU49</f>
        <v>16211.138819741722</v>
      </c>
      <c r="AV50" s="61">
        <f> (AV48 - $F47) / AV48 * AV49</f>
        <v>17101.91937297578</v>
      </c>
      <c r="AW50" s="61">
        <f> (AW48 - $F47) / AW48 * AW49</f>
        <v>16385.047509452615</v>
      </c>
      <c r="AX50" s="61">
        <f> (AX48 - $F47) / AX48 * AX49</f>
        <v>18151.110729525662</v>
      </c>
      <c r="AY50" s="61">
        <f> (AY48 - $F47) / AY48 * AY49</f>
        <v>17320.592680968453</v>
      </c>
      <c r="AZ50" s="61">
        <f> (AZ48 - $F47) / AZ48 * AZ49</f>
        <v>18345.830910437635</v>
      </c>
      <c r="BA50" s="61">
        <f> (BA48 - $F47) / BA48 * BA49</f>
        <v>17506.403290059967</v>
      </c>
      <c r="BB50" s="61">
        <f> (BB48 - $F47) / BB48 * BB49</f>
        <v>18695.644051411426</v>
      </c>
      <c r="BC50" s="61">
        <f> (BC48 - $F47) / BC48 * BC49</f>
        <v>17840.2104613975</v>
      </c>
      <c r="BD50" s="61">
        <f> (BD48 - $F47) / BD48 * BD49</f>
        <v>18816.67635190164</v>
      </c>
      <c r="BE50" s="61">
        <f> (BE48 - $F47) / BE48 * BE49</f>
        <v>18031.595388761765</v>
      </c>
      <c r="BF50" s="61">
        <f> (BF48 - $F47) / BF48 * BF49</f>
        <v>19256.513372953763</v>
      </c>
      <c r="BG50" s="61">
        <f> (BG48 - $F47) / BG48 * BG49</f>
        <v>18375.41677523942</v>
      </c>
      <c r="BH50" s="61">
        <f> (BH48 - $F47) / BH48 * BH49</f>
        <v>18358.21180617489</v>
      </c>
      <c r="BI50" s="61">
        <f> (BI48 - $F47) / BI48 * BI49</f>
        <v>19607.45116335945</v>
      </c>
      <c r="BJ50" s="61">
        <f> (BJ48 - $F47) / BJ48 * BJ49</f>
        <v>18787.332286416127</v>
      </c>
      <c r="BK50" s="61">
        <f> (BK48 - $F47) / BK48 * BK49</f>
        <v>19981.32052427472</v>
      </c>
      <c r="BL50" s="61">
        <f> (BL48 - $F47) / BL48 * BL49</f>
        <v>18908.958160360133</v>
      </c>
      <c r="BM50" s="61">
        <f> (BM48 - $F47) / BM48 * BM49</f>
        <v>20195.674698260224</v>
      </c>
      <c r="BN50" s="61">
        <f> (BN48 - $F47) / BN48 * BN49</f>
        <v>19350.952255008608</v>
      </c>
      <c r="BO50" s="61">
        <f> (BO48 - $F47) / BO48 * BO49</f>
        <v>20580.76014000296</v>
      </c>
      <c r="BP50" s="61">
        <f> (BP48 - $F47) / BP48 * BP49</f>
        <v>19558.544009588393</v>
      </c>
      <c r="BQ50" s="61">
        <f> (BQ48 - $F47) / BQ48 * BQ49</f>
        <v>19703.611134375456</v>
      </c>
      <c r="BR50" s="61">
        <f> (BR48 - $F47) / BR48 * BR49</f>
        <v>21042.11208848763</v>
      </c>
      <c r="BS50" s="61">
        <f> (BS48 - $F47) / BS48 * BS49</f>
        <v>20079.314046557025</v>
      </c>
      <c r="BT50" s="61">
        <f> (BT48 - $F47) / BT48 * BT49</f>
        <v>21178.335008983926</v>
      </c>
      <c r="BU50" s="61">
        <f> (BU48 - $F47) / BU48 * BU49</f>
        <v>20294.719468406714</v>
      </c>
      <c r="BV50" s="61">
        <f> (BV48 - $F47) / BV48 * BV49</f>
        <v>21673.37545114225</v>
      </c>
      <c r="BW50" s="61">
        <f> (BW48 - $F47) / BW48 * BW49</f>
        <v>21834.128432529127</v>
      </c>
      <c r="BX50" s="61">
        <f> (BX48 - $F47) / BX48 * BX49</f>
        <v>21813.68505925344</v>
      </c>
      <c r="BY50" s="61">
        <f> (BY48 - $F47) / BY48 * BY49</f>
        <v>22068.359026005783</v>
      </c>
      <c r="BZ50" s="61">
        <f> (BZ48 - $F47) / BZ48 * BZ49</f>
        <v>22323.57671467651</v>
      </c>
      <c r="CA50" s="61">
        <f> (CA48 - $F47) / CA48 * CA49</f>
        <v>22489.15228550499</v>
      </c>
      <c r="CB50" s="61">
        <f> (CB48 - $F47) / CB48 * CB49</f>
        <v>22468.095611031036</v>
      </c>
      <c r="CC50" s="61">
        <f> (CC48 - $F47) / CC48 * CC49</f>
        <v>22730.40979678595</v>
      </c>
      <c r="CD50" s="61">
        <f> (CD48 - $F47) / CD48 * CD49</f>
        <v>22993.2840161168</v>
      </c>
      <c r="CE50" s="61">
        <f> (CE48 - $F47) / CE48 * CE49</f>
        <v>23163.826854070132</v>
      </c>
      <c r="CF50" s="61">
        <f> (CF48 - $F47) / CF48 * CF49</f>
        <v>23239.94971553847</v>
      </c>
      <c r="CG50" s="61">
        <f> (CG48 - $F47) / CG48 * CG49</f>
        <v>23412.322090689522</v>
      </c>
      <c r="CH50" s="61">
        <f> (CH48 - $F47) / CH48 * CH49</f>
        <v>23683.082536600297</v>
      </c>
      <c r="CI50" s="61">
        <f> (CI48 - $F47) / CI48 * CI49</f>
        <v>23858.74165969223</v>
      </c>
      <c r="CJ50" s="61">
        <f> (CJ48 - $F47) / CJ48 * CJ49</f>
        <v>23836.40263374281</v>
      </c>
      <c r="CK50" s="61">
        <f> (CK48 - $F47) / CK48 * CK49</f>
        <v>24114.6917534102</v>
      </c>
      <c r="CL50" s="61">
        <f> (CL48 - $F47) / CL48 * CL49</f>
        <v>24393.575012698297</v>
      </c>
      <c r="CM50" s="61">
        <f> (CM48 - $F47) / CM48 * CM49</f>
        <v>24574.50390948299</v>
      </c>
      <c r="CN50" s="61">
        <f> (CN48 - $F47) / CN48 * CN49</f>
        <v>0.0</v>
      </c>
      <c r="CO50" s="61">
        <f> (CO48 - $F47) / CO48 * CO49</f>
        <v>0.0</v>
      </c>
    </row>
    <row r="52" customFormat="1" s="29">
      <c r="A52" s="355" t="n"/>
      <c r="B52" s="355" t="n"/>
      <c r="C52" s="356" t="n"/>
      <c r="D52" s="357" t="n"/>
      <c r="E52" s="29" t="str">
        <f> E$62</f>
        <v>Account receivables balance BEG</v>
      </c>
      <c r="F52" s="29">
        <f> F$62</f>
        <v>0.0</v>
      </c>
      <c r="G52" s="29" t="str">
        <f> G$62</f>
        <v>$ 000s</v>
      </c>
      <c r="H52" s="29">
        <f> H$62</f>
        <v>0.0</v>
      </c>
      <c r="I52" s="29">
        <f> I$62</f>
        <v>0.0</v>
      </c>
      <c r="J52" s="29">
        <f> J$62</f>
        <v>0.0</v>
      </c>
      <c r="K52" s="29">
        <f> K$62</f>
        <v>0.0</v>
      </c>
      <c r="L52" s="29">
        <f> L$62</f>
        <v>0.0</v>
      </c>
      <c r="M52" s="29">
        <f> M$62</f>
        <v>4361.5962440136755</v>
      </c>
      <c r="N52" s="29">
        <f> N$62</f>
        <v>4171.776463590259</v>
      </c>
      <c r="O52" s="29">
        <f> O$62</f>
        <v>4421.415146788249</v>
      </c>
      <c r="P52" s="29">
        <f> P$62</f>
        <v>4260.654301630433</v>
      </c>
      <c r="Q52" s="29">
        <f> Q$62</f>
        <v>4654.928901452386</v>
      </c>
      <c r="R52" s="29">
        <f> R$62</f>
        <v>4413.848095693906</v>
      </c>
      <c r="S52" s="29">
        <f> S$62</f>
        <v>4666.189624456794</v>
      </c>
      <c r="T52" s="29">
        <f> T$62</f>
        <v>4473.68701671196</v>
      </c>
      <c r="U52" s="29">
        <f> U$62</f>
        <v>4908.18657342167</v>
      </c>
      <c r="V52" s="29">
        <f> V$62</f>
        <v>4694.354288347131</v>
      </c>
      <c r="W52" s="29">
        <f> W$62</f>
        <v>4950.981433467474</v>
      </c>
      <c r="X52" s="29">
        <f> X$62</f>
        <v>4735.284728086957</v>
      </c>
      <c r="Y52" s="29">
        <f> Y$62</f>
        <v>5148.779065365416</v>
      </c>
      <c r="Z52" s="29">
        <f> Z$62</f>
        <v>4858.599993008393</v>
      </c>
      <c r="AA52" s="29">
        <f> AA$62</f>
        <v>5111.843520033632</v>
      </c>
      <c r="AB52" s="29">
        <f> AB$62</f>
        <v>4877.343269929563</v>
      </c>
      <c r="AC52" s="29">
        <f> AC$62</f>
        <v>5303.242437326378</v>
      </c>
      <c r="AD52" s="29">
        <f> AD$62</f>
        <v>5004.357992798643</v>
      </c>
      <c r="AE52" s="29">
        <f> AE$62</f>
        <v>5449.222157147022</v>
      </c>
      <c r="AF52" s="29">
        <f> AF$62</f>
        <v>5199.030827540548</v>
      </c>
      <c r="AG52" s="29">
        <f> AG$62</f>
        <v>5653.253289336044</v>
      </c>
      <c r="AH52" s="29">
        <f> AH$62</f>
        <v>5334.422868494308</v>
      </c>
      <c r="AI52" s="29">
        <f> AI$62</f>
        <v>5612.6988218614315</v>
      </c>
      <c r="AJ52" s="29">
        <f> AJ$62</f>
        <v>5355.001752366759</v>
      </c>
      <c r="AK52" s="29">
        <f> AK$62</f>
        <v>5758.863515620342</v>
      </c>
      <c r="AL52" s="29">
        <f> AL$62</f>
        <v>5494.4555545491385</v>
      </c>
      <c r="AM52" s="29">
        <f> AM$62</f>
        <v>5781.079786517272</v>
      </c>
      <c r="AN52" s="29">
        <f> AN$62</f>
        <v>5701.698930555205</v>
      </c>
      <c r="AO52" s="29">
        <f> AO$62</f>
        <v>6200.0766305008765</v>
      </c>
      <c r="AP52" s="29">
        <f> AP$62</f>
        <v>5850.181345974339</v>
      </c>
      <c r="AQ52" s="29">
        <f> AQ$62</f>
        <v>6155.599443086321</v>
      </c>
      <c r="AR52" s="29">
        <f> AR$62</f>
        <v>5872.749898471862</v>
      </c>
      <c r="AS52" s="29">
        <f> AS$62</f>
        <v>6386.0789294159</v>
      </c>
      <c r="AT52" s="29">
        <f> AT$62</f>
        <v>6025.686786353566</v>
      </c>
      <c r="AU52" s="29">
        <f> AU$62</f>
        <v>6340.267426378909</v>
      </c>
      <c r="AV52" s="29">
        <f> AV$62</f>
        <v>6048.932395426014</v>
      </c>
      <c r="AW52" s="29">
        <f> AW$62</f>
        <v>6577.661297298375</v>
      </c>
      <c r="AX52" s="29">
        <f> AX$62</f>
        <v>6206.457389944175</v>
      </c>
      <c r="AY52" s="29">
        <f> AY$62</f>
        <v>6772.802511017038</v>
      </c>
      <c r="AZ52" s="29">
        <f> AZ$62</f>
        <v>6462.907716779271</v>
      </c>
      <c r="BA52" s="29">
        <f> BA$62</f>
        <v>6949.178375165771</v>
      </c>
      <c r="BB52" s="29">
        <f> BB$62</f>
        <v>6631.213367446959</v>
      </c>
      <c r="BC52" s="29">
        <f> BC$62</f>
        <v>6975.986586347546</v>
      </c>
      <c r="BD52" s="29">
        <f> BD$62</f>
        <v>6656.794948282648</v>
      </c>
      <c r="BE52" s="29">
        <f> BE$62</f>
        <v>7237.1832122698615</v>
      </c>
      <c r="BF52" s="29">
        <f> BF$62</f>
        <v>6830.1497684703645</v>
      </c>
      <c r="BG52" s="29">
        <f> BG$62</f>
        <v>7185.2661839379725</v>
      </c>
      <c r="BH52" s="29">
        <f> BH$62</f>
        <v>6856.4987967311245</v>
      </c>
      <c r="BI52" s="29">
        <f> BI$62</f>
        <v>7060.850694682653</v>
      </c>
      <c r="BJ52" s="29">
        <f> BJ$62</f>
        <v>7427.064834605848</v>
      </c>
      <c r="BK52" s="29">
        <f> BK$62</f>
        <v>7010.198614334375</v>
      </c>
      <c r="BL52" s="29">
        <f> BL$62</f>
        <v>7455.71661353534</v>
      </c>
      <c r="BM52" s="29">
        <f> BM$62</f>
        <v>7272.676215523126</v>
      </c>
      <c r="BN52" s="29">
        <f> BN$62</f>
        <v>7649.876779644026</v>
      </c>
      <c r="BO52" s="29">
        <f> BO$62</f>
        <v>7220.504572764403</v>
      </c>
      <c r="BP52" s="29">
        <f> BP$62</f>
        <v>7679.3881119414</v>
      </c>
      <c r="BQ52" s="29">
        <f> BQ$62</f>
        <v>7408.539397571356</v>
      </c>
      <c r="BR52" s="29">
        <f> BR$62</f>
        <v>7463.489066051305</v>
      </c>
      <c r="BS52" s="29">
        <f> BS$62</f>
        <v>7851.534361375976</v>
      </c>
      <c r="BT52" s="29">
        <f> BT$62</f>
        <v>7492.281360655608</v>
      </c>
      <c r="BU52" s="29">
        <f> BU$62</f>
        <v>8145.513464993815</v>
      </c>
      <c r="BV52" s="29">
        <f> BV$62</f>
        <v>7687.393738032846</v>
      </c>
      <c r="BW52" s="29">
        <f> BW$62</f>
        <v>8087.080392217256</v>
      </c>
      <c r="BX52" s="29">
        <f> BX$62</f>
        <v>8147.06284795863</v>
      </c>
      <c r="BY52" s="29">
        <f> BY$62</f>
        <v>8389.878868943626</v>
      </c>
      <c r="BZ52" s="29">
        <f> BZ$62</f>
        <v>8359.22690379007</v>
      </c>
      <c r="CA52" s="29">
        <f> CA$62</f>
        <v>8329.69280398377</v>
      </c>
      <c r="CB52" s="29">
        <f> CB$62</f>
        <v>8391.474733397383</v>
      </c>
      <c r="CC52" s="29">
        <f> CC$62</f>
        <v>8641.57523501194</v>
      </c>
      <c r="CD52" s="29">
        <f> CD$62</f>
        <v>8610.00371090377</v>
      </c>
      <c r="CE52" s="29">
        <f> CE$62</f>
        <v>8579.58358810328</v>
      </c>
      <c r="CF52" s="29">
        <f> CF$62</f>
        <v>8643.218975399304</v>
      </c>
      <c r="CG52" s="29">
        <f> CG$62</f>
        <v>8803.01125588578</v>
      </c>
      <c r="CH52" s="29">
        <f> CH$62</f>
        <v>8868.303822230875</v>
      </c>
      <c r="CI52" s="29">
        <f> CI$62</f>
        <v>8836.971095746376</v>
      </c>
      <c r="CJ52" s="29">
        <f> CJ$62</f>
        <v>8902.51554466128</v>
      </c>
      <c r="CK52" s="29">
        <f> CK$62</f>
        <v>9167.847166824162</v>
      </c>
      <c r="CL52" s="29">
        <f> CL$62</f>
        <v>9134.352936897798</v>
      </c>
      <c r="CM52" s="29">
        <f> CM$62</f>
        <v>9102.080228618768</v>
      </c>
      <c r="CN52" s="29">
        <f> CN$62</f>
        <v>9169.591011001117</v>
      </c>
      <c r="CO52" s="29">
        <f> CO$62</f>
        <v>0.0</v>
      </c>
    </row>
    <row r="53">
      <c r="E53" s="61" t="str">
        <f> E$50</f>
        <v>Cash from paid invoices</v>
      </c>
      <c r="F53" s="61">
        <f> F$50</f>
        <v>0.0</v>
      </c>
      <c r="G53" s="61" t="str">
        <f> G$50</f>
        <v>$ 000s</v>
      </c>
      <c r="H53" s="61">
        <f> H$50</f>
        <v>0.0</v>
      </c>
      <c r="I53" s="61">
        <f> I$50</f>
        <v>0.0</v>
      </c>
      <c r="J53" s="61">
        <f> J$50</f>
        <v>0.0</v>
      </c>
      <c r="K53" s="61">
        <f> K$50</f>
        <v>0.0</v>
      </c>
      <c r="L53" s="61">
        <f> L$50</f>
        <v>11340.150234435558</v>
      </c>
      <c r="M53" s="61">
        <f> M$50</f>
        <v>11013.489863878278</v>
      </c>
      <c r="N53" s="61">
        <f> N$50</f>
        <v>11849.39259339251</v>
      </c>
      <c r="O53" s="61">
        <f> O$50</f>
        <v>11418.553528369564</v>
      </c>
      <c r="P53" s="61">
        <f> P$50</f>
        <v>12102.815143776204</v>
      </c>
      <c r="Q53" s="61">
        <f> Q$50</f>
        <v>11652.558972631916</v>
      </c>
      <c r="R53" s="61">
        <f> R$50</f>
        <v>12505.388193544211</v>
      </c>
      <c r="S53" s="61">
        <f> S$50</f>
        <v>11989.481204788046</v>
      </c>
      <c r="T53" s="61">
        <f> T$50</f>
        <v>12957.612553833203</v>
      </c>
      <c r="U53" s="61">
        <f> U$50</f>
        <v>12393.095321236431</v>
      </c>
      <c r="V53" s="61">
        <f> V$50</f>
        <v>13268.630241692834</v>
      </c>
      <c r="W53" s="61">
        <f> W$50</f>
        <v>12690.563071273044</v>
      </c>
      <c r="X53" s="61">
        <f> X$50</f>
        <v>13386.825569950077</v>
      </c>
      <c r="Y53" s="61">
        <f> Y$50</f>
        <v>12826.703981542156</v>
      </c>
      <c r="Z53" s="61">
        <f> Z$50</f>
        <v>13699.740633690133</v>
      </c>
      <c r="AA53" s="61">
        <f> AA$50</f>
        <v>13071.27996341123</v>
      </c>
      <c r="AB53" s="61">
        <f> AB$50</f>
        <v>13788.430337048578</v>
      </c>
      <c r="AC53" s="61">
        <f> AC$50</f>
        <v>13211.50510098842</v>
      </c>
      <c r="AD53" s="61">
        <f> AD$50</f>
        <v>14603.915381154022</v>
      </c>
      <c r="AE53" s="61">
        <f> AE$50</f>
        <v>13933.402617808668</v>
      </c>
      <c r="AF53" s="61">
        <f> AF$50</f>
        <v>14698.458552273714</v>
      </c>
      <c r="AG53" s="61">
        <f> AG$50</f>
        <v>14082.876372824978</v>
      </c>
      <c r="AH53" s="61">
        <f> AH$50</f>
        <v>15042.03284258864</v>
      </c>
      <c r="AI53" s="61">
        <f> AI$50</f>
        <v>14351.404696342923</v>
      </c>
      <c r="AJ53" s="61">
        <f> AJ$50</f>
        <v>15203.399681237703</v>
      </c>
      <c r="AK53" s="61">
        <f> AK$50</f>
        <v>14505.362664009719</v>
      </c>
      <c r="AL53" s="61">
        <f> AL$50</f>
        <v>15493.293827866291</v>
      </c>
      <c r="AM53" s="61">
        <f> AM$50</f>
        <v>15280.553133887957</v>
      </c>
      <c r="AN53" s="61">
        <f> AN$50</f>
        <v>16120.199239302281</v>
      </c>
      <c r="AO53" s="61">
        <f> AO$50</f>
        <v>15444.478753372257</v>
      </c>
      <c r="AP53" s="61">
        <f> AP$50</f>
        <v>16497.006507471342</v>
      </c>
      <c r="AQ53" s="61">
        <f> AQ$50</f>
        <v>15738.969727904589</v>
      </c>
      <c r="AR53" s="61">
        <f> AR$50</f>
        <v>16603.805216481345</v>
      </c>
      <c r="AS53" s="61">
        <f> AS$50</f>
        <v>15907.81311597342</v>
      </c>
      <c r="AT53" s="61">
        <f> AT$50</f>
        <v>16991.91670269548</v>
      </c>
      <c r="AU53" s="61">
        <f> AU$50</f>
        <v>16211.138819741722</v>
      </c>
      <c r="AV53" s="61">
        <f> AV$50</f>
        <v>17101.91937297578</v>
      </c>
      <c r="AW53" s="61">
        <f> AW$50</f>
        <v>16385.047509452615</v>
      </c>
      <c r="AX53" s="61">
        <f> AX$50</f>
        <v>18151.110729525662</v>
      </c>
      <c r="AY53" s="61">
        <f> AY$50</f>
        <v>17320.592680968453</v>
      </c>
      <c r="AZ53" s="61">
        <f> AZ$50</f>
        <v>18345.830910437635</v>
      </c>
      <c r="BA53" s="61">
        <f> BA$50</f>
        <v>17506.403290059967</v>
      </c>
      <c r="BB53" s="61">
        <f> BB$50</f>
        <v>18695.644051411426</v>
      </c>
      <c r="BC53" s="61">
        <f> BC$50</f>
        <v>17840.2104613975</v>
      </c>
      <c r="BD53" s="61">
        <f> BD$50</f>
        <v>18816.67635190164</v>
      </c>
      <c r="BE53" s="61">
        <f> BE$50</f>
        <v>18031.595388761765</v>
      </c>
      <c r="BF53" s="61">
        <f> BF$50</f>
        <v>19256.513372953763</v>
      </c>
      <c r="BG53" s="61">
        <f> BG$50</f>
        <v>18375.41677523942</v>
      </c>
      <c r="BH53" s="61">
        <f> BH$50</f>
        <v>18358.21180617489</v>
      </c>
      <c r="BI53" s="61">
        <f> BI$50</f>
        <v>19607.45116335945</v>
      </c>
      <c r="BJ53" s="61">
        <f> BJ$50</f>
        <v>18787.332286416127</v>
      </c>
      <c r="BK53" s="61">
        <f> BK$50</f>
        <v>19981.32052427472</v>
      </c>
      <c r="BL53" s="61">
        <f> BL$50</f>
        <v>18908.958160360133</v>
      </c>
      <c r="BM53" s="61">
        <f> BM$50</f>
        <v>20195.674698260224</v>
      </c>
      <c r="BN53" s="61">
        <f> BN$50</f>
        <v>19350.952255008608</v>
      </c>
      <c r="BO53" s="61">
        <f> BO$50</f>
        <v>20580.76014000296</v>
      </c>
      <c r="BP53" s="61">
        <f> BP$50</f>
        <v>19558.544009588393</v>
      </c>
      <c r="BQ53" s="61">
        <f> BQ$50</f>
        <v>19703.611134375456</v>
      </c>
      <c r="BR53" s="61">
        <f> BR$50</f>
        <v>21042.11208848763</v>
      </c>
      <c r="BS53" s="61">
        <f> BS$50</f>
        <v>20079.314046557025</v>
      </c>
      <c r="BT53" s="61">
        <f> BT$50</f>
        <v>21178.335008983926</v>
      </c>
      <c r="BU53" s="61">
        <f> BU$50</f>
        <v>20294.719468406714</v>
      </c>
      <c r="BV53" s="61">
        <f> BV$50</f>
        <v>21673.37545114225</v>
      </c>
      <c r="BW53" s="61">
        <f> BW$50</f>
        <v>21834.128432529127</v>
      </c>
      <c r="BX53" s="61">
        <f> BX$50</f>
        <v>21813.68505925344</v>
      </c>
      <c r="BY53" s="61">
        <f> BY$50</f>
        <v>22068.359026005783</v>
      </c>
      <c r="BZ53" s="61">
        <f> BZ$50</f>
        <v>22323.57671467651</v>
      </c>
      <c r="CA53" s="61">
        <f> CA$50</f>
        <v>22489.15228550499</v>
      </c>
      <c r="CB53" s="61">
        <f> CB$50</f>
        <v>22468.095611031036</v>
      </c>
      <c r="CC53" s="61">
        <f> CC$50</f>
        <v>22730.40979678595</v>
      </c>
      <c r="CD53" s="61">
        <f> CD$50</f>
        <v>22993.2840161168</v>
      </c>
      <c r="CE53" s="61">
        <f> CE$50</f>
        <v>23163.826854070132</v>
      </c>
      <c r="CF53" s="61">
        <f> CF$50</f>
        <v>23239.94971553847</v>
      </c>
      <c r="CG53" s="61">
        <f> CG$50</f>
        <v>23412.322090689522</v>
      </c>
      <c r="CH53" s="61">
        <f> CH$50</f>
        <v>23683.082536600297</v>
      </c>
      <c r="CI53" s="61">
        <f> CI$50</f>
        <v>23858.74165969223</v>
      </c>
      <c r="CJ53" s="61">
        <f> CJ$50</f>
        <v>23836.40263374281</v>
      </c>
      <c r="CK53" s="61">
        <f> CK$50</f>
        <v>24114.6917534102</v>
      </c>
      <c r="CL53" s="61">
        <f> CL$50</f>
        <v>24393.575012698297</v>
      </c>
      <c r="CM53" s="61">
        <f> CM$50</f>
        <v>24574.50390948299</v>
      </c>
      <c r="CN53" s="61">
        <f> CN$50</f>
        <v>0.0</v>
      </c>
      <c r="CO53" s="61">
        <f> CO$50</f>
        <v>0.0</v>
      </c>
    </row>
    <row r="54" customFormat="1" s="390">
      <c r="A54" s="358" t="n"/>
      <c r="B54" s="358" t="n"/>
      <c r="C54" s="359" t="n"/>
      <c r="D54" s="360" t="n"/>
      <c r="E54" s="390" t="inlineStr">
        <is>
          <t xml:space="preserve">Operating revenue received </t>
        </is>
      </c>
      <c r="F54" s="390" t="inlineStr">
        <is>
          <t>CF</t>
        </is>
      </c>
      <c r="G54" s="390" t="str">
        <f>SMU</f>
        <v>$ 000s</v>
      </c>
      <c r="H54" s="390">
        <f> SUM(J54:CO54)</f>
        <v>1941568.6331634293</v>
      </c>
      <c r="J54" s="390">
        <f>SUM(J52:J53)</f>
        <v>0.0</v>
      </c>
      <c r="K54" s="390">
        <f>SUM(K52:K53)</f>
        <v>0.0</v>
      </c>
      <c r="L54" s="390">
        <f>SUM(L52:L53)</f>
        <v>11340.150234435558</v>
      </c>
      <c r="M54" s="390">
        <f>SUM(M52:M53)</f>
        <v>15375.086107891953</v>
      </c>
      <c r="N54" s="390">
        <f>SUM(N52:N53)</f>
        <v>16021.169056982768</v>
      </c>
      <c r="O54" s="390">
        <f>SUM(O52:O53)</f>
        <v>15839.968675157814</v>
      </c>
      <c r="P54" s="390">
        <f>SUM(P52:P53)</f>
        <v>16363.469445406638</v>
      </c>
      <c r="Q54" s="390">
        <f>SUM(Q52:Q53)</f>
        <v>16307.487874084301</v>
      </c>
      <c r="R54" s="390">
        <f>SUM(R52:R53)</f>
        <v>16919.236289238117</v>
      </c>
      <c r="S54" s="390">
        <f>SUM(S52:S53)</f>
        <v>16655.67082924484</v>
      </c>
      <c r="T54" s="390">
        <f>SUM(T52:T53)</f>
        <v>17431.29957054516</v>
      </c>
      <c r="U54" s="390">
        <f>SUM(U52:U53)</f>
        <v>17301.281894658103</v>
      </c>
      <c r="V54" s="390">
        <f>SUM(V52:V53)</f>
        <v>17962.984530039965</v>
      </c>
      <c r="W54" s="390">
        <f>SUM(W52:W53)</f>
        <v>17641.544504740516</v>
      </c>
      <c r="X54" s="390">
        <f>SUM(X52:X53)</f>
        <v>18122.110298037034</v>
      </c>
      <c r="Y54" s="390">
        <f>SUM(Y52:Y53)</f>
        <v>17975.48304690757</v>
      </c>
      <c r="Z54" s="390">
        <f>SUM(Z52:Z53)</f>
        <v>18558.340626698526</v>
      </c>
      <c r="AA54" s="390">
        <f>SUM(AA52:AA53)</f>
        <v>18183.123483444862</v>
      </c>
      <c r="AB54" s="390">
        <f>SUM(AB52:AB53)</f>
        <v>18665.77360697814</v>
      </c>
      <c r="AC54" s="390">
        <f>SUM(AC52:AC53)</f>
        <v>18514.747538314798</v>
      </c>
      <c r="AD54" s="390">
        <f>SUM(AD52:AD53)</f>
        <v>19608.273373952667</v>
      </c>
      <c r="AE54" s="390">
        <f>SUM(AE52:AE53)</f>
        <v>19382.62477495569</v>
      </c>
      <c r="AF54" s="390">
        <f>SUM(AF52:AF53)</f>
        <v>19897.489379814262</v>
      </c>
      <c r="AG54" s="390">
        <f>SUM(AG52:AG53)</f>
        <v>19736.129662161024</v>
      </c>
      <c r="AH54" s="390">
        <f>SUM(AH52:AH53)</f>
        <v>20376.45571108295</v>
      </c>
      <c r="AI54" s="390">
        <f>SUM(AI52:AI53)</f>
        <v>19964.103518204356</v>
      </c>
      <c r="AJ54" s="390">
        <f>SUM(AJ52:AJ53)</f>
        <v>20558.401433604464</v>
      </c>
      <c r="AK54" s="390">
        <f>SUM(AK52:AK53)</f>
        <v>20264.22617963006</v>
      </c>
      <c r="AL54" s="390">
        <f>SUM(AL52:AL53)</f>
        <v>20987.74938241543</v>
      </c>
      <c r="AM54" s="390">
        <f>SUM(AM52:AM53)</f>
        <v>21061.63292040523</v>
      </c>
      <c r="AN54" s="390">
        <f>SUM(AN52:AN53)</f>
        <v>21821.898169857486</v>
      </c>
      <c r="AO54" s="390">
        <f>SUM(AO52:AO53)</f>
        <v>21644.555383873136</v>
      </c>
      <c r="AP54" s="390">
        <f>SUM(AP52:AP53)</f>
        <v>22347.18785344568</v>
      </c>
      <c r="AQ54" s="390">
        <f>SUM(AQ52:AQ53)</f>
        <v>21894.569170990908</v>
      </c>
      <c r="AR54" s="390">
        <f>SUM(AR52:AR53)</f>
        <v>22476.555114953208</v>
      </c>
      <c r="AS54" s="390">
        <f>SUM(AS52:AS53)</f>
        <v>22293.892045389322</v>
      </c>
      <c r="AT54" s="390">
        <f>SUM(AT52:AT53)</f>
        <v>23017.603489049045</v>
      </c>
      <c r="AU54" s="390">
        <f>SUM(AU52:AU53)</f>
        <v>22551.40624612063</v>
      </c>
      <c r="AV54" s="390">
        <f>SUM(AV52:AV53)</f>
        <v>23150.851768401793</v>
      </c>
      <c r="AW54" s="390">
        <f>SUM(AW52:AW53)</f>
        <v>22962.70880675099</v>
      </c>
      <c r="AX54" s="390">
        <f>SUM(AX52:AX53)</f>
        <v>24357.568119469837</v>
      </c>
      <c r="AY54" s="390">
        <f>SUM(AY52:AY53)</f>
        <v>24093.39519198549</v>
      </c>
      <c r="AZ54" s="390">
        <f>SUM(AZ52:AZ53)</f>
        <v>24808.738627216906</v>
      </c>
      <c r="BA54" s="390">
        <f>SUM(BA52:BA53)</f>
        <v>24455.581665225738</v>
      </c>
      <c r="BB54" s="390">
        <f>SUM(BB52:BB53)</f>
        <v>25326.857418858384</v>
      </c>
      <c r="BC54" s="390">
        <f>SUM(BC52:BC53)</f>
        <v>24816.197047745045</v>
      </c>
      <c r="BD54" s="390">
        <f>SUM(BD52:BD53)</f>
        <v>25473.471300184287</v>
      </c>
      <c r="BE54" s="390">
        <f>SUM(BE52:BE53)</f>
        <v>25268.778601031627</v>
      </c>
      <c r="BF54" s="390">
        <f>SUM(BF52:BF53)</f>
        <v>26086.663141424127</v>
      </c>
      <c r="BG54" s="390">
        <f>SUM(BG52:BG53)</f>
        <v>25560.682959177393</v>
      </c>
      <c r="BH54" s="390">
        <f>SUM(BH52:BH53)</f>
        <v>25214.710602906016</v>
      </c>
      <c r="BI54" s="390">
        <f>SUM(BI52:BI53)</f>
        <v>26668.3018580421</v>
      </c>
      <c r="BJ54" s="390">
        <f>SUM(BJ52:BJ53)</f>
        <v>26214.397121021975</v>
      </c>
      <c r="BK54" s="390">
        <f>SUM(BK52:BK53)</f>
        <v>26991.519138609096</v>
      </c>
      <c r="BL54" s="390">
        <f>SUM(BL52:BL53)</f>
        <v>26364.674773895473</v>
      </c>
      <c r="BM54" s="390">
        <f>SUM(BM52:BM53)</f>
        <v>27468.35091378335</v>
      </c>
      <c r="BN54" s="390">
        <f>SUM(BN52:BN53)</f>
        <v>27000.829034652634</v>
      </c>
      <c r="BO54" s="390">
        <f>SUM(BO52:BO53)</f>
        <v>27801.264712767363</v>
      </c>
      <c r="BP54" s="390">
        <f>SUM(BP52:BP53)</f>
        <v>27237.932121529793</v>
      </c>
      <c r="BQ54" s="390">
        <f>SUM(BQ52:BQ53)</f>
        <v>27112.150531946812</v>
      </c>
      <c r="BR54" s="390">
        <f>SUM(BR52:BR53)</f>
        <v>28505.601154538934</v>
      </c>
      <c r="BS54" s="390">
        <f>SUM(BS52:BS53)</f>
        <v>27930.848407933</v>
      </c>
      <c r="BT54" s="390">
        <f>SUM(BT52:BT53)</f>
        <v>28670.616369639534</v>
      </c>
      <c r="BU54" s="390">
        <f>SUM(BU52:BU53)</f>
        <v>28440.23293340053</v>
      </c>
      <c r="BV54" s="390">
        <f>SUM(BV52:BV53)</f>
        <v>29360.769189175095</v>
      </c>
      <c r="BW54" s="390">
        <f>SUM(BW52:BW53)</f>
        <v>29921.208824746383</v>
      </c>
      <c r="BX54" s="390">
        <f>SUM(BX52:BX53)</f>
        <v>29960.74790721207</v>
      </c>
      <c r="BY54" s="390">
        <f>SUM(BY52:BY53)</f>
        <v>30458.23789494941</v>
      </c>
      <c r="BZ54" s="390">
        <f>SUM(BZ52:BZ53)</f>
        <v>30682.80361846658</v>
      </c>
      <c r="CA54" s="390">
        <f>SUM(CA52:CA53)</f>
        <v>30818.84508948876</v>
      </c>
      <c r="CB54" s="390">
        <f>SUM(CB52:CB53)</f>
        <v>30859.57034442842</v>
      </c>
      <c r="CC54" s="390">
        <f>SUM(CC52:CC53)</f>
        <v>31371.98503179789</v>
      </c>
      <c r="CD54" s="390">
        <f>SUM(CD52:CD53)</f>
        <v>31603.287727020568</v>
      </c>
      <c r="CE54" s="390">
        <f>SUM(CE52:CE53)</f>
        <v>31743.410442173412</v>
      </c>
      <c r="CF54" s="390">
        <f>SUM(CF52:CF53)</f>
        <v>31883.168690937775</v>
      </c>
      <c r="CG54" s="390">
        <f>SUM(CG52:CG53)</f>
        <v>32215.333346575302</v>
      </c>
      <c r="CH54" s="390">
        <f>SUM(CH52:CH53)</f>
        <v>32551.386358831172</v>
      </c>
      <c r="CI54" s="390">
        <f>SUM(CI52:CI53)</f>
        <v>32695.712755438606</v>
      </c>
      <c r="CJ54" s="390">
        <f>SUM(CJ52:CJ53)</f>
        <v>32738.918178404092</v>
      </c>
      <c r="CK54" s="390">
        <f>SUM(CK52:CK53)</f>
        <v>33282.538920234365</v>
      </c>
      <c r="CL54" s="390">
        <f>SUM(CL52:CL53)</f>
        <v>33527.927949596095</v>
      </c>
      <c r="CM54" s="390">
        <f>SUM(CM52:CM53)</f>
        <v>33676.58413810176</v>
      </c>
      <c r="CN54" s="390">
        <f>SUM(CN52:CN53)</f>
        <v>9169.591011001117</v>
      </c>
      <c r="CO54" s="390">
        <f>SUM(CO52:CO53)</f>
        <v>0.0</v>
      </c>
    </row>
    <row r="57">
      <c r="A57" s="294" t="inlineStr">
        <is>
          <t>ACCOUNT RECEIVABLES BALANCE</t>
        </is>
      </c>
    </row>
    <row r="59" customFormat="1" s="182">
      <c r="A59" s="177" t="n"/>
      <c r="B59" s="177" t="n"/>
      <c r="C59" s="178" t="n"/>
      <c r="D59" s="179" t="n"/>
      <c r="E59" s="182" t="inlineStr">
        <is>
          <t>Account receivables - initial balance</t>
        </is>
      </c>
      <c r="F59" s="182" t="n">
        <v>0</v>
      </c>
      <c r="G59" s="182" t="n"/>
    </row>
    <row r="60" customFormat="1" s="100">
      <c r="A60" s="294" t="n"/>
      <c r="B60" s="294" t="n"/>
      <c r="C60" s="212" t="n"/>
      <c r="D60" s="244" t="n"/>
      <c r="E60" s="325" t="str">
        <f> Time!E$45</f>
        <v>Acquisition / initial balance date flag</v>
      </c>
      <c r="F60" s="325">
        <f> Time!F$45</f>
        <v>0.0</v>
      </c>
      <c r="G60" s="325" t="str">
        <f> Time!G$45</f>
        <v>flag</v>
      </c>
      <c r="H60" s="325">
        <f> Time!H$45</f>
        <v>1.0</v>
      </c>
      <c r="I60" s="325">
        <f> Time!I$45</f>
        <v>0.0</v>
      </c>
      <c r="J60" s="325">
        <f> Time!J$45</f>
        <v>0.0</v>
      </c>
      <c r="K60" s="325">
        <f> Time!K$45</f>
        <v>1.0</v>
      </c>
      <c r="L60" s="325">
        <f> Time!L$45</f>
        <v>0.0</v>
      </c>
      <c r="M60" s="325">
        <f> Time!M$45</f>
        <v>0.0</v>
      </c>
      <c r="N60" s="325">
        <f> Time!N$45</f>
        <v>0.0</v>
      </c>
      <c r="O60" s="325">
        <f> Time!O$45</f>
        <v>0.0</v>
      </c>
      <c r="P60" s="325">
        <f> Time!P$45</f>
        <v>0.0</v>
      </c>
      <c r="Q60" s="325">
        <f> Time!Q$45</f>
        <v>0.0</v>
      </c>
      <c r="R60" s="325">
        <f> Time!R$45</f>
        <v>0.0</v>
      </c>
      <c r="S60" s="325">
        <f> Time!S$45</f>
        <v>0.0</v>
      </c>
      <c r="T60" s="325">
        <f> Time!T$45</f>
        <v>0.0</v>
      </c>
      <c r="U60" s="325">
        <f> Time!U$45</f>
        <v>0.0</v>
      </c>
      <c r="V60" s="325">
        <f> Time!V$45</f>
        <v>0.0</v>
      </c>
      <c r="W60" s="325">
        <f> Time!W$45</f>
        <v>0.0</v>
      </c>
      <c r="X60" s="325">
        <f> Time!X$45</f>
        <v>0.0</v>
      </c>
      <c r="Y60" s="325">
        <f> Time!Y$45</f>
        <v>0.0</v>
      </c>
      <c r="Z60" s="325">
        <f> Time!Z$45</f>
        <v>0.0</v>
      </c>
      <c r="AA60" s="325">
        <f> Time!AA$45</f>
        <v>0.0</v>
      </c>
      <c r="AB60" s="325">
        <f> Time!AB$45</f>
        <v>0.0</v>
      </c>
      <c r="AC60" s="325">
        <f> Time!AC$45</f>
        <v>0.0</v>
      </c>
      <c r="AD60" s="325">
        <f> Time!AD$45</f>
        <v>0.0</v>
      </c>
      <c r="AE60" s="325">
        <f> Time!AE$45</f>
        <v>0.0</v>
      </c>
      <c r="AF60" s="325">
        <f> Time!AF$45</f>
        <v>0.0</v>
      </c>
      <c r="AG60" s="325">
        <f> Time!AG$45</f>
        <v>0.0</v>
      </c>
      <c r="AH60" s="325">
        <f> Time!AH$45</f>
        <v>0.0</v>
      </c>
      <c r="AI60" s="325">
        <f> Time!AI$45</f>
        <v>0.0</v>
      </c>
      <c r="AJ60" s="325">
        <f> Time!AJ$45</f>
        <v>0.0</v>
      </c>
      <c r="AK60" s="325">
        <f> Time!AK$45</f>
        <v>0.0</v>
      </c>
      <c r="AL60" s="325">
        <f> Time!AL$45</f>
        <v>0.0</v>
      </c>
      <c r="AM60" s="325">
        <f> Time!AM$45</f>
        <v>0.0</v>
      </c>
      <c r="AN60" s="325">
        <f> Time!AN$45</f>
        <v>0.0</v>
      </c>
      <c r="AO60" s="325">
        <f> Time!AO$45</f>
        <v>0.0</v>
      </c>
      <c r="AP60" s="325">
        <f> Time!AP$45</f>
        <v>0.0</v>
      </c>
      <c r="AQ60" s="325">
        <f> Time!AQ$45</f>
        <v>0.0</v>
      </c>
      <c r="AR60" s="325">
        <f> Time!AR$45</f>
        <v>0.0</v>
      </c>
      <c r="AS60" s="325">
        <f> Time!AS$45</f>
        <v>0.0</v>
      </c>
      <c r="AT60" s="325">
        <f> Time!AT$45</f>
        <v>0.0</v>
      </c>
      <c r="AU60" s="325">
        <f> Time!AU$45</f>
        <v>0.0</v>
      </c>
      <c r="AV60" s="325">
        <f> Time!AV$45</f>
        <v>0.0</v>
      </c>
      <c r="AW60" s="325">
        <f> Time!AW$45</f>
        <v>0.0</v>
      </c>
      <c r="AX60" s="325">
        <f> Time!AX$45</f>
        <v>0.0</v>
      </c>
      <c r="AY60" s="325">
        <f> Time!AY$45</f>
        <v>0.0</v>
      </c>
      <c r="AZ60" s="325">
        <f> Time!AZ$45</f>
        <v>0.0</v>
      </c>
      <c r="BA60" s="325">
        <f> Time!BA$45</f>
        <v>0.0</v>
      </c>
      <c r="BB60" s="325">
        <f> Time!BB$45</f>
        <v>0.0</v>
      </c>
      <c r="BC60" s="325">
        <f> Time!BC$45</f>
        <v>0.0</v>
      </c>
      <c r="BD60" s="325">
        <f> Time!BD$45</f>
        <v>0.0</v>
      </c>
      <c r="BE60" s="325">
        <f> Time!BE$45</f>
        <v>0.0</v>
      </c>
      <c r="BF60" s="325">
        <f> Time!BF$45</f>
        <v>0.0</v>
      </c>
      <c r="BG60" s="325">
        <f> Time!BG$45</f>
        <v>0.0</v>
      </c>
      <c r="BH60" s="325">
        <f> Time!BH$45</f>
        <v>0.0</v>
      </c>
      <c r="BI60" s="325">
        <f> Time!BI$45</f>
        <v>0.0</v>
      </c>
      <c r="BJ60" s="325">
        <f> Time!BJ$45</f>
        <v>0.0</v>
      </c>
      <c r="BK60" s="325">
        <f> Time!BK$45</f>
        <v>0.0</v>
      </c>
      <c r="BL60" s="325">
        <f> Time!BL$45</f>
        <v>0.0</v>
      </c>
      <c r="BM60" s="325">
        <f> Time!BM$45</f>
        <v>0.0</v>
      </c>
      <c r="BN60" s="325">
        <f> Time!BN$45</f>
        <v>0.0</v>
      </c>
      <c r="BO60" s="325">
        <f> Time!BO$45</f>
        <v>0.0</v>
      </c>
      <c r="BP60" s="325">
        <f> Time!BP$45</f>
        <v>0.0</v>
      </c>
      <c r="BQ60" s="325">
        <f> Time!BQ$45</f>
        <v>0.0</v>
      </c>
      <c r="BR60" s="325">
        <f> Time!BR$45</f>
        <v>0.0</v>
      </c>
      <c r="BS60" s="325">
        <f> Time!BS$45</f>
        <v>0.0</v>
      </c>
      <c r="BT60" s="325">
        <f> Time!BT$45</f>
        <v>0.0</v>
      </c>
      <c r="BU60" s="325">
        <f> Time!BU$45</f>
        <v>0.0</v>
      </c>
      <c r="BV60" s="325">
        <f> Time!BV$45</f>
        <v>0.0</v>
      </c>
      <c r="BW60" s="325">
        <f> Time!BW$45</f>
        <v>0.0</v>
      </c>
      <c r="BX60" s="325">
        <f> Time!BX$45</f>
        <v>0.0</v>
      </c>
      <c r="BY60" s="325">
        <f> Time!BY$45</f>
        <v>0.0</v>
      </c>
      <c r="BZ60" s="325">
        <f> Time!BZ$45</f>
        <v>0.0</v>
      </c>
      <c r="CA60" s="325">
        <f> Time!CA$45</f>
        <v>0.0</v>
      </c>
      <c r="CB60" s="325">
        <f> Time!CB$45</f>
        <v>0.0</v>
      </c>
      <c r="CC60" s="325">
        <f> Time!CC$45</f>
        <v>0.0</v>
      </c>
      <c r="CD60" s="325">
        <f> Time!CD$45</f>
        <v>0.0</v>
      </c>
      <c r="CE60" s="325">
        <f> Time!CE$45</f>
        <v>0.0</v>
      </c>
      <c r="CF60" s="325">
        <f> Time!CF$45</f>
        <v>0.0</v>
      </c>
      <c r="CG60" s="325">
        <f> Time!CG$45</f>
        <v>0.0</v>
      </c>
      <c r="CH60" s="325">
        <f> Time!CH$45</f>
        <v>0.0</v>
      </c>
      <c r="CI60" s="325">
        <f> Time!CI$45</f>
        <v>0.0</v>
      </c>
      <c r="CJ60" s="325">
        <f> Time!CJ$45</f>
        <v>0.0</v>
      </c>
      <c r="CK60" s="325">
        <f> Time!CK$45</f>
        <v>0.0</v>
      </c>
      <c r="CL60" s="325">
        <f> Time!CL$45</f>
        <v>0.0</v>
      </c>
      <c r="CM60" s="325">
        <f> Time!CM$45</f>
        <v>0.0</v>
      </c>
      <c r="CN60" s="325">
        <f> Time!CN$45</f>
        <v>0.0</v>
      </c>
      <c r="CO60" s="325">
        <f> Time!CO$45</f>
        <v>0.0</v>
      </c>
    </row>
    <row r="61" customFormat="1" s="61">
      <c r="A61" s="294" t="n"/>
      <c r="B61" s="294" t="n"/>
      <c r="C61" s="212" t="n"/>
      <c r="D61" s="244" t="n"/>
    </row>
    <row r="62" customFormat="1" s="61">
      <c r="A62" s="294" t="n"/>
      <c r="B62" s="294" t="n"/>
      <c r="C62" s="212" t="n"/>
      <c r="D62" s="244" t="n"/>
      <c r="E62" s="61" t="inlineStr">
        <is>
          <t>Account receivables balance BEG</t>
        </is>
      </c>
      <c r="G62" s="61" t="inlineStr">
        <is>
          <t>$ 000s</t>
        </is>
      </c>
      <c r="J62" s="61">
        <f> I65</f>
        <v>0.0</v>
      </c>
      <c r="K62" s="61">
        <f> J65</f>
        <v>0.0</v>
      </c>
      <c r="L62" s="61">
        <f> K65</f>
        <v>0.0</v>
      </c>
      <c r="M62" s="61">
        <f> L65</f>
        <v>4361.5962440136755</v>
      </c>
      <c r="N62" s="61">
        <f> M65</f>
        <v>4171.776463590259</v>
      </c>
      <c r="O62" s="61">
        <f> N65</f>
        <v>4421.415146788249</v>
      </c>
      <c r="P62" s="61">
        <f> O65</f>
        <v>4260.654301630433</v>
      </c>
      <c r="Q62" s="61">
        <f> P65</f>
        <v>4654.928901452386</v>
      </c>
      <c r="R62" s="61">
        <f> Q65</f>
        <v>4413.848095693906</v>
      </c>
      <c r="S62" s="61">
        <f> R65</f>
        <v>4666.189624456794</v>
      </c>
      <c r="T62" s="61">
        <f> S65</f>
        <v>4473.68701671196</v>
      </c>
      <c r="U62" s="61">
        <f> T65</f>
        <v>4908.18657342167</v>
      </c>
      <c r="V62" s="61">
        <f> U65</f>
        <v>4694.354288347131</v>
      </c>
      <c r="W62" s="61">
        <f> V65</f>
        <v>4950.981433467474</v>
      </c>
      <c r="X62" s="61">
        <f> W65</f>
        <v>4735.284728086957</v>
      </c>
      <c r="Y62" s="61">
        <f> X65</f>
        <v>5148.779065365416</v>
      </c>
      <c r="Z62" s="61">
        <f> Y65</f>
        <v>4858.599993008393</v>
      </c>
      <c r="AA62" s="61">
        <f> Z65</f>
        <v>5111.843520033632</v>
      </c>
      <c r="AB62" s="61">
        <f> AA65</f>
        <v>4877.343269929563</v>
      </c>
      <c r="AC62" s="61">
        <f> AB65</f>
        <v>5303.242437326378</v>
      </c>
      <c r="AD62" s="61">
        <f> AC65</f>
        <v>5004.357992798643</v>
      </c>
      <c r="AE62" s="61">
        <f> AD65</f>
        <v>5449.222157147022</v>
      </c>
      <c r="AF62" s="61">
        <f> AE65</f>
        <v>5199.030827540548</v>
      </c>
      <c r="AG62" s="61">
        <f> AF65</f>
        <v>5653.253289336044</v>
      </c>
      <c r="AH62" s="61">
        <f> AG65</f>
        <v>5334.422868494308</v>
      </c>
      <c r="AI62" s="61">
        <f> AH65</f>
        <v>5612.6988218614315</v>
      </c>
      <c r="AJ62" s="61">
        <f> AI65</f>
        <v>5355.001752366759</v>
      </c>
      <c r="AK62" s="61">
        <f> AJ65</f>
        <v>5758.863515620342</v>
      </c>
      <c r="AL62" s="61">
        <f> AK65</f>
        <v>5494.4555545491385</v>
      </c>
      <c r="AM62" s="61">
        <f> AL65</f>
        <v>5781.079786517272</v>
      </c>
      <c r="AN62" s="61">
        <f> AM65</f>
        <v>5701.698930555205</v>
      </c>
      <c r="AO62" s="61">
        <f> AN65</f>
        <v>6200.0766305008765</v>
      </c>
      <c r="AP62" s="61">
        <f> AO65</f>
        <v>5850.181345974339</v>
      </c>
      <c r="AQ62" s="61">
        <f> AP65</f>
        <v>6155.599443086321</v>
      </c>
      <c r="AR62" s="61">
        <f> AQ65</f>
        <v>5872.749898471862</v>
      </c>
      <c r="AS62" s="61">
        <f> AR65</f>
        <v>6386.0789294159</v>
      </c>
      <c r="AT62" s="61">
        <f> AS65</f>
        <v>6025.686786353566</v>
      </c>
      <c r="AU62" s="61">
        <f> AT65</f>
        <v>6340.267426378909</v>
      </c>
      <c r="AV62" s="61">
        <f> AU65</f>
        <v>6048.932395426014</v>
      </c>
      <c r="AW62" s="61">
        <f> AV65</f>
        <v>6577.661297298375</v>
      </c>
      <c r="AX62" s="61">
        <f> AW65</f>
        <v>6206.457389944175</v>
      </c>
      <c r="AY62" s="61">
        <f> AX65</f>
        <v>6772.802511017038</v>
      </c>
      <c r="AZ62" s="61">
        <f> AY65</f>
        <v>6462.907716779271</v>
      </c>
      <c r="BA62" s="61">
        <f> AZ65</f>
        <v>6949.178375165771</v>
      </c>
      <c r="BB62" s="61">
        <f> BA65</f>
        <v>6631.213367446959</v>
      </c>
      <c r="BC62" s="61">
        <f> BB65</f>
        <v>6975.986586347546</v>
      </c>
      <c r="BD62" s="61">
        <f> BC65</f>
        <v>6656.794948282648</v>
      </c>
      <c r="BE62" s="61">
        <f> BD65</f>
        <v>7237.1832122698615</v>
      </c>
      <c r="BF62" s="61">
        <f> BE65</f>
        <v>6830.1497684703645</v>
      </c>
      <c r="BG62" s="61">
        <f> BF65</f>
        <v>7185.2661839379725</v>
      </c>
      <c r="BH62" s="61">
        <f> BG65</f>
        <v>6856.4987967311245</v>
      </c>
      <c r="BI62" s="61">
        <f> BH65</f>
        <v>7060.850694682653</v>
      </c>
      <c r="BJ62" s="61">
        <f> BI65</f>
        <v>7427.064834605848</v>
      </c>
      <c r="BK62" s="61">
        <f> BJ65</f>
        <v>7010.198614334375</v>
      </c>
      <c r="BL62" s="61">
        <f> BK65</f>
        <v>7455.71661353534</v>
      </c>
      <c r="BM62" s="61">
        <f> BL65</f>
        <v>7272.676215523126</v>
      </c>
      <c r="BN62" s="61">
        <f> BM65</f>
        <v>7649.876779644026</v>
      </c>
      <c r="BO62" s="61">
        <f> BN65</f>
        <v>7220.504572764403</v>
      </c>
      <c r="BP62" s="61">
        <f> BO65</f>
        <v>7679.3881119414</v>
      </c>
      <c r="BQ62" s="61">
        <f> BP65</f>
        <v>7408.539397571356</v>
      </c>
      <c r="BR62" s="61">
        <f> BQ65</f>
        <v>7463.489066051305</v>
      </c>
      <c r="BS62" s="61">
        <f> BR65</f>
        <v>7851.534361375976</v>
      </c>
      <c r="BT62" s="61">
        <f> BS65</f>
        <v>7492.281360655608</v>
      </c>
      <c r="BU62" s="61">
        <f> BT65</f>
        <v>8145.513464993815</v>
      </c>
      <c r="BV62" s="61">
        <f> BU65</f>
        <v>7687.393738032846</v>
      </c>
      <c r="BW62" s="61">
        <f> BV65</f>
        <v>8087.080392217256</v>
      </c>
      <c r="BX62" s="61">
        <f> BW65</f>
        <v>8147.06284795863</v>
      </c>
      <c r="BY62" s="61">
        <f> BX65</f>
        <v>8389.878868943626</v>
      </c>
      <c r="BZ62" s="61">
        <f> BY65</f>
        <v>8359.22690379007</v>
      </c>
      <c r="CA62" s="61">
        <f> BZ65</f>
        <v>8329.69280398377</v>
      </c>
      <c r="CB62" s="61">
        <f> CA65</f>
        <v>8391.474733397383</v>
      </c>
      <c r="CC62" s="61">
        <f> CB65</f>
        <v>8641.57523501194</v>
      </c>
      <c r="CD62" s="61">
        <f> CC65</f>
        <v>8610.00371090377</v>
      </c>
      <c r="CE62" s="61">
        <f> CD65</f>
        <v>8579.58358810328</v>
      </c>
      <c r="CF62" s="61">
        <f> CE65</f>
        <v>8643.218975399304</v>
      </c>
      <c r="CG62" s="61">
        <f> CF65</f>
        <v>8803.01125588578</v>
      </c>
      <c r="CH62" s="61">
        <f> CG65</f>
        <v>8868.303822230875</v>
      </c>
      <c r="CI62" s="61">
        <f> CH65</f>
        <v>8836.971095746376</v>
      </c>
      <c r="CJ62" s="61">
        <f> CI65</f>
        <v>8902.51554466128</v>
      </c>
      <c r="CK62" s="61">
        <f> CJ65</f>
        <v>9167.847166824162</v>
      </c>
      <c r="CL62" s="61">
        <f> CK65</f>
        <v>9134.352936897798</v>
      </c>
      <c r="CM62" s="61">
        <f> CL65</f>
        <v>9102.080228618768</v>
      </c>
      <c r="CN62" s="61">
        <f> CM65</f>
        <v>9169.591011001117</v>
      </c>
      <c r="CO62" s="61">
        <f> CN65</f>
        <v>0.0</v>
      </c>
    </row>
    <row r="63" customFormat="1" s="61">
      <c r="A63" s="294" t="n"/>
      <c r="B63" s="294" t="n"/>
      <c r="C63" s="212" t="n"/>
      <c r="D63" s="244" t="inlineStr">
        <is>
          <t>plus</t>
        </is>
      </c>
      <c r="E63" s="61" t="str">
        <f> E$42</f>
        <v>Operating revenue</v>
      </c>
      <c r="F63" s="61" t="str">
        <f> F$42</f>
        <v>IS</v>
      </c>
      <c r="G63" s="61" t="str">
        <f> G$42</f>
        <v>$ 000s</v>
      </c>
      <c r="H63" s="61">
        <f> H$42</f>
        <v>1941568.6331634293</v>
      </c>
      <c r="I63" s="61">
        <f> I$42</f>
        <v>0.0</v>
      </c>
      <c r="J63" s="61">
        <f> J$42</f>
        <v>0.0</v>
      </c>
      <c r="K63" s="61">
        <f> K$42</f>
        <v>0.0</v>
      </c>
      <c r="L63" s="61">
        <f> L$42</f>
        <v>15701.746478449233</v>
      </c>
      <c r="M63" s="61">
        <f> M$42</f>
        <v>15185.266327468535</v>
      </c>
      <c r="N63" s="61">
        <f> N$42</f>
        <v>16270.807740180759</v>
      </c>
      <c r="O63" s="61">
        <f> O$42</f>
        <v>15679.20783</v>
      </c>
      <c r="P63" s="61">
        <f> P$42</f>
        <v>16757.744045228592</v>
      </c>
      <c r="Q63" s="61">
        <f> Q$42</f>
        <v>16066.407068325823</v>
      </c>
      <c r="R63" s="61">
        <f> R$42</f>
        <v>17171.577818001006</v>
      </c>
      <c r="S63" s="61">
        <f> S$42</f>
        <v>16463.168221500004</v>
      </c>
      <c r="T63" s="61">
        <f> T$42</f>
        <v>17865.79912725487</v>
      </c>
      <c r="U63" s="61">
        <f> U$42</f>
        <v>17087.449609583564</v>
      </c>
      <c r="V63" s="61">
        <f> V$42</f>
        <v>18219.611675160308</v>
      </c>
      <c r="W63" s="61">
        <f> W$42</f>
        <v>17425.84779936</v>
      </c>
      <c r="X63" s="61">
        <f> X$42</f>
        <v>18535.604635315492</v>
      </c>
      <c r="Y63" s="61">
        <f> Y$42</f>
        <v>17685.30397455055</v>
      </c>
      <c r="Z63" s="61">
        <f> Z$42</f>
        <v>18811.584153723765</v>
      </c>
      <c r="AA63" s="61">
        <f> AA$42</f>
        <v>17948.623233340793</v>
      </c>
      <c r="AB63" s="61">
        <f> AB$42</f>
        <v>19091.672774374954</v>
      </c>
      <c r="AC63" s="61">
        <f> AC$42</f>
        <v>18215.863093787062</v>
      </c>
      <c r="AD63" s="61">
        <f> AD$42</f>
        <v>20053.137538301045</v>
      </c>
      <c r="AE63" s="61">
        <f> AE$42</f>
        <v>19132.433445349216</v>
      </c>
      <c r="AF63" s="61">
        <f> AF$42</f>
        <v>20351.71184160976</v>
      </c>
      <c r="AG63" s="61">
        <f> AG$42</f>
        <v>19417.299241319288</v>
      </c>
      <c r="AH63" s="61">
        <f> AH$42</f>
        <v>20654.73166445007</v>
      </c>
      <c r="AI63" s="61">
        <f> AI$42</f>
        <v>19706.406448709684</v>
      </c>
      <c r="AJ63" s="61">
        <f> AJ$42</f>
        <v>20962.263196858046</v>
      </c>
      <c r="AK63" s="61">
        <f> AK$42</f>
        <v>19999.818218558856</v>
      </c>
      <c r="AL63" s="61">
        <f> AL$42</f>
        <v>21274.373614383563</v>
      </c>
      <c r="AM63" s="61">
        <f> AM$42</f>
        <v>20982.252064443164</v>
      </c>
      <c r="AN63" s="61">
        <f> AN$42</f>
        <v>22320.275869803158</v>
      </c>
      <c r="AO63" s="61">
        <f> AO$42</f>
        <v>21294.660099346598</v>
      </c>
      <c r="AP63" s="61">
        <f> AP$42</f>
        <v>22652.605950557663</v>
      </c>
      <c r="AQ63" s="61">
        <f> AQ$42</f>
        <v>21611.71962637645</v>
      </c>
      <c r="AR63" s="61">
        <f> AR$42</f>
        <v>22989.884145897246</v>
      </c>
      <c r="AS63" s="61">
        <f> AS$42</f>
        <v>21933.49990232699</v>
      </c>
      <c r="AT63" s="61">
        <f> AT$42</f>
        <v>23332.184129074387</v>
      </c>
      <c r="AU63" s="61">
        <f> AU$42</f>
        <v>22260.071215167736</v>
      </c>
      <c r="AV63" s="61">
        <f> AV$42</f>
        <v>23679.580670274154</v>
      </c>
      <c r="AW63" s="61">
        <f> AW$42</f>
        <v>22591.50489939679</v>
      </c>
      <c r="AX63" s="61">
        <f> AX$42</f>
        <v>24923.9132405427</v>
      </c>
      <c r="AY63" s="61">
        <f> AY$42</f>
        <v>23783.500397747724</v>
      </c>
      <c r="AZ63" s="61">
        <f> AZ$42</f>
        <v>25295.009285603406</v>
      </c>
      <c r="BA63" s="61">
        <f> BA$42</f>
        <v>24137.616657506926</v>
      </c>
      <c r="BB63" s="61">
        <f> BB$42</f>
        <v>25671.63063775897</v>
      </c>
      <c r="BC63" s="61">
        <f> BC$42</f>
        <v>24497.005409680147</v>
      </c>
      <c r="BD63" s="61">
        <f> BD$42</f>
        <v>26053.8595641715</v>
      </c>
      <c r="BE63" s="61">
        <f> BE$42</f>
        <v>24861.74515723213</v>
      </c>
      <c r="BF63" s="61">
        <f> BF$42</f>
        <v>26441.779556891735</v>
      </c>
      <c r="BG63" s="61">
        <f> BG$42</f>
        <v>25231.915571970545</v>
      </c>
      <c r="BH63" s="61">
        <f> BH$42</f>
        <v>25419.062500857544</v>
      </c>
      <c r="BI63" s="61">
        <f> BI$42</f>
        <v>27034.5159979653</v>
      </c>
      <c r="BJ63" s="61">
        <f> BJ$42</f>
        <v>25797.530900750502</v>
      </c>
      <c r="BK63" s="61">
        <f> BK$42</f>
        <v>27437.037137810064</v>
      </c>
      <c r="BL63" s="61">
        <f> BL$42</f>
        <v>26181.634375883263</v>
      </c>
      <c r="BM63" s="61">
        <f> BM$42</f>
        <v>27845.55147790425</v>
      </c>
      <c r="BN63" s="61">
        <f> BN$42</f>
        <v>26571.45682777301</v>
      </c>
      <c r="BO63" s="61">
        <f> BO$42</f>
        <v>28260.14825194436</v>
      </c>
      <c r="BP63" s="61">
        <f> BP$42</f>
        <v>26967.083407159753</v>
      </c>
      <c r="BQ63" s="61">
        <f> BQ$42</f>
        <v>27167.100200426765</v>
      </c>
      <c r="BR63" s="61">
        <f> BR$42</f>
        <v>28893.64644986361</v>
      </c>
      <c r="BS63" s="61">
        <f> BS$42</f>
        <v>27571.59540721263</v>
      </c>
      <c r="BT63" s="61">
        <f> BT$42</f>
        <v>29323.848473977745</v>
      </c>
      <c r="BU63" s="61">
        <f> BU$42</f>
        <v>27982.11320643956</v>
      </c>
      <c r="BV63" s="61">
        <f> BV$42</f>
        <v>29760.455843359505</v>
      </c>
      <c r="BW63" s="61">
        <f> BW$42</f>
        <v>29981.191280487754</v>
      </c>
      <c r="BX63" s="61">
        <f> BX$42</f>
        <v>30203.56392819707</v>
      </c>
      <c r="BY63" s="61">
        <f> BY$42</f>
        <v>30427.585929795852</v>
      </c>
      <c r="BZ63" s="61">
        <f> BZ$42</f>
        <v>30653.269518660283</v>
      </c>
      <c r="CA63" s="61">
        <f> CA$42</f>
        <v>30880.627018902378</v>
      </c>
      <c r="CB63" s="61">
        <f> CB$42</f>
        <v>31109.670846042973</v>
      </c>
      <c r="CC63" s="61">
        <f> CC$42</f>
        <v>31340.41350768972</v>
      </c>
      <c r="CD63" s="61">
        <f> CD$42</f>
        <v>31572.867604220082</v>
      </c>
      <c r="CE63" s="61">
        <f> CE$42</f>
        <v>31807.045829469436</v>
      </c>
      <c r="CF63" s="61">
        <f> CF$42</f>
        <v>32042.960971424254</v>
      </c>
      <c r="CG63" s="61">
        <f> CG$42</f>
        <v>32280.6259129204</v>
      </c>
      <c r="CH63" s="61">
        <f> CH$42</f>
        <v>32520.053632346677</v>
      </c>
      <c r="CI63" s="61">
        <f> CI$42</f>
        <v>32761.25720435351</v>
      </c>
      <c r="CJ63" s="61">
        <f> CJ$42</f>
        <v>33004.24980056697</v>
      </c>
      <c r="CK63" s="61">
        <f> CK$42</f>
        <v>33249.044690308</v>
      </c>
      <c r="CL63" s="61">
        <f> CL$42</f>
        <v>33495.655241317065</v>
      </c>
      <c r="CM63" s="61">
        <f> CM$42</f>
        <v>33744.09492048411</v>
      </c>
      <c r="CN63" s="61">
        <f> CN$42</f>
        <v>0.0</v>
      </c>
      <c r="CO63" s="61">
        <f> CO$42</f>
        <v>0.0</v>
      </c>
    </row>
    <row r="64" customFormat="1" s="61">
      <c r="A64" s="294" t="n"/>
      <c r="B64" s="294" t="n"/>
      <c r="C64" s="212" t="n"/>
      <c r="D64" s="244" t="inlineStr">
        <is>
          <t>less</t>
        </is>
      </c>
      <c r="E64" s="61" t="str">
        <f> E$54</f>
        <v>Operating revenue received </v>
      </c>
      <c r="F64" s="61" t="str">
        <f> F$54</f>
        <v>CF</v>
      </c>
      <c r="G64" s="61" t="str">
        <f> G$54</f>
        <v>$ 000s</v>
      </c>
      <c r="H64" s="61">
        <f> H$54</f>
        <v>1941568.6331634293</v>
      </c>
      <c r="I64" s="61">
        <f> I$54</f>
        <v>0.0</v>
      </c>
      <c r="J64" s="61">
        <f> J$54</f>
        <v>0.0</v>
      </c>
      <c r="K64" s="61">
        <f> K$54</f>
        <v>0.0</v>
      </c>
      <c r="L64" s="61">
        <f> L$54</f>
        <v>11340.150234435558</v>
      </c>
      <c r="M64" s="61">
        <f> M$54</f>
        <v>15375.086107891953</v>
      </c>
      <c r="N64" s="61">
        <f> N$54</f>
        <v>16021.169056982768</v>
      </c>
      <c r="O64" s="61">
        <f> O$54</f>
        <v>15839.968675157814</v>
      </c>
      <c r="P64" s="61">
        <f> P$54</f>
        <v>16363.469445406638</v>
      </c>
      <c r="Q64" s="61">
        <f> Q$54</f>
        <v>16307.487874084301</v>
      </c>
      <c r="R64" s="61">
        <f> R$54</f>
        <v>16919.236289238117</v>
      </c>
      <c r="S64" s="61">
        <f> S$54</f>
        <v>16655.67082924484</v>
      </c>
      <c r="T64" s="61">
        <f> T$54</f>
        <v>17431.29957054516</v>
      </c>
      <c r="U64" s="61">
        <f> U$54</f>
        <v>17301.281894658103</v>
      </c>
      <c r="V64" s="61">
        <f> V$54</f>
        <v>17962.984530039965</v>
      </c>
      <c r="W64" s="61">
        <f> W$54</f>
        <v>17641.544504740516</v>
      </c>
      <c r="X64" s="61">
        <f> X$54</f>
        <v>18122.110298037034</v>
      </c>
      <c r="Y64" s="61">
        <f> Y$54</f>
        <v>17975.48304690757</v>
      </c>
      <c r="Z64" s="61">
        <f> Z$54</f>
        <v>18558.340626698526</v>
      </c>
      <c r="AA64" s="61">
        <f> AA$54</f>
        <v>18183.123483444862</v>
      </c>
      <c r="AB64" s="61">
        <f> AB$54</f>
        <v>18665.77360697814</v>
      </c>
      <c r="AC64" s="61">
        <f> AC$54</f>
        <v>18514.747538314798</v>
      </c>
      <c r="AD64" s="61">
        <f> AD$54</f>
        <v>19608.273373952667</v>
      </c>
      <c r="AE64" s="61">
        <f> AE$54</f>
        <v>19382.62477495569</v>
      </c>
      <c r="AF64" s="61">
        <f> AF$54</f>
        <v>19897.489379814262</v>
      </c>
      <c r="AG64" s="61">
        <f> AG$54</f>
        <v>19736.129662161024</v>
      </c>
      <c r="AH64" s="61">
        <f> AH$54</f>
        <v>20376.45571108295</v>
      </c>
      <c r="AI64" s="61">
        <f> AI$54</f>
        <v>19964.103518204356</v>
      </c>
      <c r="AJ64" s="61">
        <f> AJ$54</f>
        <v>20558.401433604464</v>
      </c>
      <c r="AK64" s="61">
        <f> AK$54</f>
        <v>20264.22617963006</v>
      </c>
      <c r="AL64" s="61">
        <f> AL$54</f>
        <v>20987.74938241543</v>
      </c>
      <c r="AM64" s="61">
        <f> AM$54</f>
        <v>21061.63292040523</v>
      </c>
      <c r="AN64" s="61">
        <f> AN$54</f>
        <v>21821.898169857486</v>
      </c>
      <c r="AO64" s="61">
        <f> AO$54</f>
        <v>21644.555383873136</v>
      </c>
      <c r="AP64" s="61">
        <f> AP$54</f>
        <v>22347.18785344568</v>
      </c>
      <c r="AQ64" s="61">
        <f> AQ$54</f>
        <v>21894.569170990908</v>
      </c>
      <c r="AR64" s="61">
        <f> AR$54</f>
        <v>22476.555114953208</v>
      </c>
      <c r="AS64" s="61">
        <f> AS$54</f>
        <v>22293.892045389322</v>
      </c>
      <c r="AT64" s="61">
        <f> AT$54</f>
        <v>23017.603489049045</v>
      </c>
      <c r="AU64" s="61">
        <f> AU$54</f>
        <v>22551.40624612063</v>
      </c>
      <c r="AV64" s="61">
        <f> AV$54</f>
        <v>23150.851768401793</v>
      </c>
      <c r="AW64" s="61">
        <f> AW$54</f>
        <v>22962.70880675099</v>
      </c>
      <c r="AX64" s="61">
        <f> AX$54</f>
        <v>24357.568119469837</v>
      </c>
      <c r="AY64" s="61">
        <f> AY$54</f>
        <v>24093.39519198549</v>
      </c>
      <c r="AZ64" s="61">
        <f> AZ$54</f>
        <v>24808.738627216906</v>
      </c>
      <c r="BA64" s="61">
        <f> BA$54</f>
        <v>24455.581665225738</v>
      </c>
      <c r="BB64" s="61">
        <f> BB$54</f>
        <v>25326.857418858384</v>
      </c>
      <c r="BC64" s="61">
        <f> BC$54</f>
        <v>24816.197047745045</v>
      </c>
      <c r="BD64" s="61">
        <f> BD$54</f>
        <v>25473.471300184287</v>
      </c>
      <c r="BE64" s="61">
        <f> BE$54</f>
        <v>25268.778601031627</v>
      </c>
      <c r="BF64" s="61">
        <f> BF$54</f>
        <v>26086.663141424127</v>
      </c>
      <c r="BG64" s="61">
        <f> BG$54</f>
        <v>25560.682959177393</v>
      </c>
      <c r="BH64" s="61">
        <f> BH$54</f>
        <v>25214.710602906016</v>
      </c>
      <c r="BI64" s="61">
        <f> BI$54</f>
        <v>26668.3018580421</v>
      </c>
      <c r="BJ64" s="61">
        <f> BJ$54</f>
        <v>26214.397121021975</v>
      </c>
      <c r="BK64" s="61">
        <f> BK$54</f>
        <v>26991.519138609096</v>
      </c>
      <c r="BL64" s="61">
        <f> BL$54</f>
        <v>26364.674773895473</v>
      </c>
      <c r="BM64" s="61">
        <f> BM$54</f>
        <v>27468.35091378335</v>
      </c>
      <c r="BN64" s="61">
        <f> BN$54</f>
        <v>27000.829034652634</v>
      </c>
      <c r="BO64" s="61">
        <f> BO$54</f>
        <v>27801.264712767363</v>
      </c>
      <c r="BP64" s="61">
        <f> BP$54</f>
        <v>27237.932121529793</v>
      </c>
      <c r="BQ64" s="61">
        <f> BQ$54</f>
        <v>27112.150531946812</v>
      </c>
      <c r="BR64" s="61">
        <f> BR$54</f>
        <v>28505.601154538934</v>
      </c>
      <c r="BS64" s="61">
        <f> BS$54</f>
        <v>27930.848407933</v>
      </c>
      <c r="BT64" s="61">
        <f> BT$54</f>
        <v>28670.616369639534</v>
      </c>
      <c r="BU64" s="61">
        <f> BU$54</f>
        <v>28440.23293340053</v>
      </c>
      <c r="BV64" s="61">
        <f> BV$54</f>
        <v>29360.769189175095</v>
      </c>
      <c r="BW64" s="61">
        <f> BW$54</f>
        <v>29921.208824746383</v>
      </c>
      <c r="BX64" s="61">
        <f> BX$54</f>
        <v>29960.74790721207</v>
      </c>
      <c r="BY64" s="61">
        <f> BY$54</f>
        <v>30458.23789494941</v>
      </c>
      <c r="BZ64" s="61">
        <f> BZ$54</f>
        <v>30682.80361846658</v>
      </c>
      <c r="CA64" s="61">
        <f> CA$54</f>
        <v>30818.84508948876</v>
      </c>
      <c r="CB64" s="61">
        <f> CB$54</f>
        <v>30859.57034442842</v>
      </c>
      <c r="CC64" s="61">
        <f> CC$54</f>
        <v>31371.98503179789</v>
      </c>
      <c r="CD64" s="61">
        <f> CD$54</f>
        <v>31603.287727020568</v>
      </c>
      <c r="CE64" s="61">
        <f> CE$54</f>
        <v>31743.410442173412</v>
      </c>
      <c r="CF64" s="61">
        <f> CF$54</f>
        <v>31883.168690937775</v>
      </c>
      <c r="CG64" s="61">
        <f> CG$54</f>
        <v>32215.333346575302</v>
      </c>
      <c r="CH64" s="61">
        <f> CH$54</f>
        <v>32551.386358831172</v>
      </c>
      <c r="CI64" s="61">
        <f> CI$54</f>
        <v>32695.712755438606</v>
      </c>
      <c r="CJ64" s="61">
        <f> CJ$54</f>
        <v>32738.918178404092</v>
      </c>
      <c r="CK64" s="61">
        <f> CK$54</f>
        <v>33282.538920234365</v>
      </c>
      <c r="CL64" s="61">
        <f> CL$54</f>
        <v>33527.927949596095</v>
      </c>
      <c r="CM64" s="61">
        <f> CM$54</f>
        <v>33676.58413810176</v>
      </c>
      <c r="CN64" s="61">
        <f> CN$54</f>
        <v>9169.591011001117</v>
      </c>
      <c r="CO64" s="61">
        <f> CO$54</f>
        <v>0.0</v>
      </c>
    </row>
    <row r="65" customFormat="1" s="322">
      <c r="A65" s="318" t="n"/>
      <c r="B65" s="318" t="n"/>
      <c r="C65" s="319" t="n"/>
      <c r="D65" s="320" t="n"/>
      <c r="E65" s="322" t="inlineStr">
        <is>
          <t>Account receivables balance</t>
        </is>
      </c>
      <c r="F65" s="322" t="inlineStr">
        <is>
          <t>BS</t>
        </is>
      </c>
      <c r="G65" s="322" t="inlineStr">
        <is>
          <t>$ 000s</t>
        </is>
      </c>
      <c r="I65" s="323" t="n"/>
      <c r="J65" s="322">
        <f> IF(J60 = 1, $F59, J62 + J63 - J64)</f>
        <v>0.0</v>
      </c>
      <c r="K65" s="322">
        <f> IF(K60 = 1, $F59, K62 + K63 - K64)</f>
        <v>0.0</v>
      </c>
      <c r="L65" s="322">
        <f> IF(L60 = 1, $F59, L62 + L63 - L64)</f>
        <v>4361.5962440136755</v>
      </c>
      <c r="M65" s="322">
        <f> IF(M60 = 1, $F59, M62 + M63 - M64)</f>
        <v>4171.776463590259</v>
      </c>
      <c r="N65" s="322">
        <f> IF(N60 = 1, $F59, N62 + N63 - N64)</f>
        <v>4421.415146788249</v>
      </c>
      <c r="O65" s="322">
        <f> IF(O60 = 1, $F59, O62 + O63 - O64)</f>
        <v>4260.654301630433</v>
      </c>
      <c r="P65" s="322">
        <f> IF(P60 = 1, $F59, P62 + P63 - P64)</f>
        <v>4654.928901452386</v>
      </c>
      <c r="Q65" s="322">
        <f> IF(Q60 = 1, $F59, Q62 + Q63 - Q64)</f>
        <v>4413.848095693906</v>
      </c>
      <c r="R65" s="322">
        <f> IF(R60 = 1, $F59, R62 + R63 - R64)</f>
        <v>4666.189624456794</v>
      </c>
      <c r="S65" s="322">
        <f> IF(S60 = 1, $F59, S62 + S63 - S64)</f>
        <v>4473.68701671196</v>
      </c>
      <c r="T65" s="322">
        <f> IF(T60 = 1, $F59, T62 + T63 - T64)</f>
        <v>4908.18657342167</v>
      </c>
      <c r="U65" s="322">
        <f> IF(U60 = 1, $F59, U62 + U63 - U64)</f>
        <v>4694.354288347131</v>
      </c>
      <c r="V65" s="322">
        <f> IF(V60 = 1, $F59, V62 + V63 - V64)</f>
        <v>4950.981433467474</v>
      </c>
      <c r="W65" s="322">
        <f> IF(W60 = 1, $F59, W62 + W63 - W64)</f>
        <v>4735.284728086957</v>
      </c>
      <c r="X65" s="322">
        <f> IF(X60 = 1, $F59, X62 + X63 - X64)</f>
        <v>5148.779065365416</v>
      </c>
      <c r="Y65" s="322">
        <f> IF(Y60 = 1, $F59, Y62 + Y63 - Y64)</f>
        <v>4858.599993008393</v>
      </c>
      <c r="Z65" s="322">
        <f> IF(Z60 = 1, $F59, Z62 + Z63 - Z64)</f>
        <v>5111.843520033632</v>
      </c>
      <c r="AA65" s="322">
        <f> IF(AA60 = 1, $F59, AA62 + AA63 - AA64)</f>
        <v>4877.343269929563</v>
      </c>
      <c r="AB65" s="322">
        <f> IF(AB60 = 1, $F59, AB62 + AB63 - AB64)</f>
        <v>5303.242437326378</v>
      </c>
      <c r="AC65" s="322">
        <f> IF(AC60 = 1, $F59, AC62 + AC63 - AC64)</f>
        <v>5004.357992798643</v>
      </c>
      <c r="AD65" s="322">
        <f> IF(AD60 = 1, $F59, AD62 + AD63 - AD64)</f>
        <v>5449.222157147022</v>
      </c>
      <c r="AE65" s="322">
        <f> IF(AE60 = 1, $F59, AE62 + AE63 - AE64)</f>
        <v>5199.030827540548</v>
      </c>
      <c r="AF65" s="322">
        <f> IF(AF60 = 1, $F59, AF62 + AF63 - AF64)</f>
        <v>5653.253289336044</v>
      </c>
      <c r="AG65" s="322">
        <f> IF(AG60 = 1, $F59, AG62 + AG63 - AG64)</f>
        <v>5334.422868494308</v>
      </c>
      <c r="AH65" s="322">
        <f> IF(AH60 = 1, $F59, AH62 + AH63 - AH64)</f>
        <v>5612.6988218614315</v>
      </c>
      <c r="AI65" s="322">
        <f> IF(AI60 = 1, $F59, AI62 + AI63 - AI64)</f>
        <v>5355.001752366759</v>
      </c>
      <c r="AJ65" s="322">
        <f> IF(AJ60 = 1, $F59, AJ62 + AJ63 - AJ64)</f>
        <v>5758.863515620342</v>
      </c>
      <c r="AK65" s="322">
        <f> IF(AK60 = 1, $F59, AK62 + AK63 - AK64)</f>
        <v>5494.4555545491385</v>
      </c>
      <c r="AL65" s="322">
        <f> IF(AL60 = 1, $F59, AL62 + AL63 - AL64)</f>
        <v>5781.079786517272</v>
      </c>
      <c r="AM65" s="322">
        <f> IF(AM60 = 1, $F59, AM62 + AM63 - AM64)</f>
        <v>5701.698930555205</v>
      </c>
      <c r="AN65" s="322">
        <f> IF(AN60 = 1, $F59, AN62 + AN63 - AN64)</f>
        <v>6200.0766305008765</v>
      </c>
      <c r="AO65" s="322">
        <f> IF(AO60 = 1, $F59, AO62 + AO63 - AO64)</f>
        <v>5850.181345974339</v>
      </c>
      <c r="AP65" s="322">
        <f> IF(AP60 = 1, $F59, AP62 + AP63 - AP64)</f>
        <v>6155.599443086321</v>
      </c>
      <c r="AQ65" s="322">
        <f> IF(AQ60 = 1, $F59, AQ62 + AQ63 - AQ64)</f>
        <v>5872.749898471862</v>
      </c>
      <c r="AR65" s="322">
        <f> IF(AR60 = 1, $F59, AR62 + AR63 - AR64)</f>
        <v>6386.0789294159</v>
      </c>
      <c r="AS65" s="322">
        <f> IF(AS60 = 1, $F59, AS62 + AS63 - AS64)</f>
        <v>6025.686786353566</v>
      </c>
      <c r="AT65" s="322">
        <f> IF(AT60 = 1, $F59, AT62 + AT63 - AT64)</f>
        <v>6340.267426378909</v>
      </c>
      <c r="AU65" s="322">
        <f> IF(AU60 = 1, $F59, AU62 + AU63 - AU64)</f>
        <v>6048.932395426014</v>
      </c>
      <c r="AV65" s="322">
        <f> IF(AV60 = 1, $F59, AV62 + AV63 - AV64)</f>
        <v>6577.661297298375</v>
      </c>
      <c r="AW65" s="322">
        <f> IF(AW60 = 1, $F59, AW62 + AW63 - AW64)</f>
        <v>6206.457389944175</v>
      </c>
      <c r="AX65" s="322">
        <f> IF(AX60 = 1, $F59, AX62 + AX63 - AX64)</f>
        <v>6772.802511017038</v>
      </c>
      <c r="AY65" s="322">
        <f> IF(AY60 = 1, $F59, AY62 + AY63 - AY64)</f>
        <v>6462.907716779271</v>
      </c>
      <c r="AZ65" s="322">
        <f> IF(AZ60 = 1, $F59, AZ62 + AZ63 - AZ64)</f>
        <v>6949.178375165771</v>
      </c>
      <c r="BA65" s="322">
        <f> IF(BA60 = 1, $F59, BA62 + BA63 - BA64)</f>
        <v>6631.213367446959</v>
      </c>
      <c r="BB65" s="322">
        <f> IF(BB60 = 1, $F59, BB62 + BB63 - BB64)</f>
        <v>6975.986586347546</v>
      </c>
      <c r="BC65" s="322">
        <f> IF(BC60 = 1, $F59, BC62 + BC63 - BC64)</f>
        <v>6656.794948282648</v>
      </c>
      <c r="BD65" s="322">
        <f> IF(BD60 = 1, $F59, BD62 + BD63 - BD64)</f>
        <v>7237.1832122698615</v>
      </c>
      <c r="BE65" s="322">
        <f> IF(BE60 = 1, $F59, BE62 + BE63 - BE64)</f>
        <v>6830.1497684703645</v>
      </c>
      <c r="BF65" s="322">
        <f> IF(BF60 = 1, $F59, BF62 + BF63 - BF64)</f>
        <v>7185.2661839379725</v>
      </c>
      <c r="BG65" s="322">
        <f> IF(BG60 = 1, $F59, BG62 + BG63 - BG64)</f>
        <v>6856.4987967311245</v>
      </c>
      <c r="BH65" s="322">
        <f> IF(BH60 = 1, $F59, BH62 + BH63 - BH64)</f>
        <v>7060.850694682653</v>
      </c>
      <c r="BI65" s="322">
        <f> IF(BI60 = 1, $F59, BI62 + BI63 - BI64)</f>
        <v>7427.064834605848</v>
      </c>
      <c r="BJ65" s="322">
        <f> IF(BJ60 = 1, $F59, BJ62 + BJ63 - BJ64)</f>
        <v>7010.198614334375</v>
      </c>
      <c r="BK65" s="322">
        <f> IF(BK60 = 1, $F59, BK62 + BK63 - BK64)</f>
        <v>7455.71661353534</v>
      </c>
      <c r="BL65" s="322">
        <f> IF(BL60 = 1, $F59, BL62 + BL63 - BL64)</f>
        <v>7272.676215523126</v>
      </c>
      <c r="BM65" s="322">
        <f> IF(BM60 = 1, $F59, BM62 + BM63 - BM64)</f>
        <v>7649.876779644026</v>
      </c>
      <c r="BN65" s="322">
        <f> IF(BN60 = 1, $F59, BN62 + BN63 - BN64)</f>
        <v>7220.504572764403</v>
      </c>
      <c r="BO65" s="322">
        <f> IF(BO60 = 1, $F59, BO62 + BO63 - BO64)</f>
        <v>7679.3881119414</v>
      </c>
      <c r="BP65" s="322">
        <f> IF(BP60 = 1, $F59, BP62 + BP63 - BP64)</f>
        <v>7408.539397571356</v>
      </c>
      <c r="BQ65" s="322">
        <f> IF(BQ60 = 1, $F59, BQ62 + BQ63 - BQ64)</f>
        <v>7463.489066051305</v>
      </c>
      <c r="BR65" s="322">
        <f> IF(BR60 = 1, $F59, BR62 + BR63 - BR64)</f>
        <v>7851.534361375976</v>
      </c>
      <c r="BS65" s="322">
        <f> IF(BS60 = 1, $F59, BS62 + BS63 - BS64)</f>
        <v>7492.281360655608</v>
      </c>
      <c r="BT65" s="322">
        <f> IF(BT60 = 1, $F59, BT62 + BT63 - BT64)</f>
        <v>8145.513464993815</v>
      </c>
      <c r="BU65" s="322">
        <f> IF(BU60 = 1, $F59, BU62 + BU63 - BU64)</f>
        <v>7687.393738032846</v>
      </c>
      <c r="BV65" s="322">
        <f> IF(BV60 = 1, $F59, BV62 + BV63 - BV64)</f>
        <v>8087.080392217256</v>
      </c>
      <c r="BW65" s="322">
        <f> IF(BW60 = 1, $F59, BW62 + BW63 - BW64)</f>
        <v>8147.06284795863</v>
      </c>
      <c r="BX65" s="322">
        <f> IF(BX60 = 1, $F59, BX62 + BX63 - BX64)</f>
        <v>8389.878868943626</v>
      </c>
      <c r="BY65" s="322">
        <f> IF(BY60 = 1, $F59, BY62 + BY63 - BY64)</f>
        <v>8359.22690379007</v>
      </c>
      <c r="BZ65" s="322">
        <f> IF(BZ60 = 1, $F59, BZ62 + BZ63 - BZ64)</f>
        <v>8329.69280398377</v>
      </c>
      <c r="CA65" s="322">
        <f> IF(CA60 = 1, $F59, CA62 + CA63 - CA64)</f>
        <v>8391.474733397383</v>
      </c>
      <c r="CB65" s="322">
        <f> IF(CB60 = 1, $F59, CB62 + CB63 - CB64)</f>
        <v>8641.57523501194</v>
      </c>
      <c r="CC65" s="322">
        <f> IF(CC60 = 1, $F59, CC62 + CC63 - CC64)</f>
        <v>8610.00371090377</v>
      </c>
      <c r="CD65" s="322">
        <f> IF(CD60 = 1, $F59, CD62 + CD63 - CD64)</f>
        <v>8579.58358810328</v>
      </c>
      <c r="CE65" s="322">
        <f> IF(CE60 = 1, $F59, CE62 + CE63 - CE64)</f>
        <v>8643.218975399304</v>
      </c>
      <c r="CF65" s="322">
        <f> IF(CF60 = 1, $F59, CF62 + CF63 - CF64)</f>
        <v>8803.01125588578</v>
      </c>
      <c r="CG65" s="322">
        <f> IF(CG60 = 1, $F59, CG62 + CG63 - CG64)</f>
        <v>8868.303822230875</v>
      </c>
      <c r="CH65" s="322">
        <f> IF(CH60 = 1, $F59, CH62 + CH63 - CH64)</f>
        <v>8836.971095746376</v>
      </c>
      <c r="CI65" s="322">
        <f> IF(CI60 = 1, $F59, CI62 + CI63 - CI64)</f>
        <v>8902.51554466128</v>
      </c>
      <c r="CJ65" s="322">
        <f> IF(CJ60 = 1, $F59, CJ62 + CJ63 - CJ64)</f>
        <v>9167.847166824162</v>
      </c>
      <c r="CK65" s="322">
        <f> IF(CK60 = 1, $F59, CK62 + CK63 - CK64)</f>
        <v>9134.352936897798</v>
      </c>
      <c r="CL65" s="322">
        <f> IF(CL60 = 1, $F59, CL62 + CL63 - CL64)</f>
        <v>9102.080228618768</v>
      </c>
      <c r="CM65" s="322">
        <f> IF(CM60 = 1, $F59, CM62 + CM63 - CM64)</f>
        <v>9169.591011001117</v>
      </c>
      <c r="CN65" s="322">
        <f> IF(CN60 = 1, $F59, CN62 + CN63 - CN64)</f>
        <v>0.0</v>
      </c>
      <c r="CO65" s="322">
        <f> IF(CO60 = 1, $F59, CO62 + CO63 - CO64)</f>
        <v>0.0</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8.xml><?xml version="1.0" encoding="utf-8"?>
<worksheet xmlns="http://schemas.openxmlformats.org/spreadsheetml/2006/main">
  <sheetPr>
    <tabColor rgb="000B5E82"/>
    <outlinePr summaryBelow="0" summaryRight="0"/>
    <pageSetUpPr/>
  </sheetPr>
  <dimension ref="A1:CO62"/>
  <sheetViews>
    <sheetView showGridLines="0" defaultGridColor="0" colorId="22" zoomScaleNormal="100" workbookViewId="0">
      <pane xSplit="9" ySplit="5" topLeftCell="J35" activePane="bottomRight" state="frozen"/>
      <selection activeCell="I34" sqref="I34"/>
      <selection pane="topRight" activeCell="I34" sqref="I34"/>
      <selection pane="bottomLeft" activeCell="I34" sqref="I34"/>
      <selection pane="bottomRight" activeCell="A43" sqref="A43:XFD43"/>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6" customFormat="1" s="169">
      <c r="A6" s="163" t="n"/>
      <c r="B6" s="163" t="n"/>
      <c r="C6" s="172" t="n"/>
      <c r="D6" s="88" t="n"/>
      <c r="E6" s="169" t="n"/>
      <c r="F6" s="169" t="n"/>
      <c r="G6" s="169" t="n"/>
      <c r="H6" s="169" t="n"/>
      <c r="I6" s="169" t="n"/>
      <c r="J6" s="169" t="n"/>
      <c r="K6" s="169" t="n"/>
      <c r="L6" s="169" t="n"/>
      <c r="M6" s="169" t="n"/>
      <c r="N6" s="169" t="n"/>
      <c r="O6" s="169" t="n"/>
      <c r="P6" s="169" t="n"/>
      <c r="Q6" s="169" t="n"/>
      <c r="R6" s="169" t="n"/>
      <c r="S6" s="169" t="n"/>
      <c r="T6" s="169" t="n"/>
      <c r="U6" s="169" t="n"/>
      <c r="V6" s="169" t="n"/>
      <c r="W6" s="169" t="n"/>
      <c r="X6" s="169" t="n"/>
      <c r="Y6" s="169" t="n"/>
      <c r="Z6" s="169" t="n"/>
      <c r="AA6" s="169" t="n"/>
      <c r="AB6" s="169" t="n"/>
      <c r="AC6" s="169" t="n"/>
      <c r="AD6" s="169" t="n"/>
      <c r="AE6" s="169" t="n"/>
      <c r="AF6" s="169" t="n"/>
      <c r="AG6" s="169" t="n"/>
    </row>
    <row r="7">
      <c r="A7" s="294" t="inlineStr">
        <is>
          <t>OPERATING COST</t>
        </is>
      </c>
    </row>
    <row r="9">
      <c r="B9" s="294" t="inlineStr">
        <is>
          <t>Handling cost</t>
        </is>
      </c>
    </row>
    <row r="10">
      <c r="C10" s="212" t="inlineStr">
        <is>
          <t>Variable cost</t>
        </is>
      </c>
      <c r="D10" s="61" t="n"/>
    </row>
    <row r="11">
      <c r="E11" s="325" t="str">
        <f> InpC!E$44</f>
        <v>Handling cost - variable</v>
      </c>
      <c r="F11" s="325">
        <f> InpC!F$44</f>
        <v>550.0</v>
      </c>
      <c r="G11" s="325" t="str">
        <f> InpC!G$44</f>
        <v>USD/arrival</v>
      </c>
    </row>
    <row r="12">
      <c r="E12" s="325" t="str">
        <f> InpC!E$102</f>
        <v>Unit in thousand</v>
      </c>
      <c r="F12" s="325">
        <f> InpC!F$102</f>
        <v>1000.0</v>
      </c>
      <c r="G12" s="325" t="str">
        <f> InpC!G$102</f>
        <v>units</v>
      </c>
    </row>
    <row r="13">
      <c r="E13" s="325" t="str">
        <f> OpRev!E$21</f>
        <v>Arrivals</v>
      </c>
      <c r="F13" s="325">
        <f> OpRev!F$21</f>
        <v>0.0</v>
      </c>
      <c r="G13" s="325" t="str">
        <f> OpRev!G$21</f>
        <v>arrivals </v>
      </c>
      <c r="H13" s="325">
        <f> OpRev!H$21</f>
        <v>924648.0</v>
      </c>
      <c r="I13" s="325">
        <f> OpRev!I$21</f>
        <v>0.0</v>
      </c>
      <c r="J13" s="325">
        <f> OpRev!J$21</f>
        <v>0.0</v>
      </c>
      <c r="K13" s="325">
        <f> OpRev!K$21</f>
        <v>0.0</v>
      </c>
      <c r="L13" s="325">
        <f> OpRev!L$21</f>
        <v>11508.0</v>
      </c>
      <c r="M13" s="325">
        <f> OpRev!M$21</f>
        <v>11116.0</v>
      </c>
      <c r="N13" s="325">
        <f> OpRev!N$21</f>
        <v>11716.0</v>
      </c>
      <c r="O13" s="325">
        <f> OpRev!O$21</f>
        <v>11204.0</v>
      </c>
      <c r="P13" s="325">
        <f> OpRev!P$21</f>
        <v>11804.0</v>
      </c>
      <c r="Q13" s="325">
        <f> OpRev!Q$21</f>
        <v>11204.0</v>
      </c>
      <c r="R13" s="325">
        <f> OpRev!R$21</f>
        <v>11804.0</v>
      </c>
      <c r="S13" s="325">
        <f> OpRev!S$21</f>
        <v>11204.0</v>
      </c>
      <c r="T13" s="325">
        <f> OpRev!T$21</f>
        <v>11804.0</v>
      </c>
      <c r="U13" s="325">
        <f> OpRev!U$21</f>
        <v>11204.0</v>
      </c>
      <c r="V13" s="325">
        <f> OpRev!V$21</f>
        <v>11804.0</v>
      </c>
      <c r="W13" s="325">
        <f> OpRev!W$21</f>
        <v>11204.0</v>
      </c>
      <c r="X13" s="325">
        <f> OpRev!X$21</f>
        <v>11804.0</v>
      </c>
      <c r="Y13" s="325">
        <f> OpRev!Y$21</f>
        <v>11204.0</v>
      </c>
      <c r="Z13" s="325">
        <f> OpRev!Z$21</f>
        <v>11804.0</v>
      </c>
      <c r="AA13" s="325">
        <f> OpRev!AA$21</f>
        <v>11204.0</v>
      </c>
      <c r="AB13" s="325">
        <f> OpRev!AB$21</f>
        <v>11804.0</v>
      </c>
      <c r="AC13" s="325">
        <f> OpRev!AC$21</f>
        <v>11204.0</v>
      </c>
      <c r="AD13" s="325">
        <f> OpRev!AD$21</f>
        <v>11804.0</v>
      </c>
      <c r="AE13" s="325">
        <f> OpRev!AE$21</f>
        <v>11204.0</v>
      </c>
      <c r="AF13" s="325">
        <f> OpRev!AF$21</f>
        <v>11804.0</v>
      </c>
      <c r="AG13" s="325">
        <f> OpRev!AG$21</f>
        <v>11204.0</v>
      </c>
      <c r="AH13" s="325">
        <f> OpRev!AH$21</f>
        <v>11804.0</v>
      </c>
      <c r="AI13" s="325">
        <f> OpRev!AI$21</f>
        <v>11204.0</v>
      </c>
      <c r="AJ13" s="325">
        <f> OpRev!AJ$21</f>
        <v>11804.0</v>
      </c>
      <c r="AK13" s="325">
        <f> OpRev!AK$21</f>
        <v>11204.0</v>
      </c>
      <c r="AL13" s="325">
        <f> OpRev!AL$21</f>
        <v>11804.0</v>
      </c>
      <c r="AM13" s="325">
        <f> OpRev!AM$21</f>
        <v>11204.0</v>
      </c>
      <c r="AN13" s="325">
        <f> OpRev!AN$21</f>
        <v>11804.0</v>
      </c>
      <c r="AO13" s="325">
        <f> OpRev!AO$21</f>
        <v>11204.0</v>
      </c>
      <c r="AP13" s="325">
        <f> OpRev!AP$21</f>
        <v>11804.0</v>
      </c>
      <c r="AQ13" s="325">
        <f> OpRev!AQ$21</f>
        <v>11204.0</v>
      </c>
      <c r="AR13" s="325">
        <f> OpRev!AR$21</f>
        <v>11804.0</v>
      </c>
      <c r="AS13" s="325">
        <f> OpRev!AS$21</f>
        <v>11204.0</v>
      </c>
      <c r="AT13" s="325">
        <f> OpRev!AT$21</f>
        <v>11804.0</v>
      </c>
      <c r="AU13" s="325">
        <f> OpRev!AU$21</f>
        <v>11204.0</v>
      </c>
      <c r="AV13" s="325">
        <f> OpRev!AV$21</f>
        <v>11804.0</v>
      </c>
      <c r="AW13" s="325">
        <f> OpRev!AW$21</f>
        <v>11204.0</v>
      </c>
      <c r="AX13" s="325">
        <f> OpRev!AX$21</f>
        <v>11804.0</v>
      </c>
      <c r="AY13" s="325">
        <f> OpRev!AY$21</f>
        <v>11204.0</v>
      </c>
      <c r="AZ13" s="325">
        <f> OpRev!AZ$21</f>
        <v>11804.0</v>
      </c>
      <c r="BA13" s="325">
        <f> OpRev!BA$21</f>
        <v>11204.0</v>
      </c>
      <c r="BB13" s="325">
        <f> OpRev!BB$21</f>
        <v>11804.0</v>
      </c>
      <c r="BC13" s="325">
        <f> OpRev!BC$21</f>
        <v>11204.0</v>
      </c>
      <c r="BD13" s="325">
        <f> OpRev!BD$21</f>
        <v>11804.0</v>
      </c>
      <c r="BE13" s="325">
        <f> OpRev!BE$21</f>
        <v>11204.0</v>
      </c>
      <c r="BF13" s="325">
        <f> OpRev!BF$21</f>
        <v>11804.0</v>
      </c>
      <c r="BG13" s="325">
        <f> OpRev!BG$21</f>
        <v>11204.0</v>
      </c>
      <c r="BH13" s="325">
        <f> OpRev!BH$21</f>
        <v>11204.0</v>
      </c>
      <c r="BI13" s="325">
        <f> OpRev!BI$21</f>
        <v>11804.0</v>
      </c>
      <c r="BJ13" s="325">
        <f> OpRev!BJ$21</f>
        <v>11204.0</v>
      </c>
      <c r="BK13" s="325">
        <f> OpRev!BK$21</f>
        <v>11804.0</v>
      </c>
      <c r="BL13" s="325">
        <f> OpRev!BL$21</f>
        <v>11204.0</v>
      </c>
      <c r="BM13" s="325">
        <f> OpRev!BM$21</f>
        <v>11804.0</v>
      </c>
      <c r="BN13" s="325">
        <f> OpRev!BN$21</f>
        <v>11204.0</v>
      </c>
      <c r="BO13" s="325">
        <f> OpRev!BO$21</f>
        <v>11804.0</v>
      </c>
      <c r="BP13" s="325">
        <f> OpRev!BP$21</f>
        <v>11204.0</v>
      </c>
      <c r="BQ13" s="325">
        <f> OpRev!BQ$21</f>
        <v>11204.0</v>
      </c>
      <c r="BR13" s="325">
        <f> OpRev!BR$21</f>
        <v>11804.0</v>
      </c>
      <c r="BS13" s="325">
        <f> OpRev!BS$21</f>
        <v>11204.0</v>
      </c>
      <c r="BT13" s="325">
        <f> OpRev!BT$21</f>
        <v>11804.0</v>
      </c>
      <c r="BU13" s="325">
        <f> OpRev!BU$21</f>
        <v>11204.0</v>
      </c>
      <c r="BV13" s="325">
        <f> OpRev!BV$21</f>
        <v>11804.0</v>
      </c>
      <c r="BW13" s="325">
        <f> OpRev!BW$21</f>
        <v>11804.0</v>
      </c>
      <c r="BX13" s="325">
        <f> OpRev!BX$21</f>
        <v>11804.0</v>
      </c>
      <c r="BY13" s="325">
        <f> OpRev!BY$21</f>
        <v>11804.0</v>
      </c>
      <c r="BZ13" s="325">
        <f> OpRev!BZ$21</f>
        <v>11804.0</v>
      </c>
      <c r="CA13" s="325">
        <f> OpRev!CA$21</f>
        <v>11804.0</v>
      </c>
      <c r="CB13" s="325">
        <f> OpRev!CB$21</f>
        <v>11804.0</v>
      </c>
      <c r="CC13" s="325">
        <f> OpRev!CC$21</f>
        <v>11804.0</v>
      </c>
      <c r="CD13" s="325">
        <f> OpRev!CD$21</f>
        <v>11804.0</v>
      </c>
      <c r="CE13" s="325">
        <f> OpRev!CE$21</f>
        <v>11804.0</v>
      </c>
      <c r="CF13" s="325">
        <f> OpRev!CF$21</f>
        <v>11804.0</v>
      </c>
      <c r="CG13" s="325">
        <f> OpRev!CG$21</f>
        <v>11804.0</v>
      </c>
      <c r="CH13" s="325">
        <f> OpRev!CH$21</f>
        <v>11804.0</v>
      </c>
      <c r="CI13" s="325">
        <f> OpRev!CI$21</f>
        <v>11804.0</v>
      </c>
      <c r="CJ13" s="325">
        <f> OpRev!CJ$21</f>
        <v>11804.0</v>
      </c>
      <c r="CK13" s="325">
        <f> OpRev!CK$21</f>
        <v>11804.0</v>
      </c>
      <c r="CL13" s="325">
        <f> OpRev!CL$21</f>
        <v>11804.0</v>
      </c>
      <c r="CM13" s="325">
        <f> OpRev!CM$21</f>
        <v>11804.0</v>
      </c>
      <c r="CN13" s="325">
        <f> OpRev!CN$21</f>
        <v>0.0</v>
      </c>
      <c r="CO13" s="325">
        <f> OpRev!CO$21</f>
        <v>0.0</v>
      </c>
    </row>
    <row r="14">
      <c r="E14" s="347" t="str">
        <f> Esc!E$32</f>
        <v>Handling escalation factor</v>
      </c>
      <c r="F14" s="347">
        <f> Esc!F$32</f>
        <v>0.0</v>
      </c>
      <c r="G14" s="347" t="str">
        <f> Esc!G$32</f>
        <v>factor</v>
      </c>
      <c r="H14" s="347">
        <f> Esc!H$32</f>
        <v>0.0</v>
      </c>
      <c r="I14" s="347">
        <f> Esc!I$32</f>
        <v>0.0</v>
      </c>
      <c r="J14" s="347">
        <f> Esc!J$32</f>
        <v>0.0</v>
      </c>
      <c r="K14" s="347">
        <f> Esc!K$32</f>
        <v>1.2083333333333333</v>
      </c>
      <c r="L14" s="347">
        <f> Esc!L$32</f>
        <v>1.22606423078713</v>
      </c>
      <c r="M14" s="347">
        <f> Esc!M$32</f>
        <v>1.2440553087025958</v>
      </c>
      <c r="N14" s="347">
        <f> Esc!N$32</f>
        <v>1.2623103849278015</v>
      </c>
      <c r="O14" s="347">
        <f> Esc!O$32</f>
        <v>1.280833333333333</v>
      </c>
      <c r="P14" s="347">
        <f> Esc!P$32</f>
        <v>1.2965520202645275</v>
      </c>
      <c r="Q14" s="347">
        <f> Esc!Q$32</f>
        <v>1.3124636106066583</v>
      </c>
      <c r="R14" s="347">
        <f> Esc!R$32</f>
        <v>1.3285704717156066</v>
      </c>
      <c r="S14" s="347">
        <f> Esc!S$32</f>
        <v>1.3448749999999998</v>
      </c>
      <c r="T14" s="347">
        <f> Esc!T$32</f>
        <v>1.3581266001325443</v>
      </c>
      <c r="U14" s="347">
        <f> Esc!U$32</f>
        <v>1.3715087736686191</v>
      </c>
      <c r="V14" s="347">
        <f> Esc!V$32</f>
        <v>1.3850228072010535</v>
      </c>
      <c r="W14" s="347">
        <f> Esc!W$32</f>
        <v>1.3986699999999999</v>
      </c>
      <c r="X14" s="347">
        <f> Esc!X$32</f>
        <v>1.4090440357833613</v>
      </c>
      <c r="Y14" s="347">
        <f> Esc!Y$32</f>
        <v>1.419495016534753</v>
      </c>
      <c r="Z14" s="347">
        <f> Esc!Z$32</f>
        <v>1.4300235129605254</v>
      </c>
      <c r="AA14" s="347">
        <f> Esc!AA$32</f>
        <v>1.4406300999999992</v>
      </c>
      <c r="AB14" s="347">
        <f> Esc!AB$32</f>
        <v>1.4513153568568617</v>
      </c>
      <c r="AC14" s="347">
        <f> Esc!AC$32</f>
        <v>1.4620798670307953</v>
      </c>
      <c r="AD14" s="347">
        <f> Esc!AD$32</f>
        <v>1.472924218349341</v>
      </c>
      <c r="AE14" s="347">
        <f> Esc!AE$32</f>
        <v>1.4838490029999991</v>
      </c>
      <c r="AF14" s="347">
        <f> Esc!AF$32</f>
        <v>1.4948548175625673</v>
      </c>
      <c r="AG14" s="347">
        <f> Esc!AG$32</f>
        <v>1.5059422630417187</v>
      </c>
      <c r="AH14" s="347">
        <f> Esc!AH$32</f>
        <v>1.5171119448998207</v>
      </c>
      <c r="AI14" s="347">
        <f> Esc!AI$32</f>
        <v>1.5283644730899986</v>
      </c>
      <c r="AJ14" s="347">
        <f> Esc!AJ$32</f>
        <v>1.5397004620894439</v>
      </c>
      <c r="AK14" s="347">
        <f> Esc!AK$32</f>
        <v>1.5511205309329696</v>
      </c>
      <c r="AL14" s="347">
        <f> Esc!AL$32</f>
        <v>1.5626253032468145</v>
      </c>
      <c r="AM14" s="347">
        <f> Esc!AM$32</f>
        <v>1.5742154072826977</v>
      </c>
      <c r="AN14" s="347">
        <f> Esc!AN$32</f>
        <v>1.5858914759521265</v>
      </c>
      <c r="AO14" s="347">
        <f> Esc!AO$32</f>
        <v>1.5976541468609582</v>
      </c>
      <c r="AP14" s="347">
        <f> Esc!AP$32</f>
        <v>1.6095040623442183</v>
      </c>
      <c r="AQ14" s="347">
        <f> Esc!AQ$32</f>
        <v>1.621441869501178</v>
      </c>
      <c r="AR14" s="347">
        <f> Esc!AR$32</f>
        <v>1.6334682202306898</v>
      </c>
      <c r="AS14" s="347">
        <f> Esc!AS$32</f>
        <v>1.6455837712667865</v>
      </c>
      <c r="AT14" s="347">
        <f> Esc!AT$32</f>
        <v>1.6577891842145445</v>
      </c>
      <c r="AU14" s="347">
        <f> Esc!AU$32</f>
        <v>1.670085125586213</v>
      </c>
      <c r="AV14" s="347">
        <f> Esc!AV$32</f>
        <v>1.6824722668376098</v>
      </c>
      <c r="AW14" s="347">
        <f> Esc!AW$32</f>
        <v>1.6949512844047894</v>
      </c>
      <c r="AX14" s="347">
        <f> Esc!AX$32</f>
        <v>1.7075228597409802</v>
      </c>
      <c r="AY14" s="347">
        <f> Esc!AY$32</f>
        <v>1.7201876793537987</v>
      </c>
      <c r="AZ14" s="347">
        <f> Esc!AZ$32</f>
        <v>1.7329464348427375</v>
      </c>
      <c r="BA14" s="347">
        <f> Esc!BA$32</f>
        <v>1.7457998229369323</v>
      </c>
      <c r="BB14" s="347">
        <f> Esc!BB$32</f>
        <v>1.7587485455332088</v>
      </c>
      <c r="BC14" s="347">
        <f> Esc!BC$32</f>
        <v>1.771793309734412</v>
      </c>
      <c r="BD14" s="347">
        <f> Esc!BD$32</f>
        <v>1.7849348278880193</v>
      </c>
      <c r="BE14" s="347">
        <f> Esc!BE$32</f>
        <v>1.79817381762504</v>
      </c>
      <c r="BF14" s="347">
        <f> Esc!BF$32</f>
        <v>1.8115110018992047</v>
      </c>
      <c r="BG14" s="347">
        <f> Esc!BG$32</f>
        <v>1.8249471090264437</v>
      </c>
      <c r="BH14" s="347">
        <f> Esc!BH$32</f>
        <v>1.838482872724659</v>
      </c>
      <c r="BI14" s="347">
        <f> Esc!BI$32</f>
        <v>1.8521190321537904</v>
      </c>
      <c r="BJ14" s="347">
        <f> Esc!BJ$32</f>
        <v>1.86585633195618</v>
      </c>
      <c r="BK14" s="347">
        <f> Esc!BK$32</f>
        <v>1.8796955222972365</v>
      </c>
      <c r="BL14" s="347">
        <f> Esc!BL$32</f>
        <v>1.8936373589063982</v>
      </c>
      <c r="BM14" s="347">
        <f> Esc!BM$32</f>
        <v>1.9076826031184035</v>
      </c>
      <c r="BN14" s="347">
        <f> Esc!BN$32</f>
        <v>1.921832021914865</v>
      </c>
      <c r="BO14" s="347">
        <f> Esc!BO$32</f>
        <v>1.936086387966153</v>
      </c>
      <c r="BP14" s="347">
        <f> Esc!BP$32</f>
        <v>1.9504464796735894</v>
      </c>
      <c r="BQ14" s="347">
        <f> Esc!BQ$32</f>
        <v>1.964913081211955</v>
      </c>
      <c r="BR14" s="347">
        <f> Esc!BR$32</f>
        <v>1.9794869825723105</v>
      </c>
      <c r="BS14" s="347">
        <f> Esc!BS$32</f>
        <v>1.994168979605137</v>
      </c>
      <c r="BT14" s="347">
        <f> Esc!BT$32</f>
        <v>2.0089598740637964</v>
      </c>
      <c r="BU14" s="347">
        <f> Esc!BU$32</f>
        <v>2.023860473648313</v>
      </c>
      <c r="BV14" s="347">
        <f> Esc!BV$32</f>
        <v>2.038871592049479</v>
      </c>
      <c r="BW14" s="347">
        <f> Esc!BW$32</f>
        <v>2.0539940489932906</v>
      </c>
      <c r="BX14" s="347">
        <f> Esc!BX$32</f>
        <v>2.06922867028571</v>
      </c>
      <c r="BY14" s="347">
        <f> Esc!BY$32</f>
        <v>2.084576287857762</v>
      </c>
      <c r="BZ14" s="347">
        <f> Esc!BZ$32</f>
        <v>2.100037739810963</v>
      </c>
      <c r="CA14" s="347">
        <f> Esc!CA$32</f>
        <v>2.1156138704630885</v>
      </c>
      <c r="CB14" s="347">
        <f> Esc!CB$32</f>
        <v>2.1313055303942807</v>
      </c>
      <c r="CC14" s="347">
        <f> Esc!CC$32</f>
        <v>2.1471135764934943</v>
      </c>
      <c r="CD14" s="347">
        <f> Esc!CD$32</f>
        <v>2.163038872005291</v>
      </c>
      <c r="CE14" s="347">
        <f> Esc!CE$32</f>
        <v>2.1790822865769806</v>
      </c>
      <c r="CF14" s="347">
        <f> Esc!CF$32</f>
        <v>2.1952446963061085</v>
      </c>
      <c r="CG14" s="347">
        <f> Esc!CG$32</f>
        <v>2.211526983788298</v>
      </c>
      <c r="CH14" s="347">
        <f> Esc!CH$32</f>
        <v>2.227930038165449</v>
      </c>
      <c r="CI14" s="347">
        <f> Esc!CI$32</f>
        <v>2.2444547551742895</v>
      </c>
      <c r="CJ14" s="347">
        <f> Esc!CJ$32</f>
        <v>2.261102037195291</v>
      </c>
      <c r="CK14" s="347">
        <f> Esc!CK$32</f>
        <v>2.2778727933019463</v>
      </c>
      <c r="CL14" s="347">
        <f> Esc!CL$32</f>
        <v>2.294767939310412</v>
      </c>
      <c r="CM14" s="347">
        <f> Esc!CM$32</f>
        <v>2.3117883978295173</v>
      </c>
      <c r="CN14" s="347">
        <f> Esc!CN$32</f>
        <v>2.328935098311149</v>
      </c>
      <c r="CO14" s="347">
        <f> Esc!CO$32</f>
        <v>2.346208977101004</v>
      </c>
    </row>
    <row r="15">
      <c r="E15" s="325" t="str">
        <f> Time!E$69</f>
        <v>Forecast period flag</v>
      </c>
      <c r="F15" s="325">
        <f> Time!F$69</f>
        <v>0.0</v>
      </c>
      <c r="G15" s="325" t="str">
        <f> Time!G$69</f>
        <v>flag</v>
      </c>
      <c r="H15" s="325">
        <f> Time!H$69</f>
        <v>80.0</v>
      </c>
      <c r="I15" s="325">
        <f> Time!I$69</f>
        <v>0.0</v>
      </c>
      <c r="J15" s="325">
        <f> Time!J$69</f>
        <v>0.0</v>
      </c>
      <c r="K15" s="325">
        <f> Time!K$69</f>
        <v>0.0</v>
      </c>
      <c r="L15" s="325">
        <f> Time!L$69</f>
        <v>1.0</v>
      </c>
      <c r="M15" s="325">
        <f> Time!M$69</f>
        <v>1.0</v>
      </c>
      <c r="N15" s="325">
        <f> Time!N$69</f>
        <v>1.0</v>
      </c>
      <c r="O15" s="325">
        <f> Time!O$69</f>
        <v>1.0</v>
      </c>
      <c r="P15" s="325">
        <f> Time!P$69</f>
        <v>1.0</v>
      </c>
      <c r="Q15" s="325">
        <f> Time!Q$69</f>
        <v>1.0</v>
      </c>
      <c r="R15" s="325">
        <f> Time!R$69</f>
        <v>1.0</v>
      </c>
      <c r="S15" s="325">
        <f> Time!S$69</f>
        <v>1.0</v>
      </c>
      <c r="T15" s="325">
        <f> Time!T$69</f>
        <v>1.0</v>
      </c>
      <c r="U15" s="325">
        <f> Time!U$69</f>
        <v>1.0</v>
      </c>
      <c r="V15" s="325">
        <f> Time!V$69</f>
        <v>1.0</v>
      </c>
      <c r="W15" s="325">
        <f> Time!W$69</f>
        <v>1.0</v>
      </c>
      <c r="X15" s="325">
        <f> Time!X$69</f>
        <v>1.0</v>
      </c>
      <c r="Y15" s="325">
        <f> Time!Y$69</f>
        <v>1.0</v>
      </c>
      <c r="Z15" s="325">
        <f> Time!Z$69</f>
        <v>1.0</v>
      </c>
      <c r="AA15" s="325">
        <f> Time!AA$69</f>
        <v>1.0</v>
      </c>
      <c r="AB15" s="325">
        <f> Time!AB$69</f>
        <v>1.0</v>
      </c>
      <c r="AC15" s="325">
        <f> Time!AC$69</f>
        <v>1.0</v>
      </c>
      <c r="AD15" s="325">
        <f> Time!AD$69</f>
        <v>1.0</v>
      </c>
      <c r="AE15" s="325">
        <f> Time!AE$69</f>
        <v>1.0</v>
      </c>
      <c r="AF15" s="325">
        <f> Time!AF$69</f>
        <v>1.0</v>
      </c>
      <c r="AG15" s="325">
        <f> Time!AG$69</f>
        <v>1.0</v>
      </c>
      <c r="AH15" s="325">
        <f> Time!AH$69</f>
        <v>1.0</v>
      </c>
      <c r="AI15" s="325">
        <f> Time!AI$69</f>
        <v>1.0</v>
      </c>
      <c r="AJ15" s="325">
        <f> Time!AJ$69</f>
        <v>1.0</v>
      </c>
      <c r="AK15" s="325">
        <f> Time!AK$69</f>
        <v>1.0</v>
      </c>
      <c r="AL15" s="325">
        <f> Time!AL$69</f>
        <v>1.0</v>
      </c>
      <c r="AM15" s="325">
        <f> Time!AM$69</f>
        <v>1.0</v>
      </c>
      <c r="AN15" s="325">
        <f> Time!AN$69</f>
        <v>1.0</v>
      </c>
      <c r="AO15" s="325">
        <f> Time!AO$69</f>
        <v>1.0</v>
      </c>
      <c r="AP15" s="325">
        <f> Time!AP$69</f>
        <v>1.0</v>
      </c>
      <c r="AQ15" s="325">
        <f> Time!AQ$69</f>
        <v>1.0</v>
      </c>
      <c r="AR15" s="325">
        <f> Time!AR$69</f>
        <v>1.0</v>
      </c>
      <c r="AS15" s="325">
        <f> Time!AS$69</f>
        <v>1.0</v>
      </c>
      <c r="AT15" s="325">
        <f> Time!AT$69</f>
        <v>1.0</v>
      </c>
      <c r="AU15" s="325">
        <f> Time!AU$69</f>
        <v>1.0</v>
      </c>
      <c r="AV15" s="325">
        <f> Time!AV$69</f>
        <v>1.0</v>
      </c>
      <c r="AW15" s="325">
        <f> Time!AW$69</f>
        <v>1.0</v>
      </c>
      <c r="AX15" s="325">
        <f> Time!AX$69</f>
        <v>1.0</v>
      </c>
      <c r="AY15" s="325">
        <f> Time!AY$69</f>
        <v>1.0</v>
      </c>
      <c r="AZ15" s="325">
        <f> Time!AZ$69</f>
        <v>1.0</v>
      </c>
      <c r="BA15" s="325">
        <f> Time!BA$69</f>
        <v>1.0</v>
      </c>
      <c r="BB15" s="325">
        <f> Time!BB$69</f>
        <v>1.0</v>
      </c>
      <c r="BC15" s="325">
        <f> Time!BC$69</f>
        <v>1.0</v>
      </c>
      <c r="BD15" s="325">
        <f> Time!BD$69</f>
        <v>1.0</v>
      </c>
      <c r="BE15" s="325">
        <f> Time!BE$69</f>
        <v>1.0</v>
      </c>
      <c r="BF15" s="325">
        <f> Time!BF$69</f>
        <v>1.0</v>
      </c>
      <c r="BG15" s="325">
        <f> Time!BG$69</f>
        <v>1.0</v>
      </c>
      <c r="BH15" s="325">
        <f> Time!BH$69</f>
        <v>1.0</v>
      </c>
      <c r="BI15" s="325">
        <f> Time!BI$69</f>
        <v>1.0</v>
      </c>
      <c r="BJ15" s="325">
        <f> Time!BJ$69</f>
        <v>1.0</v>
      </c>
      <c r="BK15" s="325">
        <f> Time!BK$69</f>
        <v>1.0</v>
      </c>
      <c r="BL15" s="325">
        <f> Time!BL$69</f>
        <v>1.0</v>
      </c>
      <c r="BM15" s="325">
        <f> Time!BM$69</f>
        <v>1.0</v>
      </c>
      <c r="BN15" s="325">
        <f> Time!BN$69</f>
        <v>1.0</v>
      </c>
      <c r="BO15" s="325">
        <f> Time!BO$69</f>
        <v>1.0</v>
      </c>
      <c r="BP15" s="325">
        <f> Time!BP$69</f>
        <v>1.0</v>
      </c>
      <c r="BQ15" s="325">
        <f> Time!BQ$69</f>
        <v>1.0</v>
      </c>
      <c r="BR15" s="325">
        <f> Time!BR$69</f>
        <v>1.0</v>
      </c>
      <c r="BS15" s="325">
        <f> Time!BS$69</f>
        <v>1.0</v>
      </c>
      <c r="BT15" s="325">
        <f> Time!BT$69</f>
        <v>1.0</v>
      </c>
      <c r="BU15" s="325">
        <f> Time!BU$69</f>
        <v>1.0</v>
      </c>
      <c r="BV15" s="325">
        <f> Time!BV$69</f>
        <v>1.0</v>
      </c>
      <c r="BW15" s="325">
        <f> Time!BW$69</f>
        <v>1.0</v>
      </c>
      <c r="BX15" s="325">
        <f> Time!BX$69</f>
        <v>1.0</v>
      </c>
      <c r="BY15" s="325">
        <f> Time!BY$69</f>
        <v>1.0</v>
      </c>
      <c r="BZ15" s="325">
        <f> Time!BZ$69</f>
        <v>1.0</v>
      </c>
      <c r="CA15" s="325">
        <f> Time!CA$69</f>
        <v>1.0</v>
      </c>
      <c r="CB15" s="325">
        <f> Time!CB$69</f>
        <v>1.0</v>
      </c>
      <c r="CC15" s="325">
        <f> Time!CC$69</f>
        <v>1.0</v>
      </c>
      <c r="CD15" s="325">
        <f> Time!CD$69</f>
        <v>1.0</v>
      </c>
      <c r="CE15" s="325">
        <f> Time!CE$69</f>
        <v>1.0</v>
      </c>
      <c r="CF15" s="325">
        <f> Time!CF$69</f>
        <v>1.0</v>
      </c>
      <c r="CG15" s="325">
        <f> Time!CG$69</f>
        <v>1.0</v>
      </c>
      <c r="CH15" s="325">
        <f> Time!CH$69</f>
        <v>1.0</v>
      </c>
      <c r="CI15" s="325">
        <f> Time!CI$69</f>
        <v>1.0</v>
      </c>
      <c r="CJ15" s="325">
        <f> Time!CJ$69</f>
        <v>1.0</v>
      </c>
      <c r="CK15" s="325">
        <f> Time!CK$69</f>
        <v>1.0</v>
      </c>
      <c r="CL15" s="325">
        <f> Time!CL$69</f>
        <v>1.0</v>
      </c>
      <c r="CM15" s="325">
        <f> Time!CM$69</f>
        <v>1.0</v>
      </c>
      <c r="CN15" s="325">
        <f> Time!CN$69</f>
        <v>0.0</v>
      </c>
      <c r="CO15" s="325">
        <f> Time!CO$69</f>
        <v>0.0</v>
      </c>
    </row>
    <row r="16" customFormat="1" s="365">
      <c r="A16" s="362" t="n"/>
      <c r="B16" s="362" t="n"/>
      <c r="C16" s="363" t="n"/>
      <c r="D16" s="364" t="n"/>
      <c r="E16" s="365" t="inlineStr">
        <is>
          <t>Handling variable cost</t>
        </is>
      </c>
      <c r="G16" s="365" t="str">
        <f>SMU</f>
        <v>$ 000s</v>
      </c>
      <c r="H16" s="365">
        <f> SUM(J16:CO16)</f>
        <v>890187.4314858428</v>
      </c>
      <c r="J16" s="365">
        <f> IF( J15 = 1,$F11 / $F12 * J13 * J14, 0)</f>
        <v>0.0</v>
      </c>
      <c r="K16" s="365">
        <f> IF( K15 = 1,$F11 / $F12 * K13 * K14, 0)</f>
        <v>0.0</v>
      </c>
      <c r="L16" s="365">
        <f> IF( L15 = 1,$F11 / $F12 * L13 * L14, 0)</f>
        <v>7760.250942344061</v>
      </c>
      <c r="M16" s="365">
        <f> IF( M15 = 1,$F11 / $F12 * M13 * M14, 0)</f>
        <v>7605.90534634593</v>
      </c>
      <c r="N16" s="365">
        <f> IF( N15 = 1,$F11 / $F12 * N13 * N14, 0)</f>
        <v>8134.075658397767</v>
      </c>
      <c r="O16" s="365">
        <f> IF( O15 = 1,$F11 / $F12 * O13 * O14, 0)</f>
        <v>7892.751166666666</v>
      </c>
      <c r="P16" s="365">
        <f> IF( P15 = 1,$F11 / $F12 * P13 * P14, 0)</f>
        <v>8417.475025961367</v>
      </c>
      <c r="Q16" s="365">
        <f> IF( Q15 = 1,$F11 / $F12 * Q13 * Q14, 0)</f>
        <v>8087.6632612803505</v>
      </c>
      <c r="R16" s="365">
        <f> IF( R15 = 1,$F11 / $F12 * R13 * R14, 0)</f>
        <v>8625.345216472062</v>
      </c>
      <c r="S16" s="365">
        <f> IF( S15 = 1,$F11 / $F12 * S13 * S14, 0)</f>
        <v>8287.388725</v>
      </c>
      <c r="T16" s="365">
        <f> IF( T15 = 1,$F11 / $F12 * T13 * T14, 0)</f>
        <v>8817.229513380506</v>
      </c>
      <c r="U16" s="365">
        <f> IF( U15 = 1,$F11 / $F12 * U13 * U14, 0)</f>
        <v>8451.511365100765</v>
      </c>
      <c r="V16" s="365">
        <f> IF( V15 = 1,$F11 / $F12 * V13 * V14, 0)</f>
        <v>8991.845068910681</v>
      </c>
      <c r="W16" s="365">
        <f> IF( W15 = 1,$F11 / $F12 * W13 * W14, 0)</f>
        <v>8618.884274</v>
      </c>
      <c r="X16" s="365">
        <f> IF( X15 = 1,$F11 / $F12 * X13 * X14, 0)</f>
        <v>9147.79568911274</v>
      </c>
      <c r="Y16" s="365">
        <f> IF( Y15 = 1,$F11 / $F12 * Y13 * Y14, 0)</f>
        <v>8747.212190890456</v>
      </c>
      <c r="Z16" s="365">
        <f> IF( Z15 = 1,$F11 / $F12 * Z13 * Z14, 0)</f>
        <v>9283.998650842324</v>
      </c>
      <c r="AA16" s="365">
        <f> IF( AA15 = 1,$F11 / $F12 * AA13 * AA14, 0)</f>
        <v>8877.450802219997</v>
      </c>
      <c r="AB16" s="365">
        <f> IF( AB15 = 1,$F11 / $F12 * AB13 * AB14, 0)</f>
        <v>9422.22955978612</v>
      </c>
      <c r="AC16" s="365">
        <f> IF( AC15 = 1,$F11 / $F12 * AC13 * AC14, 0)</f>
        <v>9009.628556617168</v>
      </c>
      <c r="AD16" s="365">
        <f> IF( AD15 = 1,$F11 / $F12 * AD13 * AD14, 0)</f>
        <v>9562.518610367593</v>
      </c>
      <c r="AE16" s="365">
        <f> IF( AE15 = 1,$F11 / $F12 * AE13 * AE14, 0)</f>
        <v>9143.774326286595</v>
      </c>
      <c r="AF16" s="365">
        <f> IF( AF15 = 1,$F11 / $F12 * AF13 * AF14, 0)</f>
        <v>9704.8964465797</v>
      </c>
      <c r="AG16" s="365">
        <f> IF( AG15 = 1,$F11 / $F12 * AG13 * AG14, 0)</f>
        <v>9279.917413315681</v>
      </c>
      <c r="AH16" s="365">
        <f> IF( AH15 = 1,$F11 / $F12 * AH13 * AH14, 0)</f>
        <v>9849.394168678617</v>
      </c>
      <c r="AI16" s="365">
        <f> IF( AI15 = 1,$F11 / $F12 * AI13 * AI14, 0)</f>
        <v>9418.08755607519</v>
      </c>
      <c r="AJ16" s="365">
        <f> IF( AJ15 = 1,$F11 / $F12 * AJ13 * AJ14, 0)</f>
        <v>9996.043339977088</v>
      </c>
      <c r="AK16" s="365">
        <f> IF( AK15 = 1,$F11 / $F12 * AK13 * AK14, 0)</f>
        <v>9558.314935715147</v>
      </c>
      <c r="AL16" s="365">
        <f> IF( AL15 = 1,$F11 / $F12 * AL13 * AL14, 0)</f>
        <v>10144.87599373897</v>
      </c>
      <c r="AM16" s="365">
        <f> IF( AM15 = 1,$F11 / $F12 * AM13 * AM14, 0)</f>
        <v>9700.63018275744</v>
      </c>
      <c r="AN16" s="365">
        <f> IF( AN15 = 1,$F11 / $F12 * AN13 * AN14, 0)</f>
        <v>10295.924640176398</v>
      </c>
      <c r="AO16" s="365">
        <f> IF( AO15 = 1,$F11 / $F12 * AO13 * AO14, 0)</f>
        <v>9845.064383786597</v>
      </c>
      <c r="AP16" s="365">
        <f> IF( AP15 = 1,$F11 / $F12 * AP13 * AP14, 0)</f>
        <v>10449.222273551135</v>
      </c>
      <c r="AQ16" s="365">
        <f> IF( AQ15 = 1,$F11 / $F12 * AQ13 * AQ14, 0)</f>
        <v>9991.649088240161</v>
      </c>
      <c r="AR16" s="365">
        <f> IF( AR15 = 1,$F11 / $F12 * AR13 * AR14, 0)</f>
        <v>10604.802379381686</v>
      </c>
      <c r="AS16" s="365">
        <f> IF( AS15 = 1,$F11 / $F12 * AS13 * AS14, 0)</f>
        <v>10140.416315300192</v>
      </c>
      <c r="AT16" s="365">
        <f> IF( AT15 = 1,$F11 / $F12 * AT13 * AT14, 0)</f>
        <v>10762.698941757666</v>
      </c>
      <c r="AU16" s="365">
        <f> IF( AU15 = 1,$F11 / $F12 * AU13 * AU14, 0)</f>
        <v>10291.398560887363</v>
      </c>
      <c r="AV16" s="365">
        <f> IF( AV15 = 1,$F11 / $F12 * AV13 * AV14, 0)</f>
        <v>10922.946450763131</v>
      </c>
      <c r="AW16" s="365">
        <f> IF( AW15 = 1,$F11 / $F12 * AW13 * AW14, 0)</f>
        <v>10444.628804759195</v>
      </c>
      <c r="AX16" s="365">
        <f> IF( AX15 = 1,$F11 / $F12 * AX13 * AX14, 0)</f>
        <v>11085.579910010392</v>
      </c>
      <c r="AY16" s="365">
        <f> IF( AY15 = 1,$F11 / $F12 * AY13 * AY14, 0)</f>
        <v>10600.140517713979</v>
      </c>
      <c r="AZ16" s="365">
        <f> IF( AZ15 = 1,$F11 / $F12 * AZ13 * AZ14, 0)</f>
        <v>11250.634844286022</v>
      </c>
      <c r="BA16" s="365">
        <f> IF( BA15 = 1,$F11 / $F12 * BA13 * BA14, 0)</f>
        <v>10757.967668901965</v>
      </c>
      <c r="BB16" s="365">
        <f> IF( BB15 = 1,$F11 / $F12 * BB13 * BB14, 0)</f>
        <v>11418.147307310699</v>
      </c>
      <c r="BC16" s="365">
        <f> IF( BC15 = 1,$F11 / $F12 * BC13 * BC14, 0)</f>
        <v>10918.144733245395</v>
      </c>
      <c r="BD16" s="365">
        <f> IF( BD15 = 1,$F11 / $F12 * BD13 * BD14, 0)</f>
        <v>11588.1538896146</v>
      </c>
      <c r="BE16" s="365">
        <f> IF( BE15 = 1,$F11 / $F12 * BE13 * BE14, 0)</f>
        <v>11080.706698969023</v>
      </c>
      <c r="BF16" s="365">
        <f> IF( BF15 = 1,$F11 / $F12 * BF13 * BF14, 0)</f>
        <v>11760.691726530018</v>
      </c>
      <c r="BG16" s="365">
        <f> IF( BG15 = 1,$F11 / $F12 * BG13 * BG14, 0)</f>
        <v>11245.689075242753</v>
      </c>
      <c r="BH16" s="365">
        <f> IF( BH15 = 1,$F11 / $F12 * BH13 * BH14, 0)</f>
        <v>11329.099158303894</v>
      </c>
      <c r="BI16" s="365">
        <f> IF( BI15 = 1,$F11 / $F12 * BI13 * BI14, 0)</f>
        <v>12024.327180548838</v>
      </c>
      <c r="BJ16" s="365">
        <f> IF( BJ15 = 1,$F11 / $F12 * BJ13 * BJ14, 0)</f>
        <v>11497.779888780375</v>
      </c>
      <c r="BK16" s="365">
        <f> IF( BK15 = 1,$F11 / $F12 * BK13 * BK14, 0)</f>
        <v>12203.35926985812</v>
      </c>
      <c r="BL16" s="365">
        <f> IF( BL15 = 1,$F11 / $F12 * BL13 * BL14, 0)</f>
        <v>11668.972133053008</v>
      </c>
      <c r="BM16" s="365">
        <f> IF( BM15 = 1,$F11 / $F12 * BM13 * BM14, 0)</f>
        <v>12385.0569959653</v>
      </c>
      <c r="BN16" s="365">
        <f> IF( BN15 = 1,$F11 / $F12 * BN13 * BN14, 0)</f>
        <v>11842.713285443782</v>
      </c>
      <c r="BO16" s="365">
        <f> IF( BO15 = 1,$F11 / $F12 * BO13 * BO14, 0)</f>
        <v>12569.46004795386</v>
      </c>
      <c r="BP16" s="365">
        <f> IF( BP15 = 1,$F11 / $F12 * BP13 * BP14, 0)</f>
        <v>12019.041297044594</v>
      </c>
      <c r="BQ16" s="365">
        <f> IF( BQ15 = 1,$F11 / $F12 * BQ13 * BQ14, 0)</f>
        <v>12108.187389044311</v>
      </c>
      <c r="BR16" s="365">
        <f> IF( BR15 = 1,$F11 / $F12 * BR13 * BR14, 0)</f>
        <v>12851.225388255956</v>
      </c>
      <c r="BS16" s="365">
        <f> IF( BS15 = 1,$F11 / $F12 * BS13 * BS14, 0)</f>
        <v>12288.468086122777</v>
      </c>
      <c r="BT16" s="365">
        <f> IF( BT15 = 1,$F11 / $F12 * BT13 * BT14, 0)</f>
        <v>13042.56929439698</v>
      </c>
      <c r="BU16" s="365">
        <f> IF( BU15 = 1,$F11 / $F12 * BU13 * BU14, 0)</f>
        <v>12471.433010715637</v>
      </c>
      <c r="BV16" s="365">
        <f> IF( BV15 = 1,$F11 / $F12 * BV13 * BV14, 0)</f>
        <v>13236.76214990363</v>
      </c>
      <c r="BW16" s="365">
        <f> IF( BW15 = 1,$F11 / $F12 * BW13 * BW14, 0)</f>
        <v>13334.940164874242</v>
      </c>
      <c r="BX16" s="365">
        <f> IF( BX15 = 1,$F11 / $F12 * BX13 * BX14, 0)</f>
        <v>13433.846373228887</v>
      </c>
      <c r="BY16" s="365">
        <f> IF( BY15 = 1,$F11 / $F12 * BY13 * BY14, 0)</f>
        <v>13533.486176030163</v>
      </c>
      <c r="BZ16" s="365">
        <f> IF( BZ15 = 1,$F11 / $F12 * BZ13 * BZ14, 0)</f>
        <v>13633.865014400737</v>
      </c>
      <c r="CA16" s="365">
        <f> IF( CA15 = 1,$F11 / $F12 * CA13 * CA14, 0)</f>
        <v>13734.988369820465</v>
      </c>
      <c r="CB16" s="365">
        <f> IF( CB15 = 1,$F11 / $F12 * CB13 * CB14, 0)</f>
        <v>13836.86176442575</v>
      </c>
      <c r="CC16" s="365">
        <f> IF( CC15 = 1,$F11 / $F12 * CC13 * CC14, 0)</f>
        <v>13939.490761311066</v>
      </c>
      <c r="CD16" s="365">
        <f> IF( CD15 = 1,$F11 / $F12 * CD13 * CD14, 0)</f>
        <v>14042.880964832751</v>
      </c>
      <c r="CE16" s="365">
        <f> IF( CE15 = 1,$F11 / $F12 * CE13 * CE14, 0)</f>
        <v>14147.038020915075</v>
      </c>
      <c r="CF16" s="365">
        <f> IF( CF15 = 1,$F11 / $F12 * CF13 * CF14, 0)</f>
        <v>14251.96761735852</v>
      </c>
      <c r="CG16" s="365">
        <f> IF( CG15 = 1,$F11 / $F12 * CG13 * CG14, 0)</f>
        <v>14357.67548415039</v>
      </c>
      <c r="CH16" s="365">
        <f> IF( CH15 = 1,$F11 / $F12 * CH13 * CH14, 0)</f>
        <v>14464.16739377773</v>
      </c>
      <c r="CI16" s="365">
        <f> IF( CI15 = 1,$F11 / $F12 * CI13 * CI14, 0)</f>
        <v>14571.449161542523</v>
      </c>
      <c r="CJ16" s="365">
        <f> IF( CJ15 = 1,$F11 / $F12 * CJ13 * CJ14, 0)</f>
        <v>14679.52664587927</v>
      </c>
      <c r="CK16" s="365">
        <f> IF( CK15 = 1,$F11 / $F12 * CK13 * CK14, 0)</f>
        <v>14788.405748674897</v>
      </c>
      <c r="CL16" s="365">
        <f> IF( CL15 = 1,$F11 / $F12 * CL13 * CL14, 0)</f>
        <v>14898.092415591058</v>
      </c>
      <c r="CM16" s="365">
        <f> IF( CM15 = 1,$F11 / $F12 * CM13 * CM14, 0)</f>
        <v>15008.592636388794</v>
      </c>
      <c r="CN16" s="365">
        <f> IF( CN15 = 1,$F11 / $F12 * CN13 * CN14, 0)</f>
        <v>0.0</v>
      </c>
      <c r="CO16" s="365">
        <f> IF( CO15 = 1,$F11 / $F12 * CO13 * CO14, 0)</f>
        <v>0.0</v>
      </c>
    </row>
    <row r="18">
      <c r="C18" s="212" t="inlineStr">
        <is>
          <t>Fixed cost</t>
        </is>
      </c>
    </row>
    <row r="19">
      <c r="E19" s="325" t="str">
        <f> InpC!E$42</f>
        <v>Handling cost- fixed per annum</v>
      </c>
      <c r="F19" s="325">
        <f> InpC!F$42</f>
        <v>4500.0</v>
      </c>
      <c r="G19" s="325" t="str">
        <f> InpC!G$42</f>
        <v>$ 000s</v>
      </c>
    </row>
    <row r="20">
      <c r="E20" s="325" t="str">
        <f> InpC!E$99</f>
        <v>No of periods in a year</v>
      </c>
      <c r="F20" s="325">
        <f> InpC!F$99</f>
        <v>4.0</v>
      </c>
      <c r="G20" s="325" t="str">
        <f> InpC!G$99</f>
        <v>periods</v>
      </c>
    </row>
    <row r="21">
      <c r="E21" s="347" t="str">
        <f> Esc!E$32</f>
        <v>Handling escalation factor</v>
      </c>
      <c r="F21" s="347">
        <f> Esc!F$32</f>
        <v>0.0</v>
      </c>
      <c r="G21" s="347" t="str">
        <f> Esc!G$32</f>
        <v>factor</v>
      </c>
      <c r="H21" s="347">
        <f> Esc!H$32</f>
        <v>0.0</v>
      </c>
      <c r="I21" s="347">
        <f> Esc!I$32</f>
        <v>0.0</v>
      </c>
      <c r="J21" s="347">
        <f> Esc!J$32</f>
        <v>0.0</v>
      </c>
      <c r="K21" s="347">
        <f> Esc!K$32</f>
        <v>1.2083333333333333</v>
      </c>
      <c r="L21" s="347">
        <f> Esc!L$32</f>
        <v>1.22606423078713</v>
      </c>
      <c r="M21" s="347">
        <f> Esc!M$32</f>
        <v>1.2440553087025958</v>
      </c>
      <c r="N21" s="347">
        <f> Esc!N$32</f>
        <v>1.2623103849278015</v>
      </c>
      <c r="O21" s="347">
        <f> Esc!O$32</f>
        <v>1.280833333333333</v>
      </c>
      <c r="P21" s="347">
        <f> Esc!P$32</f>
        <v>1.2965520202645275</v>
      </c>
      <c r="Q21" s="347">
        <f> Esc!Q$32</f>
        <v>1.3124636106066583</v>
      </c>
      <c r="R21" s="347">
        <f> Esc!R$32</f>
        <v>1.3285704717156066</v>
      </c>
      <c r="S21" s="347">
        <f> Esc!S$32</f>
        <v>1.3448749999999998</v>
      </c>
      <c r="T21" s="347">
        <f> Esc!T$32</f>
        <v>1.3581266001325443</v>
      </c>
      <c r="U21" s="347">
        <f> Esc!U$32</f>
        <v>1.3715087736686191</v>
      </c>
      <c r="V21" s="347">
        <f> Esc!V$32</f>
        <v>1.3850228072010535</v>
      </c>
      <c r="W21" s="347">
        <f> Esc!W$32</f>
        <v>1.3986699999999999</v>
      </c>
      <c r="X21" s="347">
        <f> Esc!X$32</f>
        <v>1.4090440357833613</v>
      </c>
      <c r="Y21" s="347">
        <f> Esc!Y$32</f>
        <v>1.419495016534753</v>
      </c>
      <c r="Z21" s="347">
        <f> Esc!Z$32</f>
        <v>1.4300235129605254</v>
      </c>
      <c r="AA21" s="347">
        <f> Esc!AA$32</f>
        <v>1.4406300999999992</v>
      </c>
      <c r="AB21" s="347">
        <f> Esc!AB$32</f>
        <v>1.4513153568568617</v>
      </c>
      <c r="AC21" s="347">
        <f> Esc!AC$32</f>
        <v>1.4620798670307953</v>
      </c>
      <c r="AD21" s="347">
        <f> Esc!AD$32</f>
        <v>1.472924218349341</v>
      </c>
      <c r="AE21" s="347">
        <f> Esc!AE$32</f>
        <v>1.4838490029999991</v>
      </c>
      <c r="AF21" s="347">
        <f> Esc!AF$32</f>
        <v>1.4948548175625673</v>
      </c>
      <c r="AG21" s="347">
        <f> Esc!AG$32</f>
        <v>1.5059422630417187</v>
      </c>
      <c r="AH21" s="347">
        <f> Esc!AH$32</f>
        <v>1.5171119448998207</v>
      </c>
      <c r="AI21" s="347">
        <f> Esc!AI$32</f>
        <v>1.5283644730899986</v>
      </c>
      <c r="AJ21" s="347">
        <f> Esc!AJ$32</f>
        <v>1.5397004620894439</v>
      </c>
      <c r="AK21" s="347">
        <f> Esc!AK$32</f>
        <v>1.5511205309329696</v>
      </c>
      <c r="AL21" s="347">
        <f> Esc!AL$32</f>
        <v>1.5626253032468145</v>
      </c>
      <c r="AM21" s="347">
        <f> Esc!AM$32</f>
        <v>1.5742154072826977</v>
      </c>
      <c r="AN21" s="347">
        <f> Esc!AN$32</f>
        <v>1.5858914759521265</v>
      </c>
      <c r="AO21" s="347">
        <f> Esc!AO$32</f>
        <v>1.5976541468609582</v>
      </c>
      <c r="AP21" s="347">
        <f> Esc!AP$32</f>
        <v>1.6095040623442183</v>
      </c>
      <c r="AQ21" s="347">
        <f> Esc!AQ$32</f>
        <v>1.621441869501178</v>
      </c>
      <c r="AR21" s="347">
        <f> Esc!AR$32</f>
        <v>1.6334682202306898</v>
      </c>
      <c r="AS21" s="347">
        <f> Esc!AS$32</f>
        <v>1.6455837712667865</v>
      </c>
      <c r="AT21" s="347">
        <f> Esc!AT$32</f>
        <v>1.6577891842145445</v>
      </c>
      <c r="AU21" s="347">
        <f> Esc!AU$32</f>
        <v>1.670085125586213</v>
      </c>
      <c r="AV21" s="347">
        <f> Esc!AV$32</f>
        <v>1.6824722668376098</v>
      </c>
      <c r="AW21" s="347">
        <f> Esc!AW$32</f>
        <v>1.6949512844047894</v>
      </c>
      <c r="AX21" s="347">
        <f> Esc!AX$32</f>
        <v>1.7075228597409802</v>
      </c>
      <c r="AY21" s="347">
        <f> Esc!AY$32</f>
        <v>1.7201876793537987</v>
      </c>
      <c r="AZ21" s="347">
        <f> Esc!AZ$32</f>
        <v>1.7329464348427375</v>
      </c>
      <c r="BA21" s="347">
        <f> Esc!BA$32</f>
        <v>1.7457998229369323</v>
      </c>
      <c r="BB21" s="347">
        <f> Esc!BB$32</f>
        <v>1.7587485455332088</v>
      </c>
      <c r="BC21" s="347">
        <f> Esc!BC$32</f>
        <v>1.771793309734412</v>
      </c>
      <c r="BD21" s="347">
        <f> Esc!BD$32</f>
        <v>1.7849348278880193</v>
      </c>
      <c r="BE21" s="347">
        <f> Esc!BE$32</f>
        <v>1.79817381762504</v>
      </c>
      <c r="BF21" s="347">
        <f> Esc!BF$32</f>
        <v>1.8115110018992047</v>
      </c>
      <c r="BG21" s="347">
        <f> Esc!BG$32</f>
        <v>1.8249471090264437</v>
      </c>
      <c r="BH21" s="347">
        <f> Esc!BH$32</f>
        <v>1.838482872724659</v>
      </c>
      <c r="BI21" s="347">
        <f> Esc!BI$32</f>
        <v>1.8521190321537904</v>
      </c>
      <c r="BJ21" s="347">
        <f> Esc!BJ$32</f>
        <v>1.86585633195618</v>
      </c>
      <c r="BK21" s="347">
        <f> Esc!BK$32</f>
        <v>1.8796955222972365</v>
      </c>
      <c r="BL21" s="347">
        <f> Esc!BL$32</f>
        <v>1.8936373589063982</v>
      </c>
      <c r="BM21" s="347">
        <f> Esc!BM$32</f>
        <v>1.9076826031184035</v>
      </c>
      <c r="BN21" s="347">
        <f> Esc!BN$32</f>
        <v>1.921832021914865</v>
      </c>
      <c r="BO21" s="347">
        <f> Esc!BO$32</f>
        <v>1.936086387966153</v>
      </c>
      <c r="BP21" s="347">
        <f> Esc!BP$32</f>
        <v>1.9504464796735894</v>
      </c>
      <c r="BQ21" s="347">
        <f> Esc!BQ$32</f>
        <v>1.964913081211955</v>
      </c>
      <c r="BR21" s="347">
        <f> Esc!BR$32</f>
        <v>1.9794869825723105</v>
      </c>
      <c r="BS21" s="347">
        <f> Esc!BS$32</f>
        <v>1.994168979605137</v>
      </c>
      <c r="BT21" s="347">
        <f> Esc!BT$32</f>
        <v>2.0089598740637964</v>
      </c>
      <c r="BU21" s="347">
        <f> Esc!BU$32</f>
        <v>2.023860473648313</v>
      </c>
      <c r="BV21" s="347">
        <f> Esc!BV$32</f>
        <v>2.038871592049479</v>
      </c>
      <c r="BW21" s="347">
        <f> Esc!BW$32</f>
        <v>2.0539940489932906</v>
      </c>
      <c r="BX21" s="347">
        <f> Esc!BX$32</f>
        <v>2.06922867028571</v>
      </c>
      <c r="BY21" s="347">
        <f> Esc!BY$32</f>
        <v>2.084576287857762</v>
      </c>
      <c r="BZ21" s="347">
        <f> Esc!BZ$32</f>
        <v>2.100037739810963</v>
      </c>
      <c r="CA21" s="347">
        <f> Esc!CA$32</f>
        <v>2.1156138704630885</v>
      </c>
      <c r="CB21" s="347">
        <f> Esc!CB$32</f>
        <v>2.1313055303942807</v>
      </c>
      <c r="CC21" s="347">
        <f> Esc!CC$32</f>
        <v>2.1471135764934943</v>
      </c>
      <c r="CD21" s="347">
        <f> Esc!CD$32</f>
        <v>2.163038872005291</v>
      </c>
      <c r="CE21" s="347">
        <f> Esc!CE$32</f>
        <v>2.1790822865769806</v>
      </c>
      <c r="CF21" s="347">
        <f> Esc!CF$32</f>
        <v>2.1952446963061085</v>
      </c>
      <c r="CG21" s="347">
        <f> Esc!CG$32</f>
        <v>2.211526983788298</v>
      </c>
      <c r="CH21" s="347">
        <f> Esc!CH$32</f>
        <v>2.227930038165449</v>
      </c>
      <c r="CI21" s="347">
        <f> Esc!CI$32</f>
        <v>2.2444547551742895</v>
      </c>
      <c r="CJ21" s="347">
        <f> Esc!CJ$32</f>
        <v>2.261102037195291</v>
      </c>
      <c r="CK21" s="347">
        <f> Esc!CK$32</f>
        <v>2.2778727933019463</v>
      </c>
      <c r="CL21" s="347">
        <f> Esc!CL$32</f>
        <v>2.294767939310412</v>
      </c>
      <c r="CM21" s="347">
        <f> Esc!CM$32</f>
        <v>2.3117883978295173</v>
      </c>
      <c r="CN21" s="347">
        <f> Esc!CN$32</f>
        <v>2.328935098311149</v>
      </c>
      <c r="CO21" s="347">
        <f> Esc!CO$32</f>
        <v>2.346208977101004</v>
      </c>
    </row>
    <row r="22">
      <c r="E22" s="325" t="str">
        <f> Time!E$69</f>
        <v>Forecast period flag</v>
      </c>
      <c r="F22" s="325">
        <f> Time!F$69</f>
        <v>0.0</v>
      </c>
      <c r="G22" s="325" t="str">
        <f> Time!G$69</f>
        <v>flag</v>
      </c>
      <c r="H22" s="325">
        <f> Time!H$69</f>
        <v>80.0</v>
      </c>
      <c r="I22" s="325">
        <f> Time!I$69</f>
        <v>0.0</v>
      </c>
      <c r="J22" s="325">
        <f> Time!J$69</f>
        <v>0.0</v>
      </c>
      <c r="K22" s="325">
        <f> Time!K$69</f>
        <v>0.0</v>
      </c>
      <c r="L22" s="325">
        <f> Time!L$69</f>
        <v>1.0</v>
      </c>
      <c r="M22" s="325">
        <f> Time!M$69</f>
        <v>1.0</v>
      </c>
      <c r="N22" s="325">
        <f> Time!N$69</f>
        <v>1.0</v>
      </c>
      <c r="O22" s="325">
        <f> Time!O$69</f>
        <v>1.0</v>
      </c>
      <c r="P22" s="325">
        <f> Time!P$69</f>
        <v>1.0</v>
      </c>
      <c r="Q22" s="325">
        <f> Time!Q$69</f>
        <v>1.0</v>
      </c>
      <c r="R22" s="325">
        <f> Time!R$69</f>
        <v>1.0</v>
      </c>
      <c r="S22" s="325">
        <f> Time!S$69</f>
        <v>1.0</v>
      </c>
      <c r="T22" s="325">
        <f> Time!T$69</f>
        <v>1.0</v>
      </c>
      <c r="U22" s="325">
        <f> Time!U$69</f>
        <v>1.0</v>
      </c>
      <c r="V22" s="325">
        <f> Time!V$69</f>
        <v>1.0</v>
      </c>
      <c r="W22" s="325">
        <f> Time!W$69</f>
        <v>1.0</v>
      </c>
      <c r="X22" s="325">
        <f> Time!X$69</f>
        <v>1.0</v>
      </c>
      <c r="Y22" s="325">
        <f> Time!Y$69</f>
        <v>1.0</v>
      </c>
      <c r="Z22" s="325">
        <f> Time!Z$69</f>
        <v>1.0</v>
      </c>
      <c r="AA22" s="325">
        <f> Time!AA$69</f>
        <v>1.0</v>
      </c>
      <c r="AB22" s="325">
        <f> Time!AB$69</f>
        <v>1.0</v>
      </c>
      <c r="AC22" s="325">
        <f> Time!AC$69</f>
        <v>1.0</v>
      </c>
      <c r="AD22" s="325">
        <f> Time!AD$69</f>
        <v>1.0</v>
      </c>
      <c r="AE22" s="325">
        <f> Time!AE$69</f>
        <v>1.0</v>
      </c>
      <c r="AF22" s="325">
        <f> Time!AF$69</f>
        <v>1.0</v>
      </c>
      <c r="AG22" s="325">
        <f> Time!AG$69</f>
        <v>1.0</v>
      </c>
      <c r="AH22" s="325">
        <f> Time!AH$69</f>
        <v>1.0</v>
      </c>
      <c r="AI22" s="325">
        <f> Time!AI$69</f>
        <v>1.0</v>
      </c>
      <c r="AJ22" s="325">
        <f> Time!AJ$69</f>
        <v>1.0</v>
      </c>
      <c r="AK22" s="325">
        <f> Time!AK$69</f>
        <v>1.0</v>
      </c>
      <c r="AL22" s="325">
        <f> Time!AL$69</f>
        <v>1.0</v>
      </c>
      <c r="AM22" s="325">
        <f> Time!AM$69</f>
        <v>1.0</v>
      </c>
      <c r="AN22" s="325">
        <f> Time!AN$69</f>
        <v>1.0</v>
      </c>
      <c r="AO22" s="325">
        <f> Time!AO$69</f>
        <v>1.0</v>
      </c>
      <c r="AP22" s="325">
        <f> Time!AP$69</f>
        <v>1.0</v>
      </c>
      <c r="AQ22" s="325">
        <f> Time!AQ$69</f>
        <v>1.0</v>
      </c>
      <c r="AR22" s="325">
        <f> Time!AR$69</f>
        <v>1.0</v>
      </c>
      <c r="AS22" s="325">
        <f> Time!AS$69</f>
        <v>1.0</v>
      </c>
      <c r="AT22" s="325">
        <f> Time!AT$69</f>
        <v>1.0</v>
      </c>
      <c r="AU22" s="325">
        <f> Time!AU$69</f>
        <v>1.0</v>
      </c>
      <c r="AV22" s="325">
        <f> Time!AV$69</f>
        <v>1.0</v>
      </c>
      <c r="AW22" s="325">
        <f> Time!AW$69</f>
        <v>1.0</v>
      </c>
      <c r="AX22" s="325">
        <f> Time!AX$69</f>
        <v>1.0</v>
      </c>
      <c r="AY22" s="325">
        <f> Time!AY$69</f>
        <v>1.0</v>
      </c>
      <c r="AZ22" s="325">
        <f> Time!AZ$69</f>
        <v>1.0</v>
      </c>
      <c r="BA22" s="325">
        <f> Time!BA$69</f>
        <v>1.0</v>
      </c>
      <c r="BB22" s="325">
        <f> Time!BB$69</f>
        <v>1.0</v>
      </c>
      <c r="BC22" s="325">
        <f> Time!BC$69</f>
        <v>1.0</v>
      </c>
      <c r="BD22" s="325">
        <f> Time!BD$69</f>
        <v>1.0</v>
      </c>
      <c r="BE22" s="325">
        <f> Time!BE$69</f>
        <v>1.0</v>
      </c>
      <c r="BF22" s="325">
        <f> Time!BF$69</f>
        <v>1.0</v>
      </c>
      <c r="BG22" s="325">
        <f> Time!BG$69</f>
        <v>1.0</v>
      </c>
      <c r="BH22" s="325">
        <f> Time!BH$69</f>
        <v>1.0</v>
      </c>
      <c r="BI22" s="325">
        <f> Time!BI$69</f>
        <v>1.0</v>
      </c>
      <c r="BJ22" s="325">
        <f> Time!BJ$69</f>
        <v>1.0</v>
      </c>
      <c r="BK22" s="325">
        <f> Time!BK$69</f>
        <v>1.0</v>
      </c>
      <c r="BL22" s="325">
        <f> Time!BL$69</f>
        <v>1.0</v>
      </c>
      <c r="BM22" s="325">
        <f> Time!BM$69</f>
        <v>1.0</v>
      </c>
      <c r="BN22" s="325">
        <f> Time!BN$69</f>
        <v>1.0</v>
      </c>
      <c r="BO22" s="325">
        <f> Time!BO$69</f>
        <v>1.0</v>
      </c>
      <c r="BP22" s="325">
        <f> Time!BP$69</f>
        <v>1.0</v>
      </c>
      <c r="BQ22" s="325">
        <f> Time!BQ$69</f>
        <v>1.0</v>
      </c>
      <c r="BR22" s="325">
        <f> Time!BR$69</f>
        <v>1.0</v>
      </c>
      <c r="BS22" s="325">
        <f> Time!BS$69</f>
        <v>1.0</v>
      </c>
      <c r="BT22" s="325">
        <f> Time!BT$69</f>
        <v>1.0</v>
      </c>
      <c r="BU22" s="325">
        <f> Time!BU$69</f>
        <v>1.0</v>
      </c>
      <c r="BV22" s="325">
        <f> Time!BV$69</f>
        <v>1.0</v>
      </c>
      <c r="BW22" s="325">
        <f> Time!BW$69</f>
        <v>1.0</v>
      </c>
      <c r="BX22" s="325">
        <f> Time!BX$69</f>
        <v>1.0</v>
      </c>
      <c r="BY22" s="325">
        <f> Time!BY$69</f>
        <v>1.0</v>
      </c>
      <c r="BZ22" s="325">
        <f> Time!BZ$69</f>
        <v>1.0</v>
      </c>
      <c r="CA22" s="325">
        <f> Time!CA$69</f>
        <v>1.0</v>
      </c>
      <c r="CB22" s="325">
        <f> Time!CB$69</f>
        <v>1.0</v>
      </c>
      <c r="CC22" s="325">
        <f> Time!CC$69</f>
        <v>1.0</v>
      </c>
      <c r="CD22" s="325">
        <f> Time!CD$69</f>
        <v>1.0</v>
      </c>
      <c r="CE22" s="325">
        <f> Time!CE$69</f>
        <v>1.0</v>
      </c>
      <c r="CF22" s="325">
        <f> Time!CF$69</f>
        <v>1.0</v>
      </c>
      <c r="CG22" s="325">
        <f> Time!CG$69</f>
        <v>1.0</v>
      </c>
      <c r="CH22" s="325">
        <f> Time!CH$69</f>
        <v>1.0</v>
      </c>
      <c r="CI22" s="325">
        <f> Time!CI$69</f>
        <v>1.0</v>
      </c>
      <c r="CJ22" s="325">
        <f> Time!CJ$69</f>
        <v>1.0</v>
      </c>
      <c r="CK22" s="325">
        <f> Time!CK$69</f>
        <v>1.0</v>
      </c>
      <c r="CL22" s="325">
        <f> Time!CL$69</f>
        <v>1.0</v>
      </c>
      <c r="CM22" s="325">
        <f> Time!CM$69</f>
        <v>1.0</v>
      </c>
      <c r="CN22" s="325">
        <f> Time!CN$69</f>
        <v>0.0</v>
      </c>
      <c r="CO22" s="325">
        <f> Time!CO$69</f>
        <v>0.0</v>
      </c>
    </row>
    <row r="23" customFormat="1" s="260">
      <c r="A23" s="263" t="n"/>
      <c r="B23" s="263" t="n"/>
      <c r="C23" s="264" t="n"/>
      <c r="D23" s="335" t="n"/>
      <c r="E23" s="260" t="inlineStr">
        <is>
          <t>Handling fixed cost</t>
        </is>
      </c>
      <c r="G23" s="260" t="str">
        <f>SMU</f>
        <v>$ 000s</v>
      </c>
      <c r="H23" s="260">
        <f> SUM(J23:CO23)</f>
        <v>157311.60051104537</v>
      </c>
      <c r="J23" s="260">
        <f> IF(J22 = 1, $F19 / $F20 * J21, 0)</f>
        <v>0.0</v>
      </c>
      <c r="K23" s="260">
        <f> IF(K22 = 1, $F19 / $F20 * K21, 0)</f>
        <v>0.0</v>
      </c>
      <c r="L23" s="260">
        <f> IF(L22 = 1, $F19 / $F20 * L21, 0)</f>
        <v>1379.322259635521</v>
      </c>
      <c r="M23" s="260">
        <f> IF(M22 = 1, $F19 / $F20 * M21, 0)</f>
        <v>1399.5622222904203</v>
      </c>
      <c r="N23" s="260">
        <f> IF(N22 = 1, $F19 / $F20 * N21, 0)</f>
        <v>1420.0991830437767</v>
      </c>
      <c r="O23" s="260">
        <f> IF(O22 = 1, $F19 / $F20 * O21, 0)</f>
        <v>1440.9374999999998</v>
      </c>
      <c r="P23" s="260">
        <f> IF(P22 = 1, $F19 / $F20 * P21, 0)</f>
        <v>1458.6210227975935</v>
      </c>
      <c r="Q23" s="260">
        <f> IF(Q22 = 1, $F19 / $F20 * Q21, 0)</f>
        <v>1476.5215619324906</v>
      </c>
      <c r="R23" s="260">
        <f> IF(R22 = 1, $F19 / $F20 * R21, 0)</f>
        <v>1494.6417806800575</v>
      </c>
      <c r="S23" s="260">
        <f> IF(S22 = 1, $F19 / $F20 * S21, 0)</f>
        <v>1512.9843749999998</v>
      </c>
      <c r="T23" s="260">
        <f> IF(T22 = 1, $F19 / $F20 * T21, 0)</f>
        <v>1527.8924251491123</v>
      </c>
      <c r="U23" s="260">
        <f> IF(U22 = 1, $F19 / $F20 * U21, 0)</f>
        <v>1542.9473703771964</v>
      </c>
      <c r="V23" s="260">
        <f> IF(V22 = 1, $F19 / $F20 * V21, 0)</f>
        <v>1558.1506581011852</v>
      </c>
      <c r="W23" s="260">
        <f> IF(W22 = 1, $F19 / $F20 * W21, 0)</f>
        <v>1573.5037499999999</v>
      </c>
      <c r="X23" s="260">
        <f> IF(X22 = 1, $F19 / $F20 * X21, 0)</f>
        <v>1585.1745402562815</v>
      </c>
      <c r="Y23" s="260">
        <f> IF(Y22 = 1, $F19 / $F20 * Y21, 0)</f>
        <v>1596.9318936015973</v>
      </c>
      <c r="Z23" s="260">
        <f> IF(Z22 = 1, $F19 / $F20 * Z21, 0)</f>
        <v>1608.776452080591</v>
      </c>
      <c r="AA23" s="260">
        <f> IF(AA22 = 1, $F19 / $F20 * AA21, 0)</f>
        <v>1620.7088624999992</v>
      </c>
      <c r="AB23" s="260">
        <f> IF(AB22 = 1, $F19 / $F20 * AB21, 0)</f>
        <v>1632.7297764639695</v>
      </c>
      <c r="AC23" s="260">
        <f> IF(AC22 = 1, $F19 / $F20 * AC21, 0)</f>
        <v>1644.8398504096447</v>
      </c>
      <c r="AD23" s="260">
        <f> IF(AD22 = 1, $F19 / $F20 * AD21, 0)</f>
        <v>1657.0397456430085</v>
      </c>
      <c r="AE23" s="260">
        <f> IF(AE22 = 1, $F19 / $F20 * AE21, 0)</f>
        <v>1669.330128374999</v>
      </c>
      <c r="AF23" s="260">
        <f> IF(AF22 = 1, $F19 / $F20 * AF21, 0)</f>
        <v>1681.7116697578883</v>
      </c>
      <c r="AG23" s="260">
        <f> IF(AG22 = 1, $F19 / $F20 * AG21, 0)</f>
        <v>1694.1850459219336</v>
      </c>
      <c r="AH23" s="260">
        <f> IF(AH22 = 1, $F19 / $F20 * AH21, 0)</f>
        <v>1706.7509380122983</v>
      </c>
      <c r="AI23" s="260">
        <f> IF(AI22 = 1, $F19 / $F20 * AI21, 0)</f>
        <v>1719.4100322262484</v>
      </c>
      <c r="AJ23" s="260">
        <f> IF(AJ22 = 1, $F19 / $F20 * AJ21, 0)</f>
        <v>1732.1630198506243</v>
      </c>
      <c r="AK23" s="260">
        <f> IF(AK22 = 1, $F19 / $F20 * AK21, 0)</f>
        <v>1745.010597299591</v>
      </c>
      <c r="AL23" s="260">
        <f> IF(AL22 = 1, $F19 / $F20 * AL21, 0)</f>
        <v>1757.9534661526664</v>
      </c>
      <c r="AM23" s="260">
        <f> IF(AM22 = 1, $F19 / $F20 * AM21, 0)</f>
        <v>1770.992333193035</v>
      </c>
      <c r="AN23" s="260">
        <f> IF(AN22 = 1, $F19 / $F20 * AN21, 0)</f>
        <v>1784.1279104461423</v>
      </c>
      <c r="AO23" s="260">
        <f> IF(AO22 = 1, $F19 / $F20 * AO21, 0)</f>
        <v>1797.360915218578</v>
      </c>
      <c r="AP23" s="260">
        <f> IF(AP22 = 1, $F19 / $F20 * AP21, 0)</f>
        <v>1810.6920701372455</v>
      </c>
      <c r="AQ23" s="260">
        <f> IF(AQ22 = 1, $F19 / $F20 * AQ21, 0)</f>
        <v>1824.1221031888253</v>
      </c>
      <c r="AR23" s="260">
        <f> IF(AR22 = 1, $F19 / $F20 * AR21, 0)</f>
        <v>1837.651747759526</v>
      </c>
      <c r="AS23" s="260">
        <f> IF(AS22 = 1, $F19 / $F20 * AS21, 0)</f>
        <v>1851.2817426751349</v>
      </c>
      <c r="AT23" s="260">
        <f> IF(AT22 = 1, $F19 / $F20 * AT21, 0)</f>
        <v>1865.0128322413625</v>
      </c>
      <c r="AU23" s="260">
        <f> IF(AU22 = 1, $F19 / $F20 * AU21, 0)</f>
        <v>1878.8457662844896</v>
      </c>
      <c r="AV23" s="260">
        <f> IF(AV22 = 1, $F19 / $F20 * AV21, 0)</f>
        <v>1892.781300192311</v>
      </c>
      <c r="AW23" s="260">
        <f> IF(AW22 = 1, $F19 / $F20 * AW21, 0)</f>
        <v>1906.820194955388</v>
      </c>
      <c r="AX23" s="260">
        <f> IF(AX22 = 1, $F19 / $F20 * AX21, 0)</f>
        <v>1920.9632172086026</v>
      </c>
      <c r="AY23" s="260">
        <f> IF(AY22 = 1, $F19 / $F20 * AY21, 0)</f>
        <v>1935.2111392730235</v>
      </c>
      <c r="AZ23" s="260">
        <f> IF(AZ22 = 1, $F19 / $F20 * AZ21, 0)</f>
        <v>1949.5647391980797</v>
      </c>
      <c r="BA23" s="260">
        <f> IF(BA22 = 1, $F19 / $F20 * BA21, 0)</f>
        <v>1964.0248008040487</v>
      </c>
      <c r="BB23" s="260">
        <f> IF(BB22 = 1, $F19 / $F20 * BB21, 0)</f>
        <v>1978.59211372486</v>
      </c>
      <c r="BC23" s="260">
        <f> IF(BC22 = 1, $F19 / $F20 * BC21, 0)</f>
        <v>1993.2674734512136</v>
      </c>
      <c r="BD23" s="260">
        <f> IF(BD22 = 1, $F19 / $F20 * BD21, 0)</f>
        <v>2008.0516813740217</v>
      </c>
      <c r="BE23" s="260">
        <f> IF(BE22 = 1, $F19 / $F20 * BE21, 0)</f>
        <v>2022.94554482817</v>
      </c>
      <c r="BF23" s="260">
        <f> IF(BF22 = 1, $F19 / $F20 * BF21, 0)</f>
        <v>2037.9498771366052</v>
      </c>
      <c r="BG23" s="260">
        <f> IF(BG22 = 1, $F19 / $F20 * BG21, 0)</f>
        <v>2053.0654976547494</v>
      </c>
      <c r="BH23" s="260">
        <f> IF(BH22 = 1, $F19 / $F20 * BH21, 0)</f>
        <v>2068.293231815241</v>
      </c>
      <c r="BI23" s="260">
        <f> IF(BI22 = 1, $F19 / $F20 * BI21, 0)</f>
        <v>2083.633911173014</v>
      </c>
      <c r="BJ23" s="260">
        <f> IF(BJ22 = 1, $F19 / $F20 * BJ21, 0)</f>
        <v>2099.0883734507024</v>
      </c>
      <c r="BK23" s="260">
        <f> IF(BK22 = 1, $F19 / $F20 * BK21, 0)</f>
        <v>2114.657462584391</v>
      </c>
      <c r="BL23" s="260">
        <f> IF(BL22 = 1, $F19 / $F20 * BL21, 0)</f>
        <v>2130.342028769698</v>
      </c>
      <c r="BM23" s="260">
        <f> IF(BM22 = 1, $F19 / $F20 * BM21, 0)</f>
        <v>2146.142928508204</v>
      </c>
      <c r="BN23" s="260">
        <f> IF(BN22 = 1, $F19 / $F20 * BN21, 0)</f>
        <v>2162.0610246542233</v>
      </c>
      <c r="BO23" s="260">
        <f> IF(BO22 = 1, $F19 / $F20 * BO21, 0)</f>
        <v>2178.097186461922</v>
      </c>
      <c r="BP23" s="260">
        <f> IF(BP22 = 1, $F19 / $F20 * BP21, 0)</f>
        <v>2194.2522896327882</v>
      </c>
      <c r="BQ23" s="260">
        <f> IF(BQ22 = 1, $F19 / $F20 * BQ21, 0)</f>
        <v>2210.5272163634495</v>
      </c>
      <c r="BR23" s="260">
        <f> IF(BR22 = 1, $F19 / $F20 * BR21, 0)</f>
        <v>2226.922855393849</v>
      </c>
      <c r="BS23" s="260">
        <f> IF(BS22 = 1, $F19 / $F20 * BS21, 0)</f>
        <v>2243.440102055779</v>
      </c>
      <c r="BT23" s="260">
        <f> IF(BT22 = 1, $F19 / $F20 * BT21, 0)</f>
        <v>2260.079858321771</v>
      </c>
      <c r="BU23" s="260">
        <f> IF(BU22 = 1, $F19 / $F20 * BU21, 0)</f>
        <v>2276.8430328543523</v>
      </c>
      <c r="BV23" s="260">
        <f> IF(BV22 = 1, $F19 / $F20 * BV21, 0)</f>
        <v>2293.730541055664</v>
      </c>
      <c r="BW23" s="260">
        <f> IF(BW22 = 1, $F19 / $F20 * BW21, 0)</f>
        <v>2310.743305117452</v>
      </c>
      <c r="BX23" s="260">
        <f> IF(BX22 = 1, $F19 / $F20 * BX21, 0)</f>
        <v>2327.8822540714236</v>
      </c>
      <c r="BY23" s="260">
        <f> IF(BY22 = 1, $F19 / $F20 * BY21, 0)</f>
        <v>2345.148323839982</v>
      </c>
      <c r="BZ23" s="260">
        <f> IF(BZ22 = 1, $F19 / $F20 * BZ21, 0)</f>
        <v>2362.5424572873335</v>
      </c>
      <c r="CA23" s="260">
        <f> IF(CA22 = 1, $F19 / $F20 * CA21, 0)</f>
        <v>2380.0656042709747</v>
      </c>
      <c r="CB23" s="260">
        <f> IF(CB22 = 1, $F19 / $F20 * CB21, 0)</f>
        <v>2397.718721693566</v>
      </c>
      <c r="CC23" s="260">
        <f> IF(CC22 = 1, $F19 / $F20 * CC21, 0)</f>
        <v>2415.502773555181</v>
      </c>
      <c r="CD23" s="260">
        <f> IF(CD22 = 1, $F19 / $F20 * CD21, 0)</f>
        <v>2433.4187310059524</v>
      </c>
      <c r="CE23" s="260">
        <f> IF(CE22 = 1, $F19 / $F20 * CE21, 0)</f>
        <v>2451.467572399103</v>
      </c>
      <c r="CF23" s="260">
        <f> IF(CF22 = 1, $F19 / $F20 * CF21, 0)</f>
        <v>2469.650283344372</v>
      </c>
      <c r="CG23" s="260">
        <f> IF(CG22 = 1, $F19 / $F20 * CG21, 0)</f>
        <v>2487.9678567618353</v>
      </c>
      <c r="CH23" s="260">
        <f> IF(CH22 = 1, $F19 / $F20 * CH21, 0)</f>
        <v>2506.42129293613</v>
      </c>
      <c r="CI23" s="260">
        <f> IF(CI22 = 1, $F19 / $F20 * CI21, 0)</f>
        <v>2525.0115995710757</v>
      </c>
      <c r="CJ23" s="260">
        <f> IF(CJ22 = 1, $F19 / $F20 * CJ21, 0)</f>
        <v>2543.7397918447023</v>
      </c>
      <c r="CK23" s="260">
        <f> IF(CK22 = 1, $F19 / $F20 * CK21, 0)</f>
        <v>2562.6068924646897</v>
      </c>
      <c r="CL23" s="260">
        <f> IF(CL22 = 1, $F19 / $F20 * CL21, 0)</f>
        <v>2581.613931724213</v>
      </c>
      <c r="CM23" s="260">
        <f> IF(CM22 = 1, $F19 / $F20 * CM21, 0)</f>
        <v>2600.761947558207</v>
      </c>
      <c r="CN23" s="260">
        <f> IF(CN22 = 1, $F19 / $F20 * CN21, 0)</f>
        <v>0.0</v>
      </c>
      <c r="CO23" s="260">
        <f> IF(CO22 = 1, $F19 / $F20 * CO21, 0)</f>
        <v>0.0</v>
      </c>
    </row>
    <row r="25">
      <c r="B25" s="294" t="inlineStr">
        <is>
          <t>O&amp;M Cost</t>
        </is>
      </c>
    </row>
    <row r="26">
      <c r="E26" s="325" t="str">
        <f> InpC!E$48</f>
        <v>O&amp;M cost- fixed per annum</v>
      </c>
      <c r="F26" s="325">
        <f> InpC!F$48</f>
        <v>3300.0</v>
      </c>
      <c r="G26" s="325" t="str">
        <f> InpC!G$48</f>
        <v>$ 000s</v>
      </c>
    </row>
    <row r="27" s="396">
      <c r="E27" s="325" t="str">
        <f> InpC!E$99</f>
        <v>No of periods in a year</v>
      </c>
      <c r="F27" s="325">
        <f> InpC!F$99</f>
        <v>4.0</v>
      </c>
      <c r="G27" s="325" t="str">
        <f> InpC!G$99</f>
        <v>periods</v>
      </c>
    </row>
    <row r="28">
      <c r="E28" s="325" t="str">
        <f>InpC!E$46</f>
        <v>O&amp;M cost - sensitivity</v>
      </c>
      <c r="F28" s="325">
        <f>InpC!F$46</f>
        <v>0.0</v>
      </c>
      <c r="G28" s="325" t="str">
        <f>InpC!G$46</f>
        <v>(1 + X%)</v>
      </c>
    </row>
    <row r="29">
      <c r="E29" s="347" t="str">
        <f> Esc!E$38</f>
        <v>O&amp;M escalation factor</v>
      </c>
      <c r="F29" s="347">
        <f> Esc!F$38</f>
        <v>0.0</v>
      </c>
      <c r="G29" s="347" t="str">
        <f> Esc!G$38</f>
        <v>factor</v>
      </c>
      <c r="H29" s="347">
        <f> Esc!H$38</f>
        <v>0.0</v>
      </c>
      <c r="I29" s="347">
        <f> Esc!I$38</f>
        <v>0.0</v>
      </c>
      <c r="J29" s="347">
        <f> Esc!J$38</f>
        <v>0.0</v>
      </c>
      <c r="K29" s="347">
        <f> Esc!K$38</f>
        <v>1.0984848484848484</v>
      </c>
      <c r="L29" s="347">
        <f> Esc!L$38</f>
        <v>1.114603846170118</v>
      </c>
      <c r="M29" s="347">
        <f> Esc!M$38</f>
        <v>1.1309593715478143</v>
      </c>
      <c r="N29" s="347">
        <f> Esc!N$38</f>
        <v>1.1475548953889103</v>
      </c>
      <c r="O29" s="347">
        <f> Esc!O$38</f>
        <v>1.164393939393939</v>
      </c>
      <c r="P29" s="347">
        <f> Esc!P$38</f>
        <v>1.178683654785934</v>
      </c>
      <c r="Q29" s="347">
        <f> Esc!Q$38</f>
        <v>1.193148736915144</v>
      </c>
      <c r="R29" s="347">
        <f> Esc!R$38</f>
        <v>1.2077913379232788</v>
      </c>
      <c r="S29" s="347">
        <f> Esc!S$38</f>
        <v>1.2226136363636362</v>
      </c>
      <c r="T29" s="347">
        <f> Esc!T$38</f>
        <v>1.2346605455750403</v>
      </c>
      <c r="U29" s="347">
        <f> Esc!U$38</f>
        <v>1.2468261578805628</v>
      </c>
      <c r="V29" s="347">
        <f> Esc!V$38</f>
        <v>1.2591116429100486</v>
      </c>
      <c r="W29" s="347">
        <f> Esc!W$38</f>
        <v>1.2715181818181815</v>
      </c>
      <c r="X29" s="347">
        <f> Esc!X$38</f>
        <v>1.2809491234394192</v>
      </c>
      <c r="Y29" s="347">
        <f> Esc!Y$38</f>
        <v>1.2904500150315936</v>
      </c>
      <c r="Z29" s="347">
        <f> Esc!Z$38</f>
        <v>1.3000213754186594</v>
      </c>
      <c r="AA29" s="347">
        <f> Esc!AA$38</f>
        <v>1.3096637272727265</v>
      </c>
      <c r="AB29" s="347">
        <f> Esc!AB$38</f>
        <v>1.3193775971426016</v>
      </c>
      <c r="AC29" s="347">
        <f> Esc!AC$38</f>
        <v>1.3291635154825412</v>
      </c>
      <c r="AD29" s="347">
        <f> Esc!AD$38</f>
        <v>1.339022016681219</v>
      </c>
      <c r="AE29" s="347">
        <f> Esc!AE$38</f>
        <v>1.3489536390909083</v>
      </c>
      <c r="AF29" s="347">
        <f> Esc!AF$38</f>
        <v>1.3589589250568794</v>
      </c>
      <c r="AG29" s="347">
        <f> Esc!AG$38</f>
        <v>1.369038420947017</v>
      </c>
      <c r="AH29" s="347">
        <f> Esc!AH$38</f>
        <v>1.3791926771816552</v>
      </c>
      <c r="AI29" s="347">
        <f> Esc!AI$38</f>
        <v>1.3894222482636351</v>
      </c>
      <c r="AJ29" s="347">
        <f> Esc!AJ$38</f>
        <v>1.3997276928085853</v>
      </c>
      <c r="AK29" s="347">
        <f> Esc!AK$38</f>
        <v>1.410109573575427</v>
      </c>
      <c r="AL29" s="347">
        <f> Esc!AL$38</f>
        <v>1.420568457497104</v>
      </c>
      <c r="AM29" s="347">
        <f> Esc!AM$38</f>
        <v>1.4311049157115434</v>
      </c>
      <c r="AN29" s="347">
        <f> Esc!AN$38</f>
        <v>1.4417195235928422</v>
      </c>
      <c r="AO29" s="347">
        <f> Esc!AO$38</f>
        <v>1.4524128607826892</v>
      </c>
      <c r="AP29" s="347">
        <f> Esc!AP$38</f>
        <v>1.4631855112220167</v>
      </c>
      <c r="AQ29" s="347">
        <f> Esc!AQ$38</f>
        <v>1.4740380631828893</v>
      </c>
      <c r="AR29" s="347">
        <f> Esc!AR$38</f>
        <v>1.484971109300627</v>
      </c>
      <c r="AS29" s="347">
        <f> Esc!AS$38</f>
        <v>1.4959852466061694</v>
      </c>
      <c r="AT29" s="347">
        <f> Esc!AT$38</f>
        <v>1.5070810765586768</v>
      </c>
      <c r="AU29" s="347">
        <f> Esc!AU$38</f>
        <v>1.5182592050783754</v>
      </c>
      <c r="AV29" s="347">
        <f> Esc!AV$38</f>
        <v>1.5295202425796453</v>
      </c>
      <c r="AW29" s="347">
        <f> Esc!AW$38</f>
        <v>1.540864804004354</v>
      </c>
      <c r="AX29" s="347">
        <f> Esc!AX$38</f>
        <v>1.5522935088554366</v>
      </c>
      <c r="AY29" s="347">
        <f> Esc!AY$38</f>
        <v>1.563806981230726</v>
      </c>
      <c r="AZ29" s="347">
        <f> Esc!AZ$38</f>
        <v>1.575405849857034</v>
      </c>
      <c r="BA29" s="347">
        <f> Esc!BA$38</f>
        <v>1.5870907481244838</v>
      </c>
      <c r="BB29" s="347">
        <f> Esc!BB$38</f>
        <v>1.598862314121099</v>
      </c>
      <c r="BC29" s="347">
        <f> Esc!BC$38</f>
        <v>1.6107211906676473</v>
      </c>
      <c r="BD29" s="347">
        <f> Esc!BD$38</f>
        <v>1.6226680253527446</v>
      </c>
      <c r="BE29" s="347">
        <f> Esc!BE$38</f>
        <v>1.6347034705682182</v>
      </c>
      <c r="BF29" s="347">
        <f> Esc!BF$38</f>
        <v>1.6468281835447316</v>
      </c>
      <c r="BG29" s="347">
        <f> Esc!BG$38</f>
        <v>1.6590428263876762</v>
      </c>
      <c r="BH29" s="347">
        <f> Esc!BH$38</f>
        <v>1.6713480661133264</v>
      </c>
      <c r="BI29" s="347">
        <f> Esc!BI$38</f>
        <v>1.683744574685264</v>
      </c>
      <c r="BJ29" s="347">
        <f> Esc!BJ$38</f>
        <v>1.6962330290510728</v>
      </c>
      <c r="BK29" s="347">
        <f> Esc!BK$38</f>
        <v>1.7088141111793058</v>
      </c>
      <c r="BL29" s="347">
        <f> Esc!BL$38</f>
        <v>1.7214885080967255</v>
      </c>
      <c r="BM29" s="347">
        <f> Esc!BM$38</f>
        <v>1.7342569119258213</v>
      </c>
      <c r="BN29" s="347">
        <f> Esc!BN$38</f>
        <v>1.7471200199226045</v>
      </c>
      <c r="BO29" s="347">
        <f> Esc!BO$38</f>
        <v>1.7600785345146845</v>
      </c>
      <c r="BP29" s="347">
        <f> Esc!BP$38</f>
        <v>1.7731331633396268</v>
      </c>
      <c r="BQ29" s="347">
        <f> Esc!BQ$38</f>
        <v>1.7862846192835955</v>
      </c>
      <c r="BR29" s="347">
        <f> Esc!BR$38</f>
        <v>1.799533620520282</v>
      </c>
      <c r="BS29" s="347">
        <f> Esc!BS$38</f>
        <v>1.8128808905501246</v>
      </c>
      <c r="BT29" s="347">
        <f> Esc!BT$38</f>
        <v>1.826327158239815</v>
      </c>
      <c r="BU29" s="347">
        <f> Esc!BU$38</f>
        <v>1.8398731578621026</v>
      </c>
      <c r="BV29" s="347">
        <f> Esc!BV$38</f>
        <v>1.85351962913589</v>
      </c>
      <c r="BW29" s="347">
        <f> Esc!BW$38</f>
        <v>1.8672673172666276</v>
      </c>
      <c r="BX29" s="347">
        <f> Esc!BX$38</f>
        <v>1.881116972987009</v>
      </c>
      <c r="BY29" s="347">
        <f> Esc!BY$38</f>
        <v>1.8950693525979654</v>
      </c>
      <c r="BZ29" s="347">
        <f> Esc!BZ$38</f>
        <v>1.9091252180099663</v>
      </c>
      <c r="CA29" s="347">
        <f> Esc!CA$38</f>
        <v>1.923285336784626</v>
      </c>
      <c r="CB29" s="347">
        <f> Esc!CB$38</f>
        <v>1.9375504821766187</v>
      </c>
      <c r="CC29" s="347">
        <f> Esc!CC$38</f>
        <v>1.9519214331759038</v>
      </c>
      <c r="CD29" s="347">
        <f> Esc!CD$38</f>
        <v>1.9663989745502646</v>
      </c>
      <c r="CE29" s="347">
        <f> Esc!CE$38</f>
        <v>1.9809838968881641</v>
      </c>
      <c r="CF29" s="347">
        <f> Esc!CF$38</f>
        <v>1.9956769966419168</v>
      </c>
      <c r="CG29" s="347">
        <f> Esc!CG$38</f>
        <v>2.01047907617118</v>
      </c>
      <c r="CH29" s="347">
        <f> Esc!CH$38</f>
        <v>2.025390943786772</v>
      </c>
      <c r="CI29" s="347">
        <f> Esc!CI$38</f>
        <v>2.0404134137948087</v>
      </c>
      <c r="CJ29" s="347">
        <f> Esc!CJ$38</f>
        <v>2.0555473065411736</v>
      </c>
      <c r="CK29" s="347">
        <f> Esc!CK$38</f>
        <v>2.070793448456315</v>
      </c>
      <c r="CL29" s="347">
        <f> Esc!CL$38</f>
        <v>2.0861526721003743</v>
      </c>
      <c r="CM29" s="347">
        <f> Esc!CM$38</f>
        <v>2.101625816208652</v>
      </c>
      <c r="CN29" s="347">
        <f> Esc!CN$38</f>
        <v>2.1172137257374084</v>
      </c>
      <c r="CO29" s="347">
        <f> Esc!CO$38</f>
        <v>2.132917251910004</v>
      </c>
    </row>
    <row r="30" customFormat="1" s="260">
      <c r="E30" s="325" t="str">
        <f> Time!E$69</f>
        <v>Forecast period flag</v>
      </c>
      <c r="F30" s="325">
        <f> Time!F$69</f>
        <v>0.0</v>
      </c>
      <c r="G30" s="325" t="str">
        <f> Time!G$69</f>
        <v>flag</v>
      </c>
      <c r="H30" s="325">
        <f> Time!H$69</f>
        <v>80.0</v>
      </c>
      <c r="I30" s="325">
        <f> Time!I$69</f>
        <v>0.0</v>
      </c>
      <c r="J30" s="325">
        <f> Time!J$69</f>
        <v>0.0</v>
      </c>
      <c r="K30" s="325">
        <f> Time!K$69</f>
        <v>0.0</v>
      </c>
      <c r="L30" s="325">
        <f> Time!L$69</f>
        <v>1.0</v>
      </c>
      <c r="M30" s="325">
        <f> Time!M$69</f>
        <v>1.0</v>
      </c>
      <c r="N30" s="325">
        <f> Time!N$69</f>
        <v>1.0</v>
      </c>
      <c r="O30" s="325">
        <f> Time!O$69</f>
        <v>1.0</v>
      </c>
      <c r="P30" s="325">
        <f> Time!P$69</f>
        <v>1.0</v>
      </c>
      <c r="Q30" s="325">
        <f> Time!Q$69</f>
        <v>1.0</v>
      </c>
      <c r="R30" s="325">
        <f> Time!R$69</f>
        <v>1.0</v>
      </c>
      <c r="S30" s="325">
        <f> Time!S$69</f>
        <v>1.0</v>
      </c>
      <c r="T30" s="325">
        <f> Time!T$69</f>
        <v>1.0</v>
      </c>
      <c r="U30" s="325">
        <f> Time!U$69</f>
        <v>1.0</v>
      </c>
      <c r="V30" s="325">
        <f> Time!V$69</f>
        <v>1.0</v>
      </c>
      <c r="W30" s="325">
        <f> Time!W$69</f>
        <v>1.0</v>
      </c>
      <c r="X30" s="325">
        <f> Time!X$69</f>
        <v>1.0</v>
      </c>
      <c r="Y30" s="325">
        <f> Time!Y$69</f>
        <v>1.0</v>
      </c>
      <c r="Z30" s="325">
        <f> Time!Z$69</f>
        <v>1.0</v>
      </c>
      <c r="AA30" s="325">
        <f> Time!AA$69</f>
        <v>1.0</v>
      </c>
      <c r="AB30" s="325">
        <f> Time!AB$69</f>
        <v>1.0</v>
      </c>
      <c r="AC30" s="325">
        <f> Time!AC$69</f>
        <v>1.0</v>
      </c>
      <c r="AD30" s="325">
        <f> Time!AD$69</f>
        <v>1.0</v>
      </c>
      <c r="AE30" s="325">
        <f> Time!AE$69</f>
        <v>1.0</v>
      </c>
      <c r="AF30" s="325">
        <f> Time!AF$69</f>
        <v>1.0</v>
      </c>
      <c r="AG30" s="325">
        <f> Time!AG$69</f>
        <v>1.0</v>
      </c>
      <c r="AH30" s="325">
        <f> Time!AH$69</f>
        <v>1.0</v>
      </c>
      <c r="AI30" s="325">
        <f> Time!AI$69</f>
        <v>1.0</v>
      </c>
      <c r="AJ30" s="325">
        <f> Time!AJ$69</f>
        <v>1.0</v>
      </c>
      <c r="AK30" s="325">
        <f> Time!AK$69</f>
        <v>1.0</v>
      </c>
      <c r="AL30" s="325">
        <f> Time!AL$69</f>
        <v>1.0</v>
      </c>
      <c r="AM30" s="325">
        <f> Time!AM$69</f>
        <v>1.0</v>
      </c>
      <c r="AN30" s="325">
        <f> Time!AN$69</f>
        <v>1.0</v>
      </c>
      <c r="AO30" s="325">
        <f> Time!AO$69</f>
        <v>1.0</v>
      </c>
      <c r="AP30" s="325">
        <f> Time!AP$69</f>
        <v>1.0</v>
      </c>
      <c r="AQ30" s="325">
        <f> Time!AQ$69</f>
        <v>1.0</v>
      </c>
      <c r="AR30" s="325">
        <f> Time!AR$69</f>
        <v>1.0</v>
      </c>
      <c r="AS30" s="325">
        <f> Time!AS$69</f>
        <v>1.0</v>
      </c>
      <c r="AT30" s="325">
        <f> Time!AT$69</f>
        <v>1.0</v>
      </c>
      <c r="AU30" s="325">
        <f> Time!AU$69</f>
        <v>1.0</v>
      </c>
      <c r="AV30" s="325">
        <f> Time!AV$69</f>
        <v>1.0</v>
      </c>
      <c r="AW30" s="325">
        <f> Time!AW$69</f>
        <v>1.0</v>
      </c>
      <c r="AX30" s="325">
        <f> Time!AX$69</f>
        <v>1.0</v>
      </c>
      <c r="AY30" s="325">
        <f> Time!AY$69</f>
        <v>1.0</v>
      </c>
      <c r="AZ30" s="325">
        <f> Time!AZ$69</f>
        <v>1.0</v>
      </c>
      <c r="BA30" s="325">
        <f> Time!BA$69</f>
        <v>1.0</v>
      </c>
      <c r="BB30" s="325">
        <f> Time!BB$69</f>
        <v>1.0</v>
      </c>
      <c r="BC30" s="325">
        <f> Time!BC$69</f>
        <v>1.0</v>
      </c>
      <c r="BD30" s="325">
        <f> Time!BD$69</f>
        <v>1.0</v>
      </c>
      <c r="BE30" s="325">
        <f> Time!BE$69</f>
        <v>1.0</v>
      </c>
      <c r="BF30" s="325">
        <f> Time!BF$69</f>
        <v>1.0</v>
      </c>
      <c r="BG30" s="325">
        <f> Time!BG$69</f>
        <v>1.0</v>
      </c>
      <c r="BH30" s="325">
        <f> Time!BH$69</f>
        <v>1.0</v>
      </c>
      <c r="BI30" s="325">
        <f> Time!BI$69</f>
        <v>1.0</v>
      </c>
      <c r="BJ30" s="325">
        <f> Time!BJ$69</f>
        <v>1.0</v>
      </c>
      <c r="BK30" s="325">
        <f> Time!BK$69</f>
        <v>1.0</v>
      </c>
      <c r="BL30" s="325">
        <f> Time!BL$69</f>
        <v>1.0</v>
      </c>
      <c r="BM30" s="325">
        <f> Time!BM$69</f>
        <v>1.0</v>
      </c>
      <c r="BN30" s="325">
        <f> Time!BN$69</f>
        <v>1.0</v>
      </c>
      <c r="BO30" s="325">
        <f> Time!BO$69</f>
        <v>1.0</v>
      </c>
      <c r="BP30" s="325">
        <f> Time!BP$69</f>
        <v>1.0</v>
      </c>
      <c r="BQ30" s="325">
        <f> Time!BQ$69</f>
        <v>1.0</v>
      </c>
      <c r="BR30" s="325">
        <f> Time!BR$69</f>
        <v>1.0</v>
      </c>
      <c r="BS30" s="325">
        <f> Time!BS$69</f>
        <v>1.0</v>
      </c>
      <c r="BT30" s="325">
        <f> Time!BT$69</f>
        <v>1.0</v>
      </c>
      <c r="BU30" s="325">
        <f> Time!BU$69</f>
        <v>1.0</v>
      </c>
      <c r="BV30" s="325">
        <f> Time!BV$69</f>
        <v>1.0</v>
      </c>
      <c r="BW30" s="325">
        <f> Time!BW$69</f>
        <v>1.0</v>
      </c>
      <c r="BX30" s="325">
        <f> Time!BX$69</f>
        <v>1.0</v>
      </c>
      <c r="BY30" s="325">
        <f> Time!BY$69</f>
        <v>1.0</v>
      </c>
      <c r="BZ30" s="325">
        <f> Time!BZ$69</f>
        <v>1.0</v>
      </c>
      <c r="CA30" s="325">
        <f> Time!CA$69</f>
        <v>1.0</v>
      </c>
      <c r="CB30" s="325">
        <f> Time!CB$69</f>
        <v>1.0</v>
      </c>
      <c r="CC30" s="325">
        <f> Time!CC$69</f>
        <v>1.0</v>
      </c>
      <c r="CD30" s="325">
        <f> Time!CD$69</f>
        <v>1.0</v>
      </c>
      <c r="CE30" s="325">
        <f> Time!CE$69</f>
        <v>1.0</v>
      </c>
      <c r="CF30" s="325">
        <f> Time!CF$69</f>
        <v>1.0</v>
      </c>
      <c r="CG30" s="325">
        <f> Time!CG$69</f>
        <v>1.0</v>
      </c>
      <c r="CH30" s="325">
        <f> Time!CH$69</f>
        <v>1.0</v>
      </c>
      <c r="CI30" s="325">
        <f> Time!CI$69</f>
        <v>1.0</v>
      </c>
      <c r="CJ30" s="325">
        <f> Time!CJ$69</f>
        <v>1.0</v>
      </c>
      <c r="CK30" s="325">
        <f> Time!CK$69</f>
        <v>1.0</v>
      </c>
      <c r="CL30" s="325">
        <f> Time!CL$69</f>
        <v>1.0</v>
      </c>
      <c r="CM30" s="325">
        <f> Time!CM$69</f>
        <v>1.0</v>
      </c>
      <c r="CN30" s="325">
        <f> Time!CN$69</f>
        <v>0.0</v>
      </c>
      <c r="CO30" s="325">
        <f> Time!CO$69</f>
        <v>0.0</v>
      </c>
    </row>
    <row r="31" s="396">
      <c r="A31" s="263" t="n"/>
      <c r="B31" s="263" t="n"/>
      <c r="C31" s="264" t="n"/>
      <c r="D31" s="335" t="n"/>
      <c r="E31" s="260" t="inlineStr">
        <is>
          <t>O&amp;M fixed cost</t>
        </is>
      </c>
      <c r="G31" s="260" t="str">
        <f>SMU</f>
        <v>$ 000s</v>
      </c>
      <c r="H31" s="260">
        <f> SUM(J31:CO31)</f>
        <v>104874.40034069688</v>
      </c>
      <c r="J31" s="260">
        <f>IF(J30=1,$F26/$F27*J29*(1+$F28),0)</f>
        <v>0.0</v>
      </c>
      <c r="K31" s="260">
        <f>IF(K30=1,$F26/$F27*K29*(1+$F28),0)</f>
        <v>0.0</v>
      </c>
      <c r="L31" s="260">
        <f>IF(L30=1,$F26/$F27*L29*(1+$F28),0)</f>
        <v>919.5481730903473</v>
      </c>
      <c r="M31" s="260">
        <f>IF(M30=1,$F26/$F27*M29*(1+$F28),0)</f>
        <v>933.0414815269469</v>
      </c>
      <c r="N31" s="260">
        <f>IF(N30=1,$F26/$F27*N29*(1+$F28),0)</f>
        <v>946.732788695851</v>
      </c>
      <c r="O31" s="260">
        <f>IF(O30=1,$F26/$F27*O29*(1+$F28),0)</f>
        <v>960.6249999999998</v>
      </c>
      <c r="P31" s="260">
        <f>IF(P30=1,$F26/$F27*P29*(1+$F28),0)</f>
        <v>972.4140151983956</v>
      </c>
      <c r="Q31" s="260">
        <f>IF(Q30=1,$F26/$F27*Q29*(1+$F28),0)</f>
        <v>984.3477079549937</v>
      </c>
      <c r="R31" s="260">
        <f>IF(R30=1,$F26/$F27*R29*(1+$F28),0)</f>
        <v>996.427853786705</v>
      </c>
      <c r="S31" s="260">
        <f>IF(S30=1,$F26/$F27*S29*(1+$F28),0)</f>
        <v>1008.6562499999999</v>
      </c>
      <c r="T31" s="260">
        <f>IF(T30=1,$F26/$F27*T29*(1+$F28),0)</f>
        <v>1018.5949500994083</v>
      </c>
      <c r="U31" s="260">
        <f>IF(U30=1,$F26/$F27*U29*(1+$F28),0)</f>
        <v>1028.6315802514644</v>
      </c>
      <c r="V31" s="260">
        <f>IF(V30=1,$F26/$F27*V29*(1+$F28),0)</f>
        <v>1038.7671054007901</v>
      </c>
      <c r="W31" s="260">
        <f>IF(W30=1,$F26/$F27*W29*(1+$F28),0)</f>
        <v>1049.0024999999998</v>
      </c>
      <c r="X31" s="260">
        <f>IF(X30=1,$F26/$F27*X29*(1+$F28),0)</f>
        <v>1056.7830268375208</v>
      </c>
      <c r="Y31" s="260">
        <f>IF(Y30=1,$F26/$F27*Y29*(1+$F28),0)</f>
        <v>1064.6212624010648</v>
      </c>
      <c r="Z31" s="260">
        <f>IF(Z30=1,$F26/$F27*Z29*(1+$F28),0)</f>
        <v>1072.517634720394</v>
      </c>
      <c r="AA31" s="260">
        <f>IF(AA30=1,$F26/$F27*AA29*(1+$F28),0)</f>
        <v>1080.4725749999993</v>
      </c>
      <c r="AB31" s="260">
        <f>IF(AB30=1,$F26/$F27*AB29*(1+$F28),0)</f>
        <v>1088.4865176426463</v>
      </c>
      <c r="AC31" s="260">
        <f>IF(AC30=1,$F26/$F27*AC29*(1+$F28),0)</f>
        <v>1096.5599002730964</v>
      </c>
      <c r="AD31" s="260">
        <f>IF(AD30=1,$F26/$F27*AD29*(1+$F28),0)</f>
        <v>1104.6931637620057</v>
      </c>
      <c r="AE31" s="260">
        <f>IF(AE30=1,$F26/$F27*AE29*(1+$F28),0)</f>
        <v>1112.8867522499993</v>
      </c>
      <c r="AF31" s="260">
        <f>IF(AF30=1,$F26/$F27*AF29*(1+$F28),0)</f>
        <v>1121.1411131719256</v>
      </c>
      <c r="AG31" s="260">
        <f>IF(AG30=1,$F26/$F27*AG29*(1+$F28),0)</f>
        <v>1129.456697281289</v>
      </c>
      <c r="AH31" s="260">
        <f>IF(AH30=1,$F26/$F27*AH29*(1+$F28),0)</f>
        <v>1137.8339586748655</v>
      </c>
      <c r="AI31" s="260">
        <f>IF(AI30=1,$F26/$F27*AI29*(1+$F28),0)</f>
        <v>1146.273354817499</v>
      </c>
      <c r="AJ31" s="260">
        <f>IF(AJ30=1,$F26/$F27*AJ29*(1+$F28),0)</f>
        <v>1154.7753465670828</v>
      </c>
      <c r="AK31" s="260">
        <f>IF(AK30=1,$F26/$F27*AK29*(1+$F28),0)</f>
        <v>1163.3403981997274</v>
      </c>
      <c r="AL31" s="260">
        <f>IF(AL30=1,$F26/$F27*AL29*(1+$F28),0)</f>
        <v>1171.968977435111</v>
      </c>
      <c r="AM31" s="260">
        <f>IF(AM30=1,$F26/$F27*AM29*(1+$F28),0)</f>
        <v>1180.6615554620232</v>
      </c>
      <c r="AN31" s="260">
        <f>IF(AN30=1,$F26/$F27*AN29*(1+$F28),0)</f>
        <v>1189.4186069640948</v>
      </c>
      <c r="AO31" s="260">
        <f>IF(AO30=1,$F26/$F27*AO29*(1+$F28),0)</f>
        <v>1198.2406101457186</v>
      </c>
      <c r="AP31" s="260">
        <f>IF(AP30=1,$F26/$F27*AP29*(1+$F28),0)</f>
        <v>1207.1280467581637</v>
      </c>
      <c r="AQ31" s="260">
        <f>IF(AQ30=1,$F26/$F27*AQ29*(1+$F28),0)</f>
        <v>1216.0814021258836</v>
      </c>
      <c r="AR31" s="260">
        <f>IF(AR30=1,$F26/$F27*AR29*(1+$F28),0)</f>
        <v>1225.1011651730173</v>
      </c>
      <c r="AS31" s="260">
        <f>IF(AS30=1,$F26/$F27*AS29*(1+$F28),0)</f>
        <v>1234.1878284500897</v>
      </c>
      <c r="AT31" s="260">
        <f>IF(AT30=1,$F26/$F27*AT29*(1+$F28),0)</f>
        <v>1243.3418881609084</v>
      </c>
      <c r="AU31" s="260">
        <f>IF(AU30=1,$F26/$F27*AU29*(1+$F28),0)</f>
        <v>1252.5638441896597</v>
      </c>
      <c r="AV31" s="260">
        <f>IF(AV30=1,$F26/$F27*AV29*(1+$F28),0)</f>
        <v>1261.8542001282074</v>
      </c>
      <c r="AW31" s="260">
        <f>IF(AW30=1,$F26/$F27*AW29*(1+$F28),0)</f>
        <v>1271.213463303592</v>
      </c>
      <c r="AX31" s="260">
        <f>IF(AX30=1,$F26/$F27*AX29*(1+$F28),0)</f>
        <v>1280.6421448057351</v>
      </c>
      <c r="AY31" s="260">
        <f>IF(AY30=1,$F26/$F27*AY29*(1+$F28),0)</f>
        <v>1290.140759515349</v>
      </c>
      <c r="AZ31" s="260">
        <f>IF(AZ30=1,$F26/$F27*AZ29*(1+$F28),0)</f>
        <v>1299.709826132053</v>
      </c>
      <c r="BA31" s="260">
        <f>IF(BA30=1,$F26/$F27*BA29*(1+$F28),0)</f>
        <v>1309.3498672026992</v>
      </c>
      <c r="BB31" s="260">
        <f>IF(BB30=1,$F26/$F27*BB29*(1+$F28),0)</f>
        <v>1319.0614091499067</v>
      </c>
      <c r="BC31" s="260">
        <f>IF(BC30=1,$F26/$F27*BC29*(1+$F28),0)</f>
        <v>1328.844982300809</v>
      </c>
      <c r="BD31" s="260">
        <f>IF(BD30=1,$F26/$F27*BD29*(1+$F28),0)</f>
        <v>1338.7011209160144</v>
      </c>
      <c r="BE31" s="260">
        <f>IF(BE30=1,$F26/$F27*BE29*(1+$F28),0)</f>
        <v>1348.63036321878</v>
      </c>
      <c r="BF31" s="260">
        <f>IF(BF30=1,$F26/$F27*BF29*(1+$F28),0)</f>
        <v>1358.6332514244036</v>
      </c>
      <c r="BG31" s="260">
        <f>IF(BG30=1,$F26/$F27*BG29*(1+$F28),0)</f>
        <v>1368.710331769833</v>
      </c>
      <c r="BH31" s="260">
        <f>IF(BH30=1,$F26/$F27*BH29*(1+$F28),0)</f>
        <v>1378.8621545434944</v>
      </c>
      <c r="BI31" s="260">
        <f>IF(BI30=1,$F26/$F27*BI29*(1+$F28),0)</f>
        <v>1389.0892741153427</v>
      </c>
      <c r="BJ31" s="260">
        <f>IF(BJ30=1,$F26/$F27*BJ29*(1+$F28),0)</f>
        <v>1399.392248967135</v>
      </c>
      <c r="BK31" s="260">
        <f>IF(BK30=1,$F26/$F27*BK29*(1+$F28),0)</f>
        <v>1409.7716417229274</v>
      </c>
      <c r="BL31" s="260">
        <f>IF(BL30=1,$F26/$F27*BL29*(1+$F28),0)</f>
        <v>1420.2280191797986</v>
      </c>
      <c r="BM31" s="260">
        <f>IF(BM30=1,$F26/$F27*BM29*(1+$F28),0)</f>
        <v>1430.7619523388025</v>
      </c>
      <c r="BN31" s="260">
        <f>IF(BN30=1,$F26/$F27*BN29*(1+$F28),0)</f>
        <v>1441.3740164361486</v>
      </c>
      <c r="BO31" s="260">
        <f>IF(BO30=1,$F26/$F27*BO29*(1+$F28),0)</f>
        <v>1452.0647909746147</v>
      </c>
      <c r="BP31" s="260">
        <f>IF(BP30=1,$F26/$F27*BP29*(1+$F28),0)</f>
        <v>1462.8348597551922</v>
      </c>
      <c r="BQ31" s="260">
        <f>IF(BQ30=1,$F26/$F27*BQ29*(1+$F28),0)</f>
        <v>1473.6848109089663</v>
      </c>
      <c r="BR31" s="260">
        <f>IF(BR30=1,$F26/$F27*BR29*(1+$F28),0)</f>
        <v>1484.6152369292327</v>
      </c>
      <c r="BS31" s="260">
        <f>IF(BS30=1,$F26/$F27*BS29*(1+$F28),0)</f>
        <v>1495.626734703853</v>
      </c>
      <c r="BT31" s="260">
        <f>IF(BT30=1,$F26/$F27*BT29*(1+$F28),0)</f>
        <v>1506.7199055478475</v>
      </c>
      <c r="BU31" s="260">
        <f>IF(BU30=1,$F26/$F27*BU29*(1+$F28),0)</f>
        <v>1517.8953552362345</v>
      </c>
      <c r="BV31" s="260">
        <f>IF(BV30=1,$F26/$F27*BV29*(1+$F28),0)</f>
        <v>1529.1536940371093</v>
      </c>
      <c r="BW31" s="260">
        <f>IF(BW30=1,$F26/$F27*BW29*(1+$F28),0)</f>
        <v>1540.495536744968</v>
      </c>
      <c r="BX31" s="260">
        <f>IF(BX30=1,$F26/$F27*BX29*(1+$F28),0)</f>
        <v>1551.9215027142825</v>
      </c>
      <c r="BY31" s="260">
        <f>IF(BY30=1,$F26/$F27*BY29*(1+$F28),0)</f>
        <v>1563.4322158933214</v>
      </c>
      <c r="BZ31" s="260">
        <f>IF(BZ30=1,$F26/$F27*BZ29*(1+$F28),0)</f>
        <v>1575.028304858222</v>
      </c>
      <c r="CA31" s="260">
        <f>IF(CA30=1,$F26/$F27*CA29*(1+$F28),0)</f>
        <v>1586.7104028473166</v>
      </c>
      <c r="CB31" s="260">
        <f>IF(CB30=1,$F26/$F27*CB29*(1+$F28),0)</f>
        <v>1598.4791477957106</v>
      </c>
      <c r="CC31" s="260">
        <f>IF(CC30=1,$F26/$F27*CC29*(1+$F28),0)</f>
        <v>1610.3351823701207</v>
      </c>
      <c r="CD31" s="260">
        <f>IF(CD30=1,$F26/$F27*CD29*(1+$F28),0)</f>
        <v>1622.2791540039682</v>
      </c>
      <c r="CE31" s="260">
        <f>IF(CE30=1,$F26/$F27*CE29*(1+$F28),0)</f>
        <v>1634.3117149327354</v>
      </c>
      <c r="CF31" s="260">
        <f>IF(CF30=1,$F26/$F27*CF29*(1+$F28),0)</f>
        <v>1646.4335222295813</v>
      </c>
      <c r="CG31" s="260">
        <f>IF(CG30=1,$F26/$F27*CG29*(1+$F28),0)</f>
        <v>1658.6452378412237</v>
      </c>
      <c r="CH31" s="260">
        <f>IF(CH30=1,$F26/$F27*CH29*(1+$F28),0)</f>
        <v>1670.947528624087</v>
      </c>
      <c r="CI31" s="260">
        <f>IF(CI30=1,$F26/$F27*CI29*(1+$F28),0)</f>
        <v>1683.3410663807172</v>
      </c>
      <c r="CJ31" s="260">
        <f>IF(CJ30=1,$F26/$F27*CJ29*(1+$F28),0)</f>
        <v>1695.8265278964682</v>
      </c>
      <c r="CK31" s="260">
        <f>IF(CK30=1,$F26/$F27*CK29*(1+$F28),0)</f>
        <v>1708.4045949764597</v>
      </c>
      <c r="CL31" s="260">
        <f>IF(CL30=1,$F26/$F27*CL29*(1+$F28),0)</f>
        <v>1721.0759544828088</v>
      </c>
      <c r="CM31" s="260">
        <f>IF(CM30=1,$F26/$F27*CM29*(1+$F28),0)</f>
        <v>1733.841298372138</v>
      </c>
      <c r="CN31" s="260">
        <f>IF(CN30=1,$F26/$F27*CN29*(1+$F28),0)</f>
        <v>0.0</v>
      </c>
      <c r="CO31" s="260">
        <f>IF(CO30=1,$F26/$F27*CO29*(1+$F28),0)</f>
        <v>0.0</v>
      </c>
    </row>
    <row r="34">
      <c r="A34" s="294" t="inlineStr">
        <is>
          <t>Summary of operating cost</t>
        </is>
      </c>
    </row>
    <row r="35">
      <c r="E35" s="61" t="str">
        <f> E$16</f>
        <v>Handling variable cost</v>
      </c>
      <c r="F35" s="61">
        <f> F$16</f>
        <v>0.0</v>
      </c>
      <c r="G35" s="61" t="str">
        <f> G$16</f>
        <v>$ 000s</v>
      </c>
      <c r="H35" s="61">
        <f> H$16</f>
        <v>890187.4314858428</v>
      </c>
      <c r="I35" s="61">
        <f> I$16</f>
        <v>0.0</v>
      </c>
      <c r="J35" s="61">
        <f> J$16</f>
        <v>0.0</v>
      </c>
      <c r="K35" s="61">
        <f> K$16</f>
        <v>0.0</v>
      </c>
      <c r="L35" s="61">
        <f> L$16</f>
        <v>7760.250942344061</v>
      </c>
      <c r="M35" s="61">
        <f> M$16</f>
        <v>7605.90534634593</v>
      </c>
      <c r="N35" s="61">
        <f> N$16</f>
        <v>8134.075658397767</v>
      </c>
      <c r="O35" s="61">
        <f> O$16</f>
        <v>7892.751166666666</v>
      </c>
      <c r="P35" s="61">
        <f> P$16</f>
        <v>8417.475025961367</v>
      </c>
      <c r="Q35" s="61">
        <f> Q$16</f>
        <v>8087.6632612803505</v>
      </c>
      <c r="R35" s="61">
        <f> R$16</f>
        <v>8625.345216472062</v>
      </c>
      <c r="S35" s="61">
        <f> S$16</f>
        <v>8287.388725</v>
      </c>
      <c r="T35" s="61">
        <f> T$16</f>
        <v>8817.229513380506</v>
      </c>
      <c r="U35" s="61">
        <f> U$16</f>
        <v>8451.511365100765</v>
      </c>
      <c r="V35" s="61">
        <f> V$16</f>
        <v>8991.845068910681</v>
      </c>
      <c r="W35" s="61">
        <f> W$16</f>
        <v>8618.884274</v>
      </c>
      <c r="X35" s="61">
        <f> X$16</f>
        <v>9147.79568911274</v>
      </c>
      <c r="Y35" s="61">
        <f> Y$16</f>
        <v>8747.212190890456</v>
      </c>
      <c r="Z35" s="61">
        <f> Z$16</f>
        <v>9283.998650842324</v>
      </c>
      <c r="AA35" s="61">
        <f> AA$16</f>
        <v>8877.450802219997</v>
      </c>
      <c r="AB35" s="61">
        <f> AB$16</f>
        <v>9422.22955978612</v>
      </c>
      <c r="AC35" s="61">
        <f> AC$16</f>
        <v>9009.628556617168</v>
      </c>
      <c r="AD35" s="61">
        <f> AD$16</f>
        <v>9562.518610367593</v>
      </c>
      <c r="AE35" s="61">
        <f> AE$16</f>
        <v>9143.774326286595</v>
      </c>
      <c r="AF35" s="61">
        <f> AF$16</f>
        <v>9704.8964465797</v>
      </c>
      <c r="AG35" s="61">
        <f> AG$16</f>
        <v>9279.917413315681</v>
      </c>
      <c r="AH35" s="61">
        <f> AH$16</f>
        <v>9849.394168678617</v>
      </c>
      <c r="AI35" s="61">
        <f> AI$16</f>
        <v>9418.08755607519</v>
      </c>
      <c r="AJ35" s="61">
        <f> AJ$16</f>
        <v>9996.043339977088</v>
      </c>
      <c r="AK35" s="61">
        <f> AK$16</f>
        <v>9558.314935715147</v>
      </c>
      <c r="AL35" s="61">
        <f> AL$16</f>
        <v>10144.87599373897</v>
      </c>
      <c r="AM35" s="61">
        <f> AM$16</f>
        <v>9700.63018275744</v>
      </c>
      <c r="AN35" s="61">
        <f> AN$16</f>
        <v>10295.924640176398</v>
      </c>
      <c r="AO35" s="61">
        <f> AO$16</f>
        <v>9845.064383786597</v>
      </c>
      <c r="AP35" s="61">
        <f> AP$16</f>
        <v>10449.222273551135</v>
      </c>
      <c r="AQ35" s="61">
        <f> AQ$16</f>
        <v>9991.649088240161</v>
      </c>
      <c r="AR35" s="61">
        <f> AR$16</f>
        <v>10604.802379381686</v>
      </c>
      <c r="AS35" s="61">
        <f> AS$16</f>
        <v>10140.416315300192</v>
      </c>
      <c r="AT35" s="61">
        <f> AT$16</f>
        <v>10762.698941757666</v>
      </c>
      <c r="AU35" s="61">
        <f> AU$16</f>
        <v>10291.398560887363</v>
      </c>
      <c r="AV35" s="61">
        <f> AV$16</f>
        <v>10922.946450763131</v>
      </c>
      <c r="AW35" s="61">
        <f> AW$16</f>
        <v>10444.628804759195</v>
      </c>
      <c r="AX35" s="61">
        <f> AX$16</f>
        <v>11085.579910010392</v>
      </c>
      <c r="AY35" s="61">
        <f> AY$16</f>
        <v>10600.140517713979</v>
      </c>
      <c r="AZ35" s="61">
        <f> AZ$16</f>
        <v>11250.634844286022</v>
      </c>
      <c r="BA35" s="61">
        <f> BA$16</f>
        <v>10757.967668901965</v>
      </c>
      <c r="BB35" s="61">
        <f> BB$16</f>
        <v>11418.147307310699</v>
      </c>
      <c r="BC35" s="61">
        <f> BC$16</f>
        <v>10918.144733245395</v>
      </c>
      <c r="BD35" s="61">
        <f> BD$16</f>
        <v>11588.1538896146</v>
      </c>
      <c r="BE35" s="61">
        <f> BE$16</f>
        <v>11080.706698969023</v>
      </c>
      <c r="BF35" s="61">
        <f> BF$16</f>
        <v>11760.691726530018</v>
      </c>
      <c r="BG35" s="61">
        <f> BG$16</f>
        <v>11245.689075242753</v>
      </c>
      <c r="BH35" s="61">
        <f> BH$16</f>
        <v>11329.099158303894</v>
      </c>
      <c r="BI35" s="61">
        <f> BI$16</f>
        <v>12024.327180548838</v>
      </c>
      <c r="BJ35" s="61">
        <f> BJ$16</f>
        <v>11497.779888780375</v>
      </c>
      <c r="BK35" s="61">
        <f> BK$16</f>
        <v>12203.35926985812</v>
      </c>
      <c r="BL35" s="61">
        <f> BL$16</f>
        <v>11668.972133053008</v>
      </c>
      <c r="BM35" s="61">
        <f> BM$16</f>
        <v>12385.0569959653</v>
      </c>
      <c r="BN35" s="61">
        <f> BN$16</f>
        <v>11842.713285443782</v>
      </c>
      <c r="BO35" s="61">
        <f> BO$16</f>
        <v>12569.46004795386</v>
      </c>
      <c r="BP35" s="61">
        <f> BP$16</f>
        <v>12019.041297044594</v>
      </c>
      <c r="BQ35" s="61">
        <f> BQ$16</f>
        <v>12108.187389044311</v>
      </c>
      <c r="BR35" s="61">
        <f> BR$16</f>
        <v>12851.225388255956</v>
      </c>
      <c r="BS35" s="61">
        <f> BS$16</f>
        <v>12288.468086122777</v>
      </c>
      <c r="BT35" s="61">
        <f> BT$16</f>
        <v>13042.56929439698</v>
      </c>
      <c r="BU35" s="61">
        <f> BU$16</f>
        <v>12471.433010715637</v>
      </c>
      <c r="BV35" s="61">
        <f> BV$16</f>
        <v>13236.76214990363</v>
      </c>
      <c r="BW35" s="61">
        <f> BW$16</f>
        <v>13334.940164874242</v>
      </c>
      <c r="BX35" s="61">
        <f> BX$16</f>
        <v>13433.846373228887</v>
      </c>
      <c r="BY35" s="61">
        <f> BY$16</f>
        <v>13533.486176030163</v>
      </c>
      <c r="BZ35" s="61">
        <f> BZ$16</f>
        <v>13633.865014400737</v>
      </c>
      <c r="CA35" s="61">
        <f> CA$16</f>
        <v>13734.988369820465</v>
      </c>
      <c r="CB35" s="61">
        <f> CB$16</f>
        <v>13836.86176442575</v>
      </c>
      <c r="CC35" s="61">
        <f> CC$16</f>
        <v>13939.490761311066</v>
      </c>
      <c r="CD35" s="61">
        <f> CD$16</f>
        <v>14042.880964832751</v>
      </c>
      <c r="CE35" s="61">
        <f> CE$16</f>
        <v>14147.038020915075</v>
      </c>
      <c r="CF35" s="61">
        <f> CF$16</f>
        <v>14251.96761735852</v>
      </c>
      <c r="CG35" s="61">
        <f> CG$16</f>
        <v>14357.67548415039</v>
      </c>
      <c r="CH35" s="61">
        <f> CH$16</f>
        <v>14464.16739377773</v>
      </c>
      <c r="CI35" s="61">
        <f> CI$16</f>
        <v>14571.449161542523</v>
      </c>
      <c r="CJ35" s="61">
        <f> CJ$16</f>
        <v>14679.52664587927</v>
      </c>
      <c r="CK35" s="61">
        <f> CK$16</f>
        <v>14788.405748674897</v>
      </c>
      <c r="CL35" s="61">
        <f> CL$16</f>
        <v>14898.092415591058</v>
      </c>
      <c r="CM35" s="61">
        <f> CM$16</f>
        <v>15008.592636388794</v>
      </c>
      <c r="CN35" s="61">
        <f> CN$16</f>
        <v>0.0</v>
      </c>
      <c r="CO35" s="61">
        <f> CO$16</f>
        <v>0.0</v>
      </c>
    </row>
    <row r="36">
      <c r="E36" s="61" t="str">
        <f> E$23</f>
        <v>Handling fixed cost</v>
      </c>
      <c r="F36" s="61">
        <f> F$23</f>
        <v>0.0</v>
      </c>
      <c r="G36" s="61" t="str">
        <f> G$23</f>
        <v>$ 000s</v>
      </c>
      <c r="H36" s="61">
        <f> H$23</f>
        <v>157311.60051104537</v>
      </c>
      <c r="I36" s="61">
        <f> I$23</f>
        <v>0.0</v>
      </c>
      <c r="J36" s="61">
        <f> J$23</f>
        <v>0.0</v>
      </c>
      <c r="K36" s="61">
        <f> K$23</f>
        <v>0.0</v>
      </c>
      <c r="L36" s="61">
        <f> L$23</f>
        <v>1379.322259635521</v>
      </c>
      <c r="M36" s="61">
        <f> M$23</f>
        <v>1399.5622222904203</v>
      </c>
      <c r="N36" s="61">
        <f> N$23</f>
        <v>1420.0991830437767</v>
      </c>
      <c r="O36" s="61">
        <f> O$23</f>
        <v>1440.9374999999998</v>
      </c>
      <c r="P36" s="61">
        <f> P$23</f>
        <v>1458.6210227975935</v>
      </c>
      <c r="Q36" s="61">
        <f> Q$23</f>
        <v>1476.5215619324906</v>
      </c>
      <c r="R36" s="61">
        <f> R$23</f>
        <v>1494.6417806800575</v>
      </c>
      <c r="S36" s="61">
        <f> S$23</f>
        <v>1512.9843749999998</v>
      </c>
      <c r="T36" s="61">
        <f> T$23</f>
        <v>1527.8924251491123</v>
      </c>
      <c r="U36" s="61">
        <f> U$23</f>
        <v>1542.9473703771964</v>
      </c>
      <c r="V36" s="61">
        <f> V$23</f>
        <v>1558.1506581011852</v>
      </c>
      <c r="W36" s="61">
        <f> W$23</f>
        <v>1573.5037499999999</v>
      </c>
      <c r="X36" s="61">
        <f> X$23</f>
        <v>1585.1745402562815</v>
      </c>
      <c r="Y36" s="61">
        <f> Y$23</f>
        <v>1596.9318936015973</v>
      </c>
      <c r="Z36" s="61">
        <f> Z$23</f>
        <v>1608.776452080591</v>
      </c>
      <c r="AA36" s="61">
        <f> AA$23</f>
        <v>1620.7088624999992</v>
      </c>
      <c r="AB36" s="61">
        <f> AB$23</f>
        <v>1632.7297764639695</v>
      </c>
      <c r="AC36" s="61">
        <f> AC$23</f>
        <v>1644.8398504096447</v>
      </c>
      <c r="AD36" s="61">
        <f> AD$23</f>
        <v>1657.0397456430085</v>
      </c>
      <c r="AE36" s="61">
        <f> AE$23</f>
        <v>1669.330128374999</v>
      </c>
      <c r="AF36" s="61">
        <f> AF$23</f>
        <v>1681.7116697578883</v>
      </c>
      <c r="AG36" s="61">
        <f> AG$23</f>
        <v>1694.1850459219336</v>
      </c>
      <c r="AH36" s="61">
        <f> AH$23</f>
        <v>1706.7509380122983</v>
      </c>
      <c r="AI36" s="61">
        <f> AI$23</f>
        <v>1719.4100322262484</v>
      </c>
      <c r="AJ36" s="61">
        <f> AJ$23</f>
        <v>1732.1630198506243</v>
      </c>
      <c r="AK36" s="61">
        <f> AK$23</f>
        <v>1745.010597299591</v>
      </c>
      <c r="AL36" s="61">
        <f> AL$23</f>
        <v>1757.9534661526664</v>
      </c>
      <c r="AM36" s="61">
        <f> AM$23</f>
        <v>1770.992333193035</v>
      </c>
      <c r="AN36" s="61">
        <f> AN$23</f>
        <v>1784.1279104461423</v>
      </c>
      <c r="AO36" s="61">
        <f> AO$23</f>
        <v>1797.360915218578</v>
      </c>
      <c r="AP36" s="61">
        <f> AP$23</f>
        <v>1810.6920701372455</v>
      </c>
      <c r="AQ36" s="61">
        <f> AQ$23</f>
        <v>1824.1221031888253</v>
      </c>
      <c r="AR36" s="61">
        <f> AR$23</f>
        <v>1837.651747759526</v>
      </c>
      <c r="AS36" s="61">
        <f> AS$23</f>
        <v>1851.2817426751349</v>
      </c>
      <c r="AT36" s="61">
        <f> AT$23</f>
        <v>1865.0128322413625</v>
      </c>
      <c r="AU36" s="61">
        <f> AU$23</f>
        <v>1878.8457662844896</v>
      </c>
      <c r="AV36" s="61">
        <f> AV$23</f>
        <v>1892.781300192311</v>
      </c>
      <c r="AW36" s="61">
        <f> AW$23</f>
        <v>1906.820194955388</v>
      </c>
      <c r="AX36" s="61">
        <f> AX$23</f>
        <v>1920.9632172086026</v>
      </c>
      <c r="AY36" s="61">
        <f> AY$23</f>
        <v>1935.2111392730235</v>
      </c>
      <c r="AZ36" s="61">
        <f> AZ$23</f>
        <v>1949.5647391980797</v>
      </c>
      <c r="BA36" s="61">
        <f> BA$23</f>
        <v>1964.0248008040487</v>
      </c>
      <c r="BB36" s="61">
        <f> BB$23</f>
        <v>1978.59211372486</v>
      </c>
      <c r="BC36" s="61">
        <f> BC$23</f>
        <v>1993.2674734512136</v>
      </c>
      <c r="BD36" s="61">
        <f> BD$23</f>
        <v>2008.0516813740217</v>
      </c>
      <c r="BE36" s="61">
        <f> BE$23</f>
        <v>2022.94554482817</v>
      </c>
      <c r="BF36" s="61">
        <f> BF$23</f>
        <v>2037.9498771366052</v>
      </c>
      <c r="BG36" s="61">
        <f> BG$23</f>
        <v>2053.0654976547494</v>
      </c>
      <c r="BH36" s="61">
        <f> BH$23</f>
        <v>2068.293231815241</v>
      </c>
      <c r="BI36" s="61">
        <f> BI$23</f>
        <v>2083.633911173014</v>
      </c>
      <c r="BJ36" s="61">
        <f> BJ$23</f>
        <v>2099.0883734507024</v>
      </c>
      <c r="BK36" s="61">
        <f> BK$23</f>
        <v>2114.657462584391</v>
      </c>
      <c r="BL36" s="61">
        <f> BL$23</f>
        <v>2130.342028769698</v>
      </c>
      <c r="BM36" s="61">
        <f> BM$23</f>
        <v>2146.142928508204</v>
      </c>
      <c r="BN36" s="61">
        <f> BN$23</f>
        <v>2162.0610246542233</v>
      </c>
      <c r="BO36" s="61">
        <f> BO$23</f>
        <v>2178.097186461922</v>
      </c>
      <c r="BP36" s="61">
        <f> BP$23</f>
        <v>2194.2522896327882</v>
      </c>
      <c r="BQ36" s="61">
        <f> BQ$23</f>
        <v>2210.5272163634495</v>
      </c>
      <c r="BR36" s="61">
        <f> BR$23</f>
        <v>2226.922855393849</v>
      </c>
      <c r="BS36" s="61">
        <f> BS$23</f>
        <v>2243.440102055779</v>
      </c>
      <c r="BT36" s="61">
        <f> BT$23</f>
        <v>2260.079858321771</v>
      </c>
      <c r="BU36" s="61">
        <f> BU$23</f>
        <v>2276.8430328543523</v>
      </c>
      <c r="BV36" s="61">
        <f> BV$23</f>
        <v>2293.730541055664</v>
      </c>
      <c r="BW36" s="61">
        <f> BW$23</f>
        <v>2310.743305117452</v>
      </c>
      <c r="BX36" s="61">
        <f> BX$23</f>
        <v>2327.8822540714236</v>
      </c>
      <c r="BY36" s="61">
        <f> BY$23</f>
        <v>2345.148323839982</v>
      </c>
      <c r="BZ36" s="61">
        <f> BZ$23</f>
        <v>2362.5424572873335</v>
      </c>
      <c r="CA36" s="61">
        <f> CA$23</f>
        <v>2380.0656042709747</v>
      </c>
      <c r="CB36" s="61">
        <f> CB$23</f>
        <v>2397.718721693566</v>
      </c>
      <c r="CC36" s="61">
        <f> CC$23</f>
        <v>2415.502773555181</v>
      </c>
      <c r="CD36" s="61">
        <f> CD$23</f>
        <v>2433.4187310059524</v>
      </c>
      <c r="CE36" s="61">
        <f> CE$23</f>
        <v>2451.467572399103</v>
      </c>
      <c r="CF36" s="61">
        <f> CF$23</f>
        <v>2469.650283344372</v>
      </c>
      <c r="CG36" s="61">
        <f> CG$23</f>
        <v>2487.9678567618353</v>
      </c>
      <c r="CH36" s="61">
        <f> CH$23</f>
        <v>2506.42129293613</v>
      </c>
      <c r="CI36" s="61">
        <f> CI$23</f>
        <v>2525.0115995710757</v>
      </c>
      <c r="CJ36" s="61">
        <f> CJ$23</f>
        <v>2543.7397918447023</v>
      </c>
      <c r="CK36" s="61">
        <f> CK$23</f>
        <v>2562.6068924646897</v>
      </c>
      <c r="CL36" s="61">
        <f> CL$23</f>
        <v>2581.613931724213</v>
      </c>
      <c r="CM36" s="61">
        <f> CM$23</f>
        <v>2600.761947558207</v>
      </c>
      <c r="CN36" s="61">
        <f> CN$23</f>
        <v>0.0</v>
      </c>
      <c r="CO36" s="61">
        <f> CO$23</f>
        <v>0.0</v>
      </c>
    </row>
    <row r="37" customFormat="1" s="260">
      <c r="E37" s="61" t="str">
        <f> E$31</f>
        <v>O&amp;M fixed cost</v>
      </c>
      <c r="F37" s="61">
        <f> F$31</f>
        <v>0.0</v>
      </c>
      <c r="G37" s="61" t="str">
        <f> G$31</f>
        <v>$ 000s</v>
      </c>
      <c r="H37" s="61">
        <f> H$31</f>
        <v>104874.40034069688</v>
      </c>
      <c r="I37" s="61">
        <f> I$31</f>
        <v>0.0</v>
      </c>
      <c r="J37" s="61">
        <f> J$31</f>
        <v>0.0</v>
      </c>
      <c r="K37" s="61">
        <f> K$31</f>
        <v>0.0</v>
      </c>
      <c r="L37" s="61">
        <f> L$31</f>
        <v>919.5481730903473</v>
      </c>
      <c r="M37" s="61">
        <f> M$31</f>
        <v>933.0414815269469</v>
      </c>
      <c r="N37" s="61">
        <f> N$31</f>
        <v>946.732788695851</v>
      </c>
      <c r="O37" s="61">
        <f> O$31</f>
        <v>960.6249999999998</v>
      </c>
      <c r="P37" s="61">
        <f> P$31</f>
        <v>972.4140151983956</v>
      </c>
      <c r="Q37" s="61">
        <f> Q$31</f>
        <v>984.3477079549937</v>
      </c>
      <c r="R37" s="61">
        <f> R$31</f>
        <v>996.427853786705</v>
      </c>
      <c r="S37" s="61">
        <f> S$31</f>
        <v>1008.6562499999999</v>
      </c>
      <c r="T37" s="61">
        <f> T$31</f>
        <v>1018.5949500994083</v>
      </c>
      <c r="U37" s="61">
        <f> U$31</f>
        <v>1028.6315802514644</v>
      </c>
      <c r="V37" s="61">
        <f> V$31</f>
        <v>1038.7671054007901</v>
      </c>
      <c r="W37" s="61">
        <f> W$31</f>
        <v>1049.0024999999998</v>
      </c>
      <c r="X37" s="61">
        <f> X$31</f>
        <v>1056.7830268375208</v>
      </c>
      <c r="Y37" s="61">
        <f> Y$31</f>
        <v>1064.6212624010648</v>
      </c>
      <c r="Z37" s="61">
        <f> Z$31</f>
        <v>1072.517634720394</v>
      </c>
      <c r="AA37" s="61">
        <f> AA$31</f>
        <v>1080.4725749999993</v>
      </c>
      <c r="AB37" s="61">
        <f> AB$31</f>
        <v>1088.4865176426463</v>
      </c>
      <c r="AC37" s="61">
        <f> AC$31</f>
        <v>1096.5599002730964</v>
      </c>
      <c r="AD37" s="61">
        <f> AD$31</f>
        <v>1104.6931637620057</v>
      </c>
      <c r="AE37" s="61">
        <f> AE$31</f>
        <v>1112.8867522499993</v>
      </c>
      <c r="AF37" s="61">
        <f> AF$31</f>
        <v>1121.1411131719256</v>
      </c>
      <c r="AG37" s="61">
        <f> AG$31</f>
        <v>1129.456697281289</v>
      </c>
      <c r="AH37" s="61">
        <f> AH$31</f>
        <v>1137.8339586748655</v>
      </c>
      <c r="AI37" s="61">
        <f> AI$31</f>
        <v>1146.273354817499</v>
      </c>
      <c r="AJ37" s="61">
        <f> AJ$31</f>
        <v>1154.7753465670828</v>
      </c>
      <c r="AK37" s="61">
        <f> AK$31</f>
        <v>1163.3403981997274</v>
      </c>
      <c r="AL37" s="61">
        <f> AL$31</f>
        <v>1171.968977435111</v>
      </c>
      <c r="AM37" s="61">
        <f> AM$31</f>
        <v>1180.6615554620232</v>
      </c>
      <c r="AN37" s="61">
        <f> AN$31</f>
        <v>1189.4186069640948</v>
      </c>
      <c r="AO37" s="61">
        <f> AO$31</f>
        <v>1198.2406101457186</v>
      </c>
      <c r="AP37" s="61">
        <f> AP$31</f>
        <v>1207.1280467581637</v>
      </c>
      <c r="AQ37" s="61">
        <f> AQ$31</f>
        <v>1216.0814021258836</v>
      </c>
      <c r="AR37" s="61">
        <f> AR$31</f>
        <v>1225.1011651730173</v>
      </c>
      <c r="AS37" s="61">
        <f> AS$31</f>
        <v>1234.1878284500897</v>
      </c>
      <c r="AT37" s="61">
        <f> AT$31</f>
        <v>1243.3418881609084</v>
      </c>
      <c r="AU37" s="61">
        <f> AU$31</f>
        <v>1252.5638441896597</v>
      </c>
      <c r="AV37" s="61">
        <f> AV$31</f>
        <v>1261.8542001282074</v>
      </c>
      <c r="AW37" s="61">
        <f> AW$31</f>
        <v>1271.213463303592</v>
      </c>
      <c r="AX37" s="61">
        <f> AX$31</f>
        <v>1280.6421448057351</v>
      </c>
      <c r="AY37" s="61">
        <f> AY$31</f>
        <v>1290.140759515349</v>
      </c>
      <c r="AZ37" s="61">
        <f> AZ$31</f>
        <v>1299.709826132053</v>
      </c>
      <c r="BA37" s="61">
        <f> BA$31</f>
        <v>1309.3498672026992</v>
      </c>
      <c r="BB37" s="61">
        <f> BB$31</f>
        <v>1319.0614091499067</v>
      </c>
      <c r="BC37" s="61">
        <f> BC$31</f>
        <v>1328.844982300809</v>
      </c>
      <c r="BD37" s="61">
        <f> BD$31</f>
        <v>1338.7011209160144</v>
      </c>
      <c r="BE37" s="61">
        <f> BE$31</f>
        <v>1348.63036321878</v>
      </c>
      <c r="BF37" s="61">
        <f> BF$31</f>
        <v>1358.6332514244036</v>
      </c>
      <c r="BG37" s="61">
        <f> BG$31</f>
        <v>1368.710331769833</v>
      </c>
      <c r="BH37" s="61">
        <f> BH$31</f>
        <v>1378.8621545434944</v>
      </c>
      <c r="BI37" s="61">
        <f> BI$31</f>
        <v>1389.0892741153427</v>
      </c>
      <c r="BJ37" s="61">
        <f> BJ$31</f>
        <v>1399.392248967135</v>
      </c>
      <c r="BK37" s="61">
        <f> BK$31</f>
        <v>1409.7716417229274</v>
      </c>
      <c r="BL37" s="61">
        <f> BL$31</f>
        <v>1420.2280191797986</v>
      </c>
      <c r="BM37" s="61">
        <f> BM$31</f>
        <v>1430.7619523388025</v>
      </c>
      <c r="BN37" s="61">
        <f> BN$31</f>
        <v>1441.3740164361486</v>
      </c>
      <c r="BO37" s="61">
        <f> BO$31</f>
        <v>1452.0647909746147</v>
      </c>
      <c r="BP37" s="61">
        <f> BP$31</f>
        <v>1462.8348597551922</v>
      </c>
      <c r="BQ37" s="61">
        <f> BQ$31</f>
        <v>1473.6848109089663</v>
      </c>
      <c r="BR37" s="61">
        <f> BR$31</f>
        <v>1484.6152369292327</v>
      </c>
      <c r="BS37" s="61">
        <f> BS$31</f>
        <v>1495.626734703853</v>
      </c>
      <c r="BT37" s="61">
        <f> BT$31</f>
        <v>1506.7199055478475</v>
      </c>
      <c r="BU37" s="61">
        <f> BU$31</f>
        <v>1517.8953552362345</v>
      </c>
      <c r="BV37" s="61">
        <f> BV$31</f>
        <v>1529.1536940371093</v>
      </c>
      <c r="BW37" s="61">
        <f> BW$31</f>
        <v>1540.495536744968</v>
      </c>
      <c r="BX37" s="61">
        <f> BX$31</f>
        <v>1551.9215027142825</v>
      </c>
      <c r="BY37" s="61">
        <f> BY$31</f>
        <v>1563.4322158933214</v>
      </c>
      <c r="BZ37" s="61">
        <f> BZ$31</f>
        <v>1575.028304858222</v>
      </c>
      <c r="CA37" s="61">
        <f> CA$31</f>
        <v>1586.7104028473166</v>
      </c>
      <c r="CB37" s="61">
        <f> CB$31</f>
        <v>1598.4791477957106</v>
      </c>
      <c r="CC37" s="61">
        <f> CC$31</f>
        <v>1610.3351823701207</v>
      </c>
      <c r="CD37" s="61">
        <f> CD$31</f>
        <v>1622.2791540039682</v>
      </c>
      <c r="CE37" s="61">
        <f> CE$31</f>
        <v>1634.3117149327354</v>
      </c>
      <c r="CF37" s="61">
        <f> CF$31</f>
        <v>1646.4335222295813</v>
      </c>
      <c r="CG37" s="61">
        <f> CG$31</f>
        <v>1658.6452378412237</v>
      </c>
      <c r="CH37" s="61">
        <f> CH$31</f>
        <v>1670.947528624087</v>
      </c>
      <c r="CI37" s="61">
        <f> CI$31</f>
        <v>1683.3410663807172</v>
      </c>
      <c r="CJ37" s="61">
        <f> CJ$31</f>
        <v>1695.8265278964682</v>
      </c>
      <c r="CK37" s="61">
        <f> CK$31</f>
        <v>1708.4045949764597</v>
      </c>
      <c r="CL37" s="61">
        <f> CL$31</f>
        <v>1721.0759544828088</v>
      </c>
      <c r="CM37" s="61">
        <f> CM$31</f>
        <v>1733.841298372138</v>
      </c>
      <c r="CN37" s="61">
        <f> CN$31</f>
        <v>0.0</v>
      </c>
      <c r="CO37" s="61">
        <f> CO$31</f>
        <v>0.0</v>
      </c>
    </row>
    <row r="38" customFormat="1" s="150">
      <c r="A38" s="263" t="n"/>
      <c r="B38" s="263" t="n"/>
      <c r="C38" s="264" t="n"/>
      <c r="D38" s="335" t="n"/>
      <c r="E38" s="260" t="inlineStr">
        <is>
          <t>Operating cost POS</t>
        </is>
      </c>
      <c r="G38" s="260" t="str">
        <f>SMU</f>
        <v>$ 000s</v>
      </c>
      <c r="H38" s="260">
        <f> SUM(J38:CO38)</f>
        <v>1152373.432337585</v>
      </c>
      <c r="J38" s="260">
        <f>SUM(J35:J37)</f>
        <v>0.0</v>
      </c>
      <c r="K38" s="260">
        <f>SUM(K35:K37)</f>
        <v>0.0</v>
      </c>
      <c r="L38" s="260">
        <f>SUM(L35:L37)</f>
        <v>10059.121375069928</v>
      </c>
      <c r="M38" s="260">
        <f>SUM(M35:M37)</f>
        <v>9938.509050163299</v>
      </c>
      <c r="N38" s="260">
        <f>SUM(N35:N37)</f>
        <v>10500.907630137393</v>
      </c>
      <c r="O38" s="260">
        <f>SUM(O35:O37)</f>
        <v>10294.313666666665</v>
      </c>
      <c r="P38" s="260">
        <f>SUM(P35:P37)</f>
        <v>10848.510063957356</v>
      </c>
      <c r="Q38" s="260">
        <f>SUM(Q35:Q37)</f>
        <v>10548.532531167835</v>
      </c>
      <c r="R38" s="260">
        <f>SUM(R35:R37)</f>
        <v>11116.414850938825</v>
      </c>
      <c r="S38" s="260">
        <f>SUM(S35:S37)</f>
        <v>10809.02935</v>
      </c>
      <c r="T38" s="260">
        <f>SUM(T35:T37)</f>
        <v>11363.716888629026</v>
      </c>
      <c r="U38" s="260">
        <f>SUM(U35:U37)</f>
        <v>11023.090315729425</v>
      </c>
      <c r="V38" s="260">
        <f>SUM(V35:V37)</f>
        <v>11588.762832412656</v>
      </c>
      <c r="W38" s="260">
        <f>SUM(W35:W37)</f>
        <v>11241.390524</v>
      </c>
      <c r="X38" s="260">
        <f>SUM(X35:X37)</f>
        <v>11789.75325620654</v>
      </c>
      <c r="Y38" s="260">
        <f>SUM(Y35:Y37)</f>
        <v>11408.765346893117</v>
      </c>
      <c r="Z38" s="260">
        <f>SUM(Z35:Z37)</f>
        <v>11965.292737643309</v>
      </c>
      <c r="AA38" s="260">
        <f>SUM(AA35:AA37)</f>
        <v>11578.632239719997</v>
      </c>
      <c r="AB38" s="260">
        <f>SUM(AB35:AB37)</f>
        <v>12143.445853892736</v>
      </c>
      <c r="AC38" s="260">
        <f>SUM(AC35:AC37)</f>
        <v>11751.028307299908</v>
      </c>
      <c r="AD38" s="260">
        <f>SUM(AD35:AD37)</f>
        <v>12324.251519772608</v>
      </c>
      <c r="AE38" s="260">
        <f>SUM(AE35:AE37)</f>
        <v>11925.991206911593</v>
      </c>
      <c r="AF38" s="260">
        <f>SUM(AF35:AF37)</f>
        <v>12507.749229509513</v>
      </c>
      <c r="AG38" s="260">
        <f>SUM(AG35:AG37)</f>
        <v>12103.559156518902</v>
      </c>
      <c r="AH38" s="260">
        <f>SUM(AH35:AH37)</f>
        <v>12693.97906536578</v>
      </c>
      <c r="AI38" s="260">
        <f>SUM(AI35:AI37)</f>
        <v>12283.770943118936</v>
      </c>
      <c r="AJ38" s="260">
        <f>SUM(AJ35:AJ37)</f>
        <v>12882.981706394796</v>
      </c>
      <c r="AK38" s="260">
        <f>SUM(AK35:AK37)</f>
        <v>12466.665931214466</v>
      </c>
      <c r="AL38" s="260">
        <f>SUM(AL35:AL37)</f>
        <v>13074.798437326746</v>
      </c>
      <c r="AM38" s="260">
        <f>SUM(AM35:AM37)</f>
        <v>12652.2840714125</v>
      </c>
      <c r="AN38" s="260">
        <f>SUM(AN35:AN37)</f>
        <v>13269.471157586635</v>
      </c>
      <c r="AO38" s="260">
        <f>SUM(AO35:AO37)</f>
        <v>12840.665909150894</v>
      </c>
      <c r="AP38" s="260">
        <f>SUM(AP35:AP37)</f>
        <v>13467.042390446544</v>
      </c>
      <c r="AQ38" s="260">
        <f>SUM(AQ35:AQ37)</f>
        <v>13031.85259355487</v>
      </c>
      <c r="AR38" s="260">
        <f>SUM(AR35:AR37)</f>
        <v>13667.55529231423</v>
      </c>
      <c r="AS38" s="260">
        <f>SUM(AS35:AS37)</f>
        <v>13225.885886425416</v>
      </c>
      <c r="AT38" s="260">
        <f>SUM(AT35:AT37)</f>
        <v>13871.053662159937</v>
      </c>
      <c r="AU38" s="260">
        <f>SUM(AU35:AU37)</f>
        <v>13422.808171361512</v>
      </c>
      <c r="AV38" s="260">
        <f>SUM(AV35:AV37)</f>
        <v>14077.58195108365</v>
      </c>
      <c r="AW38" s="260">
        <f>SUM(AW35:AW37)</f>
        <v>13622.662463018176</v>
      </c>
      <c r="AX38" s="260">
        <f>SUM(AX35:AX37)</f>
        <v>14287.18527202473</v>
      </c>
      <c r="AY38" s="260">
        <f>SUM(AY35:AY37)</f>
        <v>13825.492416502351</v>
      </c>
      <c r="AZ38" s="260">
        <f>SUM(AZ35:AZ37)</f>
        <v>14499.909409616155</v>
      </c>
      <c r="BA38" s="260">
        <f>SUM(BA35:BA37)</f>
        <v>14031.342336908714</v>
      </c>
      <c r="BB38" s="260">
        <f>SUM(BB35:BB37)</f>
        <v>14715.800830185466</v>
      </c>
      <c r="BC38" s="260">
        <f>SUM(BC35:BC37)</f>
        <v>14240.257188997417</v>
      </c>
      <c r="BD38" s="260">
        <f>SUM(BD35:BD37)</f>
        <v>14934.906691904634</v>
      </c>
      <c r="BE38" s="260">
        <f>SUM(BE35:BE37)</f>
        <v>14452.282607015972</v>
      </c>
      <c r="BF38" s="260">
        <f>SUM(BF35:BF37)</f>
        <v>15157.274855091027</v>
      </c>
      <c r="BG38" s="260">
        <f>SUM(BG35:BG37)</f>
        <v>14667.464904667335</v>
      </c>
      <c r="BH38" s="260">
        <f>SUM(BH35:BH37)</f>
        <v>14776.25454466263</v>
      </c>
      <c r="BI38" s="260">
        <f>SUM(BI35:BI37)</f>
        <v>15497.050365837194</v>
      </c>
      <c r="BJ38" s="260">
        <f>SUM(BJ35:BJ37)</f>
        <v>14996.260511198212</v>
      </c>
      <c r="BK38" s="260">
        <f>SUM(BK35:BK37)</f>
        <v>15727.788374165439</v>
      </c>
      <c r="BL38" s="260">
        <f>SUM(BL35:BL37)</f>
        <v>15219.542181002504</v>
      </c>
      <c r="BM38" s="260">
        <f>SUM(BM35:BM37)</f>
        <v>15961.961876812307</v>
      </c>
      <c r="BN38" s="260">
        <f>SUM(BN35:BN37)</f>
        <v>15446.148326534154</v>
      </c>
      <c r="BO38" s="260">
        <f>SUM(BO35:BO37)</f>
        <v>16199.622025390398</v>
      </c>
      <c r="BP38" s="260">
        <f>SUM(BP35:BP37)</f>
        <v>15676.128446432574</v>
      </c>
      <c r="BQ38" s="260">
        <f>SUM(BQ35:BQ37)</f>
        <v>15792.399416316726</v>
      </c>
      <c r="BR38" s="260">
        <f>SUM(BR35:BR37)</f>
        <v>16562.763480579037</v>
      </c>
      <c r="BS38" s="260">
        <f>SUM(BS35:BS37)</f>
        <v>16027.534922882409</v>
      </c>
      <c r="BT38" s="260">
        <f>SUM(BT35:BT37)</f>
        <v>16809.3690582666</v>
      </c>
      <c r="BU38" s="260">
        <f>SUM(BU35:BU37)</f>
        <v>16266.171398806224</v>
      </c>
      <c r="BV38" s="260">
        <f>SUM(BV35:BV37)</f>
        <v>17059.646384996402</v>
      </c>
      <c r="BW38" s="260">
        <f>SUM(BW35:BW37)</f>
        <v>17186.179006736664</v>
      </c>
      <c r="BX38" s="260">
        <f>SUM(BX35:BX37)</f>
        <v>17313.650130014594</v>
      </c>
      <c r="BY38" s="260">
        <f>SUM(BY35:BY37)</f>
        <v>17442.066715763467</v>
      </c>
      <c r="BZ38" s="260">
        <f>SUM(BZ35:BZ37)</f>
        <v>17571.435776546292</v>
      </c>
      <c r="CA38" s="260">
        <f>SUM(CA35:CA37)</f>
        <v>17701.764376938754</v>
      </c>
      <c r="CB38" s="260">
        <f>SUM(CB35:CB37)</f>
        <v>17833.059633915025</v>
      </c>
      <c r="CC38" s="260">
        <f>SUM(CC35:CC37)</f>
        <v>17965.328717236367</v>
      </c>
      <c r="CD38" s="260">
        <f>SUM(CD35:CD37)</f>
        <v>18098.578849842674</v>
      </c>
      <c r="CE38" s="260">
        <f>SUM(CE35:CE37)</f>
        <v>18232.817308246915</v>
      </c>
      <c r="CF38" s="260">
        <f>SUM(CF35:CF37)</f>
        <v>18368.051422932473</v>
      </c>
      <c r="CG38" s="260">
        <f>SUM(CG35:CG37)</f>
        <v>18504.28857875345</v>
      </c>
      <c r="CH38" s="260">
        <f>SUM(CH35:CH37)</f>
        <v>18641.53621533795</v>
      </c>
      <c r="CI38" s="260">
        <f>SUM(CI35:CI37)</f>
        <v>18779.801827494317</v>
      </c>
      <c r="CJ38" s="260">
        <f>SUM(CJ35:CJ37)</f>
        <v>18919.09296562044</v>
      </c>
      <c r="CK38" s="260">
        <f>SUM(CK35:CK37)</f>
        <v>19059.417236116045</v>
      </c>
      <c r="CL38" s="260">
        <f>SUM(CL35:CL37)</f>
        <v>19200.782301798077</v>
      </c>
      <c r="CM38" s="260">
        <f>SUM(CM35:CM37)</f>
        <v>19343.19588231914</v>
      </c>
      <c r="CN38" s="260">
        <f>SUM(CN35:CN37)</f>
        <v>0.0</v>
      </c>
      <c r="CO38" s="260">
        <f>SUM(CO35:CO37)</f>
        <v>0.0</v>
      </c>
    </row>
    <row r="39" s="396">
      <c r="A39" s="348" t="n"/>
      <c r="B39" s="348" t="n"/>
      <c r="C39" s="349" t="n"/>
      <c r="D39" s="193" t="n"/>
      <c r="E39" s="150" t="str">
        <f> LEFT(E38, LEN(E38) - 4)</f>
        <v>Operating cost</v>
      </c>
      <c r="F39" s="150" t="inlineStr">
        <is>
          <t>IS</t>
        </is>
      </c>
      <c r="G39" s="150" t="str">
        <f> G38</f>
        <v>$ 000s</v>
      </c>
      <c r="H39" s="150">
        <f> SUM(J39:CO39)</f>
        <v>-1152373.432337585</v>
      </c>
      <c r="I39" s="150" t="n"/>
      <c r="J39" s="150">
        <f> -1 * J38</f>
        <v>-0.0</v>
      </c>
      <c r="K39" s="150">
        <f> -1 * K38</f>
        <v>-0.0</v>
      </c>
      <c r="L39" s="150">
        <f> -1 * L38</f>
        <v>-10059.121375069928</v>
      </c>
      <c r="M39" s="150">
        <f> -1 * M38</f>
        <v>-9938.509050163299</v>
      </c>
      <c r="N39" s="150">
        <f> -1 * N38</f>
        <v>-10500.907630137393</v>
      </c>
      <c r="O39" s="150">
        <f> -1 * O38</f>
        <v>-10294.313666666665</v>
      </c>
      <c r="P39" s="150">
        <f> -1 * P38</f>
        <v>-10848.510063957356</v>
      </c>
      <c r="Q39" s="150">
        <f> -1 * Q38</f>
        <v>-10548.532531167835</v>
      </c>
      <c r="R39" s="150">
        <f> -1 * R38</f>
        <v>-11116.414850938825</v>
      </c>
      <c r="S39" s="150">
        <f> -1 * S38</f>
        <v>-10809.02935</v>
      </c>
      <c r="T39" s="150">
        <f> -1 * T38</f>
        <v>-11363.716888629026</v>
      </c>
      <c r="U39" s="150">
        <f> -1 * U38</f>
        <v>-11023.090315729425</v>
      </c>
      <c r="V39" s="150">
        <f> -1 * V38</f>
        <v>-11588.762832412656</v>
      </c>
      <c r="W39" s="150">
        <f> -1 * W38</f>
        <v>-11241.390524</v>
      </c>
      <c r="X39" s="150">
        <f> -1 * X38</f>
        <v>-11789.75325620654</v>
      </c>
      <c r="Y39" s="150">
        <f> -1 * Y38</f>
        <v>-11408.765346893117</v>
      </c>
      <c r="Z39" s="150">
        <f> -1 * Z38</f>
        <v>-11965.292737643309</v>
      </c>
      <c r="AA39" s="150">
        <f> -1 * AA38</f>
        <v>-11578.632239719997</v>
      </c>
      <c r="AB39" s="150">
        <f> -1 * AB38</f>
        <v>-12143.445853892736</v>
      </c>
      <c r="AC39" s="150">
        <f> -1 * AC38</f>
        <v>-11751.028307299908</v>
      </c>
      <c r="AD39" s="150">
        <f> -1 * AD38</f>
        <v>-12324.251519772608</v>
      </c>
      <c r="AE39" s="150">
        <f> -1 * AE38</f>
        <v>-11925.991206911593</v>
      </c>
      <c r="AF39" s="150">
        <f> -1 * AF38</f>
        <v>-12507.749229509513</v>
      </c>
      <c r="AG39" s="150">
        <f> -1 * AG38</f>
        <v>-12103.559156518902</v>
      </c>
      <c r="AH39" s="150">
        <f> -1 * AH38</f>
        <v>-12693.97906536578</v>
      </c>
      <c r="AI39" s="150">
        <f> -1 * AI38</f>
        <v>-12283.770943118936</v>
      </c>
      <c r="AJ39" s="150">
        <f> -1 * AJ38</f>
        <v>-12882.981706394796</v>
      </c>
      <c r="AK39" s="150">
        <f> -1 * AK38</f>
        <v>-12466.665931214466</v>
      </c>
      <c r="AL39" s="150">
        <f> -1 * AL38</f>
        <v>-13074.798437326746</v>
      </c>
      <c r="AM39" s="150">
        <f> -1 * AM38</f>
        <v>-12652.2840714125</v>
      </c>
      <c r="AN39" s="150">
        <f> -1 * AN38</f>
        <v>-13269.471157586635</v>
      </c>
      <c r="AO39" s="150">
        <f> -1 * AO38</f>
        <v>-12840.665909150894</v>
      </c>
      <c r="AP39" s="150">
        <f> -1 * AP38</f>
        <v>-13467.042390446544</v>
      </c>
      <c r="AQ39" s="150">
        <f> -1 * AQ38</f>
        <v>-13031.85259355487</v>
      </c>
      <c r="AR39" s="150">
        <f> -1 * AR38</f>
        <v>-13667.55529231423</v>
      </c>
      <c r="AS39" s="150">
        <f> -1 * AS38</f>
        <v>-13225.885886425416</v>
      </c>
      <c r="AT39" s="150">
        <f> -1 * AT38</f>
        <v>-13871.053662159937</v>
      </c>
      <c r="AU39" s="150">
        <f> -1 * AU38</f>
        <v>-13422.808171361512</v>
      </c>
      <c r="AV39" s="150">
        <f> -1 * AV38</f>
        <v>-14077.58195108365</v>
      </c>
      <c r="AW39" s="150">
        <f> -1 * AW38</f>
        <v>-13622.662463018176</v>
      </c>
      <c r="AX39" s="150">
        <f> -1 * AX38</f>
        <v>-14287.18527202473</v>
      </c>
      <c r="AY39" s="150">
        <f> -1 * AY38</f>
        <v>-13825.492416502351</v>
      </c>
      <c r="AZ39" s="150">
        <f> -1 * AZ38</f>
        <v>-14499.909409616155</v>
      </c>
      <c r="BA39" s="150">
        <f> -1 * BA38</f>
        <v>-14031.342336908714</v>
      </c>
      <c r="BB39" s="150">
        <f> -1 * BB38</f>
        <v>-14715.800830185466</v>
      </c>
      <c r="BC39" s="150">
        <f> -1 * BC38</f>
        <v>-14240.257188997417</v>
      </c>
      <c r="BD39" s="150">
        <f> -1 * BD38</f>
        <v>-14934.906691904634</v>
      </c>
      <c r="BE39" s="150">
        <f> -1 * BE38</f>
        <v>-14452.282607015972</v>
      </c>
      <c r="BF39" s="150">
        <f> -1 * BF38</f>
        <v>-15157.274855091027</v>
      </c>
      <c r="BG39" s="150">
        <f> -1 * BG38</f>
        <v>-14667.464904667335</v>
      </c>
      <c r="BH39" s="150">
        <f> -1 * BH38</f>
        <v>-14776.25454466263</v>
      </c>
      <c r="BI39" s="150">
        <f> -1 * BI38</f>
        <v>-15497.050365837194</v>
      </c>
      <c r="BJ39" s="150">
        <f> -1 * BJ38</f>
        <v>-14996.260511198212</v>
      </c>
      <c r="BK39" s="150">
        <f> -1 * BK38</f>
        <v>-15727.788374165439</v>
      </c>
      <c r="BL39" s="150">
        <f> -1 * BL38</f>
        <v>-15219.542181002504</v>
      </c>
      <c r="BM39" s="150">
        <f> -1 * BM38</f>
        <v>-15961.961876812307</v>
      </c>
      <c r="BN39" s="150">
        <f> -1 * BN38</f>
        <v>-15446.148326534154</v>
      </c>
      <c r="BO39" s="150">
        <f> -1 * BO38</f>
        <v>-16199.622025390398</v>
      </c>
      <c r="BP39" s="150">
        <f> -1 * BP38</f>
        <v>-15676.128446432574</v>
      </c>
      <c r="BQ39" s="150">
        <f> -1 * BQ38</f>
        <v>-15792.399416316726</v>
      </c>
      <c r="BR39" s="150">
        <f> -1 * BR38</f>
        <v>-16562.763480579037</v>
      </c>
      <c r="BS39" s="150">
        <f> -1 * BS38</f>
        <v>-16027.534922882409</v>
      </c>
      <c r="BT39" s="150">
        <f> -1 * BT38</f>
        <v>-16809.3690582666</v>
      </c>
      <c r="BU39" s="150">
        <f> -1 * BU38</f>
        <v>-16266.171398806224</v>
      </c>
      <c r="BV39" s="150">
        <f> -1 * BV38</f>
        <v>-17059.646384996402</v>
      </c>
      <c r="BW39" s="150">
        <f> -1 * BW38</f>
        <v>-17186.179006736664</v>
      </c>
      <c r="BX39" s="150">
        <f> -1 * BX38</f>
        <v>-17313.650130014594</v>
      </c>
      <c r="BY39" s="150">
        <f> -1 * BY38</f>
        <v>-17442.066715763467</v>
      </c>
      <c r="BZ39" s="150">
        <f> -1 * BZ38</f>
        <v>-17571.435776546292</v>
      </c>
      <c r="CA39" s="150">
        <f> -1 * CA38</f>
        <v>-17701.764376938754</v>
      </c>
      <c r="CB39" s="150">
        <f> -1 * CB38</f>
        <v>-17833.059633915025</v>
      </c>
      <c r="CC39" s="150">
        <f> -1 * CC38</f>
        <v>-17965.328717236367</v>
      </c>
      <c r="CD39" s="150">
        <f> -1 * CD38</f>
        <v>-18098.578849842674</v>
      </c>
      <c r="CE39" s="150">
        <f> -1 * CE38</f>
        <v>-18232.817308246915</v>
      </c>
      <c r="CF39" s="150">
        <f> -1 * CF38</f>
        <v>-18368.051422932473</v>
      </c>
      <c r="CG39" s="150">
        <f> -1 * CG38</f>
        <v>-18504.28857875345</v>
      </c>
      <c r="CH39" s="150">
        <f> -1 * CH38</f>
        <v>-18641.53621533795</v>
      </c>
      <c r="CI39" s="150">
        <f> -1 * CI38</f>
        <v>-18779.801827494317</v>
      </c>
      <c r="CJ39" s="150">
        <f> -1 * CJ38</f>
        <v>-18919.09296562044</v>
      </c>
      <c r="CK39" s="150">
        <f> -1 * CK38</f>
        <v>-19059.417236116045</v>
      </c>
      <c r="CL39" s="150">
        <f> -1 * CL38</f>
        <v>-19200.782301798077</v>
      </c>
      <c r="CM39" s="150">
        <f> -1 * CM38</f>
        <v>-19343.19588231914</v>
      </c>
      <c r="CN39" s="150">
        <f> -1 * CN38</f>
        <v>-0.0</v>
      </c>
      <c r="CO39" s="150">
        <f> -1 * CO38</f>
        <v>-0.0</v>
      </c>
    </row>
    <row r="41">
      <c r="A41" s="294" t="inlineStr">
        <is>
          <t>OPERATING COST PAID</t>
        </is>
      </c>
    </row>
    <row r="43">
      <c r="E43" s="325" t="str">
        <f> InpC!E$50</f>
        <v>Account payables days</v>
      </c>
      <c r="F43" s="325">
        <f> InpC!F$50</f>
        <v>35.0</v>
      </c>
      <c r="G43" s="325" t="str">
        <f> InpC!G$50</f>
        <v>days</v>
      </c>
      <c r="H43" s="325" t="n"/>
    </row>
    <row r="44">
      <c r="E44" s="324" t="str">
        <f> Time!E$30</f>
        <v>Days in model period</v>
      </c>
      <c r="F44" s="324">
        <f> Time!F$30</f>
        <v>0.0</v>
      </c>
      <c r="G44" s="324" t="str">
        <f> Time!G$30</f>
        <v>days</v>
      </c>
      <c r="H44" s="324">
        <f> Time!H$30</f>
        <v>0.0</v>
      </c>
      <c r="I44" s="324">
        <f> Time!I$30</f>
        <v>0.0</v>
      </c>
      <c r="J44" s="324">
        <f> Time!J$30</f>
        <v>92.0</v>
      </c>
      <c r="K44" s="324">
        <f> Time!K$30</f>
        <v>92.0</v>
      </c>
      <c r="L44" s="324">
        <f> Time!L$30</f>
        <v>90.0</v>
      </c>
      <c r="M44" s="324">
        <f> Time!M$30</f>
        <v>91.0</v>
      </c>
      <c r="N44" s="324">
        <f> Time!N$30</f>
        <v>92.0</v>
      </c>
      <c r="O44" s="324">
        <f> Time!O$30</f>
        <v>92.0</v>
      </c>
      <c r="P44" s="324">
        <f> Time!P$30</f>
        <v>90.0</v>
      </c>
      <c r="Q44" s="324">
        <f> Time!Q$30</f>
        <v>91.0</v>
      </c>
      <c r="R44" s="324">
        <f> Time!R$30</f>
        <v>92.0</v>
      </c>
      <c r="S44" s="324">
        <f> Time!S$30</f>
        <v>92.0</v>
      </c>
      <c r="T44" s="324">
        <f> Time!T$30</f>
        <v>91.0</v>
      </c>
      <c r="U44" s="324">
        <f> Time!U$30</f>
        <v>91.0</v>
      </c>
      <c r="V44" s="324">
        <f> Time!V$30</f>
        <v>92.0</v>
      </c>
      <c r="W44" s="324">
        <f> Time!W$30</f>
        <v>92.0</v>
      </c>
      <c r="X44" s="324">
        <f> Time!X$30</f>
        <v>90.0</v>
      </c>
      <c r="Y44" s="324">
        <f> Time!Y$30</f>
        <v>91.0</v>
      </c>
      <c r="Z44" s="324">
        <f> Time!Z$30</f>
        <v>92.0</v>
      </c>
      <c r="AA44" s="324">
        <f> Time!AA$30</f>
        <v>92.0</v>
      </c>
      <c r="AB44" s="324">
        <f> Time!AB$30</f>
        <v>90.0</v>
      </c>
      <c r="AC44" s="324">
        <f> Time!AC$30</f>
        <v>91.0</v>
      </c>
      <c r="AD44" s="324">
        <f> Time!AD$30</f>
        <v>92.0</v>
      </c>
      <c r="AE44" s="324">
        <f> Time!AE$30</f>
        <v>92.0</v>
      </c>
      <c r="AF44" s="324">
        <f> Time!AF$30</f>
        <v>90.0</v>
      </c>
      <c r="AG44" s="324">
        <f> Time!AG$30</f>
        <v>91.0</v>
      </c>
      <c r="AH44" s="324">
        <f> Time!AH$30</f>
        <v>92.0</v>
      </c>
      <c r="AI44" s="324">
        <f> Time!AI$30</f>
        <v>92.0</v>
      </c>
      <c r="AJ44" s="324">
        <f> Time!AJ$30</f>
        <v>91.0</v>
      </c>
      <c r="AK44" s="324">
        <f> Time!AK$30</f>
        <v>91.0</v>
      </c>
      <c r="AL44" s="324">
        <f> Time!AL$30</f>
        <v>92.0</v>
      </c>
      <c r="AM44" s="324">
        <f> Time!AM$30</f>
        <v>92.0</v>
      </c>
      <c r="AN44" s="324">
        <f> Time!AN$30</f>
        <v>90.0</v>
      </c>
      <c r="AO44" s="324">
        <f> Time!AO$30</f>
        <v>91.0</v>
      </c>
      <c r="AP44" s="324">
        <f> Time!AP$30</f>
        <v>92.0</v>
      </c>
      <c r="AQ44" s="324">
        <f> Time!AQ$30</f>
        <v>92.0</v>
      </c>
      <c r="AR44" s="324">
        <f> Time!AR$30</f>
        <v>90.0</v>
      </c>
      <c r="AS44" s="324">
        <f> Time!AS$30</f>
        <v>91.0</v>
      </c>
      <c r="AT44" s="324">
        <f> Time!AT$30</f>
        <v>92.0</v>
      </c>
      <c r="AU44" s="324">
        <f> Time!AU$30</f>
        <v>92.0</v>
      </c>
      <c r="AV44" s="324">
        <f> Time!AV$30</f>
        <v>90.0</v>
      </c>
      <c r="AW44" s="324">
        <f> Time!AW$30</f>
        <v>91.0</v>
      </c>
      <c r="AX44" s="324">
        <f> Time!AX$30</f>
        <v>92.0</v>
      </c>
      <c r="AY44" s="324">
        <f> Time!AY$30</f>
        <v>92.0</v>
      </c>
      <c r="AZ44" s="324">
        <f> Time!AZ$30</f>
        <v>91.0</v>
      </c>
      <c r="BA44" s="324">
        <f> Time!BA$30</f>
        <v>91.0</v>
      </c>
      <c r="BB44" s="324">
        <f> Time!BB$30</f>
        <v>92.0</v>
      </c>
      <c r="BC44" s="324">
        <f> Time!BC$30</f>
        <v>92.0</v>
      </c>
      <c r="BD44" s="324">
        <f> Time!BD$30</f>
        <v>90.0</v>
      </c>
      <c r="BE44" s="324">
        <f> Time!BE$30</f>
        <v>91.0</v>
      </c>
      <c r="BF44" s="324">
        <f> Time!BF$30</f>
        <v>92.0</v>
      </c>
      <c r="BG44" s="324">
        <f> Time!BG$30</f>
        <v>92.0</v>
      </c>
      <c r="BH44" s="324">
        <f> Time!BH$30</f>
        <v>90.0</v>
      </c>
      <c r="BI44" s="324">
        <f> Time!BI$30</f>
        <v>91.0</v>
      </c>
      <c r="BJ44" s="324">
        <f> Time!BJ$30</f>
        <v>92.0</v>
      </c>
      <c r="BK44" s="324">
        <f> Time!BK$30</f>
        <v>92.0</v>
      </c>
      <c r="BL44" s="324">
        <f> Time!BL$30</f>
        <v>90.0</v>
      </c>
      <c r="BM44" s="324">
        <f> Time!BM$30</f>
        <v>91.0</v>
      </c>
      <c r="BN44" s="324">
        <f> Time!BN$30</f>
        <v>92.0</v>
      </c>
      <c r="BO44" s="324">
        <f> Time!BO$30</f>
        <v>92.0</v>
      </c>
      <c r="BP44" s="324">
        <f> Time!BP$30</f>
        <v>91.0</v>
      </c>
      <c r="BQ44" s="324">
        <f> Time!BQ$30</f>
        <v>91.0</v>
      </c>
      <c r="BR44" s="324">
        <f> Time!BR$30</f>
        <v>92.0</v>
      </c>
      <c r="BS44" s="324">
        <f> Time!BS$30</f>
        <v>92.0</v>
      </c>
      <c r="BT44" s="324">
        <f> Time!BT$30</f>
        <v>90.0</v>
      </c>
      <c r="BU44" s="324">
        <f> Time!BU$30</f>
        <v>91.0</v>
      </c>
      <c r="BV44" s="324">
        <f> Time!BV$30</f>
        <v>92.0</v>
      </c>
      <c r="BW44" s="324">
        <f> Time!BW$30</f>
        <v>92.0</v>
      </c>
      <c r="BX44" s="324">
        <f> Time!BX$30</f>
        <v>90.0</v>
      </c>
      <c r="BY44" s="324">
        <f> Time!BY$30</f>
        <v>91.0</v>
      </c>
      <c r="BZ44" s="324">
        <f> Time!BZ$30</f>
        <v>92.0</v>
      </c>
      <c r="CA44" s="324">
        <f> Time!CA$30</f>
        <v>92.0</v>
      </c>
      <c r="CB44" s="324">
        <f> Time!CB$30</f>
        <v>90.0</v>
      </c>
      <c r="CC44" s="324">
        <f> Time!CC$30</f>
        <v>91.0</v>
      </c>
      <c r="CD44" s="324">
        <f> Time!CD$30</f>
        <v>92.0</v>
      </c>
      <c r="CE44" s="324">
        <f> Time!CE$30</f>
        <v>92.0</v>
      </c>
      <c r="CF44" s="324">
        <f> Time!CF$30</f>
        <v>91.0</v>
      </c>
      <c r="CG44" s="324">
        <f> Time!CG$30</f>
        <v>91.0</v>
      </c>
      <c r="CH44" s="324">
        <f> Time!CH$30</f>
        <v>92.0</v>
      </c>
      <c r="CI44" s="324">
        <f> Time!CI$30</f>
        <v>92.0</v>
      </c>
      <c r="CJ44" s="324">
        <f> Time!CJ$30</f>
        <v>90.0</v>
      </c>
      <c r="CK44" s="324">
        <f> Time!CK$30</f>
        <v>91.0</v>
      </c>
      <c r="CL44" s="324">
        <f> Time!CL$30</f>
        <v>92.0</v>
      </c>
      <c r="CM44" s="324">
        <f> Time!CM$30</f>
        <v>92.0</v>
      </c>
      <c r="CN44" s="324">
        <f> Time!CN$30</f>
        <v>90.0</v>
      </c>
      <c r="CO44" s="324">
        <f> Time!CO$30</f>
        <v>91.0</v>
      </c>
    </row>
    <row r="45">
      <c r="E45" s="61" t="str">
        <f> E$38</f>
        <v>Operating cost POS</v>
      </c>
      <c r="F45" s="61">
        <f> F$38</f>
        <v>0.0</v>
      </c>
      <c r="G45" s="61" t="str">
        <f> G$38</f>
        <v>$ 000s</v>
      </c>
      <c r="H45" s="61">
        <f> H$38</f>
        <v>1152373.432337585</v>
      </c>
      <c r="I45" s="61">
        <f> I$38</f>
        <v>0.0</v>
      </c>
      <c r="J45" s="61">
        <f> J$38</f>
        <v>0.0</v>
      </c>
      <c r="K45" s="61">
        <f> K$38</f>
        <v>0.0</v>
      </c>
      <c r="L45" s="61">
        <f> L$38</f>
        <v>10059.121375069928</v>
      </c>
      <c r="M45" s="61">
        <f> M$38</f>
        <v>9938.509050163299</v>
      </c>
      <c r="N45" s="61">
        <f> N$38</f>
        <v>10500.907630137393</v>
      </c>
      <c r="O45" s="61">
        <f> O$38</f>
        <v>10294.313666666665</v>
      </c>
      <c r="P45" s="61">
        <f> P$38</f>
        <v>10848.510063957356</v>
      </c>
      <c r="Q45" s="61">
        <f> Q$38</f>
        <v>10548.532531167835</v>
      </c>
      <c r="R45" s="61">
        <f> R$38</f>
        <v>11116.414850938825</v>
      </c>
      <c r="S45" s="61">
        <f> S$38</f>
        <v>10809.02935</v>
      </c>
      <c r="T45" s="61">
        <f> T$38</f>
        <v>11363.716888629026</v>
      </c>
      <c r="U45" s="61">
        <f> U$38</f>
        <v>11023.090315729425</v>
      </c>
      <c r="V45" s="61">
        <f> V$38</f>
        <v>11588.762832412656</v>
      </c>
      <c r="W45" s="61">
        <f> W$38</f>
        <v>11241.390524</v>
      </c>
      <c r="X45" s="61">
        <f> X$38</f>
        <v>11789.75325620654</v>
      </c>
      <c r="Y45" s="61">
        <f> Y$38</f>
        <v>11408.765346893117</v>
      </c>
      <c r="Z45" s="61">
        <f> Z$38</f>
        <v>11965.292737643309</v>
      </c>
      <c r="AA45" s="61">
        <f> AA$38</f>
        <v>11578.632239719997</v>
      </c>
      <c r="AB45" s="61">
        <f> AB$38</f>
        <v>12143.445853892736</v>
      </c>
      <c r="AC45" s="61">
        <f> AC$38</f>
        <v>11751.028307299908</v>
      </c>
      <c r="AD45" s="61">
        <f> AD$38</f>
        <v>12324.251519772608</v>
      </c>
      <c r="AE45" s="61">
        <f> AE$38</f>
        <v>11925.991206911593</v>
      </c>
      <c r="AF45" s="61">
        <f> AF$38</f>
        <v>12507.749229509513</v>
      </c>
      <c r="AG45" s="61">
        <f> AG$38</f>
        <v>12103.559156518902</v>
      </c>
      <c r="AH45" s="61">
        <f> AH$38</f>
        <v>12693.97906536578</v>
      </c>
      <c r="AI45" s="61">
        <f> AI$38</f>
        <v>12283.770943118936</v>
      </c>
      <c r="AJ45" s="61">
        <f> AJ$38</f>
        <v>12882.981706394796</v>
      </c>
      <c r="AK45" s="61">
        <f> AK$38</f>
        <v>12466.665931214466</v>
      </c>
      <c r="AL45" s="61">
        <f> AL$38</f>
        <v>13074.798437326746</v>
      </c>
      <c r="AM45" s="61">
        <f> AM$38</f>
        <v>12652.2840714125</v>
      </c>
      <c r="AN45" s="61">
        <f> AN$38</f>
        <v>13269.471157586635</v>
      </c>
      <c r="AO45" s="61">
        <f> AO$38</f>
        <v>12840.665909150894</v>
      </c>
      <c r="AP45" s="61">
        <f> AP$38</f>
        <v>13467.042390446544</v>
      </c>
      <c r="AQ45" s="61">
        <f> AQ$38</f>
        <v>13031.85259355487</v>
      </c>
      <c r="AR45" s="61">
        <f> AR$38</f>
        <v>13667.55529231423</v>
      </c>
      <c r="AS45" s="61">
        <f> AS$38</f>
        <v>13225.885886425416</v>
      </c>
      <c r="AT45" s="61">
        <f> AT$38</f>
        <v>13871.053662159937</v>
      </c>
      <c r="AU45" s="61">
        <f> AU$38</f>
        <v>13422.808171361512</v>
      </c>
      <c r="AV45" s="61">
        <f> AV$38</f>
        <v>14077.58195108365</v>
      </c>
      <c r="AW45" s="61">
        <f> AW$38</f>
        <v>13622.662463018176</v>
      </c>
      <c r="AX45" s="61">
        <f> AX$38</f>
        <v>14287.18527202473</v>
      </c>
      <c r="AY45" s="61">
        <f> AY$38</f>
        <v>13825.492416502351</v>
      </c>
      <c r="AZ45" s="61">
        <f> AZ$38</f>
        <v>14499.909409616155</v>
      </c>
      <c r="BA45" s="61">
        <f> BA$38</f>
        <v>14031.342336908714</v>
      </c>
      <c r="BB45" s="61">
        <f> BB$38</f>
        <v>14715.800830185466</v>
      </c>
      <c r="BC45" s="61">
        <f> BC$38</f>
        <v>14240.257188997417</v>
      </c>
      <c r="BD45" s="61">
        <f> BD$38</f>
        <v>14934.906691904634</v>
      </c>
      <c r="BE45" s="61">
        <f> BE$38</f>
        <v>14452.282607015972</v>
      </c>
      <c r="BF45" s="61">
        <f> BF$38</f>
        <v>15157.274855091027</v>
      </c>
      <c r="BG45" s="61">
        <f> BG$38</f>
        <v>14667.464904667335</v>
      </c>
      <c r="BH45" s="61">
        <f> BH$38</f>
        <v>14776.25454466263</v>
      </c>
      <c r="BI45" s="61">
        <f> BI$38</f>
        <v>15497.050365837194</v>
      </c>
      <c r="BJ45" s="61">
        <f> BJ$38</f>
        <v>14996.260511198212</v>
      </c>
      <c r="BK45" s="61">
        <f> BK$38</f>
        <v>15727.788374165439</v>
      </c>
      <c r="BL45" s="61">
        <f> BL$38</f>
        <v>15219.542181002504</v>
      </c>
      <c r="BM45" s="61">
        <f> BM$38</f>
        <v>15961.961876812307</v>
      </c>
      <c r="BN45" s="61">
        <f> BN$38</f>
        <v>15446.148326534154</v>
      </c>
      <c r="BO45" s="61">
        <f> BO$38</f>
        <v>16199.622025390398</v>
      </c>
      <c r="BP45" s="61">
        <f> BP$38</f>
        <v>15676.128446432574</v>
      </c>
      <c r="BQ45" s="61">
        <f> BQ$38</f>
        <v>15792.399416316726</v>
      </c>
      <c r="BR45" s="61">
        <f> BR$38</f>
        <v>16562.763480579037</v>
      </c>
      <c r="BS45" s="61">
        <f> BS$38</f>
        <v>16027.534922882409</v>
      </c>
      <c r="BT45" s="61">
        <f> BT$38</f>
        <v>16809.3690582666</v>
      </c>
      <c r="BU45" s="61">
        <f> BU$38</f>
        <v>16266.171398806224</v>
      </c>
      <c r="BV45" s="61">
        <f> BV$38</f>
        <v>17059.646384996402</v>
      </c>
      <c r="BW45" s="61">
        <f> BW$38</f>
        <v>17186.179006736664</v>
      </c>
      <c r="BX45" s="61">
        <f> BX$38</f>
        <v>17313.650130014594</v>
      </c>
      <c r="BY45" s="61">
        <f> BY$38</f>
        <v>17442.066715763467</v>
      </c>
      <c r="BZ45" s="61">
        <f> BZ$38</f>
        <v>17571.435776546292</v>
      </c>
      <c r="CA45" s="61">
        <f> CA$38</f>
        <v>17701.764376938754</v>
      </c>
      <c r="CB45" s="61">
        <f> CB$38</f>
        <v>17833.059633915025</v>
      </c>
      <c r="CC45" s="61">
        <f> CC$38</f>
        <v>17965.328717236367</v>
      </c>
      <c r="CD45" s="61">
        <f> CD$38</f>
        <v>18098.578849842674</v>
      </c>
      <c r="CE45" s="61">
        <f> CE$38</f>
        <v>18232.817308246915</v>
      </c>
      <c r="CF45" s="61">
        <f> CF$38</f>
        <v>18368.051422932473</v>
      </c>
      <c r="CG45" s="61">
        <f> CG$38</f>
        <v>18504.28857875345</v>
      </c>
      <c r="CH45" s="61">
        <f> CH$38</f>
        <v>18641.53621533795</v>
      </c>
      <c r="CI45" s="61">
        <f> CI$38</f>
        <v>18779.801827494317</v>
      </c>
      <c r="CJ45" s="61">
        <f> CJ$38</f>
        <v>18919.09296562044</v>
      </c>
      <c r="CK45" s="61">
        <f> CK$38</f>
        <v>19059.417236116045</v>
      </c>
      <c r="CL45" s="61">
        <f> CL$38</f>
        <v>19200.782301798077</v>
      </c>
      <c r="CM45" s="61">
        <f> CM$38</f>
        <v>19343.19588231914</v>
      </c>
      <c r="CN45" s="61">
        <f> CN$38</f>
        <v>0.0</v>
      </c>
      <c r="CO45" s="61">
        <f> CO$38</f>
        <v>0.0</v>
      </c>
    </row>
    <row r="46">
      <c r="E46" s="61" t="inlineStr">
        <is>
          <t>Cash paid out for invoices</t>
        </is>
      </c>
      <c r="G46" s="61" t="str">
        <f>SMU</f>
        <v>$ 000s</v>
      </c>
      <c r="J46" s="61">
        <f> (J44 - $F43) / J44 * J45</f>
        <v>0.0</v>
      </c>
      <c r="K46" s="61">
        <f> (K44 - $F43) / K44 * K45</f>
        <v>0.0</v>
      </c>
      <c r="L46" s="61">
        <f> (L44 - $F43) / L44 * L45</f>
        <v>6147.240840320512</v>
      </c>
      <c r="M46" s="61">
        <f> (M44 - $F43) / M44 * M45</f>
        <v>6116.005569331261</v>
      </c>
      <c r="N46" s="61">
        <f> (N44 - $F43) / N44 * N45</f>
        <v>6505.99711867208</v>
      </c>
      <c r="O46" s="61">
        <f> (O44 - $F43) / O44 * O45</f>
        <v>6377.998684782608</v>
      </c>
      <c r="P46" s="61">
        <f> (P44 - $F43) / P44 * P45</f>
        <v>6629.645039085051</v>
      </c>
      <c r="Q46" s="61">
        <f> (Q44 - $F43) / Q44 * Q45</f>
        <v>6491.404634564822</v>
      </c>
      <c r="R46" s="61">
        <f> (R44 - $F43) / R44 * R45</f>
        <v>6887.343983733837</v>
      </c>
      <c r="S46" s="61">
        <f> (S44 - $F43) / S44 * S45</f>
        <v>6696.898619021739</v>
      </c>
      <c r="T46" s="61">
        <f> (T44 - $F43) / T44 * T45</f>
        <v>6993.056546848631</v>
      </c>
      <c r="U46" s="61">
        <f> (U44 - $F43) / U44 * U45</f>
        <v>6783.440194295031</v>
      </c>
      <c r="V46" s="61">
        <f> (V44 - $F43) / V44 * V45</f>
        <v>7179.994363560015</v>
      </c>
      <c r="W46" s="61">
        <f> (W44 - $F43) / W44 * W45</f>
        <v>6964.774563782608</v>
      </c>
      <c r="X46" s="61">
        <f> (X44 - $F43) / X44 * X45</f>
        <v>7204.84921212622</v>
      </c>
      <c r="Y46" s="61">
        <f> (Y44 - $F43) / Y44 * Y45</f>
        <v>7020.778675011149</v>
      </c>
      <c r="Z46" s="61">
        <f> (Z44 - $F43) / Z44 * Z45</f>
        <v>7413.279196148572</v>
      </c>
      <c r="AA46" s="61">
        <f> (AA44 - $F43) / AA44 * AA45</f>
        <v>7173.717800696085</v>
      </c>
      <c r="AB46" s="61">
        <f> (AB44 - $F43) / AB44 * AB45</f>
        <v>7420.9946884900055</v>
      </c>
      <c r="AC46" s="61">
        <f> (AC44 - $F43) / AC44 * AC45</f>
        <v>7231.4020352614825</v>
      </c>
      <c r="AD46" s="61">
        <f> (AD44 - $F43) / AD44 * AD45</f>
        <v>7635.677572033029</v>
      </c>
      <c r="AE46" s="61">
        <f> (AE44 - $F43) / AE44 * AE45</f>
        <v>7388.929334716965</v>
      </c>
      <c r="AF46" s="61">
        <f> (AF44 - $F43) / AF44 * AF45</f>
        <v>7643.624529144703</v>
      </c>
      <c r="AG46" s="61">
        <f> (AG44 - $F43) / AG44 * AG45</f>
        <v>7448.344096319325</v>
      </c>
      <c r="AH46" s="61">
        <f> (AH44 - $F43) / AH44 * AH45</f>
        <v>7864.747899194015</v>
      </c>
      <c r="AI46" s="61">
        <f> (AI44 - $F43) / AI44 * AI45</f>
        <v>7610.597214758471</v>
      </c>
      <c r="AJ46" s="61">
        <f> (AJ44 - $F43) / AJ44 * AJ45</f>
        <v>7927.9887423967975</v>
      </c>
      <c r="AK46" s="61">
        <f> (AK44 - $F43) / AK44 * AK45</f>
        <v>7671.794419208903</v>
      </c>
      <c r="AL46" s="61">
        <f> (AL44 - $F43) / AL44 * AL45</f>
        <v>8100.690336169831</v>
      </c>
      <c r="AM46" s="61">
        <f> (AM44 - $F43) / AM44 * AM45</f>
        <v>7838.915131201222</v>
      </c>
      <c r="AN46" s="61">
        <f> (AN44 - $F43) / AN44 * AN45</f>
        <v>8109.121262969611</v>
      </c>
      <c r="AO46" s="61">
        <f> (AO44 - $F43) / AO44 * AO45</f>
        <v>7901.948251785166</v>
      </c>
      <c r="AP46" s="61">
        <f> (AP44 - $F43) / AP44 * AP45</f>
        <v>8343.711046254924</v>
      </c>
      <c r="AQ46" s="61">
        <f> (AQ44 - $F43) / AQ44 * AQ45</f>
        <v>8074.082585137256</v>
      </c>
      <c r="AR46" s="61">
        <f> (AR44 - $F43) / AR44 * AR45</f>
        <v>8352.394900858697</v>
      </c>
      <c r="AS46" s="61">
        <f> (AS44 - $F43) / AS44 * AS45</f>
        <v>8139.006699338718</v>
      </c>
      <c r="AT46" s="61">
        <f> (AT44 - $F43) / AT44 * AT45</f>
        <v>8594.02237764257</v>
      </c>
      <c r="AU46" s="61">
        <f> (AU44 - $F43) / AU44 * AU45</f>
        <v>8316.305062691372</v>
      </c>
      <c r="AV46" s="61">
        <f> (AV44 - $F43) / AV44 * AV45</f>
        <v>8602.966747884453</v>
      </c>
      <c r="AW46" s="61">
        <f> (AW44 - $F43) / AW44 * AW45</f>
        <v>8383.176900318878</v>
      </c>
      <c r="AX46" s="61">
        <f> (AX44 - $F43) / AX44 * AX45</f>
        <v>8851.843048971843</v>
      </c>
      <c r="AY46" s="61">
        <f> (AY44 - $F43) / AY44 * AY45</f>
        <v>8565.794214572108</v>
      </c>
      <c r="AZ46" s="61">
        <f> (AZ44 - $F43) / AZ44 * AZ45</f>
        <v>8923.021175148404</v>
      </c>
      <c r="BA46" s="61">
        <f> (BA44 - $F43) / BA44 * BA45</f>
        <v>8634.67220732844</v>
      </c>
      <c r="BB46" s="61">
        <f> (BB44 - $F43) / BB44 * BB45</f>
        <v>9117.398340440996</v>
      </c>
      <c r="BC46" s="61">
        <f> (BC44 - $F43) / BC44 * BC45</f>
        <v>8822.768041009269</v>
      </c>
      <c r="BD46" s="61">
        <f> (BD44 - $F43) / BD44 * BD45</f>
        <v>9126.88742283061</v>
      </c>
      <c r="BE46" s="61">
        <f> (BE44 - $F43) / BE44 * BE45</f>
        <v>8893.712373548291</v>
      </c>
      <c r="BF46" s="61">
        <f> (BF44 - $F43) / BF44 * BF45</f>
        <v>9390.920290654223</v>
      </c>
      <c r="BG46" s="61">
        <f> (BG44 - $F43) / BG44 * BG45</f>
        <v>9087.451082239544</v>
      </c>
      <c r="BH46" s="61">
        <f> (BH44 - $F43) / BH44 * BH45</f>
        <v>9029.933332849385</v>
      </c>
      <c r="BI46" s="61">
        <f> (BI44 - $F43) / BI44 * BI45</f>
        <v>9536.646378976735</v>
      </c>
      <c r="BJ46" s="61">
        <f> (BJ44 - $F43) / BJ44 * BJ45</f>
        <v>9291.161403677153</v>
      </c>
      <c r="BK46" s="61">
        <f> (BK44 - $F43) / BK44 * BK45</f>
        <v>9744.390623124238</v>
      </c>
      <c r="BL46" s="61">
        <f> (BL44 - $F43) / BL44 * BL45</f>
        <v>9300.831332834865</v>
      </c>
      <c r="BM46" s="61">
        <f> (BM44 - $F43) / BM44 * BM45</f>
        <v>9822.745770346035</v>
      </c>
      <c r="BN46" s="61">
        <f> (BN44 - $F43) / BN44 * BN45</f>
        <v>9569.896245787464</v>
      </c>
      <c r="BO46" s="61">
        <f> (BO44 - $F43) / BO44 * BO45</f>
        <v>10036.722341817964</v>
      </c>
      <c r="BP46" s="61">
        <f> (BP44 - $F43) / BP44 * BP45</f>
        <v>9646.84827472774</v>
      </c>
      <c r="BQ46" s="61">
        <f> (BQ44 - $F43) / BQ44 * BQ45</f>
        <v>9718.399640810294</v>
      </c>
      <c r="BR46" s="61">
        <f> (BR44 - $F43) / BR44 * BR45</f>
        <v>10261.712156445707</v>
      </c>
      <c r="BS46" s="61">
        <f> (BS44 - $F43) / BS44 * BS45</f>
        <v>9930.103158742362</v>
      </c>
      <c r="BT46" s="61">
        <f> (BT44 - $F43) / BT44 * BT45</f>
        <v>10272.392202274033</v>
      </c>
      <c r="BU46" s="61">
        <f> (BU44 - $F43) / BU44 * BU45</f>
        <v>10009.9516300346</v>
      </c>
      <c r="BV46" s="61">
        <f> (BV44 - $F43) / BV44 * BV45</f>
        <v>10569.563521139075</v>
      </c>
      <c r="BW46" s="61">
        <f> (BW44 - $F43) / BW44 * BW45</f>
        <v>10647.958732434672</v>
      </c>
      <c r="BX46" s="61">
        <f> (BX44 - $F43) / BX44 * BX45</f>
        <v>10580.563968342252</v>
      </c>
      <c r="BY46" s="61">
        <f> (BY44 - $F43) / BY44 * BY45</f>
        <v>10733.579517392904</v>
      </c>
      <c r="BZ46" s="61">
        <f> (BZ44 - $F43) / BZ44 * BZ45</f>
        <v>10886.650426773245</v>
      </c>
      <c r="CA46" s="61">
        <f> (CA44 - $F43) / CA44 * CA45</f>
        <v>10967.397494407705</v>
      </c>
      <c r="CB46" s="61">
        <f> (CB44 - $F43) / CB44 * CB45</f>
        <v>10897.980887392516</v>
      </c>
      <c r="CC46" s="61">
        <f> (CC44 - $F43) / CC44 * CC45</f>
        <v>11055.586902914689</v>
      </c>
      <c r="CD46" s="61">
        <f> (CD44 - $F43) / CD44 * CD45</f>
        <v>11213.249939576439</v>
      </c>
      <c r="CE46" s="61">
        <f> (CE44 - $F43) / CE44 * CE45</f>
        <v>11296.419419239935</v>
      </c>
      <c r="CF46" s="61">
        <f> (CF44 - $F43) / CF44 * CF45</f>
        <v>11303.416260266138</v>
      </c>
      <c r="CG46" s="61">
        <f> (CG44 - $F43) / CG44 * CG45</f>
        <v>11387.254510002123</v>
      </c>
      <c r="CH46" s="61">
        <f> (CH44 - $F43) / CH44 * CH45</f>
        <v>11549.64743776373</v>
      </c>
      <c r="CI46" s="61">
        <f> (CI44 - $F43) / CI44 * CI45</f>
        <v>11635.31200181713</v>
      </c>
      <c r="CJ46" s="61">
        <f> (CJ44 - $F43) / CJ44 * CJ45</f>
        <v>11561.667923434714</v>
      </c>
      <c r="CK46" s="61">
        <f> (CK44 - $F43) / CK44 * CK45</f>
        <v>11728.872145302183</v>
      </c>
      <c r="CL46" s="61">
        <f> (CL44 - $F43) / CL44 * CL45</f>
        <v>11896.136860896635</v>
      </c>
      <c r="CM46" s="61">
        <f> (CM44 - $F43) / CM44 * CM45</f>
        <v>11984.371361871641</v>
      </c>
      <c r="CN46" s="61">
        <f> (CN44 - $F43) / CN44 * CN45</f>
        <v>0.0</v>
      </c>
      <c r="CO46" s="61">
        <f> (CO44 - $F43) / CO44 * CO45</f>
        <v>0.0</v>
      </c>
    </row>
    <row r="47" customFormat="1" s="29"/>
    <row r="48" s="396">
      <c r="A48" s="355" t="n"/>
      <c r="B48" s="355" t="n"/>
      <c r="C48" s="356" t="n"/>
      <c r="D48" s="357" t="n"/>
      <c r="E48" s="29" t="str">
        <f> E$59</f>
        <v>Account payables balance BEG</v>
      </c>
      <c r="F48" s="29">
        <f> F$59</f>
        <v>0.0</v>
      </c>
      <c r="G48" s="29" t="str">
        <f> G$59</f>
        <v>$ 000s</v>
      </c>
      <c r="H48" s="29">
        <f> H$59</f>
        <v>0.0</v>
      </c>
      <c r="I48" s="29">
        <f> I$59</f>
        <v>0.0</v>
      </c>
      <c r="J48" s="29">
        <f> J$59</f>
        <v>0.0</v>
      </c>
      <c r="K48" s="29">
        <f> K$59</f>
        <v>0.0</v>
      </c>
      <c r="L48" s="29">
        <f> L$59</f>
        <v>0.0</v>
      </c>
      <c r="M48" s="29">
        <f> M$59</f>
        <v>3911.8805347494163</v>
      </c>
      <c r="N48" s="29">
        <f> N$59</f>
        <v>3822.503480832038</v>
      </c>
      <c r="O48" s="29">
        <f> O$59</f>
        <v>3994.910511465314</v>
      </c>
      <c r="P48" s="29">
        <f> P$59</f>
        <v>3916.3149818840575</v>
      </c>
      <c r="Q48" s="29">
        <f> Q$59</f>
        <v>4218.865024872304</v>
      </c>
      <c r="R48" s="29">
        <f> R$59</f>
        <v>4057.127896603013</v>
      </c>
      <c r="S48" s="29">
        <f> S$59</f>
        <v>4229.070867204988</v>
      </c>
      <c r="T48" s="29">
        <f> T$59</f>
        <v>4112.1307309782605</v>
      </c>
      <c r="U48" s="29">
        <f> U$59</f>
        <v>4370.660341780394</v>
      </c>
      <c r="V48" s="29">
        <f> V$59</f>
        <v>4239.650121434395</v>
      </c>
      <c r="W48" s="29">
        <f> W$59</f>
        <v>4408.768468852642</v>
      </c>
      <c r="X48" s="29">
        <f> X$59</f>
        <v>4276.615960217392</v>
      </c>
      <c r="Y48" s="29">
        <f> Y$59</f>
        <v>4584.904044080322</v>
      </c>
      <c r="Z48" s="29">
        <f> Z$59</f>
        <v>4387.9866718819685</v>
      </c>
      <c r="AA48" s="29">
        <f> AA$59</f>
        <v>4552.013541494738</v>
      </c>
      <c r="AB48" s="29">
        <f> AB$59</f>
        <v>4404.914439023913</v>
      </c>
      <c r="AC48" s="29">
        <f> AC$59</f>
        <v>4722.45116540273</v>
      </c>
      <c r="AD48" s="29">
        <f> AD$59</f>
        <v>4519.626272038426</v>
      </c>
      <c r="AE48" s="29">
        <f> AE$59</f>
        <v>4688.57394773958</v>
      </c>
      <c r="AF48" s="29">
        <f> AF$59</f>
        <v>4537.061872194627</v>
      </c>
      <c r="AG48" s="29">
        <f> AG$59</f>
        <v>4864.124700364808</v>
      </c>
      <c r="AH48" s="29">
        <f> AH$59</f>
        <v>4655.215060199578</v>
      </c>
      <c r="AI48" s="29">
        <f> AI$59</f>
        <v>4829.231166171765</v>
      </c>
      <c r="AJ48" s="29">
        <f> AJ$59</f>
        <v>4673.173728360465</v>
      </c>
      <c r="AK48" s="29">
        <f> AK$59</f>
        <v>4954.992963997996</v>
      </c>
      <c r="AL48" s="29">
        <f> AL$59</f>
        <v>4794.871512005564</v>
      </c>
      <c r="AM48" s="29">
        <f> AM$59</f>
        <v>4974.108101156915</v>
      </c>
      <c r="AN48" s="29">
        <f> AN$59</f>
        <v>4813.36894021128</v>
      </c>
      <c r="AO48" s="29">
        <f> AO$59</f>
        <v>5160.349894617024</v>
      </c>
      <c r="AP48" s="29">
        <f> AP$59</f>
        <v>4938.717657365727</v>
      </c>
      <c r="AQ48" s="29">
        <f> AQ$59</f>
        <v>5123.331344191618</v>
      </c>
      <c r="AR48" s="29">
        <f> AR$59</f>
        <v>4957.770008417612</v>
      </c>
      <c r="AS48" s="29">
        <f> AS$59</f>
        <v>5315.160391455533</v>
      </c>
      <c r="AT48" s="29">
        <f> AT$59</f>
        <v>5086.879187086699</v>
      </c>
      <c r="AU48" s="29">
        <f> AU$59</f>
        <v>5277.0312845173685</v>
      </c>
      <c r="AV48" s="29">
        <f> AV$59</f>
        <v>5106.503108670138</v>
      </c>
      <c r="AW48" s="29">
        <f> AW$59</f>
        <v>5474.615203199195</v>
      </c>
      <c r="AX48" s="29">
        <f> AX$59</f>
        <v>5239.485562699298</v>
      </c>
      <c r="AY48" s="29">
        <f> AY$59</f>
        <v>5435.342223052887</v>
      </c>
      <c r="AZ48" s="29">
        <f> AZ$59</f>
        <v>5259.698201930241</v>
      </c>
      <c r="BA48" s="29">
        <f> BA$59</f>
        <v>5576.8882344677495</v>
      </c>
      <c r="BB48" s="29">
        <f> BB$59</f>
        <v>5396.670129580276</v>
      </c>
      <c r="BC48" s="29">
        <f> BC$59</f>
        <v>5598.402489744471</v>
      </c>
      <c r="BD48" s="29">
        <f> BD$59</f>
        <v>5417.48914798815</v>
      </c>
      <c r="BE48" s="29">
        <f> BE$59</f>
        <v>5808.019269074026</v>
      </c>
      <c r="BF48" s="29">
        <f> BF$59</f>
        <v>5558.570233467681</v>
      </c>
      <c r="BG48" s="29">
        <f> BG$59</f>
        <v>5766.354564436804</v>
      </c>
      <c r="BH48" s="29">
        <f> BH$59</f>
        <v>5580.013822427791</v>
      </c>
      <c r="BI48" s="29">
        <f> BI$59</f>
        <v>5746.321211813247</v>
      </c>
      <c r="BJ48" s="29">
        <f> BJ$59</f>
        <v>5960.403986860458</v>
      </c>
      <c r="BK48" s="29">
        <f> BK$59</f>
        <v>5705.09910752106</v>
      </c>
      <c r="BL48" s="29">
        <f> BL$59</f>
        <v>5983.3977510412005</v>
      </c>
      <c r="BM48" s="29">
        <f> BM$59</f>
        <v>5918.710848167639</v>
      </c>
      <c r="BN48" s="29">
        <f> BN$59</f>
        <v>6139.2161064662705</v>
      </c>
      <c r="BO48" s="29">
        <f> BO$59</f>
        <v>5876.25208074669</v>
      </c>
      <c r="BP48" s="29">
        <f> BP$59</f>
        <v>6162.899683572436</v>
      </c>
      <c r="BQ48" s="29">
        <f> BQ$59</f>
        <v>6029.280171704837</v>
      </c>
      <c r="BR48" s="29">
        <f> BR$59</f>
        <v>6073.999775506434</v>
      </c>
      <c r="BS48" s="29">
        <f> BS$59</f>
        <v>6301.051324133328</v>
      </c>
      <c r="BT48" s="29">
        <f> BT$59</f>
        <v>6097.431764140047</v>
      </c>
      <c r="BU48" s="29">
        <f> BU$59</f>
        <v>6536.976855992563</v>
      </c>
      <c r="BV48" s="29">
        <f> BV$59</f>
        <v>6256.219768771622</v>
      </c>
      <c r="BW48" s="29">
        <f> BW$59</f>
        <v>6490.082863857329</v>
      </c>
      <c r="BX48" s="29">
        <f> BX$59</f>
        <v>6538.220274301992</v>
      </c>
      <c r="BY48" s="29">
        <f> BY$59</f>
        <v>6733.086161672341</v>
      </c>
      <c r="BZ48" s="29">
        <f> BZ$59</f>
        <v>6708.487198370563</v>
      </c>
      <c r="CA48" s="29">
        <f> CA$59</f>
        <v>6684.785349773047</v>
      </c>
      <c r="CB48" s="29">
        <f> CB$59</f>
        <v>6734.366882531049</v>
      </c>
      <c r="CC48" s="29">
        <f> CC$59</f>
        <v>6935.078746522508</v>
      </c>
      <c r="CD48" s="29">
        <f> CD$59</f>
        <v>6909.741814321678</v>
      </c>
      <c r="CE48" s="29">
        <f> CE$59</f>
        <v>6885.328910266235</v>
      </c>
      <c r="CF48" s="29">
        <f> CF$59</f>
        <v>6936.397889006981</v>
      </c>
      <c r="CG48" s="29">
        <f> CG$59</f>
        <v>7064.6351626663345</v>
      </c>
      <c r="CH48" s="29">
        <f> CH$59</f>
        <v>7117.034068751327</v>
      </c>
      <c r="CI48" s="29">
        <f> CI$59</f>
        <v>7091.888777574219</v>
      </c>
      <c r="CJ48" s="29">
        <f> CJ$59</f>
        <v>7144.489825677185</v>
      </c>
      <c r="CK48" s="29">
        <f> CK$59</f>
        <v>7357.425042185725</v>
      </c>
      <c r="CL48" s="29">
        <f> CL$59</f>
        <v>7330.545090813863</v>
      </c>
      <c r="CM48" s="29">
        <f> CM$59</f>
        <v>7304.645440901444</v>
      </c>
      <c r="CN48" s="29">
        <f> CN$59</f>
        <v>7358.824520447502</v>
      </c>
      <c r="CO48" s="29">
        <f> CO$59</f>
        <v>0.0</v>
      </c>
    </row>
    <row r="49" customFormat="1" s="365">
      <c r="E49" s="61" t="str">
        <f> E$46</f>
        <v>Cash paid out for invoices</v>
      </c>
      <c r="F49" s="61">
        <f> F$46</f>
        <v>0.0</v>
      </c>
      <c r="G49" s="61" t="str">
        <f> G$46</f>
        <v>$ 000s</v>
      </c>
      <c r="H49" s="61">
        <f> H$46</f>
        <v>0.0</v>
      </c>
      <c r="I49" s="61">
        <f> I$46</f>
        <v>0.0</v>
      </c>
      <c r="J49" s="61">
        <f> J$46</f>
        <v>0.0</v>
      </c>
      <c r="K49" s="61">
        <f> K$46</f>
        <v>0.0</v>
      </c>
      <c r="L49" s="61">
        <f> L$46</f>
        <v>6147.240840320512</v>
      </c>
      <c r="M49" s="61">
        <f> M$46</f>
        <v>6116.005569331261</v>
      </c>
      <c r="N49" s="61">
        <f> N$46</f>
        <v>6505.99711867208</v>
      </c>
      <c r="O49" s="61">
        <f> O$46</f>
        <v>6377.998684782608</v>
      </c>
      <c r="P49" s="61">
        <f> P$46</f>
        <v>6629.645039085051</v>
      </c>
      <c r="Q49" s="61">
        <f> Q$46</f>
        <v>6491.404634564822</v>
      </c>
      <c r="R49" s="61">
        <f> R$46</f>
        <v>6887.343983733837</v>
      </c>
      <c r="S49" s="61">
        <f> S$46</f>
        <v>6696.898619021739</v>
      </c>
      <c r="T49" s="61">
        <f> T$46</f>
        <v>6993.056546848631</v>
      </c>
      <c r="U49" s="61">
        <f> U$46</f>
        <v>6783.440194295031</v>
      </c>
      <c r="V49" s="61">
        <f> V$46</f>
        <v>7179.994363560015</v>
      </c>
      <c r="W49" s="61">
        <f> W$46</f>
        <v>6964.774563782608</v>
      </c>
      <c r="X49" s="61">
        <f> X$46</f>
        <v>7204.84921212622</v>
      </c>
      <c r="Y49" s="61">
        <f> Y$46</f>
        <v>7020.778675011149</v>
      </c>
      <c r="Z49" s="61">
        <f> Z$46</f>
        <v>7413.279196148572</v>
      </c>
      <c r="AA49" s="61">
        <f> AA$46</f>
        <v>7173.717800696085</v>
      </c>
      <c r="AB49" s="61">
        <f> AB$46</f>
        <v>7420.9946884900055</v>
      </c>
      <c r="AC49" s="61">
        <f> AC$46</f>
        <v>7231.4020352614825</v>
      </c>
      <c r="AD49" s="61">
        <f> AD$46</f>
        <v>7635.677572033029</v>
      </c>
      <c r="AE49" s="61">
        <f> AE$46</f>
        <v>7388.929334716965</v>
      </c>
      <c r="AF49" s="61">
        <f> AF$46</f>
        <v>7643.624529144703</v>
      </c>
      <c r="AG49" s="61">
        <f> AG$46</f>
        <v>7448.344096319325</v>
      </c>
      <c r="AH49" s="61">
        <f> AH$46</f>
        <v>7864.747899194015</v>
      </c>
      <c r="AI49" s="61">
        <f> AI$46</f>
        <v>7610.597214758471</v>
      </c>
      <c r="AJ49" s="61">
        <f> AJ$46</f>
        <v>7927.9887423967975</v>
      </c>
      <c r="AK49" s="61">
        <f> AK$46</f>
        <v>7671.794419208903</v>
      </c>
      <c r="AL49" s="61">
        <f> AL$46</f>
        <v>8100.690336169831</v>
      </c>
      <c r="AM49" s="61">
        <f> AM$46</f>
        <v>7838.915131201222</v>
      </c>
      <c r="AN49" s="61">
        <f> AN$46</f>
        <v>8109.121262969611</v>
      </c>
      <c r="AO49" s="61">
        <f> AO$46</f>
        <v>7901.948251785166</v>
      </c>
      <c r="AP49" s="61">
        <f> AP$46</f>
        <v>8343.711046254924</v>
      </c>
      <c r="AQ49" s="61">
        <f> AQ$46</f>
        <v>8074.082585137256</v>
      </c>
      <c r="AR49" s="61">
        <f> AR$46</f>
        <v>8352.394900858697</v>
      </c>
      <c r="AS49" s="61">
        <f> AS$46</f>
        <v>8139.006699338718</v>
      </c>
      <c r="AT49" s="61">
        <f> AT$46</f>
        <v>8594.02237764257</v>
      </c>
      <c r="AU49" s="61">
        <f> AU$46</f>
        <v>8316.305062691372</v>
      </c>
      <c r="AV49" s="61">
        <f> AV$46</f>
        <v>8602.966747884453</v>
      </c>
      <c r="AW49" s="61">
        <f> AW$46</f>
        <v>8383.176900318878</v>
      </c>
      <c r="AX49" s="61">
        <f> AX$46</f>
        <v>8851.843048971843</v>
      </c>
      <c r="AY49" s="61">
        <f> AY$46</f>
        <v>8565.794214572108</v>
      </c>
      <c r="AZ49" s="61">
        <f> AZ$46</f>
        <v>8923.021175148404</v>
      </c>
      <c r="BA49" s="61">
        <f> BA$46</f>
        <v>8634.67220732844</v>
      </c>
      <c r="BB49" s="61">
        <f> BB$46</f>
        <v>9117.398340440996</v>
      </c>
      <c r="BC49" s="61">
        <f> BC$46</f>
        <v>8822.768041009269</v>
      </c>
      <c r="BD49" s="61">
        <f> BD$46</f>
        <v>9126.88742283061</v>
      </c>
      <c r="BE49" s="61">
        <f> BE$46</f>
        <v>8893.712373548291</v>
      </c>
      <c r="BF49" s="61">
        <f> BF$46</f>
        <v>9390.920290654223</v>
      </c>
      <c r="BG49" s="61">
        <f> BG$46</f>
        <v>9087.451082239544</v>
      </c>
      <c r="BH49" s="61">
        <f> BH$46</f>
        <v>9029.933332849385</v>
      </c>
      <c r="BI49" s="61">
        <f> BI$46</f>
        <v>9536.646378976735</v>
      </c>
      <c r="BJ49" s="61">
        <f> BJ$46</f>
        <v>9291.161403677153</v>
      </c>
      <c r="BK49" s="61">
        <f> BK$46</f>
        <v>9744.390623124238</v>
      </c>
      <c r="BL49" s="61">
        <f> BL$46</f>
        <v>9300.831332834865</v>
      </c>
      <c r="BM49" s="61">
        <f> BM$46</f>
        <v>9822.745770346035</v>
      </c>
      <c r="BN49" s="61">
        <f> BN$46</f>
        <v>9569.896245787464</v>
      </c>
      <c r="BO49" s="61">
        <f> BO$46</f>
        <v>10036.722341817964</v>
      </c>
      <c r="BP49" s="61">
        <f> BP$46</f>
        <v>9646.84827472774</v>
      </c>
      <c r="BQ49" s="61">
        <f> BQ$46</f>
        <v>9718.399640810294</v>
      </c>
      <c r="BR49" s="61">
        <f> BR$46</f>
        <v>10261.712156445707</v>
      </c>
      <c r="BS49" s="61">
        <f> BS$46</f>
        <v>9930.103158742362</v>
      </c>
      <c r="BT49" s="61">
        <f> BT$46</f>
        <v>10272.392202274033</v>
      </c>
      <c r="BU49" s="61">
        <f> BU$46</f>
        <v>10009.9516300346</v>
      </c>
      <c r="BV49" s="61">
        <f> BV$46</f>
        <v>10569.563521139075</v>
      </c>
      <c r="BW49" s="61">
        <f> BW$46</f>
        <v>10647.958732434672</v>
      </c>
      <c r="BX49" s="61">
        <f> BX$46</f>
        <v>10580.563968342252</v>
      </c>
      <c r="BY49" s="61">
        <f> BY$46</f>
        <v>10733.579517392904</v>
      </c>
      <c r="BZ49" s="61">
        <f> BZ$46</f>
        <v>10886.650426773245</v>
      </c>
      <c r="CA49" s="61">
        <f> CA$46</f>
        <v>10967.397494407705</v>
      </c>
      <c r="CB49" s="61">
        <f> CB$46</f>
        <v>10897.980887392516</v>
      </c>
      <c r="CC49" s="61">
        <f> CC$46</f>
        <v>11055.586902914689</v>
      </c>
      <c r="CD49" s="61">
        <f> CD$46</f>
        <v>11213.249939576439</v>
      </c>
      <c r="CE49" s="61">
        <f> CE$46</f>
        <v>11296.419419239935</v>
      </c>
      <c r="CF49" s="61">
        <f> CF$46</f>
        <v>11303.416260266138</v>
      </c>
      <c r="CG49" s="61">
        <f> CG$46</f>
        <v>11387.254510002123</v>
      </c>
      <c r="CH49" s="61">
        <f> CH$46</f>
        <v>11549.64743776373</v>
      </c>
      <c r="CI49" s="61">
        <f> CI$46</f>
        <v>11635.31200181713</v>
      </c>
      <c r="CJ49" s="61">
        <f> CJ$46</f>
        <v>11561.667923434714</v>
      </c>
      <c r="CK49" s="61">
        <f> CK$46</f>
        <v>11728.872145302183</v>
      </c>
      <c r="CL49" s="61">
        <f> CL$46</f>
        <v>11896.136860896635</v>
      </c>
      <c r="CM49" s="61">
        <f> CM$46</f>
        <v>11984.371361871641</v>
      </c>
      <c r="CN49" s="61">
        <f> CN$46</f>
        <v>0.0</v>
      </c>
      <c r="CO49" s="61">
        <f> CO$46</f>
        <v>0.0</v>
      </c>
    </row>
    <row r="50" customFormat="1" s="150">
      <c r="A50" s="362" t="n"/>
      <c r="B50" s="362" t="n"/>
      <c r="C50" s="363" t="n"/>
      <c r="D50" s="364" t="n"/>
      <c r="E50" s="365" t="inlineStr">
        <is>
          <t>Operating cost paid POS</t>
        </is>
      </c>
      <c r="G50" s="365" t="str">
        <f>SMU</f>
        <v>$ 000s</v>
      </c>
      <c r="H50" s="365">
        <f> SUM(J50:CO50)</f>
        <v>1152373.432337585</v>
      </c>
      <c r="J50" s="365">
        <f>SUM(J48:J49)</f>
        <v>0.0</v>
      </c>
      <c r="K50" s="365">
        <f>SUM(K48:K49)</f>
        <v>0.0</v>
      </c>
      <c r="L50" s="365">
        <f>SUM(L48:L49)</f>
        <v>6147.240840320512</v>
      </c>
      <c r="M50" s="365">
        <f>SUM(M48:M49)</f>
        <v>10027.886104080677</v>
      </c>
      <c r="N50" s="365">
        <f>SUM(N48:N49)</f>
        <v>10328.500599504117</v>
      </c>
      <c r="O50" s="365">
        <f>SUM(O48:O49)</f>
        <v>10372.909196247921</v>
      </c>
      <c r="P50" s="365">
        <f>SUM(P48:P49)</f>
        <v>10545.960020969109</v>
      </c>
      <c r="Q50" s="365">
        <f>SUM(Q48:Q49)</f>
        <v>10710.269659437126</v>
      </c>
      <c r="R50" s="365">
        <f>SUM(R48:R49)</f>
        <v>10944.47188033685</v>
      </c>
      <c r="S50" s="365">
        <f>SUM(S48:S49)</f>
        <v>10925.969486226728</v>
      </c>
      <c r="T50" s="365">
        <f>SUM(T48:T49)</f>
        <v>11105.187277826892</v>
      </c>
      <c r="U50" s="365">
        <f>SUM(U48:U49)</f>
        <v>11154.100536075424</v>
      </c>
      <c r="V50" s="365">
        <f>SUM(V48:V49)</f>
        <v>11419.64448499441</v>
      </c>
      <c r="W50" s="365">
        <f>SUM(W48:W49)</f>
        <v>11373.54303263525</v>
      </c>
      <c r="X50" s="365">
        <f>SUM(X48:X49)</f>
        <v>11481.46517234361</v>
      </c>
      <c r="Y50" s="365">
        <f>SUM(Y48:Y49)</f>
        <v>11605.68271909147</v>
      </c>
      <c r="Z50" s="365">
        <f>SUM(Z48:Z49)</f>
        <v>11801.26586803054</v>
      </c>
      <c r="AA50" s="365">
        <f>SUM(AA48:AA49)</f>
        <v>11725.731342190822</v>
      </c>
      <c r="AB50" s="365">
        <f>SUM(AB48:AB49)</f>
        <v>11825.909127513918</v>
      </c>
      <c r="AC50" s="365">
        <f>SUM(AC48:AC49)</f>
        <v>11953.853200664213</v>
      </c>
      <c r="AD50" s="365">
        <f>SUM(AD48:AD49)</f>
        <v>12155.303844071455</v>
      </c>
      <c r="AE50" s="365">
        <f>SUM(AE48:AE49)</f>
        <v>12077.503282456546</v>
      </c>
      <c r="AF50" s="365">
        <f>SUM(AF48:AF49)</f>
        <v>12180.68640133933</v>
      </c>
      <c r="AG50" s="365">
        <f>SUM(AG48:AG49)</f>
        <v>12312.468796684134</v>
      </c>
      <c r="AH50" s="365">
        <f>SUM(AH48:AH49)</f>
        <v>12519.962959393593</v>
      </c>
      <c r="AI50" s="365">
        <f>SUM(AI48:AI49)</f>
        <v>12439.828380930236</v>
      </c>
      <c r="AJ50" s="365">
        <f>SUM(AJ48:AJ49)</f>
        <v>12601.162470757263</v>
      </c>
      <c r="AK50" s="365">
        <f>SUM(AK48:AK49)</f>
        <v>12626.787383206898</v>
      </c>
      <c r="AL50" s="365">
        <f>SUM(AL48:AL49)</f>
        <v>12895.561848175395</v>
      </c>
      <c r="AM50" s="365">
        <f>SUM(AM48:AM49)</f>
        <v>12813.023232358137</v>
      </c>
      <c r="AN50" s="365">
        <f>SUM(AN48:AN49)</f>
        <v>12922.49020318089</v>
      </c>
      <c r="AO50" s="365">
        <f>SUM(AO48:AO49)</f>
        <v>13062.29814640219</v>
      </c>
      <c r="AP50" s="365">
        <f>SUM(AP48:AP49)</f>
        <v>13282.428703620652</v>
      </c>
      <c r="AQ50" s="365">
        <f>SUM(AQ48:AQ49)</f>
        <v>13197.413929328874</v>
      </c>
      <c r="AR50" s="365">
        <f>SUM(AR48:AR49)</f>
        <v>13310.16490927631</v>
      </c>
      <c r="AS50" s="365">
        <f>SUM(AS48:AS49)</f>
        <v>13454.16709079425</v>
      </c>
      <c r="AT50" s="365">
        <f>SUM(AT48:AT49)</f>
        <v>13680.901564729269</v>
      </c>
      <c r="AU50" s="365">
        <f>SUM(AU48:AU49)</f>
        <v>13593.33634720874</v>
      </c>
      <c r="AV50" s="365">
        <f>SUM(AV48:AV49)</f>
        <v>13709.469856554591</v>
      </c>
      <c r="AW50" s="365">
        <f>SUM(AW48:AW49)</f>
        <v>13857.792103518073</v>
      </c>
      <c r="AX50" s="365">
        <f>SUM(AX48:AX49)</f>
        <v>14091.32861167114</v>
      </c>
      <c r="AY50" s="365">
        <f>SUM(AY48:AY49)</f>
        <v>14001.136437624995</v>
      </c>
      <c r="AZ50" s="365">
        <f>SUM(AZ48:AZ49)</f>
        <v>14182.719377078645</v>
      </c>
      <c r="BA50" s="365">
        <f>SUM(BA48:BA49)</f>
        <v>14211.56044179619</v>
      </c>
      <c r="BB50" s="365">
        <f>SUM(BB48:BB49)</f>
        <v>14514.068470021271</v>
      </c>
      <c r="BC50" s="365">
        <f>SUM(BC48:BC49)</f>
        <v>14421.17053075374</v>
      </c>
      <c r="BD50" s="365">
        <f>SUM(BD48:BD49)</f>
        <v>14544.37657081876</v>
      </c>
      <c r="BE50" s="365">
        <f>SUM(BE48:BE49)</f>
        <v>14701.731642622317</v>
      </c>
      <c r="BF50" s="365">
        <f>SUM(BF48:BF49)</f>
        <v>14949.490524121904</v>
      </c>
      <c r="BG50" s="365">
        <f>SUM(BG48:BG49)</f>
        <v>14853.805646676348</v>
      </c>
      <c r="BH50" s="365">
        <f>SUM(BH48:BH49)</f>
        <v>14609.947155277176</v>
      </c>
      <c r="BI50" s="365">
        <f>SUM(BI48:BI49)</f>
        <v>15282.967590789982</v>
      </c>
      <c r="BJ50" s="365">
        <f>SUM(BJ48:BJ49)</f>
        <v>15251.565390537611</v>
      </c>
      <c r="BK50" s="365">
        <f>SUM(BK48:BK49)</f>
        <v>15449.489730645299</v>
      </c>
      <c r="BL50" s="365">
        <f>SUM(BL48:BL49)</f>
        <v>15284.229083876065</v>
      </c>
      <c r="BM50" s="365">
        <f>SUM(BM48:BM49)</f>
        <v>15741.456618513674</v>
      </c>
      <c r="BN50" s="365">
        <f>SUM(BN48:BN49)</f>
        <v>15709.112352253735</v>
      </c>
      <c r="BO50" s="365">
        <f>SUM(BO48:BO49)</f>
        <v>15912.974422564654</v>
      </c>
      <c r="BP50" s="365">
        <f>SUM(BP48:BP49)</f>
        <v>15809.747958300175</v>
      </c>
      <c r="BQ50" s="365">
        <f>SUM(BQ48:BQ49)</f>
        <v>15747.67981251513</v>
      </c>
      <c r="BR50" s="365">
        <f>SUM(BR48:BR49)</f>
        <v>16335.71193195214</v>
      </c>
      <c r="BS50" s="365">
        <f>SUM(BS48:BS49)</f>
        <v>16231.15448287569</v>
      </c>
      <c r="BT50" s="365">
        <f>SUM(BT48:BT49)</f>
        <v>16369.82396641408</v>
      </c>
      <c r="BU50" s="365">
        <f>SUM(BU48:BU49)</f>
        <v>16546.928486027165</v>
      </c>
      <c r="BV50" s="365">
        <f>SUM(BV48:BV49)</f>
        <v>16825.783289910694</v>
      </c>
      <c r="BW50" s="365">
        <f>SUM(BW48:BW49)</f>
        <v>17138.041596292</v>
      </c>
      <c r="BX50" s="365">
        <f>SUM(BX48:BX49)</f>
        <v>17118.784242644244</v>
      </c>
      <c r="BY50" s="365">
        <f>SUM(BY48:BY49)</f>
        <v>17466.665679065245</v>
      </c>
      <c r="BZ50" s="365">
        <f>SUM(BZ48:BZ49)</f>
        <v>17595.13762514381</v>
      </c>
      <c r="CA50" s="365">
        <f>SUM(CA48:CA49)</f>
        <v>17652.182844180752</v>
      </c>
      <c r="CB50" s="365">
        <f>SUM(CB48:CB49)</f>
        <v>17632.347769923566</v>
      </c>
      <c r="CC50" s="365">
        <f>SUM(CC48:CC49)</f>
        <v>17990.665649437196</v>
      </c>
      <c r="CD50" s="365">
        <f>SUM(CD48:CD49)</f>
        <v>18122.991753898117</v>
      </c>
      <c r="CE50" s="365">
        <f>SUM(CE48:CE49)</f>
        <v>18181.74832950617</v>
      </c>
      <c r="CF50" s="365">
        <f>SUM(CF48:CF49)</f>
        <v>18239.81414927312</v>
      </c>
      <c r="CG50" s="365">
        <f>SUM(CG48:CG49)</f>
        <v>18451.889672668458</v>
      </c>
      <c r="CH50" s="365">
        <f>SUM(CH48:CH49)</f>
        <v>18666.68150651506</v>
      </c>
      <c r="CI50" s="365">
        <f>SUM(CI48:CI49)</f>
        <v>18727.20077939135</v>
      </c>
      <c r="CJ50" s="365">
        <f>SUM(CJ48:CJ49)</f>
        <v>18706.1577491119</v>
      </c>
      <c r="CK50" s="365">
        <f>SUM(CK48:CK49)</f>
        <v>19086.297187487908</v>
      </c>
      <c r="CL50" s="365">
        <f>SUM(CL48:CL49)</f>
        <v>19226.681951710496</v>
      </c>
      <c r="CM50" s="365">
        <f>SUM(CM48:CM49)</f>
        <v>19289.016802773083</v>
      </c>
      <c r="CN50" s="365">
        <f>SUM(CN48:CN49)</f>
        <v>7358.824520447502</v>
      </c>
      <c r="CO50" s="365">
        <f>SUM(CO48:CO49)</f>
        <v>0.0</v>
      </c>
    </row>
    <row r="51" s="396">
      <c r="A51" s="348" t="n"/>
      <c r="B51" s="348" t="n"/>
      <c r="C51" s="349" t="n"/>
      <c r="D51" s="193" t="n"/>
      <c r="E51" s="150" t="str">
        <f> LEFT(E50, LEN(E50) - 4)</f>
        <v>Operating cost paid</v>
      </c>
      <c r="F51" s="150" t="inlineStr">
        <is>
          <t>CF</t>
        </is>
      </c>
      <c r="G51" s="150" t="str">
        <f> G50</f>
        <v>$ 000s</v>
      </c>
      <c r="H51" s="150">
        <f> SUM(J51:CO51)</f>
        <v>-1152373.432337585</v>
      </c>
      <c r="I51" s="150" t="n"/>
      <c r="J51" s="150">
        <f> -1 * J50</f>
        <v>-0.0</v>
      </c>
      <c r="K51" s="150">
        <f> -1 * K50</f>
        <v>-0.0</v>
      </c>
      <c r="L51" s="150">
        <f> -1 * L50</f>
        <v>-6147.240840320512</v>
      </c>
      <c r="M51" s="150">
        <f> -1 * M50</f>
        <v>-10027.886104080677</v>
      </c>
      <c r="N51" s="150">
        <f> -1 * N50</f>
        <v>-10328.500599504117</v>
      </c>
      <c r="O51" s="150">
        <f> -1 * O50</f>
        <v>-10372.909196247921</v>
      </c>
      <c r="P51" s="150">
        <f> -1 * P50</f>
        <v>-10545.960020969109</v>
      </c>
      <c r="Q51" s="150">
        <f> -1 * Q50</f>
        <v>-10710.269659437126</v>
      </c>
      <c r="R51" s="150">
        <f> -1 * R50</f>
        <v>-10944.47188033685</v>
      </c>
      <c r="S51" s="150">
        <f> -1 * S50</f>
        <v>-10925.969486226728</v>
      </c>
      <c r="T51" s="150">
        <f> -1 * T50</f>
        <v>-11105.187277826892</v>
      </c>
      <c r="U51" s="150">
        <f> -1 * U50</f>
        <v>-11154.100536075424</v>
      </c>
      <c r="V51" s="150">
        <f> -1 * V50</f>
        <v>-11419.64448499441</v>
      </c>
      <c r="W51" s="150">
        <f> -1 * W50</f>
        <v>-11373.54303263525</v>
      </c>
      <c r="X51" s="150">
        <f> -1 * X50</f>
        <v>-11481.46517234361</v>
      </c>
      <c r="Y51" s="150">
        <f> -1 * Y50</f>
        <v>-11605.68271909147</v>
      </c>
      <c r="Z51" s="150">
        <f> -1 * Z50</f>
        <v>-11801.26586803054</v>
      </c>
      <c r="AA51" s="150">
        <f> -1 * AA50</f>
        <v>-11725.731342190822</v>
      </c>
      <c r="AB51" s="150">
        <f> -1 * AB50</f>
        <v>-11825.909127513918</v>
      </c>
      <c r="AC51" s="150">
        <f> -1 * AC50</f>
        <v>-11953.853200664213</v>
      </c>
      <c r="AD51" s="150">
        <f> -1 * AD50</f>
        <v>-12155.303844071455</v>
      </c>
      <c r="AE51" s="150">
        <f> -1 * AE50</f>
        <v>-12077.503282456546</v>
      </c>
      <c r="AF51" s="150">
        <f> -1 * AF50</f>
        <v>-12180.68640133933</v>
      </c>
      <c r="AG51" s="150">
        <f> -1 * AG50</f>
        <v>-12312.468796684134</v>
      </c>
      <c r="AH51" s="150">
        <f> -1 * AH50</f>
        <v>-12519.962959393593</v>
      </c>
      <c r="AI51" s="150">
        <f> -1 * AI50</f>
        <v>-12439.828380930236</v>
      </c>
      <c r="AJ51" s="150">
        <f> -1 * AJ50</f>
        <v>-12601.162470757263</v>
      </c>
      <c r="AK51" s="150">
        <f> -1 * AK50</f>
        <v>-12626.787383206898</v>
      </c>
      <c r="AL51" s="150">
        <f> -1 * AL50</f>
        <v>-12895.561848175395</v>
      </c>
      <c r="AM51" s="150">
        <f> -1 * AM50</f>
        <v>-12813.023232358137</v>
      </c>
      <c r="AN51" s="150">
        <f> -1 * AN50</f>
        <v>-12922.49020318089</v>
      </c>
      <c r="AO51" s="150">
        <f> -1 * AO50</f>
        <v>-13062.29814640219</v>
      </c>
      <c r="AP51" s="150">
        <f> -1 * AP50</f>
        <v>-13282.428703620652</v>
      </c>
      <c r="AQ51" s="150">
        <f> -1 * AQ50</f>
        <v>-13197.413929328874</v>
      </c>
      <c r="AR51" s="150">
        <f> -1 * AR50</f>
        <v>-13310.16490927631</v>
      </c>
      <c r="AS51" s="150">
        <f> -1 * AS50</f>
        <v>-13454.16709079425</v>
      </c>
      <c r="AT51" s="150">
        <f> -1 * AT50</f>
        <v>-13680.901564729269</v>
      </c>
      <c r="AU51" s="150">
        <f> -1 * AU50</f>
        <v>-13593.33634720874</v>
      </c>
      <c r="AV51" s="150">
        <f> -1 * AV50</f>
        <v>-13709.469856554591</v>
      </c>
      <c r="AW51" s="150">
        <f> -1 * AW50</f>
        <v>-13857.792103518073</v>
      </c>
      <c r="AX51" s="150">
        <f> -1 * AX50</f>
        <v>-14091.32861167114</v>
      </c>
      <c r="AY51" s="150">
        <f> -1 * AY50</f>
        <v>-14001.136437624995</v>
      </c>
      <c r="AZ51" s="150">
        <f> -1 * AZ50</f>
        <v>-14182.719377078645</v>
      </c>
      <c r="BA51" s="150">
        <f> -1 * BA50</f>
        <v>-14211.56044179619</v>
      </c>
      <c r="BB51" s="150">
        <f> -1 * BB50</f>
        <v>-14514.068470021271</v>
      </c>
      <c r="BC51" s="150">
        <f> -1 * BC50</f>
        <v>-14421.17053075374</v>
      </c>
      <c r="BD51" s="150">
        <f> -1 * BD50</f>
        <v>-14544.37657081876</v>
      </c>
      <c r="BE51" s="150">
        <f> -1 * BE50</f>
        <v>-14701.731642622317</v>
      </c>
      <c r="BF51" s="150">
        <f> -1 * BF50</f>
        <v>-14949.490524121904</v>
      </c>
      <c r="BG51" s="150">
        <f> -1 * BG50</f>
        <v>-14853.805646676348</v>
      </c>
      <c r="BH51" s="150">
        <f> -1 * BH50</f>
        <v>-14609.947155277176</v>
      </c>
      <c r="BI51" s="150">
        <f> -1 * BI50</f>
        <v>-15282.967590789982</v>
      </c>
      <c r="BJ51" s="150">
        <f> -1 * BJ50</f>
        <v>-15251.565390537611</v>
      </c>
      <c r="BK51" s="150">
        <f> -1 * BK50</f>
        <v>-15449.489730645299</v>
      </c>
      <c r="BL51" s="150">
        <f> -1 * BL50</f>
        <v>-15284.229083876065</v>
      </c>
      <c r="BM51" s="150">
        <f> -1 * BM50</f>
        <v>-15741.456618513674</v>
      </c>
      <c r="BN51" s="150">
        <f> -1 * BN50</f>
        <v>-15709.112352253735</v>
      </c>
      <c r="BO51" s="150">
        <f> -1 * BO50</f>
        <v>-15912.974422564654</v>
      </c>
      <c r="BP51" s="150">
        <f> -1 * BP50</f>
        <v>-15809.747958300175</v>
      </c>
      <c r="BQ51" s="150">
        <f> -1 * BQ50</f>
        <v>-15747.67981251513</v>
      </c>
      <c r="BR51" s="150">
        <f> -1 * BR50</f>
        <v>-16335.71193195214</v>
      </c>
      <c r="BS51" s="150">
        <f> -1 * BS50</f>
        <v>-16231.15448287569</v>
      </c>
      <c r="BT51" s="150">
        <f> -1 * BT50</f>
        <v>-16369.82396641408</v>
      </c>
      <c r="BU51" s="150">
        <f> -1 * BU50</f>
        <v>-16546.928486027165</v>
      </c>
      <c r="BV51" s="150">
        <f> -1 * BV50</f>
        <v>-16825.783289910694</v>
      </c>
      <c r="BW51" s="150">
        <f> -1 * BW50</f>
        <v>-17138.041596292</v>
      </c>
      <c r="BX51" s="150">
        <f> -1 * BX50</f>
        <v>-17118.784242644244</v>
      </c>
      <c r="BY51" s="150">
        <f> -1 * BY50</f>
        <v>-17466.665679065245</v>
      </c>
      <c r="BZ51" s="150">
        <f> -1 * BZ50</f>
        <v>-17595.13762514381</v>
      </c>
      <c r="CA51" s="150">
        <f> -1 * CA50</f>
        <v>-17652.182844180752</v>
      </c>
      <c r="CB51" s="150">
        <f> -1 * CB50</f>
        <v>-17632.347769923566</v>
      </c>
      <c r="CC51" s="150">
        <f> -1 * CC50</f>
        <v>-17990.665649437196</v>
      </c>
      <c r="CD51" s="150">
        <f> -1 * CD50</f>
        <v>-18122.991753898117</v>
      </c>
      <c r="CE51" s="150">
        <f> -1 * CE50</f>
        <v>-18181.74832950617</v>
      </c>
      <c r="CF51" s="150">
        <f> -1 * CF50</f>
        <v>-18239.81414927312</v>
      </c>
      <c r="CG51" s="150">
        <f> -1 * CG50</f>
        <v>-18451.889672668458</v>
      </c>
      <c r="CH51" s="150">
        <f> -1 * CH50</f>
        <v>-18666.68150651506</v>
      </c>
      <c r="CI51" s="150">
        <f> -1 * CI50</f>
        <v>-18727.20077939135</v>
      </c>
      <c r="CJ51" s="150">
        <f> -1 * CJ50</f>
        <v>-18706.1577491119</v>
      </c>
      <c r="CK51" s="150">
        <f> -1 * CK50</f>
        <v>-19086.297187487908</v>
      </c>
      <c r="CL51" s="150">
        <f> -1 * CL50</f>
        <v>-19226.681951710496</v>
      </c>
      <c r="CM51" s="150">
        <f> -1 * CM50</f>
        <v>-19289.016802773083</v>
      </c>
      <c r="CN51" s="150">
        <f> -1 * CN50</f>
        <v>-7358.824520447502</v>
      </c>
      <c r="CO51" s="150">
        <f> -1 * CO50</f>
        <v>-0.0</v>
      </c>
    </row>
    <row r="54">
      <c r="A54" s="294" t="inlineStr">
        <is>
          <t>ACCOUNT PAYABLES BALANCE</t>
        </is>
      </c>
    </row>
    <row r="55" customFormat="1" s="182"/>
    <row r="56" customFormat="1" s="100">
      <c r="A56" s="177" t="n"/>
      <c r="B56" s="177" t="n"/>
      <c r="C56" s="178" t="n"/>
      <c r="D56" s="179" t="n"/>
      <c r="E56" s="182" t="inlineStr">
        <is>
          <t>Account payables - initial balance</t>
        </is>
      </c>
      <c r="F56" s="182" t="n">
        <v>0</v>
      </c>
      <c r="G56" s="182" t="n"/>
    </row>
    <row r="57" customFormat="1" s="61">
      <c r="A57" s="294" t="n"/>
      <c r="B57" s="294" t="n"/>
      <c r="C57" s="212" t="n"/>
      <c r="D57" s="244" t="n"/>
      <c r="E57" s="325" t="str">
        <f> Time!E$45</f>
        <v>Acquisition / initial balance date flag</v>
      </c>
      <c r="F57" s="325">
        <f> Time!F$45</f>
        <v>0.0</v>
      </c>
      <c r="G57" s="325" t="str">
        <f> Time!G$45</f>
        <v>flag</v>
      </c>
      <c r="H57" s="325">
        <f> Time!H$45</f>
        <v>1.0</v>
      </c>
      <c r="I57" s="325">
        <f> Time!I$45</f>
        <v>0.0</v>
      </c>
      <c r="J57" s="325">
        <f> Time!J$45</f>
        <v>0.0</v>
      </c>
      <c r="K57" s="325">
        <f> Time!K$45</f>
        <v>1.0</v>
      </c>
      <c r="L57" s="325">
        <f> Time!L$45</f>
        <v>0.0</v>
      </c>
      <c r="M57" s="325">
        <f> Time!M$45</f>
        <v>0.0</v>
      </c>
      <c r="N57" s="325">
        <f> Time!N$45</f>
        <v>0.0</v>
      </c>
      <c r="O57" s="325">
        <f> Time!O$45</f>
        <v>0.0</v>
      </c>
      <c r="P57" s="325">
        <f> Time!P$45</f>
        <v>0.0</v>
      </c>
      <c r="Q57" s="325">
        <f> Time!Q$45</f>
        <v>0.0</v>
      </c>
      <c r="R57" s="325">
        <f> Time!R$45</f>
        <v>0.0</v>
      </c>
      <c r="S57" s="325">
        <f> Time!S$45</f>
        <v>0.0</v>
      </c>
      <c r="T57" s="325">
        <f> Time!T$45</f>
        <v>0.0</v>
      </c>
      <c r="U57" s="325">
        <f> Time!U$45</f>
        <v>0.0</v>
      </c>
      <c r="V57" s="325">
        <f> Time!V$45</f>
        <v>0.0</v>
      </c>
      <c r="W57" s="325">
        <f> Time!W$45</f>
        <v>0.0</v>
      </c>
      <c r="X57" s="325">
        <f> Time!X$45</f>
        <v>0.0</v>
      </c>
      <c r="Y57" s="325">
        <f> Time!Y$45</f>
        <v>0.0</v>
      </c>
      <c r="Z57" s="325">
        <f> Time!Z$45</f>
        <v>0.0</v>
      </c>
      <c r="AA57" s="325">
        <f> Time!AA$45</f>
        <v>0.0</v>
      </c>
      <c r="AB57" s="325">
        <f> Time!AB$45</f>
        <v>0.0</v>
      </c>
      <c r="AC57" s="325">
        <f> Time!AC$45</f>
        <v>0.0</v>
      </c>
      <c r="AD57" s="325">
        <f> Time!AD$45</f>
        <v>0.0</v>
      </c>
      <c r="AE57" s="325">
        <f> Time!AE$45</f>
        <v>0.0</v>
      </c>
      <c r="AF57" s="325">
        <f> Time!AF$45</f>
        <v>0.0</v>
      </c>
      <c r="AG57" s="325">
        <f> Time!AG$45</f>
        <v>0.0</v>
      </c>
      <c r="AH57" s="325">
        <f> Time!AH$45</f>
        <v>0.0</v>
      </c>
      <c r="AI57" s="325">
        <f> Time!AI$45</f>
        <v>0.0</v>
      </c>
      <c r="AJ57" s="325">
        <f> Time!AJ$45</f>
        <v>0.0</v>
      </c>
      <c r="AK57" s="325">
        <f> Time!AK$45</f>
        <v>0.0</v>
      </c>
      <c r="AL57" s="325">
        <f> Time!AL$45</f>
        <v>0.0</v>
      </c>
      <c r="AM57" s="325">
        <f> Time!AM$45</f>
        <v>0.0</v>
      </c>
      <c r="AN57" s="325">
        <f> Time!AN$45</f>
        <v>0.0</v>
      </c>
      <c r="AO57" s="325">
        <f> Time!AO$45</f>
        <v>0.0</v>
      </c>
      <c r="AP57" s="325">
        <f> Time!AP$45</f>
        <v>0.0</v>
      </c>
      <c r="AQ57" s="325">
        <f> Time!AQ$45</f>
        <v>0.0</v>
      </c>
      <c r="AR57" s="325">
        <f> Time!AR$45</f>
        <v>0.0</v>
      </c>
      <c r="AS57" s="325">
        <f> Time!AS$45</f>
        <v>0.0</v>
      </c>
      <c r="AT57" s="325">
        <f> Time!AT$45</f>
        <v>0.0</v>
      </c>
      <c r="AU57" s="325">
        <f> Time!AU$45</f>
        <v>0.0</v>
      </c>
      <c r="AV57" s="325">
        <f> Time!AV$45</f>
        <v>0.0</v>
      </c>
      <c r="AW57" s="325">
        <f> Time!AW$45</f>
        <v>0.0</v>
      </c>
      <c r="AX57" s="325">
        <f> Time!AX$45</f>
        <v>0.0</v>
      </c>
      <c r="AY57" s="325">
        <f> Time!AY$45</f>
        <v>0.0</v>
      </c>
      <c r="AZ57" s="325">
        <f> Time!AZ$45</f>
        <v>0.0</v>
      </c>
      <c r="BA57" s="325">
        <f> Time!BA$45</f>
        <v>0.0</v>
      </c>
      <c r="BB57" s="325">
        <f> Time!BB$45</f>
        <v>0.0</v>
      </c>
      <c r="BC57" s="325">
        <f> Time!BC$45</f>
        <v>0.0</v>
      </c>
      <c r="BD57" s="325">
        <f> Time!BD$45</f>
        <v>0.0</v>
      </c>
      <c r="BE57" s="325">
        <f> Time!BE$45</f>
        <v>0.0</v>
      </c>
      <c r="BF57" s="325">
        <f> Time!BF$45</f>
        <v>0.0</v>
      </c>
      <c r="BG57" s="325">
        <f> Time!BG$45</f>
        <v>0.0</v>
      </c>
      <c r="BH57" s="325">
        <f> Time!BH$45</f>
        <v>0.0</v>
      </c>
      <c r="BI57" s="325">
        <f> Time!BI$45</f>
        <v>0.0</v>
      </c>
      <c r="BJ57" s="325">
        <f> Time!BJ$45</f>
        <v>0.0</v>
      </c>
      <c r="BK57" s="325">
        <f> Time!BK$45</f>
        <v>0.0</v>
      </c>
      <c r="BL57" s="325">
        <f> Time!BL$45</f>
        <v>0.0</v>
      </c>
      <c r="BM57" s="325">
        <f> Time!BM$45</f>
        <v>0.0</v>
      </c>
      <c r="BN57" s="325">
        <f> Time!BN$45</f>
        <v>0.0</v>
      </c>
      <c r="BO57" s="325">
        <f> Time!BO$45</f>
        <v>0.0</v>
      </c>
      <c r="BP57" s="325">
        <f> Time!BP$45</f>
        <v>0.0</v>
      </c>
      <c r="BQ57" s="325">
        <f> Time!BQ$45</f>
        <v>0.0</v>
      </c>
      <c r="BR57" s="325">
        <f> Time!BR$45</f>
        <v>0.0</v>
      </c>
      <c r="BS57" s="325">
        <f> Time!BS$45</f>
        <v>0.0</v>
      </c>
      <c r="BT57" s="325">
        <f> Time!BT$45</f>
        <v>0.0</v>
      </c>
      <c r="BU57" s="325">
        <f> Time!BU$45</f>
        <v>0.0</v>
      </c>
      <c r="BV57" s="325">
        <f> Time!BV$45</f>
        <v>0.0</v>
      </c>
      <c r="BW57" s="325">
        <f> Time!BW$45</f>
        <v>0.0</v>
      </c>
      <c r="BX57" s="325">
        <f> Time!BX$45</f>
        <v>0.0</v>
      </c>
      <c r="BY57" s="325">
        <f> Time!BY$45</f>
        <v>0.0</v>
      </c>
      <c r="BZ57" s="325">
        <f> Time!BZ$45</f>
        <v>0.0</v>
      </c>
      <c r="CA57" s="325">
        <f> Time!CA$45</f>
        <v>0.0</v>
      </c>
      <c r="CB57" s="325">
        <f> Time!CB$45</f>
        <v>0.0</v>
      </c>
      <c r="CC57" s="325">
        <f> Time!CC$45</f>
        <v>0.0</v>
      </c>
      <c r="CD57" s="325">
        <f> Time!CD$45</f>
        <v>0.0</v>
      </c>
      <c r="CE57" s="325">
        <f> Time!CE$45</f>
        <v>0.0</v>
      </c>
      <c r="CF57" s="325">
        <f> Time!CF$45</f>
        <v>0.0</v>
      </c>
      <c r="CG57" s="325">
        <f> Time!CG$45</f>
        <v>0.0</v>
      </c>
      <c r="CH57" s="325">
        <f> Time!CH$45</f>
        <v>0.0</v>
      </c>
      <c r="CI57" s="325">
        <f> Time!CI$45</f>
        <v>0.0</v>
      </c>
      <c r="CJ57" s="325">
        <f> Time!CJ$45</f>
        <v>0.0</v>
      </c>
      <c r="CK57" s="325">
        <f> Time!CK$45</f>
        <v>0.0</v>
      </c>
      <c r="CL57" s="325">
        <f> Time!CL$45</f>
        <v>0.0</v>
      </c>
      <c r="CM57" s="325">
        <f> Time!CM$45</f>
        <v>0.0</v>
      </c>
      <c r="CN57" s="325">
        <f> Time!CN$45</f>
        <v>0.0</v>
      </c>
      <c r="CO57" s="325">
        <f> Time!CO$45</f>
        <v>0.0</v>
      </c>
    </row>
    <row r="58" customFormat="1" s="61">
      <c r="A58" s="294" t="n"/>
      <c r="B58" s="294" t="n"/>
      <c r="C58" s="212" t="n"/>
      <c r="D58" s="244" t="n"/>
    </row>
    <row r="59" customFormat="1" s="61">
      <c r="A59" s="294" t="n"/>
      <c r="B59" s="294" t="n"/>
      <c r="C59" s="212" t="n"/>
      <c r="D59" s="244" t="n"/>
      <c r="E59" s="61" t="inlineStr">
        <is>
          <t>Account payables balance BEG</t>
        </is>
      </c>
      <c r="G59" s="61" t="inlineStr">
        <is>
          <t>$ 000s</t>
        </is>
      </c>
      <c r="J59" s="61">
        <f> I62</f>
        <v>0.0</v>
      </c>
      <c r="K59" s="61">
        <f> J62</f>
        <v>0.0</v>
      </c>
      <c r="L59" s="61">
        <f> K62</f>
        <v>0.0</v>
      </c>
      <c r="M59" s="61">
        <f> L62</f>
        <v>3911.8805347494163</v>
      </c>
      <c r="N59" s="61">
        <f> M62</f>
        <v>3822.503480832038</v>
      </c>
      <c r="O59" s="61">
        <f> N62</f>
        <v>3994.910511465314</v>
      </c>
      <c r="P59" s="61">
        <f> O62</f>
        <v>3916.3149818840575</v>
      </c>
      <c r="Q59" s="61">
        <f> P62</f>
        <v>4218.865024872304</v>
      </c>
      <c r="R59" s="61">
        <f> Q62</f>
        <v>4057.127896603013</v>
      </c>
      <c r="S59" s="61">
        <f> R62</f>
        <v>4229.070867204988</v>
      </c>
      <c r="T59" s="61">
        <f> S62</f>
        <v>4112.1307309782605</v>
      </c>
      <c r="U59" s="61">
        <f> T62</f>
        <v>4370.660341780394</v>
      </c>
      <c r="V59" s="61">
        <f> U62</f>
        <v>4239.650121434395</v>
      </c>
      <c r="W59" s="61">
        <f> V62</f>
        <v>4408.768468852642</v>
      </c>
      <c r="X59" s="61">
        <f> W62</f>
        <v>4276.615960217392</v>
      </c>
      <c r="Y59" s="61">
        <f> X62</f>
        <v>4584.904044080322</v>
      </c>
      <c r="Z59" s="61">
        <f> Y62</f>
        <v>4387.9866718819685</v>
      </c>
      <c r="AA59" s="61">
        <f> Z62</f>
        <v>4552.013541494738</v>
      </c>
      <c r="AB59" s="61">
        <f> AA62</f>
        <v>4404.914439023913</v>
      </c>
      <c r="AC59" s="61">
        <f> AB62</f>
        <v>4722.45116540273</v>
      </c>
      <c r="AD59" s="61">
        <f> AC62</f>
        <v>4519.626272038426</v>
      </c>
      <c r="AE59" s="61">
        <f> AD62</f>
        <v>4688.57394773958</v>
      </c>
      <c r="AF59" s="61">
        <f> AE62</f>
        <v>4537.061872194627</v>
      </c>
      <c r="AG59" s="61">
        <f> AF62</f>
        <v>4864.124700364808</v>
      </c>
      <c r="AH59" s="61">
        <f> AG62</f>
        <v>4655.215060199578</v>
      </c>
      <c r="AI59" s="61">
        <f> AH62</f>
        <v>4829.231166171765</v>
      </c>
      <c r="AJ59" s="61">
        <f> AI62</f>
        <v>4673.173728360465</v>
      </c>
      <c r="AK59" s="61">
        <f> AJ62</f>
        <v>4954.992963997996</v>
      </c>
      <c r="AL59" s="61">
        <f> AK62</f>
        <v>4794.871512005564</v>
      </c>
      <c r="AM59" s="61">
        <f> AL62</f>
        <v>4974.108101156915</v>
      </c>
      <c r="AN59" s="61">
        <f> AM62</f>
        <v>4813.36894021128</v>
      </c>
      <c r="AO59" s="61">
        <f> AN62</f>
        <v>5160.349894617024</v>
      </c>
      <c r="AP59" s="61">
        <f> AO62</f>
        <v>4938.717657365727</v>
      </c>
      <c r="AQ59" s="61">
        <f> AP62</f>
        <v>5123.331344191618</v>
      </c>
      <c r="AR59" s="61">
        <f> AQ62</f>
        <v>4957.770008417612</v>
      </c>
      <c r="AS59" s="61">
        <f> AR62</f>
        <v>5315.160391455533</v>
      </c>
      <c r="AT59" s="61">
        <f> AS62</f>
        <v>5086.879187086699</v>
      </c>
      <c r="AU59" s="61">
        <f> AT62</f>
        <v>5277.0312845173685</v>
      </c>
      <c r="AV59" s="61">
        <f> AU62</f>
        <v>5106.503108670138</v>
      </c>
      <c r="AW59" s="61">
        <f> AV62</f>
        <v>5474.615203199195</v>
      </c>
      <c r="AX59" s="61">
        <f> AW62</f>
        <v>5239.485562699298</v>
      </c>
      <c r="AY59" s="61">
        <f> AX62</f>
        <v>5435.342223052887</v>
      </c>
      <c r="AZ59" s="61">
        <f> AY62</f>
        <v>5259.698201930241</v>
      </c>
      <c r="BA59" s="61">
        <f> AZ62</f>
        <v>5576.8882344677495</v>
      </c>
      <c r="BB59" s="61">
        <f> BA62</f>
        <v>5396.670129580276</v>
      </c>
      <c r="BC59" s="61">
        <f> BB62</f>
        <v>5598.402489744471</v>
      </c>
      <c r="BD59" s="61">
        <f> BC62</f>
        <v>5417.48914798815</v>
      </c>
      <c r="BE59" s="61">
        <f> BD62</f>
        <v>5808.019269074026</v>
      </c>
      <c r="BF59" s="61">
        <f> BE62</f>
        <v>5558.570233467681</v>
      </c>
      <c r="BG59" s="61">
        <f> BF62</f>
        <v>5766.354564436804</v>
      </c>
      <c r="BH59" s="61">
        <f> BG62</f>
        <v>5580.013822427791</v>
      </c>
      <c r="BI59" s="61">
        <f> BH62</f>
        <v>5746.321211813247</v>
      </c>
      <c r="BJ59" s="61">
        <f> BI62</f>
        <v>5960.403986860458</v>
      </c>
      <c r="BK59" s="61">
        <f> BJ62</f>
        <v>5705.09910752106</v>
      </c>
      <c r="BL59" s="61">
        <f> BK62</f>
        <v>5983.3977510412005</v>
      </c>
      <c r="BM59" s="61">
        <f> BL62</f>
        <v>5918.710848167639</v>
      </c>
      <c r="BN59" s="61">
        <f> BM62</f>
        <v>6139.2161064662705</v>
      </c>
      <c r="BO59" s="61">
        <f> BN62</f>
        <v>5876.25208074669</v>
      </c>
      <c r="BP59" s="61">
        <f> BO62</f>
        <v>6162.899683572436</v>
      </c>
      <c r="BQ59" s="61">
        <f> BP62</f>
        <v>6029.280171704837</v>
      </c>
      <c r="BR59" s="61">
        <f> BQ62</f>
        <v>6073.999775506434</v>
      </c>
      <c r="BS59" s="61">
        <f> BR62</f>
        <v>6301.051324133328</v>
      </c>
      <c r="BT59" s="61">
        <f> BS62</f>
        <v>6097.431764140047</v>
      </c>
      <c r="BU59" s="61">
        <f> BT62</f>
        <v>6536.976855992563</v>
      </c>
      <c r="BV59" s="61">
        <f> BU62</f>
        <v>6256.219768771622</v>
      </c>
      <c r="BW59" s="61">
        <f> BV62</f>
        <v>6490.082863857329</v>
      </c>
      <c r="BX59" s="61">
        <f> BW62</f>
        <v>6538.220274301992</v>
      </c>
      <c r="BY59" s="61">
        <f> BX62</f>
        <v>6733.086161672341</v>
      </c>
      <c r="BZ59" s="61">
        <f> BY62</f>
        <v>6708.487198370563</v>
      </c>
      <c r="CA59" s="61">
        <f> BZ62</f>
        <v>6684.785349773047</v>
      </c>
      <c r="CB59" s="61">
        <f> CA62</f>
        <v>6734.366882531049</v>
      </c>
      <c r="CC59" s="61">
        <f> CB62</f>
        <v>6935.078746522508</v>
      </c>
      <c r="CD59" s="61">
        <f> CC62</f>
        <v>6909.741814321678</v>
      </c>
      <c r="CE59" s="61">
        <f> CD62</f>
        <v>6885.328910266235</v>
      </c>
      <c r="CF59" s="61">
        <f> CE62</f>
        <v>6936.397889006981</v>
      </c>
      <c r="CG59" s="61">
        <f> CF62</f>
        <v>7064.6351626663345</v>
      </c>
      <c r="CH59" s="61">
        <f> CG62</f>
        <v>7117.034068751327</v>
      </c>
      <c r="CI59" s="61">
        <f> CH62</f>
        <v>7091.888777574219</v>
      </c>
      <c r="CJ59" s="61">
        <f> CI62</f>
        <v>7144.489825677185</v>
      </c>
      <c r="CK59" s="61">
        <f> CJ62</f>
        <v>7357.425042185725</v>
      </c>
      <c r="CL59" s="61">
        <f> CK62</f>
        <v>7330.545090813863</v>
      </c>
      <c r="CM59" s="61">
        <f> CL62</f>
        <v>7304.645440901444</v>
      </c>
      <c r="CN59" s="61">
        <f> CM62</f>
        <v>7358.824520447502</v>
      </c>
      <c r="CO59" s="61">
        <f> CN62</f>
        <v>0.0</v>
      </c>
    </row>
    <row r="60" customFormat="1" s="61">
      <c r="A60" s="294" t="n"/>
      <c r="B60" s="294" t="n"/>
      <c r="C60" s="212" t="n"/>
      <c r="D60" s="244" t="inlineStr">
        <is>
          <t>plus</t>
        </is>
      </c>
      <c r="E60" s="61" t="str">
        <f> E$38</f>
        <v>Operating cost POS</v>
      </c>
      <c r="F60" s="61">
        <f> F$38</f>
        <v>0.0</v>
      </c>
      <c r="G60" s="61" t="str">
        <f> G$38</f>
        <v>$ 000s</v>
      </c>
      <c r="H60" s="61">
        <f> H$38</f>
        <v>1152373.432337585</v>
      </c>
      <c r="I60" s="61">
        <f> I$38</f>
        <v>0.0</v>
      </c>
      <c r="J60" s="61">
        <f> J$38</f>
        <v>0.0</v>
      </c>
      <c r="K60" s="61">
        <f> K$38</f>
        <v>0.0</v>
      </c>
      <c r="L60" s="61">
        <f> L$38</f>
        <v>10059.121375069928</v>
      </c>
      <c r="M60" s="61">
        <f> M$38</f>
        <v>9938.509050163299</v>
      </c>
      <c r="N60" s="61">
        <f> N$38</f>
        <v>10500.907630137393</v>
      </c>
      <c r="O60" s="61">
        <f> O$38</f>
        <v>10294.313666666665</v>
      </c>
      <c r="P60" s="61">
        <f> P$38</f>
        <v>10848.510063957356</v>
      </c>
      <c r="Q60" s="61">
        <f> Q$38</f>
        <v>10548.532531167835</v>
      </c>
      <c r="R60" s="61">
        <f> R$38</f>
        <v>11116.414850938825</v>
      </c>
      <c r="S60" s="61">
        <f> S$38</f>
        <v>10809.02935</v>
      </c>
      <c r="T60" s="61">
        <f> T$38</f>
        <v>11363.716888629026</v>
      </c>
      <c r="U60" s="61">
        <f> U$38</f>
        <v>11023.090315729425</v>
      </c>
      <c r="V60" s="61">
        <f> V$38</f>
        <v>11588.762832412656</v>
      </c>
      <c r="W60" s="61">
        <f> W$38</f>
        <v>11241.390524</v>
      </c>
      <c r="X60" s="61">
        <f> X$38</f>
        <v>11789.75325620654</v>
      </c>
      <c r="Y60" s="61">
        <f> Y$38</f>
        <v>11408.765346893117</v>
      </c>
      <c r="Z60" s="61">
        <f> Z$38</f>
        <v>11965.292737643309</v>
      </c>
      <c r="AA60" s="61">
        <f> AA$38</f>
        <v>11578.632239719997</v>
      </c>
      <c r="AB60" s="61">
        <f> AB$38</f>
        <v>12143.445853892736</v>
      </c>
      <c r="AC60" s="61">
        <f> AC$38</f>
        <v>11751.028307299908</v>
      </c>
      <c r="AD60" s="61">
        <f> AD$38</f>
        <v>12324.251519772608</v>
      </c>
      <c r="AE60" s="61">
        <f> AE$38</f>
        <v>11925.991206911593</v>
      </c>
      <c r="AF60" s="61">
        <f> AF$38</f>
        <v>12507.749229509513</v>
      </c>
      <c r="AG60" s="61">
        <f> AG$38</f>
        <v>12103.559156518902</v>
      </c>
      <c r="AH60" s="61">
        <f> AH$38</f>
        <v>12693.97906536578</v>
      </c>
      <c r="AI60" s="61">
        <f> AI$38</f>
        <v>12283.770943118936</v>
      </c>
      <c r="AJ60" s="61">
        <f> AJ$38</f>
        <v>12882.981706394796</v>
      </c>
      <c r="AK60" s="61">
        <f> AK$38</f>
        <v>12466.665931214466</v>
      </c>
      <c r="AL60" s="61">
        <f> AL$38</f>
        <v>13074.798437326746</v>
      </c>
      <c r="AM60" s="61">
        <f> AM$38</f>
        <v>12652.2840714125</v>
      </c>
      <c r="AN60" s="61">
        <f> AN$38</f>
        <v>13269.471157586635</v>
      </c>
      <c r="AO60" s="61">
        <f> AO$38</f>
        <v>12840.665909150894</v>
      </c>
      <c r="AP60" s="61">
        <f> AP$38</f>
        <v>13467.042390446544</v>
      </c>
      <c r="AQ60" s="61">
        <f> AQ$38</f>
        <v>13031.85259355487</v>
      </c>
      <c r="AR60" s="61">
        <f> AR$38</f>
        <v>13667.55529231423</v>
      </c>
      <c r="AS60" s="61">
        <f> AS$38</f>
        <v>13225.885886425416</v>
      </c>
      <c r="AT60" s="61">
        <f> AT$38</f>
        <v>13871.053662159937</v>
      </c>
      <c r="AU60" s="61">
        <f> AU$38</f>
        <v>13422.808171361512</v>
      </c>
      <c r="AV60" s="61">
        <f> AV$38</f>
        <v>14077.58195108365</v>
      </c>
      <c r="AW60" s="61">
        <f> AW$38</f>
        <v>13622.662463018176</v>
      </c>
      <c r="AX60" s="61">
        <f> AX$38</f>
        <v>14287.18527202473</v>
      </c>
      <c r="AY60" s="61">
        <f> AY$38</f>
        <v>13825.492416502351</v>
      </c>
      <c r="AZ60" s="61">
        <f> AZ$38</f>
        <v>14499.909409616155</v>
      </c>
      <c r="BA60" s="61">
        <f> BA$38</f>
        <v>14031.342336908714</v>
      </c>
      <c r="BB60" s="61">
        <f> BB$38</f>
        <v>14715.800830185466</v>
      </c>
      <c r="BC60" s="61">
        <f> BC$38</f>
        <v>14240.257188997417</v>
      </c>
      <c r="BD60" s="61">
        <f> BD$38</f>
        <v>14934.906691904634</v>
      </c>
      <c r="BE60" s="61">
        <f> BE$38</f>
        <v>14452.282607015972</v>
      </c>
      <c r="BF60" s="61">
        <f> BF$38</f>
        <v>15157.274855091027</v>
      </c>
      <c r="BG60" s="61">
        <f> BG$38</f>
        <v>14667.464904667335</v>
      </c>
      <c r="BH60" s="61">
        <f> BH$38</f>
        <v>14776.25454466263</v>
      </c>
      <c r="BI60" s="61">
        <f> BI$38</f>
        <v>15497.050365837194</v>
      </c>
      <c r="BJ60" s="61">
        <f> BJ$38</f>
        <v>14996.260511198212</v>
      </c>
      <c r="BK60" s="61">
        <f> BK$38</f>
        <v>15727.788374165439</v>
      </c>
      <c r="BL60" s="61">
        <f> BL$38</f>
        <v>15219.542181002504</v>
      </c>
      <c r="BM60" s="61">
        <f> BM$38</f>
        <v>15961.961876812307</v>
      </c>
      <c r="BN60" s="61">
        <f> BN$38</f>
        <v>15446.148326534154</v>
      </c>
      <c r="BO60" s="61">
        <f> BO$38</f>
        <v>16199.622025390398</v>
      </c>
      <c r="BP60" s="61">
        <f> BP$38</f>
        <v>15676.128446432574</v>
      </c>
      <c r="BQ60" s="61">
        <f> BQ$38</f>
        <v>15792.399416316726</v>
      </c>
      <c r="BR60" s="61">
        <f> BR$38</f>
        <v>16562.763480579037</v>
      </c>
      <c r="BS60" s="61">
        <f> BS$38</f>
        <v>16027.534922882409</v>
      </c>
      <c r="BT60" s="61">
        <f> BT$38</f>
        <v>16809.3690582666</v>
      </c>
      <c r="BU60" s="61">
        <f> BU$38</f>
        <v>16266.171398806224</v>
      </c>
      <c r="BV60" s="61">
        <f> BV$38</f>
        <v>17059.646384996402</v>
      </c>
      <c r="BW60" s="61">
        <f> BW$38</f>
        <v>17186.179006736664</v>
      </c>
      <c r="BX60" s="61">
        <f> BX$38</f>
        <v>17313.650130014594</v>
      </c>
      <c r="BY60" s="61">
        <f> BY$38</f>
        <v>17442.066715763467</v>
      </c>
      <c r="BZ60" s="61">
        <f> BZ$38</f>
        <v>17571.435776546292</v>
      </c>
      <c r="CA60" s="61">
        <f> CA$38</f>
        <v>17701.764376938754</v>
      </c>
      <c r="CB60" s="61">
        <f> CB$38</f>
        <v>17833.059633915025</v>
      </c>
      <c r="CC60" s="61">
        <f> CC$38</f>
        <v>17965.328717236367</v>
      </c>
      <c r="CD60" s="61">
        <f> CD$38</f>
        <v>18098.578849842674</v>
      </c>
      <c r="CE60" s="61">
        <f> CE$38</f>
        <v>18232.817308246915</v>
      </c>
      <c r="CF60" s="61">
        <f> CF$38</f>
        <v>18368.051422932473</v>
      </c>
      <c r="CG60" s="61">
        <f> CG$38</f>
        <v>18504.28857875345</v>
      </c>
      <c r="CH60" s="61">
        <f> CH$38</f>
        <v>18641.53621533795</v>
      </c>
      <c r="CI60" s="61">
        <f> CI$38</f>
        <v>18779.801827494317</v>
      </c>
      <c r="CJ60" s="61">
        <f> CJ$38</f>
        <v>18919.09296562044</v>
      </c>
      <c r="CK60" s="61">
        <f> CK$38</f>
        <v>19059.417236116045</v>
      </c>
      <c r="CL60" s="61">
        <f> CL$38</f>
        <v>19200.782301798077</v>
      </c>
      <c r="CM60" s="61">
        <f> CM$38</f>
        <v>19343.19588231914</v>
      </c>
      <c r="CN60" s="61">
        <f> CN$38</f>
        <v>0.0</v>
      </c>
      <c r="CO60" s="61">
        <f> CO$38</f>
        <v>0.0</v>
      </c>
    </row>
    <row r="61" customFormat="1" s="322">
      <c r="A61" s="294" t="n"/>
      <c r="B61" s="294" t="n"/>
      <c r="C61" s="212" t="n"/>
      <c r="D61" s="244" t="inlineStr">
        <is>
          <t>less</t>
        </is>
      </c>
      <c r="E61" s="61" t="str">
        <f> E$50</f>
        <v>Operating cost paid POS</v>
      </c>
      <c r="F61" s="61">
        <f> F$50</f>
        <v>0.0</v>
      </c>
      <c r="G61" s="61" t="str">
        <f> G$50</f>
        <v>$ 000s</v>
      </c>
      <c r="H61" s="61">
        <f> H$50</f>
        <v>1152373.432337585</v>
      </c>
      <c r="I61" s="61">
        <f> I$50</f>
        <v>0.0</v>
      </c>
      <c r="J61" s="61">
        <f> J$50</f>
        <v>0.0</v>
      </c>
      <c r="K61" s="61">
        <f> K$50</f>
        <v>0.0</v>
      </c>
      <c r="L61" s="61">
        <f> L$50</f>
        <v>6147.240840320512</v>
      </c>
      <c r="M61" s="61">
        <f> M$50</f>
        <v>10027.886104080677</v>
      </c>
      <c r="N61" s="61">
        <f> N$50</f>
        <v>10328.500599504117</v>
      </c>
      <c r="O61" s="61">
        <f> O$50</f>
        <v>10372.909196247921</v>
      </c>
      <c r="P61" s="61">
        <f> P$50</f>
        <v>10545.960020969109</v>
      </c>
      <c r="Q61" s="61">
        <f> Q$50</f>
        <v>10710.269659437126</v>
      </c>
      <c r="R61" s="61">
        <f> R$50</f>
        <v>10944.47188033685</v>
      </c>
      <c r="S61" s="61">
        <f> S$50</f>
        <v>10925.969486226728</v>
      </c>
      <c r="T61" s="61">
        <f> T$50</f>
        <v>11105.187277826892</v>
      </c>
      <c r="U61" s="61">
        <f> U$50</f>
        <v>11154.100536075424</v>
      </c>
      <c r="V61" s="61">
        <f> V$50</f>
        <v>11419.64448499441</v>
      </c>
      <c r="W61" s="61">
        <f> W$50</f>
        <v>11373.54303263525</v>
      </c>
      <c r="X61" s="61">
        <f> X$50</f>
        <v>11481.46517234361</v>
      </c>
      <c r="Y61" s="61">
        <f> Y$50</f>
        <v>11605.68271909147</v>
      </c>
      <c r="Z61" s="61">
        <f> Z$50</f>
        <v>11801.26586803054</v>
      </c>
      <c r="AA61" s="61">
        <f> AA$50</f>
        <v>11725.731342190822</v>
      </c>
      <c r="AB61" s="61">
        <f> AB$50</f>
        <v>11825.909127513918</v>
      </c>
      <c r="AC61" s="61">
        <f> AC$50</f>
        <v>11953.853200664213</v>
      </c>
      <c r="AD61" s="61">
        <f> AD$50</f>
        <v>12155.303844071455</v>
      </c>
      <c r="AE61" s="61">
        <f> AE$50</f>
        <v>12077.503282456546</v>
      </c>
      <c r="AF61" s="61">
        <f> AF$50</f>
        <v>12180.68640133933</v>
      </c>
      <c r="AG61" s="61">
        <f> AG$50</f>
        <v>12312.468796684134</v>
      </c>
      <c r="AH61" s="61">
        <f> AH$50</f>
        <v>12519.962959393593</v>
      </c>
      <c r="AI61" s="61">
        <f> AI$50</f>
        <v>12439.828380930236</v>
      </c>
      <c r="AJ61" s="61">
        <f> AJ$50</f>
        <v>12601.162470757263</v>
      </c>
      <c r="AK61" s="61">
        <f> AK$50</f>
        <v>12626.787383206898</v>
      </c>
      <c r="AL61" s="61">
        <f> AL$50</f>
        <v>12895.561848175395</v>
      </c>
      <c r="AM61" s="61">
        <f> AM$50</f>
        <v>12813.023232358137</v>
      </c>
      <c r="AN61" s="61">
        <f> AN$50</f>
        <v>12922.49020318089</v>
      </c>
      <c r="AO61" s="61">
        <f> AO$50</f>
        <v>13062.29814640219</v>
      </c>
      <c r="AP61" s="61">
        <f> AP$50</f>
        <v>13282.428703620652</v>
      </c>
      <c r="AQ61" s="61">
        <f> AQ$50</f>
        <v>13197.413929328874</v>
      </c>
      <c r="AR61" s="61">
        <f> AR$50</f>
        <v>13310.16490927631</v>
      </c>
      <c r="AS61" s="61">
        <f> AS$50</f>
        <v>13454.16709079425</v>
      </c>
      <c r="AT61" s="61">
        <f> AT$50</f>
        <v>13680.901564729269</v>
      </c>
      <c r="AU61" s="61">
        <f> AU$50</f>
        <v>13593.33634720874</v>
      </c>
      <c r="AV61" s="61">
        <f> AV$50</f>
        <v>13709.469856554591</v>
      </c>
      <c r="AW61" s="61">
        <f> AW$50</f>
        <v>13857.792103518073</v>
      </c>
      <c r="AX61" s="61">
        <f> AX$50</f>
        <v>14091.32861167114</v>
      </c>
      <c r="AY61" s="61">
        <f> AY$50</f>
        <v>14001.136437624995</v>
      </c>
      <c r="AZ61" s="61">
        <f> AZ$50</f>
        <v>14182.719377078645</v>
      </c>
      <c r="BA61" s="61">
        <f> BA$50</f>
        <v>14211.56044179619</v>
      </c>
      <c r="BB61" s="61">
        <f> BB$50</f>
        <v>14514.068470021271</v>
      </c>
      <c r="BC61" s="61">
        <f> BC$50</f>
        <v>14421.17053075374</v>
      </c>
      <c r="BD61" s="61">
        <f> BD$50</f>
        <v>14544.37657081876</v>
      </c>
      <c r="BE61" s="61">
        <f> BE$50</f>
        <v>14701.731642622317</v>
      </c>
      <c r="BF61" s="61">
        <f> BF$50</f>
        <v>14949.490524121904</v>
      </c>
      <c r="BG61" s="61">
        <f> BG$50</f>
        <v>14853.805646676348</v>
      </c>
      <c r="BH61" s="61">
        <f> BH$50</f>
        <v>14609.947155277176</v>
      </c>
      <c r="BI61" s="61">
        <f> BI$50</f>
        <v>15282.967590789982</v>
      </c>
      <c r="BJ61" s="61">
        <f> BJ$50</f>
        <v>15251.565390537611</v>
      </c>
      <c r="BK61" s="61">
        <f> BK$50</f>
        <v>15449.489730645299</v>
      </c>
      <c r="BL61" s="61">
        <f> BL$50</f>
        <v>15284.229083876065</v>
      </c>
      <c r="BM61" s="61">
        <f> BM$50</f>
        <v>15741.456618513674</v>
      </c>
      <c r="BN61" s="61">
        <f> BN$50</f>
        <v>15709.112352253735</v>
      </c>
      <c r="BO61" s="61">
        <f> BO$50</f>
        <v>15912.974422564654</v>
      </c>
      <c r="BP61" s="61">
        <f> BP$50</f>
        <v>15809.747958300175</v>
      </c>
      <c r="BQ61" s="61">
        <f> BQ$50</f>
        <v>15747.67981251513</v>
      </c>
      <c r="BR61" s="61">
        <f> BR$50</f>
        <v>16335.71193195214</v>
      </c>
      <c r="BS61" s="61">
        <f> BS$50</f>
        <v>16231.15448287569</v>
      </c>
      <c r="BT61" s="61">
        <f> BT$50</f>
        <v>16369.82396641408</v>
      </c>
      <c r="BU61" s="61">
        <f> BU$50</f>
        <v>16546.928486027165</v>
      </c>
      <c r="BV61" s="61">
        <f> BV$50</f>
        <v>16825.783289910694</v>
      </c>
      <c r="BW61" s="61">
        <f> BW$50</f>
        <v>17138.041596292</v>
      </c>
      <c r="BX61" s="61">
        <f> BX$50</f>
        <v>17118.784242644244</v>
      </c>
      <c r="BY61" s="61">
        <f> BY$50</f>
        <v>17466.665679065245</v>
      </c>
      <c r="BZ61" s="61">
        <f> BZ$50</f>
        <v>17595.13762514381</v>
      </c>
      <c r="CA61" s="61">
        <f> CA$50</f>
        <v>17652.182844180752</v>
      </c>
      <c r="CB61" s="61">
        <f> CB$50</f>
        <v>17632.347769923566</v>
      </c>
      <c r="CC61" s="61">
        <f> CC$50</f>
        <v>17990.665649437196</v>
      </c>
      <c r="CD61" s="61">
        <f> CD$50</f>
        <v>18122.991753898117</v>
      </c>
      <c r="CE61" s="61">
        <f> CE$50</f>
        <v>18181.74832950617</v>
      </c>
      <c r="CF61" s="61">
        <f> CF$50</f>
        <v>18239.81414927312</v>
      </c>
      <c r="CG61" s="61">
        <f> CG$50</f>
        <v>18451.889672668458</v>
      </c>
      <c r="CH61" s="61">
        <f> CH$50</f>
        <v>18666.68150651506</v>
      </c>
      <c r="CI61" s="61">
        <f> CI$50</f>
        <v>18727.20077939135</v>
      </c>
      <c r="CJ61" s="61">
        <f> CJ$50</f>
        <v>18706.1577491119</v>
      </c>
      <c r="CK61" s="61">
        <f> CK$50</f>
        <v>19086.297187487908</v>
      </c>
      <c r="CL61" s="61">
        <f> CL$50</f>
        <v>19226.681951710496</v>
      </c>
      <c r="CM61" s="61">
        <f> CM$50</f>
        <v>19289.016802773083</v>
      </c>
      <c r="CN61" s="61">
        <f> CN$50</f>
        <v>7358.824520447502</v>
      </c>
      <c r="CO61" s="61">
        <f> CO$50</f>
        <v>0.0</v>
      </c>
    </row>
    <row r="62" s="396">
      <c r="A62" s="318" t="n"/>
      <c r="B62" s="318" t="n"/>
      <c r="C62" s="319" t="n"/>
      <c r="D62" s="320" t="n"/>
      <c r="E62" s="322" t="inlineStr">
        <is>
          <t>Account payables balance</t>
        </is>
      </c>
      <c r="F62" s="322" t="inlineStr">
        <is>
          <t>BS</t>
        </is>
      </c>
      <c r="G62" s="322" t="inlineStr">
        <is>
          <t>$ 000s</t>
        </is>
      </c>
      <c r="I62" s="323" t="n"/>
      <c r="J62" s="322">
        <f> IF(J57 = 1, $F56, J59 + J60 - J61)</f>
        <v>0.0</v>
      </c>
      <c r="K62" s="322">
        <f> IF(K57 = 1, $F56, K59 + K60 - K61)</f>
        <v>0.0</v>
      </c>
      <c r="L62" s="322">
        <f> IF(L57 = 1, $F56, L59 + L60 - L61)</f>
        <v>3911.8805347494163</v>
      </c>
      <c r="M62" s="322">
        <f> IF(M57 = 1, $F56, M59 + M60 - M61)</f>
        <v>3822.503480832038</v>
      </c>
      <c r="N62" s="322">
        <f> IF(N57 = 1, $F56, N59 + N60 - N61)</f>
        <v>3994.910511465314</v>
      </c>
      <c r="O62" s="322">
        <f> IF(O57 = 1, $F56, O59 + O60 - O61)</f>
        <v>3916.3149818840575</v>
      </c>
      <c r="P62" s="322">
        <f> IF(P57 = 1, $F56, P59 + P60 - P61)</f>
        <v>4218.865024872304</v>
      </c>
      <c r="Q62" s="322">
        <f> IF(Q57 = 1, $F56, Q59 + Q60 - Q61)</f>
        <v>4057.127896603013</v>
      </c>
      <c r="R62" s="322">
        <f> IF(R57 = 1, $F56, R59 + R60 - R61)</f>
        <v>4229.070867204988</v>
      </c>
      <c r="S62" s="322">
        <f> IF(S57 = 1, $F56, S59 + S60 - S61)</f>
        <v>4112.1307309782605</v>
      </c>
      <c r="T62" s="322">
        <f> IF(T57 = 1, $F56, T59 + T60 - T61)</f>
        <v>4370.660341780394</v>
      </c>
      <c r="U62" s="322">
        <f> IF(U57 = 1, $F56, U59 + U60 - U61)</f>
        <v>4239.650121434395</v>
      </c>
      <c r="V62" s="322">
        <f> IF(V57 = 1, $F56, V59 + V60 - V61)</f>
        <v>4408.768468852642</v>
      </c>
      <c r="W62" s="322">
        <f> IF(W57 = 1, $F56, W59 + W60 - W61)</f>
        <v>4276.615960217392</v>
      </c>
      <c r="X62" s="322">
        <f> IF(X57 = 1, $F56, X59 + X60 - X61)</f>
        <v>4584.904044080322</v>
      </c>
      <c r="Y62" s="322">
        <f> IF(Y57 = 1, $F56, Y59 + Y60 - Y61)</f>
        <v>4387.9866718819685</v>
      </c>
      <c r="Z62" s="322">
        <f> IF(Z57 = 1, $F56, Z59 + Z60 - Z61)</f>
        <v>4552.013541494738</v>
      </c>
      <c r="AA62" s="322">
        <f> IF(AA57 = 1, $F56, AA59 + AA60 - AA61)</f>
        <v>4404.914439023913</v>
      </c>
      <c r="AB62" s="322">
        <f> IF(AB57 = 1, $F56, AB59 + AB60 - AB61)</f>
        <v>4722.45116540273</v>
      </c>
      <c r="AC62" s="322">
        <f> IF(AC57 = 1, $F56, AC59 + AC60 - AC61)</f>
        <v>4519.626272038426</v>
      </c>
      <c r="AD62" s="322">
        <f> IF(AD57 = 1, $F56, AD59 + AD60 - AD61)</f>
        <v>4688.57394773958</v>
      </c>
      <c r="AE62" s="322">
        <f> IF(AE57 = 1, $F56, AE59 + AE60 - AE61)</f>
        <v>4537.061872194627</v>
      </c>
      <c r="AF62" s="322">
        <f> IF(AF57 = 1, $F56, AF59 + AF60 - AF61)</f>
        <v>4864.124700364808</v>
      </c>
      <c r="AG62" s="322">
        <f> IF(AG57 = 1, $F56, AG59 + AG60 - AG61)</f>
        <v>4655.215060199578</v>
      </c>
      <c r="AH62" s="322">
        <f> IF(AH57 = 1, $F56, AH59 + AH60 - AH61)</f>
        <v>4829.231166171765</v>
      </c>
      <c r="AI62" s="322">
        <f> IF(AI57 = 1, $F56, AI59 + AI60 - AI61)</f>
        <v>4673.173728360465</v>
      </c>
      <c r="AJ62" s="322">
        <f> IF(AJ57 = 1, $F56, AJ59 + AJ60 - AJ61)</f>
        <v>4954.992963997996</v>
      </c>
      <c r="AK62" s="322">
        <f> IF(AK57 = 1, $F56, AK59 + AK60 - AK61)</f>
        <v>4794.871512005564</v>
      </c>
      <c r="AL62" s="322">
        <f> IF(AL57 = 1, $F56, AL59 + AL60 - AL61)</f>
        <v>4974.108101156915</v>
      </c>
      <c r="AM62" s="322">
        <f> IF(AM57 = 1, $F56, AM59 + AM60 - AM61)</f>
        <v>4813.36894021128</v>
      </c>
      <c r="AN62" s="322">
        <f> IF(AN57 = 1, $F56, AN59 + AN60 - AN61)</f>
        <v>5160.349894617024</v>
      </c>
      <c r="AO62" s="322">
        <f> IF(AO57 = 1, $F56, AO59 + AO60 - AO61)</f>
        <v>4938.717657365727</v>
      </c>
      <c r="AP62" s="322">
        <f> IF(AP57 = 1, $F56, AP59 + AP60 - AP61)</f>
        <v>5123.331344191618</v>
      </c>
      <c r="AQ62" s="322">
        <f> IF(AQ57 = 1, $F56, AQ59 + AQ60 - AQ61)</f>
        <v>4957.770008417612</v>
      </c>
      <c r="AR62" s="322">
        <f> IF(AR57 = 1, $F56, AR59 + AR60 - AR61)</f>
        <v>5315.160391455533</v>
      </c>
      <c r="AS62" s="322">
        <f> IF(AS57 = 1, $F56, AS59 + AS60 - AS61)</f>
        <v>5086.879187086699</v>
      </c>
      <c r="AT62" s="322">
        <f> IF(AT57 = 1, $F56, AT59 + AT60 - AT61)</f>
        <v>5277.0312845173685</v>
      </c>
      <c r="AU62" s="322">
        <f> IF(AU57 = 1, $F56, AU59 + AU60 - AU61)</f>
        <v>5106.503108670138</v>
      </c>
      <c r="AV62" s="322">
        <f> IF(AV57 = 1, $F56, AV59 + AV60 - AV61)</f>
        <v>5474.615203199195</v>
      </c>
      <c r="AW62" s="322">
        <f> IF(AW57 = 1, $F56, AW59 + AW60 - AW61)</f>
        <v>5239.485562699298</v>
      </c>
      <c r="AX62" s="322">
        <f> IF(AX57 = 1, $F56, AX59 + AX60 - AX61)</f>
        <v>5435.342223052887</v>
      </c>
      <c r="AY62" s="322">
        <f> IF(AY57 = 1, $F56, AY59 + AY60 - AY61)</f>
        <v>5259.698201930241</v>
      </c>
      <c r="AZ62" s="322">
        <f> IF(AZ57 = 1, $F56, AZ59 + AZ60 - AZ61)</f>
        <v>5576.8882344677495</v>
      </c>
      <c r="BA62" s="322">
        <f> IF(BA57 = 1, $F56, BA59 + BA60 - BA61)</f>
        <v>5396.670129580276</v>
      </c>
      <c r="BB62" s="322">
        <f> IF(BB57 = 1, $F56, BB59 + BB60 - BB61)</f>
        <v>5598.402489744471</v>
      </c>
      <c r="BC62" s="322">
        <f> IF(BC57 = 1, $F56, BC59 + BC60 - BC61)</f>
        <v>5417.48914798815</v>
      </c>
      <c r="BD62" s="322">
        <f> IF(BD57 = 1, $F56, BD59 + BD60 - BD61)</f>
        <v>5808.019269074026</v>
      </c>
      <c r="BE62" s="322">
        <f> IF(BE57 = 1, $F56, BE59 + BE60 - BE61)</f>
        <v>5558.570233467681</v>
      </c>
      <c r="BF62" s="322">
        <f> IF(BF57 = 1, $F56, BF59 + BF60 - BF61)</f>
        <v>5766.354564436804</v>
      </c>
      <c r="BG62" s="322">
        <f> IF(BG57 = 1, $F56, BG59 + BG60 - BG61)</f>
        <v>5580.013822427791</v>
      </c>
      <c r="BH62" s="322">
        <f> IF(BH57 = 1, $F56, BH59 + BH60 - BH61)</f>
        <v>5746.321211813247</v>
      </c>
      <c r="BI62" s="322">
        <f> IF(BI57 = 1, $F56, BI59 + BI60 - BI61)</f>
        <v>5960.403986860458</v>
      </c>
      <c r="BJ62" s="322">
        <f> IF(BJ57 = 1, $F56, BJ59 + BJ60 - BJ61)</f>
        <v>5705.09910752106</v>
      </c>
      <c r="BK62" s="322">
        <f> IF(BK57 = 1, $F56, BK59 + BK60 - BK61)</f>
        <v>5983.3977510412005</v>
      </c>
      <c r="BL62" s="322">
        <f> IF(BL57 = 1, $F56, BL59 + BL60 - BL61)</f>
        <v>5918.710848167639</v>
      </c>
      <c r="BM62" s="322">
        <f> IF(BM57 = 1, $F56, BM59 + BM60 - BM61)</f>
        <v>6139.2161064662705</v>
      </c>
      <c r="BN62" s="322">
        <f> IF(BN57 = 1, $F56, BN59 + BN60 - BN61)</f>
        <v>5876.25208074669</v>
      </c>
      <c r="BO62" s="322">
        <f> IF(BO57 = 1, $F56, BO59 + BO60 - BO61)</f>
        <v>6162.899683572436</v>
      </c>
      <c r="BP62" s="322">
        <f> IF(BP57 = 1, $F56, BP59 + BP60 - BP61)</f>
        <v>6029.280171704837</v>
      </c>
      <c r="BQ62" s="322">
        <f> IF(BQ57 = 1, $F56, BQ59 + BQ60 - BQ61)</f>
        <v>6073.999775506434</v>
      </c>
      <c r="BR62" s="322">
        <f> IF(BR57 = 1, $F56, BR59 + BR60 - BR61)</f>
        <v>6301.051324133328</v>
      </c>
      <c r="BS62" s="322">
        <f> IF(BS57 = 1, $F56, BS59 + BS60 - BS61)</f>
        <v>6097.431764140047</v>
      </c>
      <c r="BT62" s="322">
        <f> IF(BT57 = 1, $F56, BT59 + BT60 - BT61)</f>
        <v>6536.976855992563</v>
      </c>
      <c r="BU62" s="322">
        <f> IF(BU57 = 1, $F56, BU59 + BU60 - BU61)</f>
        <v>6256.219768771622</v>
      </c>
      <c r="BV62" s="322">
        <f> IF(BV57 = 1, $F56, BV59 + BV60 - BV61)</f>
        <v>6490.082863857329</v>
      </c>
      <c r="BW62" s="322">
        <f> IF(BW57 = 1, $F56, BW59 + BW60 - BW61)</f>
        <v>6538.220274301992</v>
      </c>
      <c r="BX62" s="322">
        <f> IF(BX57 = 1, $F56, BX59 + BX60 - BX61)</f>
        <v>6733.086161672341</v>
      </c>
      <c r="BY62" s="322">
        <f> IF(BY57 = 1, $F56, BY59 + BY60 - BY61)</f>
        <v>6708.487198370563</v>
      </c>
      <c r="BZ62" s="322">
        <f> IF(BZ57 = 1, $F56, BZ59 + BZ60 - BZ61)</f>
        <v>6684.785349773047</v>
      </c>
      <c r="CA62" s="322">
        <f> IF(CA57 = 1, $F56, CA59 + CA60 - CA61)</f>
        <v>6734.366882531049</v>
      </c>
      <c r="CB62" s="322">
        <f> IF(CB57 = 1, $F56, CB59 + CB60 - CB61)</f>
        <v>6935.078746522508</v>
      </c>
      <c r="CC62" s="322">
        <f> IF(CC57 = 1, $F56, CC59 + CC60 - CC61)</f>
        <v>6909.741814321678</v>
      </c>
      <c r="CD62" s="322">
        <f> IF(CD57 = 1, $F56, CD59 + CD60 - CD61)</f>
        <v>6885.328910266235</v>
      </c>
      <c r="CE62" s="322">
        <f> IF(CE57 = 1, $F56, CE59 + CE60 - CE61)</f>
        <v>6936.397889006981</v>
      </c>
      <c r="CF62" s="322">
        <f> IF(CF57 = 1, $F56, CF59 + CF60 - CF61)</f>
        <v>7064.6351626663345</v>
      </c>
      <c r="CG62" s="322">
        <f> IF(CG57 = 1, $F56, CG59 + CG60 - CG61)</f>
        <v>7117.034068751327</v>
      </c>
      <c r="CH62" s="322">
        <f> IF(CH57 = 1, $F56, CH59 + CH60 - CH61)</f>
        <v>7091.888777574219</v>
      </c>
      <c r="CI62" s="322">
        <f> IF(CI57 = 1, $F56, CI59 + CI60 - CI61)</f>
        <v>7144.489825677185</v>
      </c>
      <c r="CJ62" s="322">
        <f> IF(CJ57 = 1, $F56, CJ59 + CJ60 - CJ61)</f>
        <v>7357.425042185725</v>
      </c>
      <c r="CK62" s="322">
        <f> IF(CK57 = 1, $F56, CK59 + CK60 - CK61)</f>
        <v>7330.545090813863</v>
      </c>
      <c r="CL62" s="322">
        <f> IF(CL57 = 1, $F56, CL59 + CL60 - CL61)</f>
        <v>7304.645440901444</v>
      </c>
      <c r="CM62" s="322">
        <f> IF(CM57 = 1, $F56, CM59 + CM60 - CM61)</f>
        <v>7358.824520447502</v>
      </c>
      <c r="CN62" s="322">
        <f> IF(CN57 = 1, $F56, CN59 + CN60 - CN61)</f>
        <v>0.0</v>
      </c>
      <c r="CO62" s="322">
        <f> IF(CO57 = 1, $F56, CO59 + CO60 - CO61)</f>
        <v>0.0</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9.xml><?xml version="1.0" encoding="utf-8"?>
<worksheet xmlns="http://schemas.openxmlformats.org/spreadsheetml/2006/main">
  <sheetPr>
    <tabColor rgb="000B5E82"/>
    <outlinePr summaryBelow="0" summaryRight="0"/>
    <pageSetUpPr/>
  </sheetPr>
  <dimension ref="A1:CO49"/>
  <sheetViews>
    <sheetView showGridLines="0" defaultGridColor="0" colorId="22" zoomScaleNormal="100" workbookViewId="0">
      <pane xSplit="9" ySplit="5" topLeftCell="J33" activePane="bottomRight" state="frozen"/>
      <selection activeCell="I34" sqref="I34"/>
      <selection pane="topRight" activeCell="I34" sqref="I34"/>
      <selection pane="bottomLeft" activeCell="I34" sqref="I34"/>
      <selection pane="bottomRight" activeCell="J49" sqref="J49"/>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 xml:space="preserve">TAX DEPRECIATION </t>
        </is>
      </c>
    </row>
    <row r="8">
      <c r="E8" s="336" t="str">
        <f> InpC!E$84</f>
        <v>Tax depreciation rate</v>
      </c>
      <c r="F8" s="336">
        <f> InpC!F$84</f>
        <v>0.05</v>
      </c>
      <c r="G8" s="336" t="str">
        <f> InpC!G$84</f>
        <v>% TWDV</v>
      </c>
    </row>
    <row r="9">
      <c r="E9" s="29" t="str">
        <f> E$18</f>
        <v>Tax written down value balance BEG</v>
      </c>
      <c r="F9" s="29">
        <f> F$18</f>
        <v>0.0</v>
      </c>
      <c r="G9" s="29" t="str">
        <f> G$18</f>
        <v>$ 000s</v>
      </c>
      <c r="H9" s="29">
        <f> H$18</f>
        <v>0.0</v>
      </c>
      <c r="I9" s="29">
        <f> I$18</f>
        <v>0.0</v>
      </c>
      <c r="J9" s="29">
        <f> J$18</f>
        <v>0.0</v>
      </c>
      <c r="K9" s="29">
        <f> K$18</f>
        <v>0.0</v>
      </c>
      <c r="L9" s="29">
        <f> L$18</f>
        <v>100000.0</v>
      </c>
      <c r="M9" s="29">
        <f> M$18</f>
        <v>95000.0</v>
      </c>
      <c r="N9" s="29">
        <f> N$18</f>
        <v>90250.0</v>
      </c>
      <c r="O9" s="29">
        <f> O$18</f>
        <v>85737.5</v>
      </c>
      <c r="P9" s="29">
        <f> P$18</f>
        <v>81450.625</v>
      </c>
      <c r="Q9" s="29">
        <f> Q$18</f>
        <v>77378.09375</v>
      </c>
      <c r="R9" s="29">
        <f> R$18</f>
        <v>73509.1890625</v>
      </c>
      <c r="S9" s="29">
        <f> S$18</f>
        <v>69833.72960937499</v>
      </c>
      <c r="T9" s="29">
        <f> T$18</f>
        <v>68342.04312890624</v>
      </c>
      <c r="U9" s="29">
        <f> U$18</f>
        <v>64924.94097246093</v>
      </c>
      <c r="V9" s="29">
        <f> V$18</f>
        <v>61678.69392383788</v>
      </c>
      <c r="W9" s="29">
        <f> W$18</f>
        <v>58594.75922764599</v>
      </c>
      <c r="X9" s="29">
        <f> X$18</f>
        <v>56665.02126626369</v>
      </c>
      <c r="Y9" s="29">
        <f> Y$18</f>
        <v>53831.77020295051</v>
      </c>
      <c r="Z9" s="29">
        <f> Z$18</f>
        <v>51140.18169280298</v>
      </c>
      <c r="AA9" s="29">
        <f> AA$18</f>
        <v>48583.17260816283</v>
      </c>
      <c r="AB9" s="29">
        <f> AB$18</f>
        <v>47654.01397775469</v>
      </c>
      <c r="AC9" s="29">
        <f> AC$18</f>
        <v>45271.31327886695</v>
      </c>
      <c r="AD9" s="29">
        <f> AD$18</f>
        <v>43007.7476149236</v>
      </c>
      <c r="AE9" s="29">
        <f> AE$18</f>
        <v>40857.360234177424</v>
      </c>
      <c r="AF9" s="29">
        <f> AF$18</f>
        <v>39814.49222246855</v>
      </c>
      <c r="AG9" s="29">
        <f> AG$18</f>
        <v>37823.76761134512</v>
      </c>
      <c r="AH9" s="29">
        <f> AH$18</f>
        <v>35932.57923077787</v>
      </c>
      <c r="AI9" s="29">
        <f> AI$18</f>
        <v>34135.95026923897</v>
      </c>
      <c r="AJ9" s="29">
        <f> AJ$18</f>
        <v>32929.152755777024</v>
      </c>
      <c r="AK9" s="29">
        <f> AK$18</f>
        <v>31282.695117988173</v>
      </c>
      <c r="AL9" s="29">
        <f> AL$18</f>
        <v>29718.560362088763</v>
      </c>
      <c r="AM9" s="29">
        <f> AM$18</f>
        <v>28232.632343984325</v>
      </c>
      <c r="AN9" s="29">
        <f> AN$18</f>
        <v>27821.00072678511</v>
      </c>
      <c r="AO9" s="29">
        <f> AO$18</f>
        <v>26429.950690445854</v>
      </c>
      <c r="AP9" s="29">
        <f> AP$18</f>
        <v>25108.453155923562</v>
      </c>
      <c r="AQ9" s="29">
        <f> AQ$18</f>
        <v>23853.030498127384</v>
      </c>
      <c r="AR9" s="29">
        <f> AR$18</f>
        <v>23660.378973221013</v>
      </c>
      <c r="AS9" s="29">
        <f> AS$18</f>
        <v>22477.360024559963</v>
      </c>
      <c r="AT9" s="29">
        <f> AT$18</f>
        <v>21353.492023331964</v>
      </c>
      <c r="AU9" s="29">
        <f> AU$18</f>
        <v>20285.817422165368</v>
      </c>
      <c r="AV9" s="29">
        <f> AV$18</f>
        <v>19271.5265510571</v>
      </c>
      <c r="AW9" s="29">
        <f> AW$18</f>
        <v>18307.950223504246</v>
      </c>
      <c r="AX9" s="29">
        <f> AX$18</f>
        <v>17392.552712329034</v>
      </c>
      <c r="AY9" s="29">
        <f> AY$18</f>
        <v>16522.92507671258</v>
      </c>
      <c r="AZ9" s="29">
        <f> AZ$18</f>
        <v>15696.778822876953</v>
      </c>
      <c r="BA9" s="29">
        <f> BA$18</f>
        <v>14911.939881733106</v>
      </c>
      <c r="BB9" s="29">
        <f> BB$18</f>
        <v>14166.34288764645</v>
      </c>
      <c r="BC9" s="29">
        <f> BC$18</f>
        <v>13458.025743264127</v>
      </c>
      <c r="BD9" s="29">
        <f> BD$18</f>
        <v>12785.12445610092</v>
      </c>
      <c r="BE9" s="29">
        <f> BE$18</f>
        <v>12145.868233295874</v>
      </c>
      <c r="BF9" s="29">
        <f> BF$18</f>
        <v>11538.57482163108</v>
      </c>
      <c r="BG9" s="29">
        <f> BG$18</f>
        <v>10961.646080549526</v>
      </c>
      <c r="BH9" s="29">
        <f> BH$18</f>
        <v>10413.563776522049</v>
      </c>
      <c r="BI9" s="29">
        <f> BI$18</f>
        <v>9892.885587695946</v>
      </c>
      <c r="BJ9" s="29">
        <f> BJ$18</f>
        <v>9398.24130831115</v>
      </c>
      <c r="BK9" s="29">
        <f> BK$18</f>
        <v>8928.329242895592</v>
      </c>
      <c r="BL9" s="29">
        <f> BL$18</f>
        <v>8481.912780750812</v>
      </c>
      <c r="BM9" s="29">
        <f> BM$18</f>
        <v>8057.817141713272</v>
      </c>
      <c r="BN9" s="29">
        <f> BN$18</f>
        <v>7654.926284627608</v>
      </c>
      <c r="BO9" s="29">
        <f> BO$18</f>
        <v>7272.179970396228</v>
      </c>
      <c r="BP9" s="29">
        <f> BP$18</f>
        <v>6908.5709718764165</v>
      </c>
      <c r="BQ9" s="29">
        <f> BQ$18</f>
        <v>6563.142423282596</v>
      </c>
      <c r="BR9" s="29">
        <f> BR$18</f>
        <v>6234.985302118466</v>
      </c>
      <c r="BS9" s="29">
        <f> BS$18</f>
        <v>5923.2360370125425</v>
      </c>
      <c r="BT9" s="29">
        <f> BT$18</f>
        <v>5627.074235161916</v>
      </c>
      <c r="BU9" s="29">
        <f> BU$18</f>
        <v>5345.72052340382</v>
      </c>
      <c r="BV9" s="29">
        <f> BV$18</f>
        <v>5078.434497233629</v>
      </c>
      <c r="BW9" s="29">
        <f> BW$18</f>
        <v>4824.512772371948</v>
      </c>
      <c r="BX9" s="29">
        <f> BX$18</f>
        <v>4583.287133753351</v>
      </c>
      <c r="BY9" s="29">
        <f> BY$18</f>
        <v>4354.122777065683</v>
      </c>
      <c r="BZ9" s="29">
        <f> BZ$18</f>
        <v>4136.416638212399</v>
      </c>
      <c r="CA9" s="29">
        <f> CA$18</f>
        <v>3929.5958063017797</v>
      </c>
      <c r="CB9" s="29">
        <f> CB$18</f>
        <v>3733.116015986691</v>
      </c>
      <c r="CC9" s="29">
        <f> CC$18</f>
        <v>3546.4602151873564</v>
      </c>
      <c r="CD9" s="29">
        <f> CD$18</f>
        <v>3369.1372044279888</v>
      </c>
      <c r="CE9" s="29">
        <f> CE$18</f>
        <v>3200.6803442065893</v>
      </c>
      <c r="CF9" s="29">
        <f> CF$18</f>
        <v>3040.6463269962596</v>
      </c>
      <c r="CG9" s="29">
        <f> CG$18</f>
        <v>2888.614010646447</v>
      </c>
      <c r="CH9" s="29">
        <f> CH$18</f>
        <v>2744.1833101141247</v>
      </c>
      <c r="CI9" s="29">
        <f> CI$18</f>
        <v>2606.9741446084186</v>
      </c>
      <c r="CJ9" s="29">
        <f> CJ$18</f>
        <v>2476.6254373779975</v>
      </c>
      <c r="CK9" s="29">
        <f> CK$18</f>
        <v>2352.7941655090976</v>
      </c>
      <c r="CL9" s="29">
        <f> CL$18</f>
        <v>2235.154457233643</v>
      </c>
      <c r="CM9" s="29">
        <f> CM$18</f>
        <v>2123.396734371961</v>
      </c>
      <c r="CN9" s="29">
        <f> CN$18</f>
        <v>0.0</v>
      </c>
      <c r="CO9" s="29">
        <f> CO$18</f>
        <v>0.0</v>
      </c>
    </row>
    <row r="10">
      <c r="E10" s="325" t="str">
        <f> Time!E$75</f>
        <v>Last forecast period flag</v>
      </c>
      <c r="F10" s="325">
        <f> Time!F$75</f>
        <v>0.0</v>
      </c>
      <c r="G10" s="325" t="str">
        <f> Time!G$75</f>
        <v>flag</v>
      </c>
      <c r="H10" s="325">
        <f> Time!H$75</f>
        <v>1.0</v>
      </c>
      <c r="I10" s="325">
        <f> Time!I$75</f>
        <v>0.0</v>
      </c>
      <c r="J10" s="325">
        <f> Time!J$75</f>
        <v>0.0</v>
      </c>
      <c r="K10" s="325">
        <f> Time!K$75</f>
        <v>0.0</v>
      </c>
      <c r="L10" s="325">
        <f> Time!L$75</f>
        <v>0.0</v>
      </c>
      <c r="M10" s="325">
        <f> Time!M$75</f>
        <v>0.0</v>
      </c>
      <c r="N10" s="325">
        <f> Time!N$75</f>
        <v>0.0</v>
      </c>
      <c r="O10" s="325">
        <f> Time!O$75</f>
        <v>0.0</v>
      </c>
      <c r="P10" s="325">
        <f> Time!P$75</f>
        <v>0.0</v>
      </c>
      <c r="Q10" s="325">
        <f> Time!Q$75</f>
        <v>0.0</v>
      </c>
      <c r="R10" s="325">
        <f> Time!R$75</f>
        <v>0.0</v>
      </c>
      <c r="S10" s="325">
        <f> Time!S$75</f>
        <v>0.0</v>
      </c>
      <c r="T10" s="325">
        <f> Time!T$75</f>
        <v>0.0</v>
      </c>
      <c r="U10" s="325">
        <f> Time!U$75</f>
        <v>0.0</v>
      </c>
      <c r="V10" s="325">
        <f> Time!V$75</f>
        <v>0.0</v>
      </c>
      <c r="W10" s="325">
        <f> Time!W$75</f>
        <v>0.0</v>
      </c>
      <c r="X10" s="325">
        <f> Time!X$75</f>
        <v>0.0</v>
      </c>
      <c r="Y10" s="325">
        <f> Time!Y$75</f>
        <v>0.0</v>
      </c>
      <c r="Z10" s="325">
        <f> Time!Z$75</f>
        <v>0.0</v>
      </c>
      <c r="AA10" s="325">
        <f> Time!AA$75</f>
        <v>0.0</v>
      </c>
      <c r="AB10" s="325">
        <f> Time!AB$75</f>
        <v>0.0</v>
      </c>
      <c r="AC10" s="325">
        <f> Time!AC$75</f>
        <v>0.0</v>
      </c>
      <c r="AD10" s="325">
        <f> Time!AD$75</f>
        <v>0.0</v>
      </c>
      <c r="AE10" s="325">
        <f> Time!AE$75</f>
        <v>0.0</v>
      </c>
      <c r="AF10" s="325">
        <f> Time!AF$75</f>
        <v>0.0</v>
      </c>
      <c r="AG10" s="325">
        <f> Time!AG$75</f>
        <v>0.0</v>
      </c>
      <c r="AH10" s="325">
        <f> Time!AH$75</f>
        <v>0.0</v>
      </c>
      <c r="AI10" s="325">
        <f> Time!AI$75</f>
        <v>0.0</v>
      </c>
      <c r="AJ10" s="325">
        <f> Time!AJ$75</f>
        <v>0.0</v>
      </c>
      <c r="AK10" s="325">
        <f> Time!AK$75</f>
        <v>0.0</v>
      </c>
      <c r="AL10" s="325">
        <f> Time!AL$75</f>
        <v>0.0</v>
      </c>
      <c r="AM10" s="325">
        <f> Time!AM$75</f>
        <v>0.0</v>
      </c>
      <c r="AN10" s="325">
        <f> Time!AN$75</f>
        <v>0.0</v>
      </c>
      <c r="AO10" s="325">
        <f> Time!AO$75</f>
        <v>0.0</v>
      </c>
      <c r="AP10" s="325">
        <f> Time!AP$75</f>
        <v>0.0</v>
      </c>
      <c r="AQ10" s="325">
        <f> Time!AQ$75</f>
        <v>0.0</v>
      </c>
      <c r="AR10" s="325">
        <f> Time!AR$75</f>
        <v>0.0</v>
      </c>
      <c r="AS10" s="325">
        <f> Time!AS$75</f>
        <v>0.0</v>
      </c>
      <c r="AT10" s="325">
        <f> Time!AT$75</f>
        <v>0.0</v>
      </c>
      <c r="AU10" s="325">
        <f> Time!AU$75</f>
        <v>0.0</v>
      </c>
      <c r="AV10" s="325">
        <f> Time!AV$75</f>
        <v>0.0</v>
      </c>
      <c r="AW10" s="325">
        <f> Time!AW$75</f>
        <v>0.0</v>
      </c>
      <c r="AX10" s="325">
        <f> Time!AX$75</f>
        <v>0.0</v>
      </c>
      <c r="AY10" s="325">
        <f> Time!AY$75</f>
        <v>0.0</v>
      </c>
      <c r="AZ10" s="325">
        <f> Time!AZ$75</f>
        <v>0.0</v>
      </c>
      <c r="BA10" s="325">
        <f> Time!BA$75</f>
        <v>0.0</v>
      </c>
      <c r="BB10" s="325">
        <f> Time!BB$75</f>
        <v>0.0</v>
      </c>
      <c r="BC10" s="325">
        <f> Time!BC$75</f>
        <v>0.0</v>
      </c>
      <c r="BD10" s="325">
        <f> Time!BD$75</f>
        <v>0.0</v>
      </c>
      <c r="BE10" s="325">
        <f> Time!BE$75</f>
        <v>0.0</v>
      </c>
      <c r="BF10" s="325">
        <f> Time!BF$75</f>
        <v>0.0</v>
      </c>
      <c r="BG10" s="325">
        <f> Time!BG$75</f>
        <v>0.0</v>
      </c>
      <c r="BH10" s="325">
        <f> Time!BH$75</f>
        <v>0.0</v>
      </c>
      <c r="BI10" s="325">
        <f> Time!BI$75</f>
        <v>0.0</v>
      </c>
      <c r="BJ10" s="325">
        <f> Time!BJ$75</f>
        <v>0.0</v>
      </c>
      <c r="BK10" s="325">
        <f> Time!BK$75</f>
        <v>0.0</v>
      </c>
      <c r="BL10" s="325">
        <f> Time!BL$75</f>
        <v>0.0</v>
      </c>
      <c r="BM10" s="325">
        <f> Time!BM$75</f>
        <v>0.0</v>
      </c>
      <c r="BN10" s="325">
        <f> Time!BN$75</f>
        <v>0.0</v>
      </c>
      <c r="BO10" s="325">
        <f> Time!BO$75</f>
        <v>0.0</v>
      </c>
      <c r="BP10" s="325">
        <f> Time!BP$75</f>
        <v>0.0</v>
      </c>
      <c r="BQ10" s="325">
        <f> Time!BQ$75</f>
        <v>0.0</v>
      </c>
      <c r="BR10" s="325">
        <f> Time!BR$75</f>
        <v>0.0</v>
      </c>
      <c r="BS10" s="325">
        <f> Time!BS$75</f>
        <v>0.0</v>
      </c>
      <c r="BT10" s="325">
        <f> Time!BT$75</f>
        <v>0.0</v>
      </c>
      <c r="BU10" s="325">
        <f> Time!BU$75</f>
        <v>0.0</v>
      </c>
      <c r="BV10" s="325">
        <f> Time!BV$75</f>
        <v>0.0</v>
      </c>
      <c r="BW10" s="325">
        <f> Time!BW$75</f>
        <v>0.0</v>
      </c>
      <c r="BX10" s="325">
        <f> Time!BX$75</f>
        <v>0.0</v>
      </c>
      <c r="BY10" s="325">
        <f> Time!BY$75</f>
        <v>0.0</v>
      </c>
      <c r="BZ10" s="325">
        <f> Time!BZ$75</f>
        <v>0.0</v>
      </c>
      <c r="CA10" s="325">
        <f> Time!CA$75</f>
        <v>0.0</v>
      </c>
      <c r="CB10" s="325">
        <f> Time!CB$75</f>
        <v>0.0</v>
      </c>
      <c r="CC10" s="325">
        <f> Time!CC$75</f>
        <v>0.0</v>
      </c>
      <c r="CD10" s="325">
        <f> Time!CD$75</f>
        <v>0.0</v>
      </c>
      <c r="CE10" s="325">
        <f> Time!CE$75</f>
        <v>0.0</v>
      </c>
      <c r="CF10" s="325">
        <f> Time!CF$75</f>
        <v>0.0</v>
      </c>
      <c r="CG10" s="325">
        <f> Time!CG$75</f>
        <v>0.0</v>
      </c>
      <c r="CH10" s="325">
        <f> Time!CH$75</f>
        <v>0.0</v>
      </c>
      <c r="CI10" s="325">
        <f> Time!CI$75</f>
        <v>0.0</v>
      </c>
      <c r="CJ10" s="325">
        <f> Time!CJ$75</f>
        <v>0.0</v>
      </c>
      <c r="CK10" s="325">
        <f> Time!CK$75</f>
        <v>0.0</v>
      </c>
      <c r="CL10" s="325">
        <f> Time!CL$75</f>
        <v>0.0</v>
      </c>
      <c r="CM10" s="325">
        <f> Time!CM$75</f>
        <v>1.0</v>
      </c>
      <c r="CN10" s="325">
        <f> Time!CN$75</f>
        <v>0.0</v>
      </c>
      <c r="CO10" s="325">
        <f> Time!CO$75</f>
        <v>0.0</v>
      </c>
    </row>
    <row r="11" customFormat="1" s="260">
      <c r="A11" s="263" t="n"/>
      <c r="B11" s="263" t="n"/>
      <c r="C11" s="264" t="n"/>
      <c r="D11" s="335" t="n"/>
      <c r="E11" s="260" t="inlineStr">
        <is>
          <t xml:space="preserve">Tax depreciation </t>
        </is>
      </c>
      <c r="G11" s="260" t="str">
        <f>SMU</f>
        <v>$ 000s</v>
      </c>
      <c r="H11" s="260">
        <f> SUM(J11:CO11)</f>
        <v>108000.0</v>
      </c>
      <c r="J11" s="260">
        <f> IF(J10 = 1, J9, $F8 * J9)</f>
        <v>0.0</v>
      </c>
      <c r="K11" s="260">
        <f> IF(K10 = 1, K9, $F8 * K9)</f>
        <v>0.0</v>
      </c>
      <c r="L11" s="260">
        <f> IF(L10 = 1, L9, $F8 * L9)</f>
        <v>5000.0</v>
      </c>
      <c r="M11" s="260">
        <f> IF(M10 = 1, M9, $F8 * M9)</f>
        <v>4750.0</v>
      </c>
      <c r="N11" s="260">
        <f> IF(N10 = 1, N9, $F8 * N9)</f>
        <v>4512.5</v>
      </c>
      <c r="O11" s="260">
        <f> IF(O10 = 1, O9, $F8 * O9)</f>
        <v>4286.875</v>
      </c>
      <c r="P11" s="260">
        <f> IF(P10 = 1, P9, $F8 * P9)</f>
        <v>4072.53125</v>
      </c>
      <c r="Q11" s="260">
        <f> IF(Q10 = 1, Q9, $F8 * Q9)</f>
        <v>3868.9046875000004</v>
      </c>
      <c r="R11" s="260">
        <f> IF(R10 = 1, R9, $F8 * R9)</f>
        <v>3675.459453125</v>
      </c>
      <c r="S11" s="260">
        <f> IF(S10 = 1, S9, $F8 * S9)</f>
        <v>3491.68648046875</v>
      </c>
      <c r="T11" s="260">
        <f> IF(T10 = 1, T9, $F8 * T9)</f>
        <v>3417.102156445312</v>
      </c>
      <c r="U11" s="260">
        <f> IF(U10 = 1, U9, $F8 * U9)</f>
        <v>3246.247048623047</v>
      </c>
      <c r="V11" s="260">
        <f> IF(V10 = 1, V9, $F8 * V9)</f>
        <v>3083.9346961918945</v>
      </c>
      <c r="W11" s="260">
        <f> IF(W10 = 1, W9, $F8 * W9)</f>
        <v>2929.7379613822995</v>
      </c>
      <c r="X11" s="260">
        <f> IF(X10 = 1, X9, $F8 * X9)</f>
        <v>2833.2510633131847</v>
      </c>
      <c r="Y11" s="260">
        <f> IF(Y10 = 1, Y9, $F8 * Y9)</f>
        <v>2691.5885101475255</v>
      </c>
      <c r="Z11" s="260">
        <f> IF(Z10 = 1, Z9, $F8 * Z9)</f>
        <v>2557.009084640149</v>
      </c>
      <c r="AA11" s="260">
        <f> IF(AA10 = 1, AA9, $F8 * AA9)</f>
        <v>2429.1586304081416</v>
      </c>
      <c r="AB11" s="260">
        <f> IF(AB10 = 1, AB9, $F8 * AB9)</f>
        <v>2382.7006988877342</v>
      </c>
      <c r="AC11" s="260">
        <f> IF(AC10 = 1, AC9, $F8 * AC9)</f>
        <v>2263.5656639433478</v>
      </c>
      <c r="AD11" s="260">
        <f> IF(AD10 = 1, AD9, $F8 * AD9)</f>
        <v>2150.38738074618</v>
      </c>
      <c r="AE11" s="260">
        <f> IF(AE10 = 1, AE9, $F8 * AE9)</f>
        <v>2042.8680117088713</v>
      </c>
      <c r="AF11" s="260">
        <f> IF(AF10 = 1, AF9, $F8 * AF9)</f>
        <v>1990.7246111234276</v>
      </c>
      <c r="AG11" s="260">
        <f> IF(AG10 = 1, AG9, $F8 * AG9)</f>
        <v>1891.1883805672562</v>
      </c>
      <c r="AH11" s="260">
        <f> IF(AH10 = 1, AH9, $F8 * AH9)</f>
        <v>1796.6289615388935</v>
      </c>
      <c r="AI11" s="260">
        <f> IF(AI10 = 1, AI9, $F8 * AI9)</f>
        <v>1706.7975134619487</v>
      </c>
      <c r="AJ11" s="260">
        <f> IF(AJ10 = 1, AJ9, $F8 * AJ9)</f>
        <v>1646.4576377888513</v>
      </c>
      <c r="AK11" s="260">
        <f> IF(AK10 = 1, AK9, $F8 * AK9)</f>
        <v>1564.1347558994087</v>
      </c>
      <c r="AL11" s="260">
        <f> IF(AL10 = 1, AL9, $F8 * AL9)</f>
        <v>1485.9280181044383</v>
      </c>
      <c r="AM11" s="260">
        <f> IF(AM10 = 1, AM9, $F8 * AM9)</f>
        <v>1411.6316171992164</v>
      </c>
      <c r="AN11" s="260">
        <f> IF(AN10 = 1, AN9, $F8 * AN9)</f>
        <v>1391.0500363392557</v>
      </c>
      <c r="AO11" s="260">
        <f> IF(AO10 = 1, AO9, $F8 * AO9)</f>
        <v>1321.4975345222929</v>
      </c>
      <c r="AP11" s="260">
        <f> IF(AP10 = 1, AP9, $F8 * AP9)</f>
        <v>1255.422657796178</v>
      </c>
      <c r="AQ11" s="260">
        <f> IF(AQ10 = 1, AQ9, $F8 * AQ9)</f>
        <v>1192.6515249063693</v>
      </c>
      <c r="AR11" s="260">
        <f> IF(AR10 = 1, AR9, $F8 * AR9)</f>
        <v>1183.0189486610507</v>
      </c>
      <c r="AS11" s="260">
        <f> IF(AS10 = 1, AS9, $F8 * AS9)</f>
        <v>1123.868001227998</v>
      </c>
      <c r="AT11" s="260">
        <f> IF(AT10 = 1, AT9, $F8 * AT9)</f>
        <v>1067.6746011665982</v>
      </c>
      <c r="AU11" s="260">
        <f> IF(AU10 = 1, AU9, $F8 * AU9)</f>
        <v>1014.2908711082684</v>
      </c>
      <c r="AV11" s="260">
        <f> IF(AV10 = 1, AV9, $F8 * AV9)</f>
        <v>963.5763275528551</v>
      </c>
      <c r="AW11" s="260">
        <f> IF(AW10 = 1, AW9, $F8 * AW9)</f>
        <v>915.3975111752123</v>
      </c>
      <c r="AX11" s="260">
        <f> IF(AX10 = 1, AX9, $F8 * AX9)</f>
        <v>869.6276356164517</v>
      </c>
      <c r="AY11" s="260">
        <f> IF(AY10 = 1, AY9, $F8 * AY9)</f>
        <v>826.1462538356291</v>
      </c>
      <c r="AZ11" s="260">
        <f> IF(AZ10 = 1, AZ9, $F8 * AZ9)</f>
        <v>784.8389411438477</v>
      </c>
      <c r="BA11" s="260">
        <f> IF(BA10 = 1, BA9, $F8 * BA9)</f>
        <v>745.5969940866553</v>
      </c>
      <c r="BB11" s="260">
        <f> IF(BB10 = 1, BB9, $F8 * BB9)</f>
        <v>708.3171443823226</v>
      </c>
      <c r="BC11" s="260">
        <f> IF(BC10 = 1, BC9, $F8 * BC9)</f>
        <v>672.9012871632063</v>
      </c>
      <c r="BD11" s="260">
        <f> IF(BD10 = 1, BD9, $F8 * BD9)</f>
        <v>639.256222805046</v>
      </c>
      <c r="BE11" s="260">
        <f> IF(BE10 = 1, BE9, $F8 * BE9)</f>
        <v>607.2934116647938</v>
      </c>
      <c r="BF11" s="260">
        <f> IF(BF10 = 1, BF9, $F8 * BF9)</f>
        <v>576.928741081554</v>
      </c>
      <c r="BG11" s="260">
        <f> IF(BG10 = 1, BG9, $F8 * BG9)</f>
        <v>548.0823040274763</v>
      </c>
      <c r="BH11" s="260">
        <f> IF(BH10 = 1, BH9, $F8 * BH9)</f>
        <v>520.6781888261024</v>
      </c>
      <c r="BI11" s="260">
        <f> IF(BI10 = 1, BI9, $F8 * BI9)</f>
        <v>494.6442793847973</v>
      </c>
      <c r="BJ11" s="260">
        <f> IF(BJ10 = 1, BJ9, $F8 * BJ9)</f>
        <v>469.9120654155575</v>
      </c>
      <c r="BK11" s="260">
        <f> IF(BK10 = 1, BK9, $F8 * BK9)</f>
        <v>446.41646214477964</v>
      </c>
      <c r="BL11" s="260">
        <f> IF(BL10 = 1, BL9, $F8 * BL9)</f>
        <v>424.09563903754065</v>
      </c>
      <c r="BM11" s="260">
        <f> IF(BM10 = 1, BM9, $F8 * BM9)</f>
        <v>402.8908570856636</v>
      </c>
      <c r="BN11" s="260">
        <f> IF(BN10 = 1, BN9, $F8 * BN9)</f>
        <v>382.74631423138044</v>
      </c>
      <c r="BO11" s="260">
        <f> IF(BO10 = 1, BO9, $F8 * BO9)</f>
        <v>363.6089985198114</v>
      </c>
      <c r="BP11" s="260">
        <f> IF(BP10 = 1, BP9, $F8 * BP9)</f>
        <v>345.42854859382084</v>
      </c>
      <c r="BQ11" s="260">
        <f> IF(BQ10 = 1, BQ9, $F8 * BQ9)</f>
        <v>328.1571211641298</v>
      </c>
      <c r="BR11" s="260">
        <f> IF(BR10 = 1, BR9, $F8 * BR9)</f>
        <v>311.7492651059233</v>
      </c>
      <c r="BS11" s="260">
        <f> IF(BS10 = 1, BS9, $F8 * BS9)</f>
        <v>296.1618018506271</v>
      </c>
      <c r="BT11" s="260">
        <f> IF(BT10 = 1, BT9, $F8 * BT9)</f>
        <v>281.3537117580958</v>
      </c>
      <c r="BU11" s="260">
        <f> IF(BU10 = 1, BU9, $F8 * BU9)</f>
        <v>267.286026170191</v>
      </c>
      <c r="BV11" s="260">
        <f> IF(BV10 = 1, BV9, $F8 * BV9)</f>
        <v>253.92172486168147</v>
      </c>
      <c r="BW11" s="260">
        <f> IF(BW10 = 1, BW9, $F8 * BW9)</f>
        <v>241.2256386185974</v>
      </c>
      <c r="BX11" s="260">
        <f> IF(BX10 = 1, BX9, $F8 * BX9)</f>
        <v>229.16435668766755</v>
      </c>
      <c r="BY11" s="260">
        <f> IF(BY10 = 1, BY9, $F8 * BY9)</f>
        <v>217.7061388532842</v>
      </c>
      <c r="BZ11" s="260">
        <f> IF(BZ10 = 1, BZ9, $F8 * BZ9)</f>
        <v>206.82083191061997</v>
      </c>
      <c r="CA11" s="260">
        <f> IF(CA10 = 1, CA9, $F8 * CA9)</f>
        <v>196.479790315089</v>
      </c>
      <c r="CB11" s="260">
        <f> IF(CB10 = 1, CB9, $F8 * CB9)</f>
        <v>186.65580079933454</v>
      </c>
      <c r="CC11" s="260">
        <f> IF(CC10 = 1, CC9, $F8 * CC9)</f>
        <v>177.32301075936783</v>
      </c>
      <c r="CD11" s="260">
        <f> IF(CD10 = 1, CD9, $F8 * CD9)</f>
        <v>168.45686022139944</v>
      </c>
      <c r="CE11" s="260">
        <f> IF(CE10 = 1, CE9, $F8 * CE9)</f>
        <v>160.03401721032947</v>
      </c>
      <c r="CF11" s="260">
        <f> IF(CF10 = 1, CF9, $F8 * CF9)</f>
        <v>152.032316349813</v>
      </c>
      <c r="CG11" s="260">
        <f> IF(CG10 = 1, CG9, $F8 * CG9)</f>
        <v>144.43070053232233</v>
      </c>
      <c r="CH11" s="260">
        <f> IF(CH10 = 1, CH9, $F8 * CH9)</f>
        <v>137.20916550570624</v>
      </c>
      <c r="CI11" s="260">
        <f> IF(CI10 = 1, CI9, $F8 * CI9)</f>
        <v>130.34870723042093</v>
      </c>
      <c r="CJ11" s="260">
        <f> IF(CJ10 = 1, CJ9, $F8 * CJ9)</f>
        <v>123.83127186889988</v>
      </c>
      <c r="CK11" s="260">
        <f> IF(CK10 = 1, CK9, $F8 * CK9)</f>
        <v>117.6397082754549</v>
      </c>
      <c r="CL11" s="260">
        <f> IF(CL10 = 1, CL9, $F8 * CL9)</f>
        <v>111.75772286168215</v>
      </c>
      <c r="CM11" s="260">
        <f> IF(CM10 = 1, CM9, $F8 * CM9)</f>
        <v>2123.396734371961</v>
      </c>
      <c r="CN11" s="260">
        <f> IF(CN10 = 1, CN9, $F8 * CN9)</f>
        <v>0.0</v>
      </c>
      <c r="CO11" s="260">
        <f> IF(CO10 = 1, CO9, $F8 * CO9)</f>
        <v>0.0</v>
      </c>
    </row>
    <row r="13">
      <c r="A13" s="294" t="inlineStr">
        <is>
          <t>TAX WRITTEN DOWN VALUE BALANCE</t>
        </is>
      </c>
    </row>
    <row r="15" customFormat="1" s="182">
      <c r="A15" s="177" t="n"/>
      <c r="B15" s="177" t="n"/>
      <c r="C15" s="178" t="n"/>
      <c r="D15" s="179" t="n"/>
      <c r="E15" s="368" t="str">
        <f> InpC!E$64</f>
        <v>Non current asset - initial balance</v>
      </c>
      <c r="F15" s="368">
        <f> InpC!F$64</f>
        <v>100000.0</v>
      </c>
      <c r="G15" s="368" t="str">
        <f> InpC!G$64</f>
        <v>$ 000s</v>
      </c>
    </row>
    <row r="16" customFormat="1" s="100">
      <c r="A16" s="294" t="n"/>
      <c r="B16" s="294" t="n"/>
      <c r="C16" s="212" t="n"/>
      <c r="D16" s="244" t="n"/>
      <c r="E16" s="325" t="str">
        <f> Time!E$45</f>
        <v>Acquisition / initial balance date flag</v>
      </c>
      <c r="F16" s="325">
        <f> Time!F$45</f>
        <v>0.0</v>
      </c>
      <c r="G16" s="325" t="str">
        <f> Time!G$45</f>
        <v>flag</v>
      </c>
      <c r="H16" s="325">
        <f> Time!H$45</f>
        <v>1.0</v>
      </c>
      <c r="I16" s="325">
        <f> Time!I$45</f>
        <v>0.0</v>
      </c>
      <c r="J16" s="325">
        <f> Time!J$45</f>
        <v>0.0</v>
      </c>
      <c r="K16" s="325">
        <f> Time!K$45</f>
        <v>1.0</v>
      </c>
      <c r="L16" s="325">
        <f> Time!L$45</f>
        <v>0.0</v>
      </c>
      <c r="M16" s="325">
        <f> Time!M$45</f>
        <v>0.0</v>
      </c>
      <c r="N16" s="325">
        <f> Time!N$45</f>
        <v>0.0</v>
      </c>
      <c r="O16" s="325">
        <f> Time!O$45</f>
        <v>0.0</v>
      </c>
      <c r="P16" s="325">
        <f> Time!P$45</f>
        <v>0.0</v>
      </c>
      <c r="Q16" s="325">
        <f> Time!Q$45</f>
        <v>0.0</v>
      </c>
      <c r="R16" s="325">
        <f> Time!R$45</f>
        <v>0.0</v>
      </c>
      <c r="S16" s="325">
        <f> Time!S$45</f>
        <v>0.0</v>
      </c>
      <c r="T16" s="325">
        <f> Time!T$45</f>
        <v>0.0</v>
      </c>
      <c r="U16" s="325">
        <f> Time!U$45</f>
        <v>0.0</v>
      </c>
      <c r="V16" s="325">
        <f> Time!V$45</f>
        <v>0.0</v>
      </c>
      <c r="W16" s="325">
        <f> Time!W$45</f>
        <v>0.0</v>
      </c>
      <c r="X16" s="325">
        <f> Time!X$45</f>
        <v>0.0</v>
      </c>
      <c r="Y16" s="325">
        <f> Time!Y$45</f>
        <v>0.0</v>
      </c>
      <c r="Z16" s="325">
        <f> Time!Z$45</f>
        <v>0.0</v>
      </c>
      <c r="AA16" s="325">
        <f> Time!AA$45</f>
        <v>0.0</v>
      </c>
      <c r="AB16" s="325">
        <f> Time!AB$45</f>
        <v>0.0</v>
      </c>
      <c r="AC16" s="325">
        <f> Time!AC$45</f>
        <v>0.0</v>
      </c>
      <c r="AD16" s="325">
        <f> Time!AD$45</f>
        <v>0.0</v>
      </c>
      <c r="AE16" s="325">
        <f> Time!AE$45</f>
        <v>0.0</v>
      </c>
      <c r="AF16" s="325">
        <f> Time!AF$45</f>
        <v>0.0</v>
      </c>
      <c r="AG16" s="325">
        <f> Time!AG$45</f>
        <v>0.0</v>
      </c>
      <c r="AH16" s="325">
        <f> Time!AH$45</f>
        <v>0.0</v>
      </c>
      <c r="AI16" s="325">
        <f> Time!AI$45</f>
        <v>0.0</v>
      </c>
      <c r="AJ16" s="325">
        <f> Time!AJ$45</f>
        <v>0.0</v>
      </c>
      <c r="AK16" s="325">
        <f> Time!AK$45</f>
        <v>0.0</v>
      </c>
      <c r="AL16" s="325">
        <f> Time!AL$45</f>
        <v>0.0</v>
      </c>
      <c r="AM16" s="325">
        <f> Time!AM$45</f>
        <v>0.0</v>
      </c>
      <c r="AN16" s="325">
        <f> Time!AN$45</f>
        <v>0.0</v>
      </c>
      <c r="AO16" s="325">
        <f> Time!AO$45</f>
        <v>0.0</v>
      </c>
      <c r="AP16" s="325">
        <f> Time!AP$45</f>
        <v>0.0</v>
      </c>
      <c r="AQ16" s="325">
        <f> Time!AQ$45</f>
        <v>0.0</v>
      </c>
      <c r="AR16" s="325">
        <f> Time!AR$45</f>
        <v>0.0</v>
      </c>
      <c r="AS16" s="325">
        <f> Time!AS$45</f>
        <v>0.0</v>
      </c>
      <c r="AT16" s="325">
        <f> Time!AT$45</f>
        <v>0.0</v>
      </c>
      <c r="AU16" s="325">
        <f> Time!AU$45</f>
        <v>0.0</v>
      </c>
      <c r="AV16" s="325">
        <f> Time!AV$45</f>
        <v>0.0</v>
      </c>
      <c r="AW16" s="325">
        <f> Time!AW$45</f>
        <v>0.0</v>
      </c>
      <c r="AX16" s="325">
        <f> Time!AX$45</f>
        <v>0.0</v>
      </c>
      <c r="AY16" s="325">
        <f> Time!AY$45</f>
        <v>0.0</v>
      </c>
      <c r="AZ16" s="325">
        <f> Time!AZ$45</f>
        <v>0.0</v>
      </c>
      <c r="BA16" s="325">
        <f> Time!BA$45</f>
        <v>0.0</v>
      </c>
      <c r="BB16" s="325">
        <f> Time!BB$45</f>
        <v>0.0</v>
      </c>
      <c r="BC16" s="325">
        <f> Time!BC$45</f>
        <v>0.0</v>
      </c>
      <c r="BD16" s="325">
        <f> Time!BD$45</f>
        <v>0.0</v>
      </c>
      <c r="BE16" s="325">
        <f> Time!BE$45</f>
        <v>0.0</v>
      </c>
      <c r="BF16" s="325">
        <f> Time!BF$45</f>
        <v>0.0</v>
      </c>
      <c r="BG16" s="325">
        <f> Time!BG$45</f>
        <v>0.0</v>
      </c>
      <c r="BH16" s="325">
        <f> Time!BH$45</f>
        <v>0.0</v>
      </c>
      <c r="BI16" s="325">
        <f> Time!BI$45</f>
        <v>0.0</v>
      </c>
      <c r="BJ16" s="325">
        <f> Time!BJ$45</f>
        <v>0.0</v>
      </c>
      <c r="BK16" s="325">
        <f> Time!BK$45</f>
        <v>0.0</v>
      </c>
      <c r="BL16" s="325">
        <f> Time!BL$45</f>
        <v>0.0</v>
      </c>
      <c r="BM16" s="325">
        <f> Time!BM$45</f>
        <v>0.0</v>
      </c>
      <c r="BN16" s="325">
        <f> Time!BN$45</f>
        <v>0.0</v>
      </c>
      <c r="BO16" s="325">
        <f> Time!BO$45</f>
        <v>0.0</v>
      </c>
      <c r="BP16" s="325">
        <f> Time!BP$45</f>
        <v>0.0</v>
      </c>
      <c r="BQ16" s="325">
        <f> Time!BQ$45</f>
        <v>0.0</v>
      </c>
      <c r="BR16" s="325">
        <f> Time!BR$45</f>
        <v>0.0</v>
      </c>
      <c r="BS16" s="325">
        <f> Time!BS$45</f>
        <v>0.0</v>
      </c>
      <c r="BT16" s="325">
        <f> Time!BT$45</f>
        <v>0.0</v>
      </c>
      <c r="BU16" s="325">
        <f> Time!BU$45</f>
        <v>0.0</v>
      </c>
      <c r="BV16" s="325">
        <f> Time!BV$45</f>
        <v>0.0</v>
      </c>
      <c r="BW16" s="325">
        <f> Time!BW$45</f>
        <v>0.0</v>
      </c>
      <c r="BX16" s="325">
        <f> Time!BX$45</f>
        <v>0.0</v>
      </c>
      <c r="BY16" s="325">
        <f> Time!BY$45</f>
        <v>0.0</v>
      </c>
      <c r="BZ16" s="325">
        <f> Time!BZ$45</f>
        <v>0.0</v>
      </c>
      <c r="CA16" s="325">
        <f> Time!CA$45</f>
        <v>0.0</v>
      </c>
      <c r="CB16" s="325">
        <f> Time!CB$45</f>
        <v>0.0</v>
      </c>
      <c r="CC16" s="325">
        <f> Time!CC$45</f>
        <v>0.0</v>
      </c>
      <c r="CD16" s="325">
        <f> Time!CD$45</f>
        <v>0.0</v>
      </c>
      <c r="CE16" s="325">
        <f> Time!CE$45</f>
        <v>0.0</v>
      </c>
      <c r="CF16" s="325">
        <f> Time!CF$45</f>
        <v>0.0</v>
      </c>
      <c r="CG16" s="325">
        <f> Time!CG$45</f>
        <v>0.0</v>
      </c>
      <c r="CH16" s="325">
        <f> Time!CH$45</f>
        <v>0.0</v>
      </c>
      <c r="CI16" s="325">
        <f> Time!CI$45</f>
        <v>0.0</v>
      </c>
      <c r="CJ16" s="325">
        <f> Time!CJ$45</f>
        <v>0.0</v>
      </c>
      <c r="CK16" s="325">
        <f> Time!CK$45</f>
        <v>0.0</v>
      </c>
      <c r="CL16" s="325">
        <f> Time!CL$45</f>
        <v>0.0</v>
      </c>
      <c r="CM16" s="325">
        <f> Time!CM$45</f>
        <v>0.0</v>
      </c>
      <c r="CN16" s="325">
        <f> Time!CN$45</f>
        <v>0.0</v>
      </c>
      <c r="CO16" s="325">
        <f> Time!CO$45</f>
        <v>0.0</v>
      </c>
    </row>
    <row r="17" customFormat="1" s="61">
      <c r="A17" s="294" t="n"/>
      <c r="B17" s="294" t="n"/>
      <c r="C17" s="212" t="n"/>
      <c r="D17" s="244" t="n"/>
    </row>
    <row r="18" customFormat="1" s="61">
      <c r="A18" s="294" t="n"/>
      <c r="B18" s="294" t="n"/>
      <c r="C18" s="212" t="n"/>
      <c r="D18" s="244" t="n"/>
      <c r="E18" s="61" t="inlineStr">
        <is>
          <t>Tax written down value balance BEG</t>
        </is>
      </c>
      <c r="G18" s="61" t="inlineStr">
        <is>
          <t>$ 000s</t>
        </is>
      </c>
      <c r="J18" s="61">
        <f> I21</f>
        <v>0.0</v>
      </c>
      <c r="K18" s="61">
        <f> J21</f>
        <v>0.0</v>
      </c>
      <c r="L18" s="61">
        <f> K21</f>
        <v>100000.0</v>
      </c>
      <c r="M18" s="61">
        <f> L21</f>
        <v>95000.0</v>
      </c>
      <c r="N18" s="61">
        <f> M21</f>
        <v>90250.0</v>
      </c>
      <c r="O18" s="61">
        <f> N21</f>
        <v>85737.5</v>
      </c>
      <c r="P18" s="61">
        <f> O21</f>
        <v>81450.625</v>
      </c>
      <c r="Q18" s="61">
        <f> P21</f>
        <v>77378.09375</v>
      </c>
      <c r="R18" s="61">
        <f> Q21</f>
        <v>73509.1890625</v>
      </c>
      <c r="S18" s="61">
        <f> R21</f>
        <v>69833.72960937499</v>
      </c>
      <c r="T18" s="61">
        <f> S21</f>
        <v>68342.04312890624</v>
      </c>
      <c r="U18" s="61">
        <f> T21</f>
        <v>64924.94097246093</v>
      </c>
      <c r="V18" s="61">
        <f> U21</f>
        <v>61678.69392383788</v>
      </c>
      <c r="W18" s="61">
        <f> V21</f>
        <v>58594.75922764599</v>
      </c>
      <c r="X18" s="61">
        <f> W21</f>
        <v>56665.02126626369</v>
      </c>
      <c r="Y18" s="61">
        <f> X21</f>
        <v>53831.77020295051</v>
      </c>
      <c r="Z18" s="61">
        <f> Y21</f>
        <v>51140.18169280298</v>
      </c>
      <c r="AA18" s="61">
        <f> Z21</f>
        <v>48583.17260816283</v>
      </c>
      <c r="AB18" s="61">
        <f> AA21</f>
        <v>47654.01397775469</v>
      </c>
      <c r="AC18" s="61">
        <f> AB21</f>
        <v>45271.31327886695</v>
      </c>
      <c r="AD18" s="61">
        <f> AC21</f>
        <v>43007.7476149236</v>
      </c>
      <c r="AE18" s="61">
        <f> AD21</f>
        <v>40857.360234177424</v>
      </c>
      <c r="AF18" s="61">
        <f> AE21</f>
        <v>39814.49222246855</v>
      </c>
      <c r="AG18" s="61">
        <f> AF21</f>
        <v>37823.76761134512</v>
      </c>
      <c r="AH18" s="61">
        <f> AG21</f>
        <v>35932.57923077787</v>
      </c>
      <c r="AI18" s="61">
        <f> AH21</f>
        <v>34135.95026923897</v>
      </c>
      <c r="AJ18" s="61">
        <f> AI21</f>
        <v>32929.152755777024</v>
      </c>
      <c r="AK18" s="61">
        <f> AJ21</f>
        <v>31282.695117988173</v>
      </c>
      <c r="AL18" s="61">
        <f> AK21</f>
        <v>29718.560362088763</v>
      </c>
      <c r="AM18" s="61">
        <f> AL21</f>
        <v>28232.632343984325</v>
      </c>
      <c r="AN18" s="61">
        <f> AM21</f>
        <v>27821.00072678511</v>
      </c>
      <c r="AO18" s="61">
        <f> AN21</f>
        <v>26429.950690445854</v>
      </c>
      <c r="AP18" s="61">
        <f> AO21</f>
        <v>25108.453155923562</v>
      </c>
      <c r="AQ18" s="61">
        <f> AP21</f>
        <v>23853.030498127384</v>
      </c>
      <c r="AR18" s="61">
        <f> AQ21</f>
        <v>23660.378973221013</v>
      </c>
      <c r="AS18" s="61">
        <f> AR21</f>
        <v>22477.360024559963</v>
      </c>
      <c r="AT18" s="61">
        <f> AS21</f>
        <v>21353.492023331964</v>
      </c>
      <c r="AU18" s="61">
        <f> AT21</f>
        <v>20285.817422165368</v>
      </c>
      <c r="AV18" s="61">
        <f> AU21</f>
        <v>19271.5265510571</v>
      </c>
      <c r="AW18" s="61">
        <f> AV21</f>
        <v>18307.950223504246</v>
      </c>
      <c r="AX18" s="61">
        <f> AW21</f>
        <v>17392.552712329034</v>
      </c>
      <c r="AY18" s="61">
        <f> AX21</f>
        <v>16522.92507671258</v>
      </c>
      <c r="AZ18" s="61">
        <f> AY21</f>
        <v>15696.778822876953</v>
      </c>
      <c r="BA18" s="61">
        <f> AZ21</f>
        <v>14911.939881733106</v>
      </c>
      <c r="BB18" s="61">
        <f> BA21</f>
        <v>14166.34288764645</v>
      </c>
      <c r="BC18" s="61">
        <f> BB21</f>
        <v>13458.025743264127</v>
      </c>
      <c r="BD18" s="61">
        <f> BC21</f>
        <v>12785.12445610092</v>
      </c>
      <c r="BE18" s="61">
        <f> BD21</f>
        <v>12145.868233295874</v>
      </c>
      <c r="BF18" s="61">
        <f> BE21</f>
        <v>11538.57482163108</v>
      </c>
      <c r="BG18" s="61">
        <f> BF21</f>
        <v>10961.646080549526</v>
      </c>
      <c r="BH18" s="61">
        <f> BG21</f>
        <v>10413.563776522049</v>
      </c>
      <c r="BI18" s="61">
        <f> BH21</f>
        <v>9892.885587695946</v>
      </c>
      <c r="BJ18" s="61">
        <f> BI21</f>
        <v>9398.24130831115</v>
      </c>
      <c r="BK18" s="61">
        <f> BJ21</f>
        <v>8928.329242895592</v>
      </c>
      <c r="BL18" s="61">
        <f> BK21</f>
        <v>8481.912780750812</v>
      </c>
      <c r="BM18" s="61">
        <f> BL21</f>
        <v>8057.817141713272</v>
      </c>
      <c r="BN18" s="61">
        <f> BM21</f>
        <v>7654.926284627608</v>
      </c>
      <c r="BO18" s="61">
        <f> BN21</f>
        <v>7272.179970396228</v>
      </c>
      <c r="BP18" s="61">
        <f> BO21</f>
        <v>6908.5709718764165</v>
      </c>
      <c r="BQ18" s="61">
        <f> BP21</f>
        <v>6563.142423282596</v>
      </c>
      <c r="BR18" s="61">
        <f> BQ21</f>
        <v>6234.985302118466</v>
      </c>
      <c r="BS18" s="61">
        <f> BR21</f>
        <v>5923.2360370125425</v>
      </c>
      <c r="BT18" s="61">
        <f> BS21</f>
        <v>5627.074235161916</v>
      </c>
      <c r="BU18" s="61">
        <f> BT21</f>
        <v>5345.72052340382</v>
      </c>
      <c r="BV18" s="61">
        <f> BU21</f>
        <v>5078.434497233629</v>
      </c>
      <c r="BW18" s="61">
        <f> BV21</f>
        <v>4824.512772371948</v>
      </c>
      <c r="BX18" s="61">
        <f> BW21</f>
        <v>4583.287133753351</v>
      </c>
      <c r="BY18" s="61">
        <f> BX21</f>
        <v>4354.122777065683</v>
      </c>
      <c r="BZ18" s="61">
        <f> BY21</f>
        <v>4136.416638212399</v>
      </c>
      <c r="CA18" s="61">
        <f> BZ21</f>
        <v>3929.5958063017797</v>
      </c>
      <c r="CB18" s="61">
        <f> CA21</f>
        <v>3733.116015986691</v>
      </c>
      <c r="CC18" s="61">
        <f> CB21</f>
        <v>3546.4602151873564</v>
      </c>
      <c r="CD18" s="61">
        <f> CC21</f>
        <v>3369.1372044279888</v>
      </c>
      <c r="CE18" s="61">
        <f> CD21</f>
        <v>3200.6803442065893</v>
      </c>
      <c r="CF18" s="61">
        <f> CE21</f>
        <v>3040.6463269962596</v>
      </c>
      <c r="CG18" s="61">
        <f> CF21</f>
        <v>2888.614010646447</v>
      </c>
      <c r="CH18" s="61">
        <f> CG21</f>
        <v>2744.1833101141247</v>
      </c>
      <c r="CI18" s="61">
        <f> CH21</f>
        <v>2606.9741446084186</v>
      </c>
      <c r="CJ18" s="61">
        <f> CI21</f>
        <v>2476.6254373779975</v>
      </c>
      <c r="CK18" s="61">
        <f> CJ21</f>
        <v>2352.7941655090976</v>
      </c>
      <c r="CL18" s="61">
        <f> CK21</f>
        <v>2235.154457233643</v>
      </c>
      <c r="CM18" s="61">
        <f> CL21</f>
        <v>2123.396734371961</v>
      </c>
      <c r="CN18" s="61">
        <f> CM21</f>
        <v>0.0</v>
      </c>
      <c r="CO18" s="61">
        <f> CN21</f>
        <v>0.0</v>
      </c>
    </row>
    <row r="19" customFormat="1" s="183">
      <c r="A19" s="294" t="n"/>
      <c r="B19" s="294" t="n"/>
      <c r="C19" s="212" t="n"/>
      <c r="D19" s="244" t="inlineStr">
        <is>
          <t>plus</t>
        </is>
      </c>
      <c r="E19" s="325" t="str">
        <f> NCA!E$18</f>
        <v>Capital expenditure POS</v>
      </c>
      <c r="F19" s="325">
        <f> NCA!F$18</f>
        <v>0.0</v>
      </c>
      <c r="G19" s="325" t="str">
        <f> NCA!G$18</f>
        <v>$ 000s</v>
      </c>
      <c r="H19" s="325">
        <f> NCA!H$18</f>
        <v>8000.0</v>
      </c>
      <c r="I19" s="325">
        <f> NCA!I$18</f>
        <v>0.0</v>
      </c>
      <c r="J19" s="325">
        <f> NCA!J$18</f>
        <v>0.0</v>
      </c>
      <c r="K19" s="325">
        <f> NCA!K$18</f>
        <v>0.0</v>
      </c>
      <c r="L19" s="325">
        <f> NCA!L$18</f>
        <v>0.0</v>
      </c>
      <c r="M19" s="325">
        <f> NCA!M$18</f>
        <v>0.0</v>
      </c>
      <c r="N19" s="325">
        <f> NCA!N$18</f>
        <v>0.0</v>
      </c>
      <c r="O19" s="325">
        <f> NCA!O$18</f>
        <v>0.0</v>
      </c>
      <c r="P19" s="325">
        <f> NCA!P$18</f>
        <v>0.0</v>
      </c>
      <c r="Q19" s="325">
        <f> NCA!Q$18</f>
        <v>0.0</v>
      </c>
      <c r="R19" s="325">
        <f> NCA!R$18</f>
        <v>0.0</v>
      </c>
      <c r="S19" s="325">
        <f> NCA!S$18</f>
        <v>2000.0</v>
      </c>
      <c r="T19" s="325">
        <f> NCA!T$18</f>
        <v>0.0</v>
      </c>
      <c r="U19" s="325">
        <f> NCA!U$18</f>
        <v>0.0</v>
      </c>
      <c r="V19" s="325">
        <f> NCA!V$18</f>
        <v>0.0</v>
      </c>
      <c r="W19" s="325">
        <f> NCA!W$18</f>
        <v>1000.0</v>
      </c>
      <c r="X19" s="325">
        <f> NCA!X$18</f>
        <v>0.0</v>
      </c>
      <c r="Y19" s="325">
        <f> NCA!Y$18</f>
        <v>0.0</v>
      </c>
      <c r="Z19" s="325">
        <f> NCA!Z$18</f>
        <v>0.0</v>
      </c>
      <c r="AA19" s="325">
        <f> NCA!AA$18</f>
        <v>1500.0</v>
      </c>
      <c r="AB19" s="325">
        <f> NCA!AB$18</f>
        <v>0.0</v>
      </c>
      <c r="AC19" s="325">
        <f> NCA!AC$18</f>
        <v>0.0</v>
      </c>
      <c r="AD19" s="325">
        <f> NCA!AD$18</f>
        <v>0.0</v>
      </c>
      <c r="AE19" s="325">
        <f> NCA!AE$18</f>
        <v>1000.0</v>
      </c>
      <c r="AF19" s="325">
        <f> NCA!AF$18</f>
        <v>0.0</v>
      </c>
      <c r="AG19" s="325">
        <f> NCA!AG$18</f>
        <v>0.0</v>
      </c>
      <c r="AH19" s="325">
        <f> NCA!AH$18</f>
        <v>0.0</v>
      </c>
      <c r="AI19" s="325">
        <f> NCA!AI$18</f>
        <v>500.0</v>
      </c>
      <c r="AJ19" s="325">
        <f> NCA!AJ$18</f>
        <v>0.0</v>
      </c>
      <c r="AK19" s="325">
        <f> NCA!AK$18</f>
        <v>0.0</v>
      </c>
      <c r="AL19" s="325">
        <f> NCA!AL$18</f>
        <v>0.0</v>
      </c>
      <c r="AM19" s="325">
        <f> NCA!AM$18</f>
        <v>1000.0</v>
      </c>
      <c r="AN19" s="325">
        <f> NCA!AN$18</f>
        <v>0.0</v>
      </c>
      <c r="AO19" s="325">
        <f> NCA!AO$18</f>
        <v>0.0</v>
      </c>
      <c r="AP19" s="325">
        <f> NCA!AP$18</f>
        <v>0.0</v>
      </c>
      <c r="AQ19" s="325">
        <f> NCA!AQ$18</f>
        <v>1000.0</v>
      </c>
      <c r="AR19" s="325">
        <f> NCA!AR$18</f>
        <v>0.0</v>
      </c>
      <c r="AS19" s="325">
        <f> NCA!AS$18</f>
        <v>0.0</v>
      </c>
      <c r="AT19" s="325">
        <f> NCA!AT$18</f>
        <v>0.0</v>
      </c>
      <c r="AU19" s="325">
        <f> NCA!AU$18</f>
        <v>0.0</v>
      </c>
      <c r="AV19" s="325">
        <f> NCA!AV$18</f>
        <v>0.0</v>
      </c>
      <c r="AW19" s="325">
        <f> NCA!AW$18</f>
        <v>0.0</v>
      </c>
      <c r="AX19" s="325">
        <f> NCA!AX$18</f>
        <v>0.0</v>
      </c>
      <c r="AY19" s="325">
        <f> NCA!AY$18</f>
        <v>0.0</v>
      </c>
      <c r="AZ19" s="325">
        <f> NCA!AZ$18</f>
        <v>0.0</v>
      </c>
      <c r="BA19" s="325">
        <f> NCA!BA$18</f>
        <v>0.0</v>
      </c>
      <c r="BB19" s="325">
        <f> NCA!BB$18</f>
        <v>0.0</v>
      </c>
      <c r="BC19" s="325">
        <f> NCA!BC$18</f>
        <v>0.0</v>
      </c>
      <c r="BD19" s="325">
        <f> NCA!BD$18</f>
        <v>0.0</v>
      </c>
      <c r="BE19" s="325">
        <f> NCA!BE$18</f>
        <v>0.0</v>
      </c>
      <c r="BF19" s="325">
        <f> NCA!BF$18</f>
        <v>0.0</v>
      </c>
      <c r="BG19" s="325">
        <f> NCA!BG$18</f>
        <v>0.0</v>
      </c>
      <c r="BH19" s="325">
        <f> NCA!BH$18</f>
        <v>0.0</v>
      </c>
      <c r="BI19" s="325">
        <f> NCA!BI$18</f>
        <v>0.0</v>
      </c>
      <c r="BJ19" s="325">
        <f> NCA!BJ$18</f>
        <v>0.0</v>
      </c>
      <c r="BK19" s="325">
        <f> NCA!BK$18</f>
        <v>0.0</v>
      </c>
      <c r="BL19" s="325">
        <f> NCA!BL$18</f>
        <v>0.0</v>
      </c>
      <c r="BM19" s="325">
        <f> NCA!BM$18</f>
        <v>0.0</v>
      </c>
      <c r="BN19" s="325">
        <f> NCA!BN$18</f>
        <v>0.0</v>
      </c>
      <c r="BO19" s="325">
        <f> NCA!BO$18</f>
        <v>0.0</v>
      </c>
      <c r="BP19" s="325">
        <f> NCA!BP$18</f>
        <v>0.0</v>
      </c>
      <c r="BQ19" s="325">
        <f> NCA!BQ$18</f>
        <v>0.0</v>
      </c>
      <c r="BR19" s="325">
        <f> NCA!BR$18</f>
        <v>0.0</v>
      </c>
      <c r="BS19" s="325">
        <f> NCA!BS$18</f>
        <v>0.0</v>
      </c>
      <c r="BT19" s="325">
        <f> NCA!BT$18</f>
        <v>0.0</v>
      </c>
      <c r="BU19" s="325">
        <f> NCA!BU$18</f>
        <v>0.0</v>
      </c>
      <c r="BV19" s="325">
        <f> NCA!BV$18</f>
        <v>0.0</v>
      </c>
      <c r="BW19" s="325">
        <f> NCA!BW$18</f>
        <v>0.0</v>
      </c>
      <c r="BX19" s="325">
        <f> NCA!BX$18</f>
        <v>0.0</v>
      </c>
      <c r="BY19" s="325">
        <f> NCA!BY$18</f>
        <v>0.0</v>
      </c>
      <c r="BZ19" s="325">
        <f> NCA!BZ$18</f>
        <v>0.0</v>
      </c>
      <c r="CA19" s="325">
        <f> NCA!CA$18</f>
        <v>0.0</v>
      </c>
      <c r="CB19" s="325">
        <f> NCA!CB$18</f>
        <v>0.0</v>
      </c>
      <c r="CC19" s="325">
        <f> NCA!CC$18</f>
        <v>0.0</v>
      </c>
      <c r="CD19" s="325">
        <f> NCA!CD$18</f>
        <v>0.0</v>
      </c>
      <c r="CE19" s="325">
        <f> NCA!CE$18</f>
        <v>0.0</v>
      </c>
      <c r="CF19" s="325">
        <f> NCA!CF$18</f>
        <v>0.0</v>
      </c>
      <c r="CG19" s="325">
        <f> NCA!CG$18</f>
        <v>0.0</v>
      </c>
      <c r="CH19" s="325">
        <f> NCA!CH$18</f>
        <v>0.0</v>
      </c>
      <c r="CI19" s="325">
        <f> NCA!CI$18</f>
        <v>0.0</v>
      </c>
      <c r="CJ19" s="325">
        <f> NCA!CJ$18</f>
        <v>0.0</v>
      </c>
      <c r="CK19" s="325">
        <f> NCA!CK$18</f>
        <v>0.0</v>
      </c>
      <c r="CL19" s="325">
        <f> NCA!CL$18</f>
        <v>0.0</v>
      </c>
      <c r="CM19" s="325">
        <f> NCA!CM$18</f>
        <v>0.0</v>
      </c>
      <c r="CN19" s="325">
        <f> NCA!CN$18</f>
        <v>0.0</v>
      </c>
      <c r="CO19" s="325">
        <f> NCA!CO$18</f>
        <v>0.0</v>
      </c>
    </row>
    <row r="20" customFormat="1" s="183">
      <c r="A20" s="294" t="n"/>
      <c r="B20" s="294" t="n"/>
      <c r="C20" s="212" t="n"/>
      <c r="D20" s="244" t="inlineStr">
        <is>
          <t>less</t>
        </is>
      </c>
      <c r="E20" s="61" t="str">
        <f> E$11</f>
        <v>Tax depreciation </v>
      </c>
      <c r="F20" s="61">
        <f> F$11</f>
        <v>0.0</v>
      </c>
      <c r="G20" s="61" t="str">
        <f> G$11</f>
        <v>$ 000s</v>
      </c>
      <c r="H20" s="61">
        <f> H$11</f>
        <v>108000.0</v>
      </c>
      <c r="I20" s="61">
        <f> I$11</f>
        <v>0.0</v>
      </c>
      <c r="J20" s="61">
        <f> J$11</f>
        <v>0.0</v>
      </c>
      <c r="K20" s="61">
        <f> K$11</f>
        <v>0.0</v>
      </c>
      <c r="L20" s="61">
        <f> L$11</f>
        <v>5000.0</v>
      </c>
      <c r="M20" s="61">
        <f> M$11</f>
        <v>4750.0</v>
      </c>
      <c r="N20" s="61">
        <f> N$11</f>
        <v>4512.5</v>
      </c>
      <c r="O20" s="61">
        <f> O$11</f>
        <v>4286.875</v>
      </c>
      <c r="P20" s="61">
        <f> P$11</f>
        <v>4072.53125</v>
      </c>
      <c r="Q20" s="61">
        <f> Q$11</f>
        <v>3868.9046875000004</v>
      </c>
      <c r="R20" s="61">
        <f> R$11</f>
        <v>3675.459453125</v>
      </c>
      <c r="S20" s="61">
        <f> S$11</f>
        <v>3491.68648046875</v>
      </c>
      <c r="T20" s="61">
        <f> T$11</f>
        <v>3417.102156445312</v>
      </c>
      <c r="U20" s="61">
        <f> U$11</f>
        <v>3246.247048623047</v>
      </c>
      <c r="V20" s="61">
        <f> V$11</f>
        <v>3083.9346961918945</v>
      </c>
      <c r="W20" s="61">
        <f> W$11</f>
        <v>2929.7379613822995</v>
      </c>
      <c r="X20" s="61">
        <f> X$11</f>
        <v>2833.2510633131847</v>
      </c>
      <c r="Y20" s="61">
        <f> Y$11</f>
        <v>2691.5885101475255</v>
      </c>
      <c r="Z20" s="61">
        <f> Z$11</f>
        <v>2557.009084640149</v>
      </c>
      <c r="AA20" s="61">
        <f> AA$11</f>
        <v>2429.1586304081416</v>
      </c>
      <c r="AB20" s="61">
        <f> AB$11</f>
        <v>2382.7006988877342</v>
      </c>
      <c r="AC20" s="61">
        <f> AC$11</f>
        <v>2263.5656639433478</v>
      </c>
      <c r="AD20" s="61">
        <f> AD$11</f>
        <v>2150.38738074618</v>
      </c>
      <c r="AE20" s="61">
        <f> AE$11</f>
        <v>2042.8680117088713</v>
      </c>
      <c r="AF20" s="61">
        <f> AF$11</f>
        <v>1990.7246111234276</v>
      </c>
      <c r="AG20" s="61">
        <f> AG$11</f>
        <v>1891.1883805672562</v>
      </c>
      <c r="AH20" s="61">
        <f> AH$11</f>
        <v>1796.6289615388935</v>
      </c>
      <c r="AI20" s="61">
        <f> AI$11</f>
        <v>1706.7975134619487</v>
      </c>
      <c r="AJ20" s="61">
        <f> AJ$11</f>
        <v>1646.4576377888513</v>
      </c>
      <c r="AK20" s="61">
        <f> AK$11</f>
        <v>1564.1347558994087</v>
      </c>
      <c r="AL20" s="61">
        <f> AL$11</f>
        <v>1485.9280181044383</v>
      </c>
      <c r="AM20" s="61">
        <f> AM$11</f>
        <v>1411.6316171992164</v>
      </c>
      <c r="AN20" s="61">
        <f> AN$11</f>
        <v>1391.0500363392557</v>
      </c>
      <c r="AO20" s="61">
        <f> AO$11</f>
        <v>1321.4975345222929</v>
      </c>
      <c r="AP20" s="61">
        <f> AP$11</f>
        <v>1255.422657796178</v>
      </c>
      <c r="AQ20" s="61">
        <f> AQ$11</f>
        <v>1192.6515249063693</v>
      </c>
      <c r="AR20" s="61">
        <f> AR$11</f>
        <v>1183.0189486610507</v>
      </c>
      <c r="AS20" s="61">
        <f> AS$11</f>
        <v>1123.868001227998</v>
      </c>
      <c r="AT20" s="61">
        <f> AT$11</f>
        <v>1067.6746011665982</v>
      </c>
      <c r="AU20" s="61">
        <f> AU$11</f>
        <v>1014.2908711082684</v>
      </c>
      <c r="AV20" s="61">
        <f> AV$11</f>
        <v>963.5763275528551</v>
      </c>
      <c r="AW20" s="61">
        <f> AW$11</f>
        <v>915.3975111752123</v>
      </c>
      <c r="AX20" s="61">
        <f> AX$11</f>
        <v>869.6276356164517</v>
      </c>
      <c r="AY20" s="61">
        <f> AY$11</f>
        <v>826.1462538356291</v>
      </c>
      <c r="AZ20" s="61">
        <f> AZ$11</f>
        <v>784.8389411438477</v>
      </c>
      <c r="BA20" s="61">
        <f> BA$11</f>
        <v>745.5969940866553</v>
      </c>
      <c r="BB20" s="61">
        <f> BB$11</f>
        <v>708.3171443823226</v>
      </c>
      <c r="BC20" s="61">
        <f> BC$11</f>
        <v>672.9012871632063</v>
      </c>
      <c r="BD20" s="61">
        <f> BD$11</f>
        <v>639.256222805046</v>
      </c>
      <c r="BE20" s="61">
        <f> BE$11</f>
        <v>607.2934116647938</v>
      </c>
      <c r="BF20" s="61">
        <f> BF$11</f>
        <v>576.928741081554</v>
      </c>
      <c r="BG20" s="61">
        <f> BG$11</f>
        <v>548.0823040274763</v>
      </c>
      <c r="BH20" s="61">
        <f> BH$11</f>
        <v>520.6781888261024</v>
      </c>
      <c r="BI20" s="61">
        <f> BI$11</f>
        <v>494.6442793847973</v>
      </c>
      <c r="BJ20" s="61">
        <f> BJ$11</f>
        <v>469.9120654155575</v>
      </c>
      <c r="BK20" s="61">
        <f> BK$11</f>
        <v>446.41646214477964</v>
      </c>
      <c r="BL20" s="61">
        <f> BL$11</f>
        <v>424.09563903754065</v>
      </c>
      <c r="BM20" s="61">
        <f> BM$11</f>
        <v>402.8908570856636</v>
      </c>
      <c r="BN20" s="61">
        <f> BN$11</f>
        <v>382.74631423138044</v>
      </c>
      <c r="BO20" s="61">
        <f> BO$11</f>
        <v>363.6089985198114</v>
      </c>
      <c r="BP20" s="61">
        <f> BP$11</f>
        <v>345.42854859382084</v>
      </c>
      <c r="BQ20" s="61">
        <f> BQ$11</f>
        <v>328.1571211641298</v>
      </c>
      <c r="BR20" s="61">
        <f> BR$11</f>
        <v>311.7492651059233</v>
      </c>
      <c r="BS20" s="61">
        <f> BS$11</f>
        <v>296.1618018506271</v>
      </c>
      <c r="BT20" s="61">
        <f> BT$11</f>
        <v>281.3537117580958</v>
      </c>
      <c r="BU20" s="61">
        <f> BU$11</f>
        <v>267.286026170191</v>
      </c>
      <c r="BV20" s="61">
        <f> BV$11</f>
        <v>253.92172486168147</v>
      </c>
      <c r="BW20" s="61">
        <f> BW$11</f>
        <v>241.2256386185974</v>
      </c>
      <c r="BX20" s="61">
        <f> BX$11</f>
        <v>229.16435668766755</v>
      </c>
      <c r="BY20" s="61">
        <f> BY$11</f>
        <v>217.7061388532842</v>
      </c>
      <c r="BZ20" s="61">
        <f> BZ$11</f>
        <v>206.82083191061997</v>
      </c>
      <c r="CA20" s="61">
        <f> CA$11</f>
        <v>196.479790315089</v>
      </c>
      <c r="CB20" s="61">
        <f> CB$11</f>
        <v>186.65580079933454</v>
      </c>
      <c r="CC20" s="61">
        <f> CC$11</f>
        <v>177.32301075936783</v>
      </c>
      <c r="CD20" s="61">
        <f> CD$11</f>
        <v>168.45686022139944</v>
      </c>
      <c r="CE20" s="61">
        <f> CE$11</f>
        <v>160.03401721032947</v>
      </c>
      <c r="CF20" s="61">
        <f> CF$11</f>
        <v>152.032316349813</v>
      </c>
      <c r="CG20" s="61">
        <f> CG$11</f>
        <v>144.43070053232233</v>
      </c>
      <c r="CH20" s="61">
        <f> CH$11</f>
        <v>137.20916550570624</v>
      </c>
      <c r="CI20" s="61">
        <f> CI$11</f>
        <v>130.34870723042093</v>
      </c>
      <c r="CJ20" s="61">
        <f> CJ$11</f>
        <v>123.83127186889988</v>
      </c>
      <c r="CK20" s="61">
        <f> CK$11</f>
        <v>117.6397082754549</v>
      </c>
      <c r="CL20" s="61">
        <f> CL$11</f>
        <v>111.75772286168215</v>
      </c>
      <c r="CM20" s="61">
        <f> CM$11</f>
        <v>2123.396734371961</v>
      </c>
      <c r="CN20" s="61">
        <f> CN$11</f>
        <v>0.0</v>
      </c>
      <c r="CO20" s="61">
        <f> CO$11</f>
        <v>0.0</v>
      </c>
    </row>
    <row r="21" customFormat="1" s="189">
      <c r="A21" s="184" t="n"/>
      <c r="B21" s="184" t="n"/>
      <c r="C21" s="185" t="n"/>
      <c r="D21" s="186" t="n"/>
      <c r="E21" s="189" t="inlineStr">
        <is>
          <t>Tax written down value balance</t>
        </is>
      </c>
      <c r="G21" s="189" t="inlineStr">
        <is>
          <t>$ 000s</t>
        </is>
      </c>
      <c r="I21" s="190" t="n"/>
      <c r="J21" s="189">
        <f> IF(J16 = 1, $F15, J18 + J19 - J20)</f>
        <v>0.0</v>
      </c>
      <c r="K21" s="189">
        <f> IF(K16 = 1, $F15, K18 + K19 - K20)</f>
        <v>100000.0</v>
      </c>
      <c r="L21" s="189">
        <f> IF(L16 = 1, $F15, L18 + L19 - L20)</f>
        <v>95000.0</v>
      </c>
      <c r="M21" s="189">
        <f> IF(M16 = 1, $F15, M18 + M19 - M20)</f>
        <v>90250.0</v>
      </c>
      <c r="N21" s="189">
        <f> IF(N16 = 1, $F15, N18 + N19 - N20)</f>
        <v>85737.5</v>
      </c>
      <c r="O21" s="189">
        <f> IF(O16 = 1, $F15, O18 + O19 - O20)</f>
        <v>81450.625</v>
      </c>
      <c r="P21" s="189">
        <f> IF(P16 = 1, $F15, P18 + P19 - P20)</f>
        <v>77378.09375</v>
      </c>
      <c r="Q21" s="189">
        <f> IF(Q16 = 1, $F15, Q18 + Q19 - Q20)</f>
        <v>73509.1890625</v>
      </c>
      <c r="R21" s="189">
        <f> IF(R16 = 1, $F15, R18 + R19 - R20)</f>
        <v>69833.72960937499</v>
      </c>
      <c r="S21" s="189">
        <f> IF(S16 = 1, $F15, S18 + S19 - S20)</f>
        <v>68342.04312890624</v>
      </c>
      <c r="T21" s="189">
        <f> IF(T16 = 1, $F15, T18 + T19 - T20)</f>
        <v>64924.94097246093</v>
      </c>
      <c r="U21" s="189">
        <f> IF(U16 = 1, $F15, U18 + U19 - U20)</f>
        <v>61678.69392383788</v>
      </c>
      <c r="V21" s="189">
        <f> IF(V16 = 1, $F15, V18 + V19 - V20)</f>
        <v>58594.75922764599</v>
      </c>
      <c r="W21" s="189">
        <f> IF(W16 = 1, $F15, W18 + W19 - W20)</f>
        <v>56665.02126626369</v>
      </c>
      <c r="X21" s="189">
        <f> IF(X16 = 1, $F15, X18 + X19 - X20)</f>
        <v>53831.77020295051</v>
      </c>
      <c r="Y21" s="189">
        <f> IF(Y16 = 1, $F15, Y18 + Y19 - Y20)</f>
        <v>51140.18169280298</v>
      </c>
      <c r="Z21" s="189">
        <f> IF(Z16 = 1, $F15, Z18 + Z19 - Z20)</f>
        <v>48583.17260816283</v>
      </c>
      <c r="AA21" s="189">
        <f> IF(AA16 = 1, $F15, AA18 + AA19 - AA20)</f>
        <v>47654.01397775469</v>
      </c>
      <c r="AB21" s="189">
        <f> IF(AB16 = 1, $F15, AB18 + AB19 - AB20)</f>
        <v>45271.31327886695</v>
      </c>
      <c r="AC21" s="189">
        <f> IF(AC16 = 1, $F15, AC18 + AC19 - AC20)</f>
        <v>43007.7476149236</v>
      </c>
      <c r="AD21" s="189">
        <f> IF(AD16 = 1, $F15, AD18 + AD19 - AD20)</f>
        <v>40857.360234177424</v>
      </c>
      <c r="AE21" s="189">
        <f> IF(AE16 = 1, $F15, AE18 + AE19 - AE20)</f>
        <v>39814.49222246855</v>
      </c>
      <c r="AF21" s="189">
        <f> IF(AF16 = 1, $F15, AF18 + AF19 - AF20)</f>
        <v>37823.76761134512</v>
      </c>
      <c r="AG21" s="189">
        <f> IF(AG16 = 1, $F15, AG18 + AG19 - AG20)</f>
        <v>35932.57923077787</v>
      </c>
      <c r="AH21" s="189">
        <f> IF(AH16 = 1, $F15, AH18 + AH19 - AH20)</f>
        <v>34135.95026923897</v>
      </c>
      <c r="AI21" s="189">
        <f> IF(AI16 = 1, $F15, AI18 + AI19 - AI20)</f>
        <v>32929.152755777024</v>
      </c>
      <c r="AJ21" s="189">
        <f> IF(AJ16 = 1, $F15, AJ18 + AJ19 - AJ20)</f>
        <v>31282.695117988173</v>
      </c>
      <c r="AK21" s="189">
        <f> IF(AK16 = 1, $F15, AK18 + AK19 - AK20)</f>
        <v>29718.560362088763</v>
      </c>
      <c r="AL21" s="189">
        <f> IF(AL16 = 1, $F15, AL18 + AL19 - AL20)</f>
        <v>28232.632343984325</v>
      </c>
      <c r="AM21" s="189">
        <f> IF(AM16 = 1, $F15, AM18 + AM19 - AM20)</f>
        <v>27821.00072678511</v>
      </c>
      <c r="AN21" s="189">
        <f> IF(AN16 = 1, $F15, AN18 + AN19 - AN20)</f>
        <v>26429.950690445854</v>
      </c>
      <c r="AO21" s="189">
        <f> IF(AO16 = 1, $F15, AO18 + AO19 - AO20)</f>
        <v>25108.453155923562</v>
      </c>
      <c r="AP21" s="189">
        <f> IF(AP16 = 1, $F15, AP18 + AP19 - AP20)</f>
        <v>23853.030498127384</v>
      </c>
      <c r="AQ21" s="189">
        <f> IF(AQ16 = 1, $F15, AQ18 + AQ19 - AQ20)</f>
        <v>23660.378973221013</v>
      </c>
      <c r="AR21" s="189">
        <f> IF(AR16 = 1, $F15, AR18 + AR19 - AR20)</f>
        <v>22477.360024559963</v>
      </c>
      <c r="AS21" s="189">
        <f> IF(AS16 = 1, $F15, AS18 + AS19 - AS20)</f>
        <v>21353.492023331964</v>
      </c>
      <c r="AT21" s="189">
        <f> IF(AT16 = 1, $F15, AT18 + AT19 - AT20)</f>
        <v>20285.817422165368</v>
      </c>
      <c r="AU21" s="189">
        <f> IF(AU16 = 1, $F15, AU18 + AU19 - AU20)</f>
        <v>19271.5265510571</v>
      </c>
      <c r="AV21" s="189">
        <f> IF(AV16 = 1, $F15, AV18 + AV19 - AV20)</f>
        <v>18307.950223504246</v>
      </c>
      <c r="AW21" s="189">
        <f> IF(AW16 = 1, $F15, AW18 + AW19 - AW20)</f>
        <v>17392.552712329034</v>
      </c>
      <c r="AX21" s="189">
        <f> IF(AX16 = 1, $F15, AX18 + AX19 - AX20)</f>
        <v>16522.92507671258</v>
      </c>
      <c r="AY21" s="189">
        <f> IF(AY16 = 1, $F15, AY18 + AY19 - AY20)</f>
        <v>15696.778822876953</v>
      </c>
      <c r="AZ21" s="189">
        <f> IF(AZ16 = 1, $F15, AZ18 + AZ19 - AZ20)</f>
        <v>14911.939881733106</v>
      </c>
      <c r="BA21" s="189">
        <f> IF(BA16 = 1, $F15, BA18 + BA19 - BA20)</f>
        <v>14166.34288764645</v>
      </c>
      <c r="BB21" s="189">
        <f> IF(BB16 = 1, $F15, BB18 + BB19 - BB20)</f>
        <v>13458.025743264127</v>
      </c>
      <c r="BC21" s="189">
        <f> IF(BC16 = 1, $F15, BC18 + BC19 - BC20)</f>
        <v>12785.12445610092</v>
      </c>
      <c r="BD21" s="189">
        <f> IF(BD16 = 1, $F15, BD18 + BD19 - BD20)</f>
        <v>12145.868233295874</v>
      </c>
      <c r="BE21" s="189">
        <f> IF(BE16 = 1, $F15, BE18 + BE19 - BE20)</f>
        <v>11538.57482163108</v>
      </c>
      <c r="BF21" s="189">
        <f> IF(BF16 = 1, $F15, BF18 + BF19 - BF20)</f>
        <v>10961.646080549526</v>
      </c>
      <c r="BG21" s="189">
        <f> IF(BG16 = 1, $F15, BG18 + BG19 - BG20)</f>
        <v>10413.563776522049</v>
      </c>
      <c r="BH21" s="189">
        <f> IF(BH16 = 1, $F15, BH18 + BH19 - BH20)</f>
        <v>9892.885587695946</v>
      </c>
      <c r="BI21" s="189">
        <f> IF(BI16 = 1, $F15, BI18 + BI19 - BI20)</f>
        <v>9398.24130831115</v>
      </c>
      <c r="BJ21" s="189">
        <f> IF(BJ16 = 1, $F15, BJ18 + BJ19 - BJ20)</f>
        <v>8928.329242895592</v>
      </c>
      <c r="BK21" s="189">
        <f> IF(BK16 = 1, $F15, BK18 + BK19 - BK20)</f>
        <v>8481.912780750812</v>
      </c>
      <c r="BL21" s="189">
        <f> IF(BL16 = 1, $F15, BL18 + BL19 - BL20)</f>
        <v>8057.817141713272</v>
      </c>
      <c r="BM21" s="189">
        <f> IF(BM16 = 1, $F15, BM18 + BM19 - BM20)</f>
        <v>7654.926284627608</v>
      </c>
      <c r="BN21" s="189">
        <f> IF(BN16 = 1, $F15, BN18 + BN19 - BN20)</f>
        <v>7272.179970396228</v>
      </c>
      <c r="BO21" s="189">
        <f> IF(BO16 = 1, $F15, BO18 + BO19 - BO20)</f>
        <v>6908.5709718764165</v>
      </c>
      <c r="BP21" s="189">
        <f> IF(BP16 = 1, $F15, BP18 + BP19 - BP20)</f>
        <v>6563.142423282596</v>
      </c>
      <c r="BQ21" s="189">
        <f> IF(BQ16 = 1, $F15, BQ18 + BQ19 - BQ20)</f>
        <v>6234.985302118466</v>
      </c>
      <c r="BR21" s="189">
        <f> IF(BR16 = 1, $F15, BR18 + BR19 - BR20)</f>
        <v>5923.2360370125425</v>
      </c>
      <c r="BS21" s="189">
        <f> IF(BS16 = 1, $F15, BS18 + BS19 - BS20)</f>
        <v>5627.074235161916</v>
      </c>
      <c r="BT21" s="189">
        <f> IF(BT16 = 1, $F15, BT18 + BT19 - BT20)</f>
        <v>5345.72052340382</v>
      </c>
      <c r="BU21" s="189">
        <f> IF(BU16 = 1, $F15, BU18 + BU19 - BU20)</f>
        <v>5078.434497233629</v>
      </c>
      <c r="BV21" s="189">
        <f> IF(BV16 = 1, $F15, BV18 + BV19 - BV20)</f>
        <v>4824.512772371948</v>
      </c>
      <c r="BW21" s="189">
        <f> IF(BW16 = 1, $F15, BW18 + BW19 - BW20)</f>
        <v>4583.287133753351</v>
      </c>
      <c r="BX21" s="189">
        <f> IF(BX16 = 1, $F15, BX18 + BX19 - BX20)</f>
        <v>4354.122777065683</v>
      </c>
      <c r="BY21" s="189">
        <f> IF(BY16 = 1, $F15, BY18 + BY19 - BY20)</f>
        <v>4136.416638212399</v>
      </c>
      <c r="BZ21" s="189">
        <f> IF(BZ16 = 1, $F15, BZ18 + BZ19 - BZ20)</f>
        <v>3929.5958063017797</v>
      </c>
      <c r="CA21" s="189">
        <f> IF(CA16 = 1, $F15, CA18 + CA19 - CA20)</f>
        <v>3733.116015986691</v>
      </c>
      <c r="CB21" s="189">
        <f> IF(CB16 = 1, $F15, CB18 + CB19 - CB20)</f>
        <v>3546.4602151873564</v>
      </c>
      <c r="CC21" s="189">
        <f> IF(CC16 = 1, $F15, CC18 + CC19 - CC20)</f>
        <v>3369.1372044279888</v>
      </c>
      <c r="CD21" s="189">
        <f> IF(CD16 = 1, $F15, CD18 + CD19 - CD20)</f>
        <v>3200.6803442065893</v>
      </c>
      <c r="CE21" s="189">
        <f> IF(CE16 = 1, $F15, CE18 + CE19 - CE20)</f>
        <v>3040.6463269962596</v>
      </c>
      <c r="CF21" s="189">
        <f> IF(CF16 = 1, $F15, CF18 + CF19 - CF20)</f>
        <v>2888.614010646447</v>
      </c>
      <c r="CG21" s="189">
        <f> IF(CG16 = 1, $F15, CG18 + CG19 - CG20)</f>
        <v>2744.1833101141247</v>
      </c>
      <c r="CH21" s="189">
        <f> IF(CH16 = 1, $F15, CH18 + CH19 - CH20)</f>
        <v>2606.9741446084186</v>
      </c>
      <c r="CI21" s="189">
        <f> IF(CI16 = 1, $F15, CI18 + CI19 - CI20)</f>
        <v>2476.6254373779975</v>
      </c>
      <c r="CJ21" s="189">
        <f> IF(CJ16 = 1, $F15, CJ18 + CJ19 - CJ20)</f>
        <v>2352.7941655090976</v>
      </c>
      <c r="CK21" s="189">
        <f> IF(CK16 = 1, $F15, CK18 + CK19 - CK20)</f>
        <v>2235.154457233643</v>
      </c>
      <c r="CL21" s="189">
        <f> IF(CL16 = 1, $F15, CL18 + CL19 - CL20)</f>
        <v>2123.396734371961</v>
      </c>
      <c r="CM21" s="189">
        <f> IF(CM16 = 1, $F15, CM18 + CM19 - CM20)</f>
        <v>0.0</v>
      </c>
      <c r="CN21" s="189">
        <f> IF(CN16 = 1, $F15, CN18 + CN19 - CN20)</f>
        <v>0.0</v>
      </c>
      <c r="CO21" s="189">
        <f> IF(CO16 = 1, $F15, CO18 + CO19 - CO20)</f>
        <v>0.0</v>
      </c>
    </row>
    <row r="23" customFormat="1" s="169">
      <c r="A23" s="163" t="inlineStr">
        <is>
          <t>TAX PAID</t>
        </is>
      </c>
      <c r="B23" s="163" t="n"/>
      <c r="C23" s="172" t="n"/>
      <c r="D23" s="88" t="n"/>
      <c r="E23" s="169" t="n"/>
      <c r="F23" s="169" t="n"/>
      <c r="G23" s="169"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c r="AA23" s="169" t="n"/>
      <c r="AB23" s="169" t="n"/>
      <c r="AC23" s="169" t="n"/>
      <c r="AD23" s="169" t="n"/>
      <c r="AE23" s="169" t="n"/>
      <c r="AF23" s="169" t="n"/>
      <c r="AG23" s="169" t="n"/>
    </row>
    <row r="24">
      <c r="E24" s="367" t="str">
        <f> FinStat!E$11</f>
        <v>EBITDA</v>
      </c>
      <c r="F24" s="367">
        <f> FinStat!F$11</f>
        <v>0.0</v>
      </c>
      <c r="G24" s="367" t="str">
        <f> FinStat!G$11</f>
        <v>$ 000s</v>
      </c>
      <c r="H24" s="367">
        <f> FinStat!H$11</f>
        <v>789195.2008258444</v>
      </c>
      <c r="I24" s="367">
        <f> FinStat!I$11</f>
        <v>0.0</v>
      </c>
      <c r="J24" s="367">
        <f> FinStat!J$11</f>
        <v>0.0</v>
      </c>
      <c r="K24" s="367">
        <f> FinStat!K$11</f>
        <v>0.0</v>
      </c>
      <c r="L24" s="367">
        <f> FinStat!L$11</f>
        <v>5642.625103379305</v>
      </c>
      <c r="M24" s="367">
        <f> FinStat!M$11</f>
        <v>5246.757277305236</v>
      </c>
      <c r="N24" s="367">
        <f> FinStat!N$11</f>
        <v>5769.900110043365</v>
      </c>
      <c r="O24" s="367">
        <f> FinStat!O$11</f>
        <v>5384.894163333334</v>
      </c>
      <c r="P24" s="367">
        <f> FinStat!P$11</f>
        <v>5909.233981271236</v>
      </c>
      <c r="Q24" s="367">
        <f> FinStat!Q$11</f>
        <v>5517.874537157988</v>
      </c>
      <c r="R24" s="367">
        <f> FinStat!R$11</f>
        <v>6055.1629670621805</v>
      </c>
      <c r="S24" s="367">
        <f> FinStat!S$11</f>
        <v>5654.138871500003</v>
      </c>
      <c r="T24" s="367">
        <f> FinStat!T$11</f>
        <v>6502.082238625846</v>
      </c>
      <c r="U24" s="367">
        <f> FinStat!U$11</f>
        <v>6064.359293854139</v>
      </c>
      <c r="V24" s="367">
        <f> FinStat!V$11</f>
        <v>6630.848842747651</v>
      </c>
      <c r="W24" s="367">
        <f> FinStat!W$11</f>
        <v>6184.457275359999</v>
      </c>
      <c r="X24" s="367">
        <f> FinStat!X$11</f>
        <v>6745.851379108952</v>
      </c>
      <c r="Y24" s="367">
        <f> FinStat!Y$11</f>
        <v>6276.538627657432</v>
      </c>
      <c r="Z24" s="367">
        <f> FinStat!Z$11</f>
        <v>6846.291416080456</v>
      </c>
      <c r="AA24" s="367">
        <f> FinStat!AA$11</f>
        <v>6369.990993620797</v>
      </c>
      <c r="AB24" s="367">
        <f> FinStat!AB$11</f>
        <v>6948.226920482219</v>
      </c>
      <c r="AC24" s="367">
        <f> FinStat!AC$11</f>
        <v>6464.834786487154</v>
      </c>
      <c r="AD24" s="367">
        <f> FinStat!AD$11</f>
        <v>7728.8860185284375</v>
      </c>
      <c r="AE24" s="367">
        <f> FinStat!AE$11</f>
        <v>7206.442238437623</v>
      </c>
      <c r="AF24" s="367">
        <f> FinStat!AF$11</f>
        <v>7843.962612100246</v>
      </c>
      <c r="AG24" s="367">
        <f> FinStat!AG$11</f>
        <v>7313.740084800385</v>
      </c>
      <c r="AH24" s="367">
        <f> FinStat!AH$11</f>
        <v>7960.752599084291</v>
      </c>
      <c r="AI24" s="367">
        <f> FinStat!AI$11</f>
        <v>7422.635505590748</v>
      </c>
      <c r="AJ24" s="367">
        <f> FinStat!AJ$11</f>
        <v>8079.2814904632505</v>
      </c>
      <c r="AK24" s="367">
        <f> FinStat!AK$11</f>
        <v>7533.15228734439</v>
      </c>
      <c r="AL24" s="367">
        <f> FinStat!AL$11</f>
        <v>8199.575177056817</v>
      </c>
      <c r="AM24" s="367">
        <f> FinStat!AM$11</f>
        <v>8329.967993030665</v>
      </c>
      <c r="AN24" s="367">
        <f> FinStat!AN$11</f>
        <v>9050.804712216523</v>
      </c>
      <c r="AO24" s="367">
        <f> FinStat!AO$11</f>
        <v>8453.994190195705</v>
      </c>
      <c r="AP24" s="367">
        <f> FinStat!AP$11</f>
        <v>9185.563560111119</v>
      </c>
      <c r="AQ24" s="367">
        <f> FinStat!AQ$11</f>
        <v>8579.86703282158</v>
      </c>
      <c r="AR24" s="367">
        <f> FinStat!AR$11</f>
        <v>9322.328853583016</v>
      </c>
      <c r="AS24" s="367">
        <f> FinStat!AS$11</f>
        <v>8707.614015901572</v>
      </c>
      <c r="AT24" s="367">
        <f> FinStat!AT$11</f>
        <v>9461.13046691445</v>
      </c>
      <c r="AU24" s="367">
        <f> FinStat!AU$11</f>
        <v>8837.263043806224</v>
      </c>
      <c r="AV24" s="367">
        <f> FinStat!AV$11</f>
        <v>9601.998719190504</v>
      </c>
      <c r="AW24" s="367">
        <f> FinStat!AW$11</f>
        <v>8968.842436378614</v>
      </c>
      <c r="AX24" s="367">
        <f> FinStat!AX$11</f>
        <v>10636.727968517971</v>
      </c>
      <c r="AY24" s="367">
        <f> FinStat!AY$11</f>
        <v>9958.007981245373</v>
      </c>
      <c r="AZ24" s="367">
        <f> FinStat!AZ$11</f>
        <v>10795.099875987251</v>
      </c>
      <c r="BA24" s="367">
        <f> FinStat!BA$11</f>
        <v>10106.274320598211</v>
      </c>
      <c r="BB24" s="367">
        <f> FinStat!BB$11</f>
        <v>10955.829807573506</v>
      </c>
      <c r="BC24" s="367">
        <f> FinStat!BC$11</f>
        <v>10256.74822068273</v>
      </c>
      <c r="BD24" s="367">
        <f> FinStat!BD$11</f>
        <v>11118.952872266866</v>
      </c>
      <c r="BE24" s="367">
        <f> FinStat!BE$11</f>
        <v>10409.462550216158</v>
      </c>
      <c r="BF24" s="367">
        <f> FinStat!BF$11</f>
        <v>11284.504701800708</v>
      </c>
      <c r="BG24" s="367">
        <f> FinStat!BG$11</f>
        <v>10564.45066730321</v>
      </c>
      <c r="BH24" s="367">
        <f> FinStat!BH$11</f>
        <v>10642.807956194914</v>
      </c>
      <c r="BI24" s="367">
        <f> FinStat!BI$11</f>
        <v>11537.465632128105</v>
      </c>
      <c r="BJ24" s="367">
        <f> FinStat!BJ$11</f>
        <v>10801.27038955229</v>
      </c>
      <c r="BK24" s="367">
        <f> FinStat!BK$11</f>
        <v>11709.248763644626</v>
      </c>
      <c r="BL24" s="367">
        <f> FinStat!BL$11</f>
        <v>10962.092194880759</v>
      </c>
      <c r="BM24" s="367">
        <f> FinStat!BM$11</f>
        <v>11883.589601091942</v>
      </c>
      <c r="BN24" s="367">
        <f> FinStat!BN$11</f>
        <v>11125.308501238856</v>
      </c>
      <c r="BO24" s="367">
        <f> FinStat!BO$11</f>
        <v>12060.526226553962</v>
      </c>
      <c r="BP24" s="367">
        <f> FinStat!BP$11</f>
        <v>11290.954960727178</v>
      </c>
      <c r="BQ24" s="367">
        <f> FinStat!BQ$11</f>
        <v>11374.700784110039</v>
      </c>
      <c r="BR24" s="367">
        <f> FinStat!BR$11</f>
        <v>12330.882969284572</v>
      </c>
      <c r="BS24" s="367">
        <f> FinStat!BS$11</f>
        <v>11544.06048433022</v>
      </c>
      <c r="BT24" s="367">
        <f> FinStat!BT$11</f>
        <v>12514.479415711146</v>
      </c>
      <c r="BU24" s="367">
        <f> FinStat!BU$11</f>
        <v>11715.941807633337</v>
      </c>
      <c r="BV24" s="367">
        <f> FinStat!BV$11</f>
        <v>12700.809458363103</v>
      </c>
      <c r="BW24" s="367">
        <f> FinStat!BW$11</f>
        <v>12795.01227375109</v>
      </c>
      <c r="BX24" s="367">
        <f> FinStat!BX$11</f>
        <v>12889.913798182475</v>
      </c>
      <c r="BY24" s="367">
        <f> FinStat!BY$11</f>
        <v>12985.519214032385</v>
      </c>
      <c r="BZ24" s="367">
        <f> FinStat!BZ$11</f>
        <v>13081.833742113991</v>
      </c>
      <c r="CA24" s="367">
        <f> FinStat!CA$11</f>
        <v>13178.862641963624</v>
      </c>
      <c r="CB24" s="367">
        <f> FinStat!CB$11</f>
        <v>13276.611212127948</v>
      </c>
      <c r="CC24" s="367">
        <f> FinStat!CC$11</f>
        <v>13375.084790453351</v>
      </c>
      <c r="CD24" s="367">
        <f> FinStat!CD$11</f>
        <v>13474.288754377409</v>
      </c>
      <c r="CE24" s="367">
        <f> FinStat!CE$11</f>
        <v>13574.228521222522</v>
      </c>
      <c r="CF24" s="367">
        <f> FinStat!CF$11</f>
        <v>13674.909548491782</v>
      </c>
      <c r="CG24" s="367">
        <f> FinStat!CG$11</f>
        <v>13776.33733416695</v>
      </c>
      <c r="CH24" s="367">
        <f> FinStat!CH$11</f>
        <v>13878.517417008727</v>
      </c>
      <c r="CI24" s="367">
        <f> FinStat!CI$11</f>
        <v>13981.455376859194</v>
      </c>
      <c r="CJ24" s="367">
        <f> FinStat!CJ$11</f>
        <v>14085.15683494653</v>
      </c>
      <c r="CK24" s="367">
        <f> FinStat!CK$11</f>
        <v>14189.627454191956</v>
      </c>
      <c r="CL24" s="367">
        <f> FinStat!CL$11</f>
        <v>14294.872939518988</v>
      </c>
      <c r="CM24" s="367">
        <f> FinStat!CM$11</f>
        <v>14400.899038164967</v>
      </c>
      <c r="CN24" s="367">
        <f> FinStat!CN$11</f>
        <v>0.0</v>
      </c>
      <c r="CO24" s="367">
        <f> FinStat!CO$11</f>
        <v>0.0</v>
      </c>
    </row>
    <row r="25" customFormat="1" s="61">
      <c r="A25" s="294" t="n"/>
      <c r="B25" s="294" t="n"/>
      <c r="C25" s="212" t="n"/>
      <c r="D25" s="244" t="inlineStr">
        <is>
          <t>less</t>
        </is>
      </c>
      <c r="E25" s="61" t="str">
        <f> E$11</f>
        <v>Tax depreciation </v>
      </c>
      <c r="F25" s="61">
        <f> F$11</f>
        <v>0.0</v>
      </c>
      <c r="G25" s="61" t="str">
        <f> G$11</f>
        <v>$ 000s</v>
      </c>
      <c r="H25" s="61">
        <f> H$11</f>
        <v>108000.0</v>
      </c>
      <c r="I25" s="61">
        <f> I$11</f>
        <v>0.0</v>
      </c>
      <c r="J25" s="61">
        <f> J$11</f>
        <v>0.0</v>
      </c>
      <c r="K25" s="61">
        <f> K$11</f>
        <v>0.0</v>
      </c>
      <c r="L25" s="61">
        <f> L$11</f>
        <v>5000.0</v>
      </c>
      <c r="M25" s="61">
        <f> M$11</f>
        <v>4750.0</v>
      </c>
      <c r="N25" s="61">
        <f> N$11</f>
        <v>4512.5</v>
      </c>
      <c r="O25" s="61">
        <f> O$11</f>
        <v>4286.875</v>
      </c>
      <c r="P25" s="61">
        <f> P$11</f>
        <v>4072.53125</v>
      </c>
      <c r="Q25" s="61">
        <f> Q$11</f>
        <v>3868.9046875000004</v>
      </c>
      <c r="R25" s="61">
        <f> R$11</f>
        <v>3675.459453125</v>
      </c>
      <c r="S25" s="61">
        <f> S$11</f>
        <v>3491.68648046875</v>
      </c>
      <c r="T25" s="61">
        <f> T$11</f>
        <v>3417.102156445312</v>
      </c>
      <c r="U25" s="61">
        <f> U$11</f>
        <v>3246.247048623047</v>
      </c>
      <c r="V25" s="61">
        <f> V$11</f>
        <v>3083.9346961918945</v>
      </c>
      <c r="W25" s="61">
        <f> W$11</f>
        <v>2929.7379613822995</v>
      </c>
      <c r="X25" s="61">
        <f> X$11</f>
        <v>2833.2510633131847</v>
      </c>
      <c r="Y25" s="61">
        <f> Y$11</f>
        <v>2691.5885101475255</v>
      </c>
      <c r="Z25" s="61">
        <f> Z$11</f>
        <v>2557.009084640149</v>
      </c>
      <c r="AA25" s="61">
        <f> AA$11</f>
        <v>2429.1586304081416</v>
      </c>
      <c r="AB25" s="61">
        <f> AB$11</f>
        <v>2382.7006988877342</v>
      </c>
      <c r="AC25" s="61">
        <f> AC$11</f>
        <v>2263.5656639433478</v>
      </c>
      <c r="AD25" s="61">
        <f> AD$11</f>
        <v>2150.38738074618</v>
      </c>
      <c r="AE25" s="61">
        <f> AE$11</f>
        <v>2042.8680117088713</v>
      </c>
      <c r="AF25" s="61">
        <f> AF$11</f>
        <v>1990.7246111234276</v>
      </c>
      <c r="AG25" s="61">
        <f> AG$11</f>
        <v>1891.1883805672562</v>
      </c>
      <c r="AH25" s="61">
        <f> AH$11</f>
        <v>1796.6289615388935</v>
      </c>
      <c r="AI25" s="61">
        <f> AI$11</f>
        <v>1706.7975134619487</v>
      </c>
      <c r="AJ25" s="61">
        <f> AJ$11</f>
        <v>1646.4576377888513</v>
      </c>
      <c r="AK25" s="61">
        <f> AK$11</f>
        <v>1564.1347558994087</v>
      </c>
      <c r="AL25" s="61">
        <f> AL$11</f>
        <v>1485.9280181044383</v>
      </c>
      <c r="AM25" s="61">
        <f> AM$11</f>
        <v>1411.6316171992164</v>
      </c>
      <c r="AN25" s="61">
        <f> AN$11</f>
        <v>1391.0500363392557</v>
      </c>
      <c r="AO25" s="61">
        <f> AO$11</f>
        <v>1321.4975345222929</v>
      </c>
      <c r="AP25" s="61">
        <f> AP$11</f>
        <v>1255.422657796178</v>
      </c>
      <c r="AQ25" s="61">
        <f> AQ$11</f>
        <v>1192.6515249063693</v>
      </c>
      <c r="AR25" s="61">
        <f> AR$11</f>
        <v>1183.0189486610507</v>
      </c>
      <c r="AS25" s="61">
        <f> AS$11</f>
        <v>1123.868001227998</v>
      </c>
      <c r="AT25" s="61">
        <f> AT$11</f>
        <v>1067.6746011665982</v>
      </c>
      <c r="AU25" s="61">
        <f> AU$11</f>
        <v>1014.2908711082684</v>
      </c>
      <c r="AV25" s="61">
        <f> AV$11</f>
        <v>963.5763275528551</v>
      </c>
      <c r="AW25" s="61">
        <f> AW$11</f>
        <v>915.3975111752123</v>
      </c>
      <c r="AX25" s="61">
        <f> AX$11</f>
        <v>869.6276356164517</v>
      </c>
      <c r="AY25" s="61">
        <f> AY$11</f>
        <v>826.1462538356291</v>
      </c>
      <c r="AZ25" s="61">
        <f> AZ$11</f>
        <v>784.8389411438477</v>
      </c>
      <c r="BA25" s="61">
        <f> BA$11</f>
        <v>745.5969940866553</v>
      </c>
      <c r="BB25" s="61">
        <f> BB$11</f>
        <v>708.3171443823226</v>
      </c>
      <c r="BC25" s="61">
        <f> BC$11</f>
        <v>672.9012871632063</v>
      </c>
      <c r="BD25" s="61">
        <f> BD$11</f>
        <v>639.256222805046</v>
      </c>
      <c r="BE25" s="61">
        <f> BE$11</f>
        <v>607.2934116647938</v>
      </c>
      <c r="BF25" s="61">
        <f> BF$11</f>
        <v>576.928741081554</v>
      </c>
      <c r="BG25" s="61">
        <f> BG$11</f>
        <v>548.0823040274763</v>
      </c>
      <c r="BH25" s="61">
        <f> BH$11</f>
        <v>520.6781888261024</v>
      </c>
      <c r="BI25" s="61">
        <f> BI$11</f>
        <v>494.6442793847973</v>
      </c>
      <c r="BJ25" s="61">
        <f> BJ$11</f>
        <v>469.9120654155575</v>
      </c>
      <c r="BK25" s="61">
        <f> BK$11</f>
        <v>446.41646214477964</v>
      </c>
      <c r="BL25" s="61">
        <f> BL$11</f>
        <v>424.09563903754065</v>
      </c>
      <c r="BM25" s="61">
        <f> BM$11</f>
        <v>402.8908570856636</v>
      </c>
      <c r="BN25" s="61">
        <f> BN$11</f>
        <v>382.74631423138044</v>
      </c>
      <c r="BO25" s="61">
        <f> BO$11</f>
        <v>363.6089985198114</v>
      </c>
      <c r="BP25" s="61">
        <f> BP$11</f>
        <v>345.42854859382084</v>
      </c>
      <c r="BQ25" s="61">
        <f> BQ$11</f>
        <v>328.1571211641298</v>
      </c>
      <c r="BR25" s="61">
        <f> BR$11</f>
        <v>311.7492651059233</v>
      </c>
      <c r="BS25" s="61">
        <f> BS$11</f>
        <v>296.1618018506271</v>
      </c>
      <c r="BT25" s="61">
        <f> BT$11</f>
        <v>281.3537117580958</v>
      </c>
      <c r="BU25" s="61">
        <f> BU$11</f>
        <v>267.286026170191</v>
      </c>
      <c r="BV25" s="61">
        <f> BV$11</f>
        <v>253.92172486168147</v>
      </c>
      <c r="BW25" s="61">
        <f> BW$11</f>
        <v>241.2256386185974</v>
      </c>
      <c r="BX25" s="61">
        <f> BX$11</f>
        <v>229.16435668766755</v>
      </c>
      <c r="BY25" s="61">
        <f> BY$11</f>
        <v>217.7061388532842</v>
      </c>
      <c r="BZ25" s="61">
        <f> BZ$11</f>
        <v>206.82083191061997</v>
      </c>
      <c r="CA25" s="61">
        <f> CA$11</f>
        <v>196.479790315089</v>
      </c>
      <c r="CB25" s="61">
        <f> CB$11</f>
        <v>186.65580079933454</v>
      </c>
      <c r="CC25" s="61">
        <f> CC$11</f>
        <v>177.32301075936783</v>
      </c>
      <c r="CD25" s="61">
        <f> CD$11</f>
        <v>168.45686022139944</v>
      </c>
      <c r="CE25" s="61">
        <f> CE$11</f>
        <v>160.03401721032947</v>
      </c>
      <c r="CF25" s="61">
        <f> CF$11</f>
        <v>152.032316349813</v>
      </c>
      <c r="CG25" s="61">
        <f> CG$11</f>
        <v>144.43070053232233</v>
      </c>
      <c r="CH25" s="61">
        <f> CH$11</f>
        <v>137.20916550570624</v>
      </c>
      <c r="CI25" s="61">
        <f> CI$11</f>
        <v>130.34870723042093</v>
      </c>
      <c r="CJ25" s="61">
        <f> CJ$11</f>
        <v>123.83127186889988</v>
      </c>
      <c r="CK25" s="61">
        <f> CK$11</f>
        <v>117.6397082754549</v>
      </c>
      <c r="CL25" s="61">
        <f> CL$11</f>
        <v>111.75772286168215</v>
      </c>
      <c r="CM25" s="61">
        <f> CM$11</f>
        <v>2123.396734371961</v>
      </c>
      <c r="CN25" s="61">
        <f> CN$11</f>
        <v>0.0</v>
      </c>
      <c r="CO25" s="61">
        <f> CO$11</f>
        <v>0.0</v>
      </c>
    </row>
    <row r="26" customFormat="1" s="351">
      <c r="A26" s="294" t="n"/>
      <c r="B26" s="294" t="n"/>
      <c r="C26" s="212" t="n"/>
      <c r="D26" s="244" t="inlineStr">
        <is>
          <t>less</t>
        </is>
      </c>
      <c r="E26" s="61" t="str">
        <f>Debt!E$32</f>
        <v>Senior debt interest payment POS</v>
      </c>
      <c r="F26" s="61">
        <f>Debt!F$32</f>
        <v>0.0</v>
      </c>
      <c r="G26" s="61" t="str">
        <f>Debt!G$32</f>
        <v>$ 000s</v>
      </c>
      <c r="H26" s="61">
        <f> SUM(J26:CO26)</f>
        <v>18291.000000000673</v>
      </c>
      <c r="I26" s="61" t="n"/>
      <c r="J26" s="61">
        <f>Debt!J$32</f>
        <v>0.0</v>
      </c>
      <c r="K26" s="61">
        <f>Debt!K$32</f>
        <v>0.0</v>
      </c>
      <c r="L26" s="61">
        <f>Debt!L$32</f>
        <v>975.0</v>
      </c>
      <c r="M26" s="61">
        <f>Debt!M$32</f>
        <v>985.8333333333334</v>
      </c>
      <c r="N26" s="61">
        <f>Debt!N$32</f>
        <v>996.6666666666666</v>
      </c>
      <c r="O26" s="61">
        <f>Debt!O$32</f>
        <v>996.6666666666666</v>
      </c>
      <c r="P26" s="61">
        <f>Debt!P$32</f>
        <v>942.5000000000003</v>
      </c>
      <c r="Q26" s="61">
        <f>Debt!Q$32</f>
        <v>920.1111111111119</v>
      </c>
      <c r="R26" s="61">
        <f>Debt!R$32</f>
        <v>897.0000000000011</v>
      </c>
      <c r="S26" s="61">
        <f>Debt!S$32</f>
        <v>863.7777777777792</v>
      </c>
      <c r="T26" s="61">
        <f>Debt!T$32</f>
        <v>821.5277777777795</v>
      </c>
      <c r="U26" s="61">
        <f>Debt!U$32</f>
        <v>788.6666666666688</v>
      </c>
      <c r="V26" s="61">
        <f>Debt!V$32</f>
        <v>764.1111111111137</v>
      </c>
      <c r="W26" s="61">
        <f>Debt!W$32</f>
        <v>730.8888888888918</v>
      </c>
      <c r="X26" s="61">
        <f>Debt!X$32</f>
        <v>682.5000000000032</v>
      </c>
      <c r="Y26" s="61">
        <f>Debt!Y$32</f>
        <v>657.2222222222258</v>
      </c>
      <c r="Z26" s="61">
        <f>Debt!Z$32</f>
        <v>631.2222222222263</v>
      </c>
      <c r="AA26" s="61">
        <f>Debt!AA$32</f>
        <v>598.0000000000043</v>
      </c>
      <c r="AB26" s="61">
        <f>Debt!AB$32</f>
        <v>552.5000000000047</v>
      </c>
      <c r="AC26" s="61">
        <f>Debt!AC$32</f>
        <v>525.7777777777828</v>
      </c>
      <c r="AD26" s="61">
        <f>Debt!AD$32</f>
        <v>498.33333333333877</v>
      </c>
      <c r="AE26" s="61">
        <f>Debt!AE$32</f>
        <v>465.11111111111694</v>
      </c>
      <c r="AF26" s="61">
        <f>Debt!AF$32</f>
        <v>422.500000000006</v>
      </c>
      <c r="AG26" s="61">
        <f>Debt!AG$32</f>
        <v>394.3333333333398</v>
      </c>
      <c r="AH26" s="61">
        <f>Debt!AH$32</f>
        <v>365.44444444445134</v>
      </c>
      <c r="AI26" s="61">
        <f>Debt!AI$32</f>
        <v>332.22222222222945</v>
      </c>
      <c r="AJ26" s="61">
        <f>Debt!AJ$32</f>
        <v>295.75000000000756</v>
      </c>
      <c r="AK26" s="61">
        <f>Debt!AK$32</f>
        <v>262.88888888889676</v>
      </c>
      <c r="AL26" s="61">
        <f>Debt!AL$32</f>
        <v>232.55555555556384</v>
      </c>
      <c r="AM26" s="61">
        <f>Debt!AM$32</f>
        <v>199.33333333334195</v>
      </c>
      <c r="AN26" s="61">
        <f>Debt!AN$32</f>
        <v>162.50000000000875</v>
      </c>
      <c r="AO26" s="61">
        <f>Debt!AO$32</f>
        <v>131.4444444444536</v>
      </c>
      <c r="AP26" s="61">
        <f>Debt!AP$32</f>
        <v>99.66666666667628</v>
      </c>
      <c r="AQ26" s="61">
        <f>Debt!AQ$32</f>
        <v>66.44444444445439</v>
      </c>
      <c r="AR26" s="61">
        <f>Debt!AR$32</f>
        <v>32.500000000010054</v>
      </c>
      <c r="AS26" s="61">
        <f>Debt!AS$32</f>
        <v>1.0490339263924398e-11</v>
      </c>
      <c r="AT26" s="61">
        <f>Debt!AT$32</f>
        <v>1.0605617717374116e-11</v>
      </c>
      <c r="AU26" s="61">
        <f>Debt!AU$32</f>
        <v>1.0605617717374116e-11</v>
      </c>
      <c r="AV26" s="61">
        <f>Debt!AV$32</f>
        <v>1.037506081047468e-11</v>
      </c>
      <c r="AW26" s="61">
        <f>Debt!AW$32</f>
        <v>1.0490339263924398e-11</v>
      </c>
      <c r="AX26" s="61">
        <f>Debt!AX$32</f>
        <v>1.0605617717374116e-11</v>
      </c>
      <c r="AY26" s="61">
        <f>Debt!AY$32</f>
        <v>1.0605617717374116e-11</v>
      </c>
      <c r="AZ26" s="61">
        <f>Debt!AZ$32</f>
        <v>1.0490339263924398e-11</v>
      </c>
      <c r="BA26" s="61">
        <f>Debt!BA$32</f>
        <v>1.0490339263924398e-11</v>
      </c>
      <c r="BB26" s="61">
        <f>Debt!BB$32</f>
        <v>1.0605617717374116e-11</v>
      </c>
      <c r="BC26" s="61">
        <f>Debt!BC$32</f>
        <v>1.0605617717374116e-11</v>
      </c>
      <c r="BD26" s="61">
        <f>Debt!BD$32</f>
        <v>1.037506081047468e-11</v>
      </c>
      <c r="BE26" s="61">
        <f>Debt!BE$32</f>
        <v>1.0490339263924398e-11</v>
      </c>
      <c r="BF26" s="61">
        <f>Debt!BF$32</f>
        <v>1.0605617717374116e-11</v>
      </c>
      <c r="BG26" s="61">
        <f>Debt!BG$32</f>
        <v>1.0605617717374116e-11</v>
      </c>
      <c r="BH26" s="61">
        <f>Debt!BH$32</f>
        <v>1.037506081047468e-11</v>
      </c>
      <c r="BI26" s="61">
        <f>Debt!BI$32</f>
        <v>1.0490339263924398e-11</v>
      </c>
      <c r="BJ26" s="61">
        <f>Debt!BJ$32</f>
        <v>1.0605617717374116e-11</v>
      </c>
      <c r="BK26" s="61">
        <f>Debt!BK$32</f>
        <v>1.0605617717374116e-11</v>
      </c>
      <c r="BL26" s="61">
        <f>Debt!BL$32</f>
        <v>1.037506081047468e-11</v>
      </c>
      <c r="BM26" s="61">
        <f>Debt!BM$32</f>
        <v>1.0490339263924398e-11</v>
      </c>
      <c r="BN26" s="61">
        <f>Debt!BN$32</f>
        <v>1.0605617717374116e-11</v>
      </c>
      <c r="BO26" s="61">
        <f>Debt!BO$32</f>
        <v>1.0605617717374116e-11</v>
      </c>
      <c r="BP26" s="61">
        <f>Debt!BP$32</f>
        <v>1.0490339263924398e-11</v>
      </c>
      <c r="BQ26" s="61">
        <f>Debt!BQ$32</f>
        <v>1.0490339263924398e-11</v>
      </c>
      <c r="BR26" s="61">
        <f>Debt!BR$32</f>
        <v>1.0605617717374116e-11</v>
      </c>
      <c r="BS26" s="61">
        <f>Debt!BS$32</f>
        <v>1.0605617717374116e-11</v>
      </c>
      <c r="BT26" s="61">
        <f>Debt!BT$32</f>
        <v>1.037506081047468e-11</v>
      </c>
      <c r="BU26" s="61">
        <f>Debt!BU$32</f>
        <v>1.0490339263924398e-11</v>
      </c>
      <c r="BV26" s="61">
        <f>Debt!BV$32</f>
        <v>1.0605617717374116e-11</v>
      </c>
      <c r="BW26" s="61">
        <f>Debt!BW$32</f>
        <v>1.0605617717374116e-11</v>
      </c>
      <c r="BX26" s="61">
        <f>Debt!BX$32</f>
        <v>1.037506081047468e-11</v>
      </c>
      <c r="BY26" s="61">
        <f>Debt!BY$32</f>
        <v>1.0490339263924398e-11</v>
      </c>
      <c r="BZ26" s="61">
        <f>Debt!BZ$32</f>
        <v>1.0605617717374116e-11</v>
      </c>
      <c r="CA26" s="61">
        <f>Debt!CA$32</f>
        <v>1.0605617717374116e-11</v>
      </c>
      <c r="CB26" s="61">
        <f>Debt!CB$32</f>
        <v>1.037506081047468e-11</v>
      </c>
      <c r="CC26" s="61">
        <f>Debt!CC$32</f>
        <v>1.0490339263924398e-11</v>
      </c>
      <c r="CD26" s="61">
        <f>Debt!CD$32</f>
        <v>1.0605617717374116e-11</v>
      </c>
      <c r="CE26" s="61">
        <f>Debt!CE$32</f>
        <v>1.0605617717374116e-11</v>
      </c>
      <c r="CF26" s="61">
        <f>Debt!CF$32</f>
        <v>1.0490339263924398e-11</v>
      </c>
      <c r="CG26" s="61">
        <f>Debt!CG$32</f>
        <v>1.0490339263924398e-11</v>
      </c>
      <c r="CH26" s="61">
        <f>Debt!CH$32</f>
        <v>1.0605617717374116e-11</v>
      </c>
      <c r="CI26" s="61">
        <f>Debt!CI$32</f>
        <v>1.0605617717374116e-11</v>
      </c>
      <c r="CJ26" s="61">
        <f>Debt!CJ$32</f>
        <v>1.037506081047468e-11</v>
      </c>
      <c r="CK26" s="61">
        <f>Debt!CK$32</f>
        <v>1.0490339263924398e-11</v>
      </c>
      <c r="CL26" s="61">
        <f>Debt!CL$32</f>
        <v>1.0605617717374116e-11</v>
      </c>
      <c r="CM26" s="61">
        <f>Debt!CM$32</f>
        <v>1.0605617717374116e-11</v>
      </c>
      <c r="CN26" s="61">
        <f>Debt!CN$32</f>
        <v>1.037506081047468e-11</v>
      </c>
      <c r="CO26" s="61">
        <f>Debt!CO$32</f>
        <v>1.0490339263924398e-11</v>
      </c>
    </row>
    <row r="27" customFormat="1" s="260">
      <c r="A27" s="263" t="n"/>
      <c r="B27" s="263" t="n"/>
      <c r="C27" s="264" t="n"/>
      <c r="D27" s="335" t="n"/>
      <c r="E27" s="260" t="inlineStr">
        <is>
          <t xml:space="preserve">Taxable income </t>
        </is>
      </c>
      <c r="G27" s="260" t="str">
        <f>SMU</f>
        <v>$ 000s</v>
      </c>
      <c r="H27" s="260">
        <f> SUM(J27:CO27)</f>
        <v>662904.2008258437</v>
      </c>
      <c r="J27" s="260">
        <f> J24 - J25 - J26</f>
        <v>0.0</v>
      </c>
      <c r="K27" s="260">
        <f> K24 - K25 - K26</f>
        <v>0.0</v>
      </c>
      <c r="L27" s="260">
        <f> L24 - L25 - L26</f>
        <v>-332.3748966206949</v>
      </c>
      <c r="M27" s="260">
        <f> M24 - M25 - M26</f>
        <v>-489.07605602809724</v>
      </c>
      <c r="N27" s="260">
        <f> N24 - N25 - N26</f>
        <v>260.7334433766986</v>
      </c>
      <c r="O27" s="260">
        <f> O24 - O25 - O26</f>
        <v>101.35249666666766</v>
      </c>
      <c r="P27" s="260">
        <f> P24 - P25 - P26</f>
        <v>894.2027312712358</v>
      </c>
      <c r="Q27" s="260">
        <f> Q24 - Q25 - Q26</f>
        <v>728.8587385468758</v>
      </c>
      <c r="R27" s="260">
        <f> R24 - R25 - R26</f>
        <v>1482.7035139371794</v>
      </c>
      <c r="S27" s="260">
        <f> S24 - S25 - S26</f>
        <v>1298.674613253474</v>
      </c>
      <c r="T27" s="260">
        <f> T24 - T25 - T26</f>
        <v>2263.452304402754</v>
      </c>
      <c r="U27" s="260">
        <f> U24 - U25 - U26</f>
        <v>2029.4455785644232</v>
      </c>
      <c r="V27" s="260">
        <f> V24 - V25 - V26</f>
        <v>2782.8030354446432</v>
      </c>
      <c r="W27" s="260">
        <f> W24 - W25 - W26</f>
        <v>2523.8304250888073</v>
      </c>
      <c r="X27" s="260">
        <f> X24 - X25 - X26</f>
        <v>3230.100315795764</v>
      </c>
      <c r="Y27" s="260">
        <f> Y24 - Y25 - Y26</f>
        <v>2927.7278952876804</v>
      </c>
      <c r="Z27" s="260">
        <f> Z24 - Z25 - Z26</f>
        <v>3658.0601092180805</v>
      </c>
      <c r="AA27" s="260">
        <f> AA24 - AA25 - AA26</f>
        <v>3342.832363212651</v>
      </c>
      <c r="AB27" s="260">
        <f> AB24 - AB25 - AB26</f>
        <v>4013.0262215944795</v>
      </c>
      <c r="AC27" s="260">
        <f> AC24 - AC25 - AC26</f>
        <v>3675.4913447660238</v>
      </c>
      <c r="AD27" s="260">
        <f> AD24 - AD25 - AD26</f>
        <v>5080.1653044489185</v>
      </c>
      <c r="AE27" s="260">
        <f> AE24 - AE25 - AE26</f>
        <v>4698.463115617635</v>
      </c>
      <c r="AF27" s="260">
        <f> AF24 - AF25 - AF26</f>
        <v>5430.738000976812</v>
      </c>
      <c r="AG27" s="260">
        <f> AG24 - AG25 - AG26</f>
        <v>5028.21837089979</v>
      </c>
      <c r="AH27" s="260">
        <f> AH24 - AH25 - AH26</f>
        <v>5798.679193100947</v>
      </c>
      <c r="AI27" s="260">
        <f> AI24 - AI25 - AI26</f>
        <v>5383.61576990657</v>
      </c>
      <c r="AJ27" s="260">
        <f> AJ24 - AJ25 - AJ26</f>
        <v>6137.073852674392</v>
      </c>
      <c r="AK27" s="260">
        <f> AK24 - AK25 - AK26</f>
        <v>5706.128642556085</v>
      </c>
      <c r="AL27" s="260">
        <f> AL24 - AL25 - AL26</f>
        <v>6481.091603396815</v>
      </c>
      <c r="AM27" s="260">
        <f> AM24 - AM25 - AM26</f>
        <v>6719.003042498106</v>
      </c>
      <c r="AN27" s="260">
        <f> AN24 - AN25 - AN26</f>
        <v>7497.254675877258</v>
      </c>
      <c r="AO27" s="260">
        <f> AO24 - AO25 - AO26</f>
        <v>7001.052211228958</v>
      </c>
      <c r="AP27" s="260">
        <f> AP24 - AP25 - AP26</f>
        <v>7830.474235648265</v>
      </c>
      <c r="AQ27" s="260">
        <f> AQ24 - AQ25 - AQ26</f>
        <v>7320.7710634707555</v>
      </c>
      <c r="AR27" s="260">
        <f> AR24 - AR25 - AR26</f>
        <v>8106.809904921955</v>
      </c>
      <c r="AS27" s="260">
        <f> AS24 - AS25 - AS26</f>
        <v>7583.746014673563</v>
      </c>
      <c r="AT27" s="260">
        <f> AT24 - AT25 - AT26</f>
        <v>8393.455865747841</v>
      </c>
      <c r="AU27" s="260">
        <f> AU24 - AU25 - AU26</f>
        <v>7822.972172697945</v>
      </c>
      <c r="AV27" s="260">
        <f> AV24 - AV25 - AV26</f>
        <v>8638.422391637638</v>
      </c>
      <c r="AW27" s="260">
        <f> AW24 - AW25 - AW26</f>
        <v>8053.444925203391</v>
      </c>
      <c r="AX27" s="260">
        <f> AX24 - AX25 - AX26</f>
        <v>9767.100332901507</v>
      </c>
      <c r="AY27" s="260">
        <f> AY24 - AY25 - AY26</f>
        <v>9131.861727409734</v>
      </c>
      <c r="AZ27" s="260">
        <f> AZ24 - AZ25 - AZ26</f>
        <v>10010.260934843393</v>
      </c>
      <c r="BA27" s="260">
        <f> BA24 - BA25 - BA26</f>
        <v>9360.677326511544</v>
      </c>
      <c r="BB27" s="260">
        <f> BB24 - BB25 - BB26</f>
        <v>10247.512663191172</v>
      </c>
      <c r="BC27" s="260">
        <f> BC24 - BC25 - BC26</f>
        <v>9583.846933519513</v>
      </c>
      <c r="BD27" s="260">
        <f> BD24 - BD25 - BD26</f>
        <v>10479.696649461808</v>
      </c>
      <c r="BE27" s="260">
        <f> BE24 - BE25 - BE26</f>
        <v>9802.169138551353</v>
      </c>
      <c r="BF27" s="260">
        <f> BF24 - BF25 - BF26</f>
        <v>10707.575960719143</v>
      </c>
      <c r="BG27" s="260">
        <f> BG24 - BG25 - BG26</f>
        <v>10016.368363275724</v>
      </c>
      <c r="BH27" s="260">
        <f> BH24 - BH25 - BH26</f>
        <v>10122.1297673688</v>
      </c>
      <c r="BI27" s="260">
        <f> BI24 - BI25 - BI26</f>
        <v>11042.821352743296</v>
      </c>
      <c r="BJ27" s="260">
        <f> BJ24 - BJ25 - BJ26</f>
        <v>10331.358324136721</v>
      </c>
      <c r="BK27" s="260">
        <f> BK24 - BK25 - BK26</f>
        <v>11262.832301499835</v>
      </c>
      <c r="BL27" s="260">
        <f> BL24 - BL25 - BL26</f>
        <v>10537.996555843207</v>
      </c>
      <c r="BM27" s="260">
        <f> BM24 - BM25 - BM26</f>
        <v>11480.698744006268</v>
      </c>
      <c r="BN27" s="260">
        <f> BN24 - BN25 - BN26</f>
        <v>10742.562187007465</v>
      </c>
      <c r="BO27" s="260">
        <f> BO24 - BO25 - BO26</f>
        <v>11696.91722803414</v>
      </c>
      <c r="BP27" s="260">
        <f> BP24 - BP25 - BP26</f>
        <v>10945.526412133346</v>
      </c>
      <c r="BQ27" s="260">
        <f> BQ24 - BQ25 - BQ26</f>
        <v>11046.543662945898</v>
      </c>
      <c r="BR27" s="260">
        <f> BR24 - BR25 - BR26</f>
        <v>12019.133704178637</v>
      </c>
      <c r="BS27" s="260">
        <f> BS24 - BS25 - BS26</f>
        <v>11247.898682479583</v>
      </c>
      <c r="BT27" s="260">
        <f> BT24 - BT25 - BT26</f>
        <v>12233.12570395304</v>
      </c>
      <c r="BU27" s="260">
        <f> BU24 - BU25 - BU26</f>
        <v>11448.655781463134</v>
      </c>
      <c r="BV27" s="260">
        <f> BV24 - BV25 - BV26</f>
        <v>12446.887733501411</v>
      </c>
      <c r="BW27" s="260">
        <f> BW24 - BW25 - BW26</f>
        <v>12553.786635132481</v>
      </c>
      <c r="BX27" s="260">
        <f> BX24 - BX25 - BX26</f>
        <v>12660.749441494796</v>
      </c>
      <c r="BY27" s="260">
        <f> BY24 - BY25 - BY26</f>
        <v>12767.81307517909</v>
      </c>
      <c r="BZ27" s="260">
        <f> BZ24 - BZ25 - BZ26</f>
        <v>12875.01291020336</v>
      </c>
      <c r="CA27" s="260">
        <f> CA24 - CA25 - CA26</f>
        <v>12982.382851648525</v>
      </c>
      <c r="CB27" s="260">
        <f> CB24 - CB25 - CB26</f>
        <v>13089.955411328601</v>
      </c>
      <c r="CC27" s="260">
        <f> CC24 - CC25 - CC26</f>
        <v>13197.761779693972</v>
      </c>
      <c r="CD27" s="260">
        <f> CD24 - CD25 - CD26</f>
        <v>13305.831894156</v>
      </c>
      <c r="CE27" s="260">
        <f> CE24 - CE25 - CE26</f>
        <v>13414.194504012181</v>
      </c>
      <c r="CF27" s="260">
        <f> CF24 - CF25 - CF26</f>
        <v>13522.877232141958</v>
      </c>
      <c r="CG27" s="260">
        <f> CG24 - CG25 - CG26</f>
        <v>13631.906633634617</v>
      </c>
      <c r="CH27" s="260">
        <f> CH24 - CH25 - CH26</f>
        <v>13741.30825150301</v>
      </c>
      <c r="CI27" s="260">
        <f> CI24 - CI25 - CI26</f>
        <v>13851.106669628762</v>
      </c>
      <c r="CJ27" s="260">
        <f> CJ24 - CJ25 - CJ26</f>
        <v>13961.32556307762</v>
      </c>
      <c r="CK27" s="260">
        <f> CK24 - CK25 - CK26</f>
        <v>14071.987745916489</v>
      </c>
      <c r="CL27" s="260">
        <f> CL24 - CL25 - CL26</f>
        <v>14183.115216657294</v>
      </c>
      <c r="CM27" s="260">
        <f> CM24 - CM25 - CM26</f>
        <v>12277.502303792995</v>
      </c>
      <c r="CN27" s="260">
        <f> CN24 - CN25 - CN26</f>
        <v>-1.037506081047468e-11</v>
      </c>
      <c r="CO27" s="260">
        <f> CO24 - CO25 - CO26</f>
        <v>-1.0490339263924398e-11</v>
      </c>
    </row>
    <row r="28">
      <c r="C28" s="212" t="n"/>
    </row>
    <row r="29">
      <c r="E29" s="336" t="str">
        <f> InpC!E$86</f>
        <v>Corporation tax rate</v>
      </c>
      <c r="F29" s="336">
        <f> InpC!F$86</f>
        <v>0.3</v>
      </c>
      <c r="G29" s="336" t="str">
        <f> InpC!G$86</f>
        <v>%</v>
      </c>
    </row>
    <row r="30">
      <c r="E30" s="61" t="str">
        <f> E$27</f>
        <v>Taxable income </v>
      </c>
      <c r="F30" s="61">
        <f> F$27</f>
        <v>0.0</v>
      </c>
      <c r="G30" s="61" t="str">
        <f> G$27</f>
        <v>$ 000s</v>
      </c>
      <c r="H30" s="61">
        <f> H$27</f>
        <v>662904.2008258437</v>
      </c>
      <c r="I30" s="61">
        <f> I$27</f>
        <v>0.0</v>
      </c>
      <c r="J30" s="61">
        <f> J$27</f>
        <v>0.0</v>
      </c>
      <c r="K30" s="61">
        <f> K$27</f>
        <v>0.0</v>
      </c>
      <c r="L30" s="61">
        <f> L$27</f>
        <v>-332.3748966206949</v>
      </c>
      <c r="M30" s="61">
        <f> M$27</f>
        <v>-489.07605602809724</v>
      </c>
      <c r="N30" s="61">
        <f> N$27</f>
        <v>260.7334433766986</v>
      </c>
      <c r="O30" s="61">
        <f> O$27</f>
        <v>101.35249666666766</v>
      </c>
      <c r="P30" s="61">
        <f> P$27</f>
        <v>894.2027312712358</v>
      </c>
      <c r="Q30" s="61">
        <f> Q$27</f>
        <v>728.8587385468758</v>
      </c>
      <c r="R30" s="61">
        <f> R$27</f>
        <v>1482.7035139371794</v>
      </c>
      <c r="S30" s="61">
        <f> S$27</f>
        <v>1298.674613253474</v>
      </c>
      <c r="T30" s="61">
        <f> T$27</f>
        <v>2263.452304402754</v>
      </c>
      <c r="U30" s="61">
        <f> U$27</f>
        <v>2029.4455785644232</v>
      </c>
      <c r="V30" s="61">
        <f> V$27</f>
        <v>2782.8030354446432</v>
      </c>
      <c r="W30" s="61">
        <f> W$27</f>
        <v>2523.8304250888073</v>
      </c>
      <c r="X30" s="61">
        <f> X$27</f>
        <v>3230.100315795764</v>
      </c>
      <c r="Y30" s="61">
        <f> Y$27</f>
        <v>2927.7278952876804</v>
      </c>
      <c r="Z30" s="61">
        <f> Z$27</f>
        <v>3658.0601092180805</v>
      </c>
      <c r="AA30" s="61">
        <f> AA$27</f>
        <v>3342.832363212651</v>
      </c>
      <c r="AB30" s="61">
        <f> AB$27</f>
        <v>4013.0262215944795</v>
      </c>
      <c r="AC30" s="61">
        <f> AC$27</f>
        <v>3675.4913447660238</v>
      </c>
      <c r="AD30" s="61">
        <f> AD$27</f>
        <v>5080.1653044489185</v>
      </c>
      <c r="AE30" s="61">
        <f> AE$27</f>
        <v>4698.463115617635</v>
      </c>
      <c r="AF30" s="61">
        <f> AF$27</f>
        <v>5430.738000976812</v>
      </c>
      <c r="AG30" s="61">
        <f> AG$27</f>
        <v>5028.21837089979</v>
      </c>
      <c r="AH30" s="61">
        <f> AH$27</f>
        <v>5798.679193100947</v>
      </c>
      <c r="AI30" s="61">
        <f> AI$27</f>
        <v>5383.61576990657</v>
      </c>
      <c r="AJ30" s="61">
        <f> AJ$27</f>
        <v>6137.073852674392</v>
      </c>
      <c r="AK30" s="61">
        <f> AK$27</f>
        <v>5706.128642556085</v>
      </c>
      <c r="AL30" s="61">
        <f> AL$27</f>
        <v>6481.091603396815</v>
      </c>
      <c r="AM30" s="61">
        <f> AM$27</f>
        <v>6719.003042498106</v>
      </c>
      <c r="AN30" s="61">
        <f> AN$27</f>
        <v>7497.254675877258</v>
      </c>
      <c r="AO30" s="61">
        <f> AO$27</f>
        <v>7001.052211228958</v>
      </c>
      <c r="AP30" s="61">
        <f> AP$27</f>
        <v>7830.474235648265</v>
      </c>
      <c r="AQ30" s="61">
        <f> AQ$27</f>
        <v>7320.7710634707555</v>
      </c>
      <c r="AR30" s="61">
        <f> AR$27</f>
        <v>8106.809904921955</v>
      </c>
      <c r="AS30" s="61">
        <f> AS$27</f>
        <v>7583.746014673563</v>
      </c>
      <c r="AT30" s="61">
        <f> AT$27</f>
        <v>8393.455865747841</v>
      </c>
      <c r="AU30" s="61">
        <f> AU$27</f>
        <v>7822.972172697945</v>
      </c>
      <c r="AV30" s="61">
        <f> AV$27</f>
        <v>8638.422391637638</v>
      </c>
      <c r="AW30" s="61">
        <f> AW$27</f>
        <v>8053.444925203391</v>
      </c>
      <c r="AX30" s="61">
        <f> AX$27</f>
        <v>9767.100332901507</v>
      </c>
      <c r="AY30" s="61">
        <f> AY$27</f>
        <v>9131.861727409734</v>
      </c>
      <c r="AZ30" s="61">
        <f> AZ$27</f>
        <v>10010.260934843393</v>
      </c>
      <c r="BA30" s="61">
        <f> BA$27</f>
        <v>9360.677326511544</v>
      </c>
      <c r="BB30" s="61">
        <f> BB$27</f>
        <v>10247.512663191172</v>
      </c>
      <c r="BC30" s="61">
        <f> BC$27</f>
        <v>9583.846933519513</v>
      </c>
      <c r="BD30" s="61">
        <f> BD$27</f>
        <v>10479.696649461808</v>
      </c>
      <c r="BE30" s="61">
        <f> BE$27</f>
        <v>9802.169138551353</v>
      </c>
      <c r="BF30" s="61">
        <f> BF$27</f>
        <v>10707.575960719143</v>
      </c>
      <c r="BG30" s="61">
        <f> BG$27</f>
        <v>10016.368363275724</v>
      </c>
      <c r="BH30" s="61">
        <f> BH$27</f>
        <v>10122.1297673688</v>
      </c>
      <c r="BI30" s="61">
        <f> BI$27</f>
        <v>11042.821352743296</v>
      </c>
      <c r="BJ30" s="61">
        <f> BJ$27</f>
        <v>10331.358324136721</v>
      </c>
      <c r="BK30" s="61">
        <f> BK$27</f>
        <v>11262.832301499835</v>
      </c>
      <c r="BL30" s="61">
        <f> BL$27</f>
        <v>10537.996555843207</v>
      </c>
      <c r="BM30" s="61">
        <f> BM$27</f>
        <v>11480.698744006268</v>
      </c>
      <c r="BN30" s="61">
        <f> BN$27</f>
        <v>10742.562187007465</v>
      </c>
      <c r="BO30" s="61">
        <f> BO$27</f>
        <v>11696.91722803414</v>
      </c>
      <c r="BP30" s="61">
        <f> BP$27</f>
        <v>10945.526412133346</v>
      </c>
      <c r="BQ30" s="61">
        <f> BQ$27</f>
        <v>11046.543662945898</v>
      </c>
      <c r="BR30" s="61">
        <f> BR$27</f>
        <v>12019.133704178637</v>
      </c>
      <c r="BS30" s="61">
        <f> BS$27</f>
        <v>11247.898682479583</v>
      </c>
      <c r="BT30" s="61">
        <f> BT$27</f>
        <v>12233.12570395304</v>
      </c>
      <c r="BU30" s="61">
        <f> BU$27</f>
        <v>11448.655781463134</v>
      </c>
      <c r="BV30" s="61">
        <f> BV$27</f>
        <v>12446.887733501411</v>
      </c>
      <c r="BW30" s="61">
        <f> BW$27</f>
        <v>12553.786635132481</v>
      </c>
      <c r="BX30" s="61">
        <f> BX$27</f>
        <v>12660.749441494796</v>
      </c>
      <c r="BY30" s="61">
        <f> BY$27</f>
        <v>12767.81307517909</v>
      </c>
      <c r="BZ30" s="61">
        <f> BZ$27</f>
        <v>12875.01291020336</v>
      </c>
      <c r="CA30" s="61">
        <f> CA$27</f>
        <v>12982.382851648525</v>
      </c>
      <c r="CB30" s="61">
        <f> CB$27</f>
        <v>13089.955411328601</v>
      </c>
      <c r="CC30" s="61">
        <f> CC$27</f>
        <v>13197.761779693972</v>
      </c>
      <c r="CD30" s="61">
        <f> CD$27</f>
        <v>13305.831894156</v>
      </c>
      <c r="CE30" s="61">
        <f> CE$27</f>
        <v>13414.194504012181</v>
      </c>
      <c r="CF30" s="61">
        <f> CF$27</f>
        <v>13522.877232141958</v>
      </c>
      <c r="CG30" s="61">
        <f> CG$27</f>
        <v>13631.906633634617</v>
      </c>
      <c r="CH30" s="61">
        <f> CH$27</f>
        <v>13741.30825150301</v>
      </c>
      <c r="CI30" s="61">
        <f> CI$27</f>
        <v>13851.106669628762</v>
      </c>
      <c r="CJ30" s="61">
        <f> CJ$27</f>
        <v>13961.32556307762</v>
      </c>
      <c r="CK30" s="61">
        <f> CK$27</f>
        <v>14071.987745916489</v>
      </c>
      <c r="CL30" s="61">
        <f> CL$27</f>
        <v>14183.115216657294</v>
      </c>
      <c r="CM30" s="61">
        <f> CM$27</f>
        <v>12277.502303792995</v>
      </c>
      <c r="CN30" s="61">
        <f> CN$27</f>
        <v>-1.037506081047468e-11</v>
      </c>
      <c r="CO30" s="61">
        <f> CO$27</f>
        <v>-1.0490339263924398e-11</v>
      </c>
    </row>
    <row r="31" customFormat="1" s="260">
      <c r="A31" s="263" t="n"/>
      <c r="B31" s="263" t="n"/>
      <c r="C31" s="264" t="n"/>
      <c r="D31" s="335" t="n"/>
      <c r="E31" s="260" t="inlineStr">
        <is>
          <t>Tax paid POS</t>
        </is>
      </c>
      <c r="G31" s="260" t="str">
        <f>SMU</f>
        <v>$ 000s</v>
      </c>
      <c r="H31" s="260">
        <f> SUM(J31:CO31)</f>
        <v>198871.2602477531</v>
      </c>
      <c r="J31" s="260">
        <f> $F29 * J30</f>
        <v>0.0</v>
      </c>
      <c r="K31" s="260">
        <f> $F29 * K30</f>
        <v>0.0</v>
      </c>
      <c r="L31" s="260">
        <f> $F29 * L30</f>
        <v>-99.71246898620848</v>
      </c>
      <c r="M31" s="260">
        <f> $F29 * M30</f>
        <v>-146.72281680842917</v>
      </c>
      <c r="N31" s="260">
        <f> $F29 * N30</f>
        <v>78.22003301300957</v>
      </c>
      <c r="O31" s="260">
        <f> $F29 * O30</f>
        <v>30.4057490000003</v>
      </c>
      <c r="P31" s="260">
        <f> $F29 * P30</f>
        <v>268.26081938137077</v>
      </c>
      <c r="Q31" s="260">
        <f> $F29 * Q30</f>
        <v>218.65762156406274</v>
      </c>
      <c r="R31" s="260">
        <f> $F29 * R30</f>
        <v>444.8110541811538</v>
      </c>
      <c r="S31" s="260">
        <f> $F29 * S30</f>
        <v>389.6023839760422</v>
      </c>
      <c r="T31" s="260">
        <f> $F29 * T30</f>
        <v>679.0356913208262</v>
      </c>
      <c r="U31" s="260">
        <f> $F29 * U30</f>
        <v>608.833673569327</v>
      </c>
      <c r="V31" s="260">
        <f> $F29 * V30</f>
        <v>834.8409106333929</v>
      </c>
      <c r="W31" s="260">
        <f> $F29 * W30</f>
        <v>757.1491275266421</v>
      </c>
      <c r="X31" s="260">
        <f> $F29 * X30</f>
        <v>969.0300947387291</v>
      </c>
      <c r="Y31" s="260">
        <f> $F29 * Y30</f>
        <v>878.3183685863041</v>
      </c>
      <c r="Z31" s="260">
        <f> $F29 * Z30</f>
        <v>1097.4180327654242</v>
      </c>
      <c r="AA31" s="260">
        <f> $F29 * AA30</f>
        <v>1002.8497089637954</v>
      </c>
      <c r="AB31" s="260">
        <f> $F29 * AB30</f>
        <v>1203.9078664783437</v>
      </c>
      <c r="AC31" s="260">
        <f> $F29 * AC30</f>
        <v>1102.6474034298071</v>
      </c>
      <c r="AD31" s="260">
        <f> $F29 * AD30</f>
        <v>1524.0495913346756</v>
      </c>
      <c r="AE31" s="260">
        <f> $F29 * AE30</f>
        <v>1409.5389346852903</v>
      </c>
      <c r="AF31" s="260">
        <f> $F29 * AF30</f>
        <v>1629.2214002930436</v>
      </c>
      <c r="AG31" s="260">
        <f> $F29 * AG30</f>
        <v>1508.465511269937</v>
      </c>
      <c r="AH31" s="260">
        <f> $F29 * AH30</f>
        <v>1739.603757930284</v>
      </c>
      <c r="AI31" s="260">
        <f> $F29 * AI30</f>
        <v>1615.0847309719709</v>
      </c>
      <c r="AJ31" s="260">
        <f> $F29 * AJ30</f>
        <v>1841.1221558023174</v>
      </c>
      <c r="AK31" s="260">
        <f> $F29 * AK30</f>
        <v>1711.8385927668253</v>
      </c>
      <c r="AL31" s="260">
        <f> $F29 * AL30</f>
        <v>1944.3274810190444</v>
      </c>
      <c r="AM31" s="260">
        <f> $F29 * AM30</f>
        <v>2015.7009127494316</v>
      </c>
      <c r="AN31" s="260">
        <f> $F29 * AN30</f>
        <v>2249.176402763177</v>
      </c>
      <c r="AO31" s="260">
        <f> $F29 * AO30</f>
        <v>2100.315663368687</v>
      </c>
      <c r="AP31" s="260">
        <f> $F29 * AP30</f>
        <v>2349.1422706944795</v>
      </c>
      <c r="AQ31" s="260">
        <f> $F29 * AQ30</f>
        <v>2196.2313190412265</v>
      </c>
      <c r="AR31" s="260">
        <f> $F29 * AR30</f>
        <v>2432.0429714765864</v>
      </c>
      <c r="AS31" s="260">
        <f> $F29 * AS30</f>
        <v>2275.123804402069</v>
      </c>
      <c r="AT31" s="260">
        <f> $F29 * AT30</f>
        <v>2518.036759724352</v>
      </c>
      <c r="AU31" s="260">
        <f> $F29 * AU30</f>
        <v>2346.8916518093833</v>
      </c>
      <c r="AV31" s="260">
        <f> $F29 * AV30</f>
        <v>2591.526717491291</v>
      </c>
      <c r="AW31" s="260">
        <f> $F29 * AW30</f>
        <v>2416.033477561017</v>
      </c>
      <c r="AX31" s="260">
        <f> $F29 * AX30</f>
        <v>2930.1300998704523</v>
      </c>
      <c r="AY31" s="260">
        <f> $F29 * AY30</f>
        <v>2739.55851822292</v>
      </c>
      <c r="AZ31" s="260">
        <f> $F29 * AZ30</f>
        <v>3003.0782804530177</v>
      </c>
      <c r="BA31" s="260">
        <f> $F29 * BA30</f>
        <v>2808.203197953463</v>
      </c>
      <c r="BB31" s="260">
        <f> $F29 * BB30</f>
        <v>3074.2537989573516</v>
      </c>
      <c r="BC31" s="260">
        <f> $F29 * BC30</f>
        <v>2875.1540800558537</v>
      </c>
      <c r="BD31" s="260">
        <f> $F29 * BD30</f>
        <v>3143.908994838542</v>
      </c>
      <c r="BE31" s="260">
        <f> $F29 * BE30</f>
        <v>2940.650741565406</v>
      </c>
      <c r="BF31" s="260">
        <f> $F29 * BF30</f>
        <v>3212.272788215743</v>
      </c>
      <c r="BG31" s="260">
        <f> $F29 * BG30</f>
        <v>3004.910508982717</v>
      </c>
      <c r="BH31" s="260">
        <f> $F29 * BH30</f>
        <v>3036.63893021064</v>
      </c>
      <c r="BI31" s="260">
        <f> $F29 * BI30</f>
        <v>3312.846405822989</v>
      </c>
      <c r="BJ31" s="260">
        <f> $F29 * BJ30</f>
        <v>3099.4074972410162</v>
      </c>
      <c r="BK31" s="260">
        <f> $F29 * BK30</f>
        <v>3378.8496904499502</v>
      </c>
      <c r="BL31" s="260">
        <f> $F29 * BL30</f>
        <v>3161.3989667529618</v>
      </c>
      <c r="BM31" s="260">
        <f> $F29 * BM30</f>
        <v>3444.2096232018803</v>
      </c>
      <c r="BN31" s="260">
        <f> $F29 * BN30</f>
        <v>3222.768656102239</v>
      </c>
      <c r="BO31" s="260">
        <f> $F29 * BO30</f>
        <v>3509.075168410242</v>
      </c>
      <c r="BP31" s="260">
        <f> $F29 * BP30</f>
        <v>3283.6579236400034</v>
      </c>
      <c r="BQ31" s="260">
        <f> $F29 * BQ30</f>
        <v>3313.9630988837694</v>
      </c>
      <c r="BR31" s="260">
        <f> $F29 * BR30</f>
        <v>3605.7401112535913</v>
      </c>
      <c r="BS31" s="260">
        <f> $F29 * BS30</f>
        <v>3374.369604743875</v>
      </c>
      <c r="BT31" s="260">
        <f> $F29 * BT30</f>
        <v>3669.9377111859117</v>
      </c>
      <c r="BU31" s="260">
        <f> $F29 * BU30</f>
        <v>3434.59673443894</v>
      </c>
      <c r="BV31" s="260">
        <f> $F29 * BV30</f>
        <v>3734.066320050423</v>
      </c>
      <c r="BW31" s="260">
        <f> $F29 * BW30</f>
        <v>3766.135990539744</v>
      </c>
      <c r="BX31" s="260">
        <f> $F29 * BX30</f>
        <v>3798.2248324484385</v>
      </c>
      <c r="BY31" s="260">
        <f> $F29 * BY30</f>
        <v>3830.3439225537268</v>
      </c>
      <c r="BZ31" s="260">
        <f> $F29 * BZ30</f>
        <v>3862.503873061008</v>
      </c>
      <c r="CA31" s="260">
        <f> $F29 * CA30</f>
        <v>3894.714855494557</v>
      </c>
      <c r="CB31" s="260">
        <f> $F29 * CB30</f>
        <v>3926.9866233985804</v>
      </c>
      <c r="CC31" s="260">
        <f> $F29 * CC30</f>
        <v>3959.3285339081913</v>
      </c>
      <c r="CD31" s="260">
        <f> $F29 * CD30</f>
        <v>3991.7495682467998</v>
      </c>
      <c r="CE31" s="260">
        <f> $F29 * CE30</f>
        <v>4024.258351203654</v>
      </c>
      <c r="CF31" s="260">
        <f> $F29 * CF30</f>
        <v>4056.8631696425873</v>
      </c>
      <c r="CG31" s="260">
        <f> $F29 * CG30</f>
        <v>4089.571990090385</v>
      </c>
      <c r="CH31" s="260">
        <f> $F29 * CH30</f>
        <v>4122.392475450903</v>
      </c>
      <c r="CI31" s="260">
        <f> $F29 * CI30</f>
        <v>4155.3320008886285</v>
      </c>
      <c r="CJ31" s="260">
        <f> $F29 * CJ30</f>
        <v>4188.397668923286</v>
      </c>
      <c r="CK31" s="260">
        <f> $F29 * CK30</f>
        <v>4221.5963237749465</v>
      </c>
      <c r="CL31" s="260">
        <f> $F29 * CL30</f>
        <v>4254.934564997188</v>
      </c>
      <c r="CM31" s="260">
        <f> $F29 * CM30</f>
        <v>3683.2506911378982</v>
      </c>
      <c r="CN31" s="260">
        <f> $F29 * CN30</f>
        <v>-3.1125182431424037e-12</v>
      </c>
      <c r="CO31" s="260">
        <f> $F29 * CO30</f>
        <v>-3.147101779177319e-12</v>
      </c>
    </row>
    <row r="32" customFormat="1" s="150">
      <c r="A32" s="348" t="n"/>
      <c r="B32" s="348" t="n"/>
      <c r="C32" s="349" t="n"/>
      <c r="D32" s="193" t="n"/>
      <c r="E32" s="150" t="str">
        <f> LEFT(E31, LEN(E31) - 4)</f>
        <v>Tax paid</v>
      </c>
      <c r="F32" s="150" t="inlineStr">
        <is>
          <t>CF</t>
        </is>
      </c>
      <c r="G32" s="150" t="str">
        <f> G31</f>
        <v>$ 000s</v>
      </c>
      <c r="H32" s="150">
        <f> SUM(J32:CO32)</f>
        <v>-198871.2602477531</v>
      </c>
      <c r="I32" s="150" t="n"/>
      <c r="J32" s="150">
        <f> -1 * J31</f>
        <v>-0.0</v>
      </c>
      <c r="K32" s="150">
        <f> -1 * K31</f>
        <v>-0.0</v>
      </c>
      <c r="L32" s="150">
        <f> -1 * L31</f>
        <v>99.71246898620848</v>
      </c>
      <c r="M32" s="150">
        <f> -1 * M31</f>
        <v>146.72281680842917</v>
      </c>
      <c r="N32" s="150">
        <f> -1 * N31</f>
        <v>-78.22003301300957</v>
      </c>
      <c r="O32" s="150">
        <f> -1 * O31</f>
        <v>-30.4057490000003</v>
      </c>
      <c r="P32" s="150">
        <f> -1 * P31</f>
        <v>-268.26081938137077</v>
      </c>
      <c r="Q32" s="150">
        <f> -1 * Q31</f>
        <v>-218.65762156406274</v>
      </c>
      <c r="R32" s="150">
        <f> -1 * R31</f>
        <v>-444.8110541811538</v>
      </c>
      <c r="S32" s="150">
        <f> -1 * S31</f>
        <v>-389.6023839760422</v>
      </c>
      <c r="T32" s="150">
        <f> -1 * T31</f>
        <v>-679.0356913208262</v>
      </c>
      <c r="U32" s="150">
        <f> -1 * U31</f>
        <v>-608.833673569327</v>
      </c>
      <c r="V32" s="150">
        <f> -1 * V31</f>
        <v>-834.8409106333929</v>
      </c>
      <c r="W32" s="150">
        <f> -1 * W31</f>
        <v>-757.1491275266421</v>
      </c>
      <c r="X32" s="150">
        <f> -1 * X31</f>
        <v>-969.0300947387291</v>
      </c>
      <c r="Y32" s="150">
        <f> -1 * Y31</f>
        <v>-878.3183685863041</v>
      </c>
      <c r="Z32" s="150">
        <f> -1 * Z31</f>
        <v>-1097.4180327654242</v>
      </c>
      <c r="AA32" s="150">
        <f> -1 * AA31</f>
        <v>-1002.8497089637954</v>
      </c>
      <c r="AB32" s="150">
        <f> -1 * AB31</f>
        <v>-1203.9078664783437</v>
      </c>
      <c r="AC32" s="150">
        <f> -1 * AC31</f>
        <v>-1102.6474034298071</v>
      </c>
      <c r="AD32" s="150">
        <f> -1 * AD31</f>
        <v>-1524.0495913346756</v>
      </c>
      <c r="AE32" s="150">
        <f> -1 * AE31</f>
        <v>-1409.5389346852903</v>
      </c>
      <c r="AF32" s="150">
        <f> -1 * AF31</f>
        <v>-1629.2214002930436</v>
      </c>
      <c r="AG32" s="150">
        <f> -1 * AG31</f>
        <v>-1508.465511269937</v>
      </c>
      <c r="AH32" s="150">
        <f> -1 * AH31</f>
        <v>-1739.603757930284</v>
      </c>
      <c r="AI32" s="150">
        <f> -1 * AI31</f>
        <v>-1615.0847309719709</v>
      </c>
      <c r="AJ32" s="150">
        <f> -1 * AJ31</f>
        <v>-1841.1221558023174</v>
      </c>
      <c r="AK32" s="150">
        <f> -1 * AK31</f>
        <v>-1711.8385927668253</v>
      </c>
      <c r="AL32" s="150">
        <f> -1 * AL31</f>
        <v>-1944.3274810190444</v>
      </c>
      <c r="AM32" s="150">
        <f> -1 * AM31</f>
        <v>-2015.7009127494316</v>
      </c>
      <c r="AN32" s="150">
        <f> -1 * AN31</f>
        <v>-2249.176402763177</v>
      </c>
      <c r="AO32" s="150">
        <f> -1 * AO31</f>
        <v>-2100.315663368687</v>
      </c>
      <c r="AP32" s="150">
        <f> -1 * AP31</f>
        <v>-2349.1422706944795</v>
      </c>
      <c r="AQ32" s="150">
        <f> -1 * AQ31</f>
        <v>-2196.2313190412265</v>
      </c>
      <c r="AR32" s="150">
        <f> -1 * AR31</f>
        <v>-2432.0429714765864</v>
      </c>
      <c r="AS32" s="150">
        <f> -1 * AS31</f>
        <v>-2275.123804402069</v>
      </c>
      <c r="AT32" s="150">
        <f> -1 * AT31</f>
        <v>-2518.036759724352</v>
      </c>
      <c r="AU32" s="150">
        <f> -1 * AU31</f>
        <v>-2346.8916518093833</v>
      </c>
      <c r="AV32" s="150">
        <f> -1 * AV31</f>
        <v>-2591.526717491291</v>
      </c>
      <c r="AW32" s="150">
        <f> -1 * AW31</f>
        <v>-2416.033477561017</v>
      </c>
      <c r="AX32" s="150">
        <f> -1 * AX31</f>
        <v>-2930.1300998704523</v>
      </c>
      <c r="AY32" s="150">
        <f> -1 * AY31</f>
        <v>-2739.55851822292</v>
      </c>
      <c r="AZ32" s="150">
        <f> -1 * AZ31</f>
        <v>-3003.0782804530177</v>
      </c>
      <c r="BA32" s="150">
        <f> -1 * BA31</f>
        <v>-2808.203197953463</v>
      </c>
      <c r="BB32" s="150">
        <f> -1 * BB31</f>
        <v>-3074.2537989573516</v>
      </c>
      <c r="BC32" s="150">
        <f> -1 * BC31</f>
        <v>-2875.1540800558537</v>
      </c>
      <c r="BD32" s="150">
        <f> -1 * BD31</f>
        <v>-3143.908994838542</v>
      </c>
      <c r="BE32" s="150">
        <f> -1 * BE31</f>
        <v>-2940.650741565406</v>
      </c>
      <c r="BF32" s="150">
        <f> -1 * BF31</f>
        <v>-3212.272788215743</v>
      </c>
      <c r="BG32" s="150">
        <f> -1 * BG31</f>
        <v>-3004.910508982717</v>
      </c>
      <c r="BH32" s="150">
        <f> -1 * BH31</f>
        <v>-3036.63893021064</v>
      </c>
      <c r="BI32" s="150">
        <f> -1 * BI31</f>
        <v>-3312.846405822989</v>
      </c>
      <c r="BJ32" s="150">
        <f> -1 * BJ31</f>
        <v>-3099.4074972410162</v>
      </c>
      <c r="BK32" s="150">
        <f> -1 * BK31</f>
        <v>-3378.8496904499502</v>
      </c>
      <c r="BL32" s="150">
        <f> -1 * BL31</f>
        <v>-3161.3989667529618</v>
      </c>
      <c r="BM32" s="150">
        <f> -1 * BM31</f>
        <v>-3444.2096232018803</v>
      </c>
      <c r="BN32" s="150">
        <f> -1 * BN31</f>
        <v>-3222.768656102239</v>
      </c>
      <c r="BO32" s="150">
        <f> -1 * BO31</f>
        <v>-3509.075168410242</v>
      </c>
      <c r="BP32" s="150">
        <f> -1 * BP31</f>
        <v>-3283.6579236400034</v>
      </c>
      <c r="BQ32" s="150">
        <f> -1 * BQ31</f>
        <v>-3313.9630988837694</v>
      </c>
      <c r="BR32" s="150">
        <f> -1 * BR31</f>
        <v>-3605.7401112535913</v>
      </c>
      <c r="BS32" s="150">
        <f> -1 * BS31</f>
        <v>-3374.369604743875</v>
      </c>
      <c r="BT32" s="150">
        <f> -1 * BT31</f>
        <v>-3669.9377111859117</v>
      </c>
      <c r="BU32" s="150">
        <f> -1 * BU31</f>
        <v>-3434.59673443894</v>
      </c>
      <c r="BV32" s="150">
        <f> -1 * BV31</f>
        <v>-3734.066320050423</v>
      </c>
      <c r="BW32" s="150">
        <f> -1 * BW31</f>
        <v>-3766.135990539744</v>
      </c>
      <c r="BX32" s="150">
        <f> -1 * BX31</f>
        <v>-3798.2248324484385</v>
      </c>
      <c r="BY32" s="150">
        <f> -1 * BY31</f>
        <v>-3830.3439225537268</v>
      </c>
      <c r="BZ32" s="150">
        <f> -1 * BZ31</f>
        <v>-3862.503873061008</v>
      </c>
      <c r="CA32" s="150">
        <f> -1 * CA31</f>
        <v>-3894.714855494557</v>
      </c>
      <c r="CB32" s="150">
        <f> -1 * CB31</f>
        <v>-3926.9866233985804</v>
      </c>
      <c r="CC32" s="150">
        <f> -1 * CC31</f>
        <v>-3959.3285339081913</v>
      </c>
      <c r="CD32" s="150">
        <f> -1 * CD31</f>
        <v>-3991.7495682467998</v>
      </c>
      <c r="CE32" s="150">
        <f> -1 * CE31</f>
        <v>-4024.258351203654</v>
      </c>
      <c r="CF32" s="150">
        <f> -1 * CF31</f>
        <v>-4056.8631696425873</v>
      </c>
      <c r="CG32" s="150">
        <f> -1 * CG31</f>
        <v>-4089.571990090385</v>
      </c>
      <c r="CH32" s="150">
        <f> -1 * CH31</f>
        <v>-4122.392475450903</v>
      </c>
      <c r="CI32" s="150">
        <f> -1 * CI31</f>
        <v>-4155.3320008886285</v>
      </c>
      <c r="CJ32" s="150">
        <f> -1 * CJ31</f>
        <v>-4188.397668923286</v>
      </c>
      <c r="CK32" s="150">
        <f> -1 * CK31</f>
        <v>-4221.5963237749465</v>
      </c>
      <c r="CL32" s="150">
        <f> -1 * CL31</f>
        <v>-4254.934564997188</v>
      </c>
      <c r="CM32" s="150">
        <f> -1 * CM31</f>
        <v>-3683.2506911378982</v>
      </c>
      <c r="CN32" s="150">
        <f> -1 * CN31</f>
        <v>3.1125182431424037e-12</v>
      </c>
      <c r="CO32" s="150">
        <f> -1 * CO31</f>
        <v>3.147101779177319e-12</v>
      </c>
    </row>
    <row r="34">
      <c r="A34" s="294" t="inlineStr">
        <is>
          <t>TAX EXPENSE</t>
        </is>
      </c>
    </row>
    <row r="35">
      <c r="C35" s="212" t="n"/>
      <c r="E35" s="336" t="str">
        <f> InpC!E$86</f>
        <v>Corporation tax rate</v>
      </c>
      <c r="F35" s="336">
        <f> InpC!F$86</f>
        <v>0.3</v>
      </c>
      <c r="G35" s="336" t="str">
        <f> InpC!G$86</f>
        <v>%</v>
      </c>
    </row>
    <row r="36">
      <c r="E36" s="367" t="str">
        <f> FinStat!E$15</f>
        <v>Profit before tax</v>
      </c>
      <c r="F36" s="367">
        <f> FinStat!F$15</f>
        <v>0.0</v>
      </c>
      <c r="G36" s="367" t="str">
        <f> FinStat!G$15</f>
        <v>$ 000s</v>
      </c>
      <c r="H36" s="367">
        <f> FinStat!H$15</f>
        <v>662904.2008258437</v>
      </c>
      <c r="I36" s="367">
        <f> FinStat!I$15</f>
        <v>0.0</v>
      </c>
      <c r="J36" s="367">
        <f> FinStat!J$15</f>
        <v>0.0</v>
      </c>
      <c r="K36" s="367">
        <f> FinStat!K$15</f>
        <v>0.0</v>
      </c>
      <c r="L36" s="367">
        <f> FinStat!L$15</f>
        <v>3000.958436712638</v>
      </c>
      <c r="M36" s="367">
        <f> FinStat!M$15</f>
        <v>2594.257277305236</v>
      </c>
      <c r="N36" s="367">
        <f> FinStat!N$15</f>
        <v>3106.5667767100317</v>
      </c>
      <c r="O36" s="367">
        <f> FinStat!O$15</f>
        <v>2721.560830000001</v>
      </c>
      <c r="P36" s="367">
        <f> FinStat!P$15</f>
        <v>3300.067314604569</v>
      </c>
      <c r="Q36" s="367">
        <f> FinStat!Q$15</f>
        <v>2931.0967593802093</v>
      </c>
      <c r="R36" s="367">
        <f> FinStat!R$15</f>
        <v>3491.4963003955127</v>
      </c>
      <c r="S36" s="367">
        <f> FinStat!S$15</f>
        <v>3123.694427055557</v>
      </c>
      <c r="T36" s="367">
        <f> FinStat!T$15</f>
        <v>3913.8877941814</v>
      </c>
      <c r="U36" s="367">
        <f> FinStat!U$15</f>
        <v>3509.025960520803</v>
      </c>
      <c r="V36" s="367">
        <f> FinStat!V$15</f>
        <v>4100.07106496987</v>
      </c>
      <c r="W36" s="367">
        <f> FinStat!W$15</f>
        <v>3686.9017198044403</v>
      </c>
      <c r="X36" s="367">
        <f> FinStat!X$15</f>
        <v>4246.684712442282</v>
      </c>
      <c r="Y36" s="367">
        <f> FinStat!Y$15</f>
        <v>3802.6497387685395</v>
      </c>
      <c r="Z36" s="367">
        <f> FinStat!Z$15</f>
        <v>4398.4025271915625</v>
      </c>
      <c r="AA36" s="367">
        <f> FinStat!AA$15</f>
        <v>3955.324326954126</v>
      </c>
      <c r="AB36" s="367">
        <f> FinStat!AB$15</f>
        <v>4504.060253815547</v>
      </c>
      <c r="AC36" s="367">
        <f> FinStat!AC$15</f>
        <v>4047.390342042704</v>
      </c>
      <c r="AD36" s="367">
        <f> FinStat!AD$15</f>
        <v>5338.886018528432</v>
      </c>
      <c r="AE36" s="367">
        <f> FinStat!AE$15</f>
        <v>4849.664460659839</v>
      </c>
      <c r="AF36" s="367">
        <f> FinStat!AF$15</f>
        <v>5479.795945433572</v>
      </c>
      <c r="AG36" s="367">
        <f> FinStat!AG$15</f>
        <v>4977.740084800379</v>
      </c>
      <c r="AH36" s="367">
        <f> FinStat!AH$15</f>
        <v>5653.641487973173</v>
      </c>
      <c r="AI36" s="367">
        <f> FinStat!AI$15</f>
        <v>5148.746616701852</v>
      </c>
      <c r="AJ36" s="367">
        <f> FinStat!AJ$15</f>
        <v>5816.864823796576</v>
      </c>
      <c r="AK36" s="367">
        <f> FinStat!AK$15</f>
        <v>5303.596731788826</v>
      </c>
      <c r="AL36" s="367">
        <f> FinStat!AL$15</f>
        <v>6000.352954834586</v>
      </c>
      <c r="AM36" s="367">
        <f> FinStat!AM$15</f>
        <v>6163.967993030656</v>
      </c>
      <c r="AN36" s="367">
        <f> FinStat!AN$15</f>
        <v>6971.638045549847</v>
      </c>
      <c r="AO36" s="367">
        <f> FinStat!AO$15</f>
        <v>6405.883079084584</v>
      </c>
      <c r="AP36" s="367">
        <f> FinStat!AP$15</f>
        <v>7169.230226777776</v>
      </c>
      <c r="AQ36" s="367">
        <f> FinStat!AQ$15</f>
        <v>6596.755921710458</v>
      </c>
      <c r="AR36" s="367">
        <f> FinStat!AR$15</f>
        <v>7373.162186916339</v>
      </c>
      <c r="AS36" s="367">
        <f> FinStat!AS$15</f>
        <v>6790.947349234895</v>
      </c>
      <c r="AT36" s="367">
        <f> FinStat!AT$15</f>
        <v>7544.463800247773</v>
      </c>
      <c r="AU36" s="367">
        <f> FinStat!AU$15</f>
        <v>6920.596377139547</v>
      </c>
      <c r="AV36" s="367">
        <f> FinStat!AV$15</f>
        <v>7760.332052523827</v>
      </c>
      <c r="AW36" s="367">
        <f> FinStat!AW$15</f>
        <v>7127.175769711937</v>
      </c>
      <c r="AX36" s="367">
        <f> FinStat!AX$15</f>
        <v>8795.061301851294</v>
      </c>
      <c r="AY36" s="367">
        <f> FinStat!AY$15</f>
        <v>8116.341314578696</v>
      </c>
      <c r="AZ36" s="367">
        <f> FinStat!AZ$15</f>
        <v>9003.433209320574</v>
      </c>
      <c r="BA36" s="367">
        <f> FinStat!BA$15</f>
        <v>8314.607653931535</v>
      </c>
      <c r="BB36" s="367">
        <f> FinStat!BB$15</f>
        <v>9164.163140906829</v>
      </c>
      <c r="BC36" s="367">
        <f> FinStat!BC$15</f>
        <v>8465.081554016053</v>
      </c>
      <c r="BD36" s="367">
        <f> FinStat!BD$15</f>
        <v>9352.286205600189</v>
      </c>
      <c r="BE36" s="367">
        <f> FinStat!BE$15</f>
        <v>8642.795883549481</v>
      </c>
      <c r="BF36" s="367">
        <f> FinStat!BF$15</f>
        <v>9517.838035134031</v>
      </c>
      <c r="BG36" s="367">
        <f> FinStat!BG$15</f>
        <v>8797.784000636533</v>
      </c>
      <c r="BH36" s="367">
        <f> FinStat!BH$15</f>
        <v>8926.141289528237</v>
      </c>
      <c r="BI36" s="367">
        <f> FinStat!BI$15</f>
        <v>9820.798965461428</v>
      </c>
      <c r="BJ36" s="367">
        <f> FinStat!BJ$15</f>
        <v>9084.603722885613</v>
      </c>
      <c r="BK36" s="367">
        <f> FinStat!BK$15</f>
        <v>9992.582096977949</v>
      </c>
      <c r="BL36" s="367">
        <f> FinStat!BL$15</f>
        <v>9295.425528214082</v>
      </c>
      <c r="BM36" s="367">
        <f> FinStat!BM$15</f>
        <v>10216.922934425265</v>
      </c>
      <c r="BN36" s="367">
        <f> FinStat!BN$15</f>
        <v>9458.64183457218</v>
      </c>
      <c r="BO36" s="367">
        <f> FinStat!BO$15</f>
        <v>10393.859559887285</v>
      </c>
      <c r="BP36" s="367">
        <f> FinStat!BP$15</f>
        <v>9624.288294060501</v>
      </c>
      <c r="BQ36" s="367">
        <f> FinStat!BQ$15</f>
        <v>9708.034117443362</v>
      </c>
      <c r="BR36" s="367">
        <f> FinStat!BR$15</f>
        <v>10664.216302617895</v>
      </c>
      <c r="BS36" s="367">
        <f> FinStat!BS$15</f>
        <v>9877.393817663544</v>
      </c>
      <c r="BT36" s="367">
        <f> FinStat!BT$15</f>
        <v>12514.479415711136</v>
      </c>
      <c r="BU36" s="367">
        <f> FinStat!BU$15</f>
        <v>11715.941807633326</v>
      </c>
      <c r="BV36" s="367">
        <f> FinStat!BV$15</f>
        <v>12700.809458363092</v>
      </c>
      <c r="BW36" s="367">
        <f> FinStat!BW$15</f>
        <v>12795.01227375108</v>
      </c>
      <c r="BX36" s="367">
        <f> FinStat!BX$15</f>
        <v>12889.913798182464</v>
      </c>
      <c r="BY36" s="367">
        <f> FinStat!BY$15</f>
        <v>12985.519214032374</v>
      </c>
      <c r="BZ36" s="367">
        <f> FinStat!BZ$15</f>
        <v>13081.83374211398</v>
      </c>
      <c r="CA36" s="367">
        <f> FinStat!CA$15</f>
        <v>13178.862641963613</v>
      </c>
      <c r="CB36" s="367">
        <f> FinStat!CB$15</f>
        <v>13276.611212127937</v>
      </c>
      <c r="CC36" s="367">
        <f> FinStat!CC$15</f>
        <v>13375.08479045334</v>
      </c>
      <c r="CD36" s="367">
        <f> FinStat!CD$15</f>
        <v>13474.288754377398</v>
      </c>
      <c r="CE36" s="367">
        <f> FinStat!CE$15</f>
        <v>13574.22852122251</v>
      </c>
      <c r="CF36" s="367">
        <f> FinStat!CF$15</f>
        <v>13674.90954849177</v>
      </c>
      <c r="CG36" s="367">
        <f> FinStat!CG$15</f>
        <v>13776.33733416694</v>
      </c>
      <c r="CH36" s="367">
        <f> FinStat!CH$15</f>
        <v>13878.517417008716</v>
      </c>
      <c r="CI36" s="367">
        <f> FinStat!CI$15</f>
        <v>13981.455376859183</v>
      </c>
      <c r="CJ36" s="367">
        <f> FinStat!CJ$15</f>
        <v>14085.15683494652</v>
      </c>
      <c r="CK36" s="367">
        <f> FinStat!CK$15</f>
        <v>14189.627454191945</v>
      </c>
      <c r="CL36" s="367">
        <f> FinStat!CL$15</f>
        <v>14294.872939518977</v>
      </c>
      <c r="CM36" s="367">
        <f> FinStat!CM$15</f>
        <v>14400.899038164956</v>
      </c>
      <c r="CN36" s="367">
        <f> FinStat!CN$15</f>
        <v>-1.037506081047468e-11</v>
      </c>
      <c r="CO36" s="367">
        <f> FinStat!CO$15</f>
        <v>-1.0490339263924398e-11</v>
      </c>
    </row>
    <row r="37" customFormat="1" s="260">
      <c r="A37" s="263" t="n"/>
      <c r="B37" s="263" t="n"/>
      <c r="C37" s="264" t="n"/>
      <c r="D37" s="335" t="n"/>
      <c r="E37" s="260" t="inlineStr">
        <is>
          <t>Tax expense POS</t>
        </is>
      </c>
      <c r="G37" s="260" t="str">
        <f>SMU</f>
        <v>$ 000s</v>
      </c>
      <c r="H37" s="260">
        <f> SUM(J37:CO37)</f>
        <v>198871.26024775312</v>
      </c>
      <c r="J37" s="260">
        <f> $F35 * J36</f>
        <v>0.0</v>
      </c>
      <c r="K37" s="260">
        <f> $F35 * K36</f>
        <v>0.0</v>
      </c>
      <c r="L37" s="260">
        <f> $F35 * L36</f>
        <v>900.2875310137914</v>
      </c>
      <c r="M37" s="260">
        <f> $F35 * M36</f>
        <v>778.2771831915708</v>
      </c>
      <c r="N37" s="260">
        <f> $F35 * N36</f>
        <v>931.9700330130095</v>
      </c>
      <c r="O37" s="260">
        <f> $F35 * O36</f>
        <v>816.4682490000002</v>
      </c>
      <c r="P37" s="260">
        <f> $F35 * P36</f>
        <v>990.0201943813707</v>
      </c>
      <c r="Q37" s="260">
        <f> $F35 * Q36</f>
        <v>879.3290278140628</v>
      </c>
      <c r="R37" s="260">
        <f> $F35 * R36</f>
        <v>1047.4488901186537</v>
      </c>
      <c r="S37" s="260">
        <f> $F35 * S36</f>
        <v>937.108328116667</v>
      </c>
      <c r="T37" s="260">
        <f> $F35 * T36</f>
        <v>1174.16633825442</v>
      </c>
      <c r="U37" s="260">
        <f> $F35 * U36</f>
        <v>1052.707788156241</v>
      </c>
      <c r="V37" s="260">
        <f> $F35 * V36</f>
        <v>1230.021319490961</v>
      </c>
      <c r="W37" s="260">
        <f> $F35 * W36</f>
        <v>1106.0705159413321</v>
      </c>
      <c r="X37" s="260">
        <f> $F35 * X36</f>
        <v>1274.0054137326845</v>
      </c>
      <c r="Y37" s="260">
        <f> $F35 * Y36</f>
        <v>1140.7949216305617</v>
      </c>
      <c r="Z37" s="260">
        <f> $F35 * Z36</f>
        <v>1319.5207581574687</v>
      </c>
      <c r="AA37" s="260">
        <f> $F35 * AA36</f>
        <v>1186.5972980862377</v>
      </c>
      <c r="AB37" s="260">
        <f> $F35 * AB36</f>
        <v>1351.218076144664</v>
      </c>
      <c r="AC37" s="260">
        <f> $F35 * AC36</f>
        <v>1214.2171026128112</v>
      </c>
      <c r="AD37" s="260">
        <f> $F35 * AD36</f>
        <v>1601.6658055585297</v>
      </c>
      <c r="AE37" s="260">
        <f> $F35 * AE36</f>
        <v>1454.8993381979517</v>
      </c>
      <c r="AF37" s="260">
        <f> $F35 * AF36</f>
        <v>1643.9387836300716</v>
      </c>
      <c r="AG37" s="260">
        <f> $F35 * AG36</f>
        <v>1493.3220254401137</v>
      </c>
      <c r="AH37" s="260">
        <f> $F35 * AH36</f>
        <v>1696.0924463919519</v>
      </c>
      <c r="AI37" s="260">
        <f> $F35 * AI36</f>
        <v>1544.6239850105555</v>
      </c>
      <c r="AJ37" s="260">
        <f> $F35 * AJ36</f>
        <v>1745.059447138973</v>
      </c>
      <c r="AK37" s="260">
        <f> $F35 * AK36</f>
        <v>1591.0790195366478</v>
      </c>
      <c r="AL37" s="260">
        <f> $F35 * AL36</f>
        <v>1800.1058864503757</v>
      </c>
      <c r="AM37" s="260">
        <f> $F35 * AM36</f>
        <v>1849.1903979091967</v>
      </c>
      <c r="AN37" s="260">
        <f> $F35 * AN36</f>
        <v>2091.491413664954</v>
      </c>
      <c r="AO37" s="260">
        <f> $F35 * AO36</f>
        <v>1921.7649237253752</v>
      </c>
      <c r="AP37" s="260">
        <f> $F35 * AP36</f>
        <v>2150.7690680333326</v>
      </c>
      <c r="AQ37" s="260">
        <f> $F35 * AQ36</f>
        <v>1979.0267765131373</v>
      </c>
      <c r="AR37" s="260">
        <f> $F35 * AR36</f>
        <v>2211.9486560749015</v>
      </c>
      <c r="AS37" s="260">
        <f> $F35 * AS36</f>
        <v>2037.2842047704685</v>
      </c>
      <c r="AT37" s="260">
        <f> $F35 * AT36</f>
        <v>2263.3391400743317</v>
      </c>
      <c r="AU37" s="260">
        <f> $F35 * AU36</f>
        <v>2076.178913141864</v>
      </c>
      <c r="AV37" s="260">
        <f> $F35 * AV36</f>
        <v>2328.099615757148</v>
      </c>
      <c r="AW37" s="260">
        <f> $F35 * AW36</f>
        <v>2138.1527309135813</v>
      </c>
      <c r="AX37" s="260">
        <f> $F35 * AX36</f>
        <v>2638.518390555388</v>
      </c>
      <c r="AY37" s="260">
        <f> $F35 * AY36</f>
        <v>2434.902394373609</v>
      </c>
      <c r="AZ37" s="260">
        <f> $F35 * AZ36</f>
        <v>2701.029962796172</v>
      </c>
      <c r="BA37" s="260">
        <f> $F35 * BA36</f>
        <v>2494.3822961794604</v>
      </c>
      <c r="BB37" s="260">
        <f> $F35 * BB36</f>
        <v>2749.2489422720487</v>
      </c>
      <c r="BC37" s="260">
        <f> $F35 * BC36</f>
        <v>2539.524466204816</v>
      </c>
      <c r="BD37" s="260">
        <f> $F35 * BD36</f>
        <v>2805.6858616800564</v>
      </c>
      <c r="BE37" s="260">
        <f> $F35 * BE36</f>
        <v>2592.838765064844</v>
      </c>
      <c r="BF37" s="260">
        <f> $F35 * BF36</f>
        <v>2855.351410540209</v>
      </c>
      <c r="BG37" s="260">
        <f> $F35 * BG36</f>
        <v>2639.3352001909598</v>
      </c>
      <c r="BH37" s="260">
        <f> $F35 * BH36</f>
        <v>2677.842386858471</v>
      </c>
      <c r="BI37" s="260">
        <f> $F35 * BI36</f>
        <v>2946.2396896384284</v>
      </c>
      <c r="BJ37" s="260">
        <f> $F35 * BJ36</f>
        <v>2725.381116865684</v>
      </c>
      <c r="BK37" s="260">
        <f> $F35 * BK36</f>
        <v>2997.7746290933846</v>
      </c>
      <c r="BL37" s="260">
        <f> $F35 * BL36</f>
        <v>2788.6276584642246</v>
      </c>
      <c r="BM37" s="260">
        <f> $F35 * BM36</f>
        <v>3065.0768803275796</v>
      </c>
      <c r="BN37" s="260">
        <f> $F35 * BN36</f>
        <v>2837.592550371654</v>
      </c>
      <c r="BO37" s="260">
        <f> $F35 * BO36</f>
        <v>3118.1578679661857</v>
      </c>
      <c r="BP37" s="260">
        <f> $F35 * BP36</f>
        <v>2887.28648821815</v>
      </c>
      <c r="BQ37" s="260">
        <f> $F35 * BQ36</f>
        <v>2912.4102352330083</v>
      </c>
      <c r="BR37" s="260">
        <f> $F35 * BR36</f>
        <v>3199.2648907853686</v>
      </c>
      <c r="BS37" s="260">
        <f> $F35 * BS36</f>
        <v>2963.218145299063</v>
      </c>
      <c r="BT37" s="260">
        <f> $F35 * BT36</f>
        <v>3754.3438247133404</v>
      </c>
      <c r="BU37" s="260">
        <f> $F35 * BU36</f>
        <v>3514.7825422899978</v>
      </c>
      <c r="BV37" s="260">
        <f> $F35 * BV36</f>
        <v>3810.2428375089276</v>
      </c>
      <c r="BW37" s="260">
        <f> $F35 * BW36</f>
        <v>3838.5036821253234</v>
      </c>
      <c r="BX37" s="260">
        <f> $F35 * BX36</f>
        <v>3866.974139454739</v>
      </c>
      <c r="BY37" s="260">
        <f> $F35 * BY36</f>
        <v>3895.6557642097123</v>
      </c>
      <c r="BZ37" s="260">
        <f> $F35 * BZ36</f>
        <v>3924.550122634194</v>
      </c>
      <c r="CA37" s="260">
        <f> $F35 * CA36</f>
        <v>3953.6587925890835</v>
      </c>
      <c r="CB37" s="260">
        <f> $F35 * CB36</f>
        <v>3982.983363638381</v>
      </c>
      <c r="CC37" s="260">
        <f> $F35 * CC36</f>
        <v>4012.525437136002</v>
      </c>
      <c r="CD37" s="260">
        <f> $F35 * CD36</f>
        <v>4042.286626313219</v>
      </c>
      <c r="CE37" s="260">
        <f> $F35 * CE36</f>
        <v>4072.268556366753</v>
      </c>
      <c r="CF37" s="260">
        <f> $F35 * CF36</f>
        <v>4102.472864547531</v>
      </c>
      <c r="CG37" s="260">
        <f> $F35 * CG36</f>
        <v>4132.901200250081</v>
      </c>
      <c r="CH37" s="260">
        <f> $F35 * CH36</f>
        <v>4163.555225102615</v>
      </c>
      <c r="CI37" s="260">
        <f> $F35 * CI36</f>
        <v>4194.436613057755</v>
      </c>
      <c r="CJ37" s="260">
        <f> $F35 * CJ36</f>
        <v>4225.547050483956</v>
      </c>
      <c r="CK37" s="260">
        <f> $F35 * CK36</f>
        <v>4256.888236257583</v>
      </c>
      <c r="CL37" s="260">
        <f> $F35 * CL36</f>
        <v>4288.461881855693</v>
      </c>
      <c r="CM37" s="260">
        <f> $F35 * CM36</f>
        <v>4320.269711449487</v>
      </c>
      <c r="CN37" s="260">
        <f> $F35 * CN36</f>
        <v>-3.1125182431424037e-12</v>
      </c>
      <c r="CO37" s="260">
        <f> $F35 * CO36</f>
        <v>-3.147101779177319e-12</v>
      </c>
    </row>
    <row r="38" customFormat="1" s="150">
      <c r="A38" s="348" t="n"/>
      <c r="B38" s="348" t="n"/>
      <c r="C38" s="349" t="n"/>
      <c r="D38" s="193" t="n"/>
      <c r="E38" s="150" t="str">
        <f> LEFT(E37, LEN(E37) - 4)</f>
        <v>Tax expense</v>
      </c>
      <c r="F38" s="150" t="inlineStr">
        <is>
          <t>IS</t>
        </is>
      </c>
      <c r="G38" s="150" t="str">
        <f> G37</f>
        <v>$ 000s</v>
      </c>
      <c r="H38" s="150">
        <f> SUM(J38:CO38)</f>
        <v>-198871.26024775312</v>
      </c>
      <c r="I38" s="150" t="n"/>
      <c r="J38" s="150">
        <f> -1 * J37</f>
        <v>-0.0</v>
      </c>
      <c r="K38" s="150">
        <f> -1 * K37</f>
        <v>-0.0</v>
      </c>
      <c r="L38" s="150">
        <f> -1 * L37</f>
        <v>-900.2875310137914</v>
      </c>
      <c r="M38" s="150">
        <f> -1 * M37</f>
        <v>-778.2771831915708</v>
      </c>
      <c r="N38" s="150">
        <f> -1 * N37</f>
        <v>-931.9700330130095</v>
      </c>
      <c r="O38" s="150">
        <f> -1 * O37</f>
        <v>-816.4682490000002</v>
      </c>
      <c r="P38" s="150">
        <f> -1 * P37</f>
        <v>-990.0201943813707</v>
      </c>
      <c r="Q38" s="150">
        <f> -1 * Q37</f>
        <v>-879.3290278140628</v>
      </c>
      <c r="R38" s="150">
        <f> -1 * R37</f>
        <v>-1047.4488901186537</v>
      </c>
      <c r="S38" s="150">
        <f> -1 * S37</f>
        <v>-937.108328116667</v>
      </c>
      <c r="T38" s="150">
        <f> -1 * T37</f>
        <v>-1174.16633825442</v>
      </c>
      <c r="U38" s="150">
        <f> -1 * U37</f>
        <v>-1052.707788156241</v>
      </c>
      <c r="V38" s="150">
        <f> -1 * V37</f>
        <v>-1230.021319490961</v>
      </c>
      <c r="W38" s="150">
        <f> -1 * W37</f>
        <v>-1106.0705159413321</v>
      </c>
      <c r="X38" s="150">
        <f> -1 * X37</f>
        <v>-1274.0054137326845</v>
      </c>
      <c r="Y38" s="150">
        <f> -1 * Y37</f>
        <v>-1140.7949216305617</v>
      </c>
      <c r="Z38" s="150">
        <f> -1 * Z37</f>
        <v>-1319.5207581574687</v>
      </c>
      <c r="AA38" s="150">
        <f> -1 * AA37</f>
        <v>-1186.5972980862377</v>
      </c>
      <c r="AB38" s="150">
        <f> -1 * AB37</f>
        <v>-1351.218076144664</v>
      </c>
      <c r="AC38" s="150">
        <f> -1 * AC37</f>
        <v>-1214.2171026128112</v>
      </c>
      <c r="AD38" s="150">
        <f> -1 * AD37</f>
        <v>-1601.6658055585297</v>
      </c>
      <c r="AE38" s="150">
        <f> -1 * AE37</f>
        <v>-1454.8993381979517</v>
      </c>
      <c r="AF38" s="150">
        <f> -1 * AF37</f>
        <v>-1643.9387836300716</v>
      </c>
      <c r="AG38" s="150">
        <f> -1 * AG37</f>
        <v>-1493.3220254401137</v>
      </c>
      <c r="AH38" s="150">
        <f> -1 * AH37</f>
        <v>-1696.0924463919519</v>
      </c>
      <c r="AI38" s="150">
        <f> -1 * AI37</f>
        <v>-1544.6239850105555</v>
      </c>
      <c r="AJ38" s="150">
        <f> -1 * AJ37</f>
        <v>-1745.059447138973</v>
      </c>
      <c r="AK38" s="150">
        <f> -1 * AK37</f>
        <v>-1591.0790195366478</v>
      </c>
      <c r="AL38" s="150">
        <f> -1 * AL37</f>
        <v>-1800.1058864503757</v>
      </c>
      <c r="AM38" s="150">
        <f> -1 * AM37</f>
        <v>-1849.1903979091967</v>
      </c>
      <c r="AN38" s="150">
        <f> -1 * AN37</f>
        <v>-2091.491413664954</v>
      </c>
      <c r="AO38" s="150">
        <f> -1 * AO37</f>
        <v>-1921.7649237253752</v>
      </c>
      <c r="AP38" s="150">
        <f> -1 * AP37</f>
        <v>-2150.7690680333326</v>
      </c>
      <c r="AQ38" s="150">
        <f> -1 * AQ37</f>
        <v>-1979.0267765131373</v>
      </c>
      <c r="AR38" s="150">
        <f> -1 * AR37</f>
        <v>-2211.9486560749015</v>
      </c>
      <c r="AS38" s="150">
        <f> -1 * AS37</f>
        <v>-2037.2842047704685</v>
      </c>
      <c r="AT38" s="150">
        <f> -1 * AT37</f>
        <v>-2263.3391400743317</v>
      </c>
      <c r="AU38" s="150">
        <f> -1 * AU37</f>
        <v>-2076.178913141864</v>
      </c>
      <c r="AV38" s="150">
        <f> -1 * AV37</f>
        <v>-2328.099615757148</v>
      </c>
      <c r="AW38" s="150">
        <f> -1 * AW37</f>
        <v>-2138.1527309135813</v>
      </c>
      <c r="AX38" s="150">
        <f> -1 * AX37</f>
        <v>-2638.518390555388</v>
      </c>
      <c r="AY38" s="150">
        <f> -1 * AY37</f>
        <v>-2434.902394373609</v>
      </c>
      <c r="AZ38" s="150">
        <f> -1 * AZ37</f>
        <v>-2701.029962796172</v>
      </c>
      <c r="BA38" s="150">
        <f> -1 * BA37</f>
        <v>-2494.3822961794604</v>
      </c>
      <c r="BB38" s="150">
        <f> -1 * BB37</f>
        <v>-2749.2489422720487</v>
      </c>
      <c r="BC38" s="150">
        <f> -1 * BC37</f>
        <v>-2539.524466204816</v>
      </c>
      <c r="BD38" s="150">
        <f> -1 * BD37</f>
        <v>-2805.6858616800564</v>
      </c>
      <c r="BE38" s="150">
        <f> -1 * BE37</f>
        <v>-2592.838765064844</v>
      </c>
      <c r="BF38" s="150">
        <f> -1 * BF37</f>
        <v>-2855.351410540209</v>
      </c>
      <c r="BG38" s="150">
        <f> -1 * BG37</f>
        <v>-2639.3352001909598</v>
      </c>
      <c r="BH38" s="150">
        <f> -1 * BH37</f>
        <v>-2677.842386858471</v>
      </c>
      <c r="BI38" s="150">
        <f> -1 * BI37</f>
        <v>-2946.2396896384284</v>
      </c>
      <c r="BJ38" s="150">
        <f> -1 * BJ37</f>
        <v>-2725.381116865684</v>
      </c>
      <c r="BK38" s="150">
        <f> -1 * BK37</f>
        <v>-2997.7746290933846</v>
      </c>
      <c r="BL38" s="150">
        <f> -1 * BL37</f>
        <v>-2788.6276584642246</v>
      </c>
      <c r="BM38" s="150">
        <f> -1 * BM37</f>
        <v>-3065.0768803275796</v>
      </c>
      <c r="BN38" s="150">
        <f> -1 * BN37</f>
        <v>-2837.592550371654</v>
      </c>
      <c r="BO38" s="150">
        <f> -1 * BO37</f>
        <v>-3118.1578679661857</v>
      </c>
      <c r="BP38" s="150">
        <f> -1 * BP37</f>
        <v>-2887.28648821815</v>
      </c>
      <c r="BQ38" s="150">
        <f> -1 * BQ37</f>
        <v>-2912.4102352330083</v>
      </c>
      <c r="BR38" s="150">
        <f> -1 * BR37</f>
        <v>-3199.2648907853686</v>
      </c>
      <c r="BS38" s="150">
        <f> -1 * BS37</f>
        <v>-2963.218145299063</v>
      </c>
      <c r="BT38" s="150">
        <f> -1 * BT37</f>
        <v>-3754.3438247133404</v>
      </c>
      <c r="BU38" s="150">
        <f> -1 * BU37</f>
        <v>-3514.7825422899978</v>
      </c>
      <c r="BV38" s="150">
        <f> -1 * BV37</f>
        <v>-3810.2428375089276</v>
      </c>
      <c r="BW38" s="150">
        <f> -1 * BW37</f>
        <v>-3838.5036821253234</v>
      </c>
      <c r="BX38" s="150">
        <f> -1 * BX37</f>
        <v>-3866.974139454739</v>
      </c>
      <c r="BY38" s="150">
        <f> -1 * BY37</f>
        <v>-3895.6557642097123</v>
      </c>
      <c r="BZ38" s="150">
        <f> -1 * BZ37</f>
        <v>-3924.550122634194</v>
      </c>
      <c r="CA38" s="150">
        <f> -1 * CA37</f>
        <v>-3953.6587925890835</v>
      </c>
      <c r="CB38" s="150">
        <f> -1 * CB37</f>
        <v>-3982.983363638381</v>
      </c>
      <c r="CC38" s="150">
        <f> -1 * CC37</f>
        <v>-4012.525437136002</v>
      </c>
      <c r="CD38" s="150">
        <f> -1 * CD37</f>
        <v>-4042.286626313219</v>
      </c>
      <c r="CE38" s="150">
        <f> -1 * CE37</f>
        <v>-4072.268556366753</v>
      </c>
      <c r="CF38" s="150">
        <f> -1 * CF37</f>
        <v>-4102.472864547531</v>
      </c>
      <c r="CG38" s="150">
        <f> -1 * CG37</f>
        <v>-4132.901200250081</v>
      </c>
      <c r="CH38" s="150">
        <f> -1 * CH37</f>
        <v>-4163.555225102615</v>
      </c>
      <c r="CI38" s="150">
        <f> -1 * CI37</f>
        <v>-4194.436613057755</v>
      </c>
      <c r="CJ38" s="150">
        <f> -1 * CJ37</f>
        <v>-4225.547050483956</v>
      </c>
      <c r="CK38" s="150">
        <f> -1 * CK37</f>
        <v>-4256.888236257583</v>
      </c>
      <c r="CL38" s="150">
        <f> -1 * CL37</f>
        <v>-4288.461881855693</v>
      </c>
      <c r="CM38" s="150">
        <f> -1 * CM37</f>
        <v>-4320.269711449487</v>
      </c>
      <c r="CN38" s="150">
        <f> -1 * CN37</f>
        <v>3.1125182431424037e-12</v>
      </c>
      <c r="CO38" s="150">
        <f> -1 * CO37</f>
        <v>3.147101779177319e-12</v>
      </c>
    </row>
    <row r="41">
      <c r="A41" s="294" t="inlineStr">
        <is>
          <t>DEFERRED TAX BALANCE</t>
        </is>
      </c>
    </row>
    <row r="43" customFormat="1" s="182">
      <c r="A43" s="177" t="n"/>
      <c r="B43" s="177" t="n"/>
      <c r="C43" s="178" t="n"/>
      <c r="D43" s="179" t="n"/>
      <c r="E43" s="182" t="inlineStr">
        <is>
          <t>Deferred tax - initial balance</t>
        </is>
      </c>
      <c r="F43" s="182" t="n">
        <v>0</v>
      </c>
      <c r="G43" s="182" t="n"/>
    </row>
    <row r="44" customFormat="1" s="100">
      <c r="A44" s="294" t="n"/>
      <c r="B44" s="294" t="n"/>
      <c r="C44" s="212" t="n"/>
      <c r="D44" s="244" t="n"/>
      <c r="E44" s="325" t="str">
        <f> Time!E$45</f>
        <v>Acquisition / initial balance date flag</v>
      </c>
      <c r="F44" s="325">
        <f> Time!F$45</f>
        <v>0.0</v>
      </c>
      <c r="G44" s="325" t="str">
        <f> Time!G$45</f>
        <v>flag</v>
      </c>
      <c r="H44" s="325">
        <f> Time!H$45</f>
        <v>1.0</v>
      </c>
      <c r="I44" s="325">
        <f> Time!I$45</f>
        <v>0.0</v>
      </c>
      <c r="J44" s="325">
        <f> Time!J$45</f>
        <v>0.0</v>
      </c>
      <c r="K44" s="325">
        <f> Time!K$45</f>
        <v>1.0</v>
      </c>
      <c r="L44" s="325">
        <f> Time!L$45</f>
        <v>0.0</v>
      </c>
      <c r="M44" s="325">
        <f> Time!M$45</f>
        <v>0.0</v>
      </c>
      <c r="N44" s="325">
        <f> Time!N$45</f>
        <v>0.0</v>
      </c>
      <c r="O44" s="325">
        <f> Time!O$45</f>
        <v>0.0</v>
      </c>
      <c r="P44" s="325">
        <f> Time!P$45</f>
        <v>0.0</v>
      </c>
      <c r="Q44" s="325">
        <f> Time!Q$45</f>
        <v>0.0</v>
      </c>
      <c r="R44" s="325">
        <f> Time!R$45</f>
        <v>0.0</v>
      </c>
      <c r="S44" s="325">
        <f> Time!S$45</f>
        <v>0.0</v>
      </c>
      <c r="T44" s="325">
        <f> Time!T$45</f>
        <v>0.0</v>
      </c>
      <c r="U44" s="325">
        <f> Time!U$45</f>
        <v>0.0</v>
      </c>
      <c r="V44" s="325">
        <f> Time!V$45</f>
        <v>0.0</v>
      </c>
      <c r="W44" s="325">
        <f> Time!W$45</f>
        <v>0.0</v>
      </c>
      <c r="X44" s="325">
        <f> Time!X$45</f>
        <v>0.0</v>
      </c>
      <c r="Y44" s="325">
        <f> Time!Y$45</f>
        <v>0.0</v>
      </c>
      <c r="Z44" s="325">
        <f> Time!Z$45</f>
        <v>0.0</v>
      </c>
      <c r="AA44" s="325">
        <f> Time!AA$45</f>
        <v>0.0</v>
      </c>
      <c r="AB44" s="325">
        <f> Time!AB$45</f>
        <v>0.0</v>
      </c>
      <c r="AC44" s="325">
        <f> Time!AC$45</f>
        <v>0.0</v>
      </c>
      <c r="AD44" s="325">
        <f> Time!AD$45</f>
        <v>0.0</v>
      </c>
      <c r="AE44" s="325">
        <f> Time!AE$45</f>
        <v>0.0</v>
      </c>
      <c r="AF44" s="325">
        <f> Time!AF$45</f>
        <v>0.0</v>
      </c>
      <c r="AG44" s="325">
        <f> Time!AG$45</f>
        <v>0.0</v>
      </c>
      <c r="AH44" s="325">
        <f> Time!AH$45</f>
        <v>0.0</v>
      </c>
      <c r="AI44" s="325">
        <f> Time!AI$45</f>
        <v>0.0</v>
      </c>
      <c r="AJ44" s="325">
        <f> Time!AJ$45</f>
        <v>0.0</v>
      </c>
      <c r="AK44" s="325">
        <f> Time!AK$45</f>
        <v>0.0</v>
      </c>
      <c r="AL44" s="325">
        <f> Time!AL$45</f>
        <v>0.0</v>
      </c>
      <c r="AM44" s="325">
        <f> Time!AM$45</f>
        <v>0.0</v>
      </c>
      <c r="AN44" s="325">
        <f> Time!AN$45</f>
        <v>0.0</v>
      </c>
      <c r="AO44" s="325">
        <f> Time!AO$45</f>
        <v>0.0</v>
      </c>
      <c r="AP44" s="325">
        <f> Time!AP$45</f>
        <v>0.0</v>
      </c>
      <c r="AQ44" s="325">
        <f> Time!AQ$45</f>
        <v>0.0</v>
      </c>
      <c r="AR44" s="325">
        <f> Time!AR$45</f>
        <v>0.0</v>
      </c>
      <c r="AS44" s="325">
        <f> Time!AS$45</f>
        <v>0.0</v>
      </c>
      <c r="AT44" s="325">
        <f> Time!AT$45</f>
        <v>0.0</v>
      </c>
      <c r="AU44" s="325">
        <f> Time!AU$45</f>
        <v>0.0</v>
      </c>
      <c r="AV44" s="325">
        <f> Time!AV$45</f>
        <v>0.0</v>
      </c>
      <c r="AW44" s="325">
        <f> Time!AW$45</f>
        <v>0.0</v>
      </c>
      <c r="AX44" s="325">
        <f> Time!AX$45</f>
        <v>0.0</v>
      </c>
      <c r="AY44" s="325">
        <f> Time!AY$45</f>
        <v>0.0</v>
      </c>
      <c r="AZ44" s="325">
        <f> Time!AZ$45</f>
        <v>0.0</v>
      </c>
      <c r="BA44" s="325">
        <f> Time!BA$45</f>
        <v>0.0</v>
      </c>
      <c r="BB44" s="325">
        <f> Time!BB$45</f>
        <v>0.0</v>
      </c>
      <c r="BC44" s="325">
        <f> Time!BC$45</f>
        <v>0.0</v>
      </c>
      <c r="BD44" s="325">
        <f> Time!BD$45</f>
        <v>0.0</v>
      </c>
      <c r="BE44" s="325">
        <f> Time!BE$45</f>
        <v>0.0</v>
      </c>
      <c r="BF44" s="325">
        <f> Time!BF$45</f>
        <v>0.0</v>
      </c>
      <c r="BG44" s="325">
        <f> Time!BG$45</f>
        <v>0.0</v>
      </c>
      <c r="BH44" s="325">
        <f> Time!BH$45</f>
        <v>0.0</v>
      </c>
      <c r="BI44" s="325">
        <f> Time!BI$45</f>
        <v>0.0</v>
      </c>
      <c r="BJ44" s="325">
        <f> Time!BJ$45</f>
        <v>0.0</v>
      </c>
      <c r="BK44" s="325">
        <f> Time!BK$45</f>
        <v>0.0</v>
      </c>
      <c r="BL44" s="325">
        <f> Time!BL$45</f>
        <v>0.0</v>
      </c>
      <c r="BM44" s="325">
        <f> Time!BM$45</f>
        <v>0.0</v>
      </c>
      <c r="BN44" s="325">
        <f> Time!BN$45</f>
        <v>0.0</v>
      </c>
      <c r="BO44" s="325">
        <f> Time!BO$45</f>
        <v>0.0</v>
      </c>
      <c r="BP44" s="325">
        <f> Time!BP$45</f>
        <v>0.0</v>
      </c>
      <c r="BQ44" s="325">
        <f> Time!BQ$45</f>
        <v>0.0</v>
      </c>
      <c r="BR44" s="325">
        <f> Time!BR$45</f>
        <v>0.0</v>
      </c>
      <c r="BS44" s="325">
        <f> Time!BS$45</f>
        <v>0.0</v>
      </c>
      <c r="BT44" s="325">
        <f> Time!BT$45</f>
        <v>0.0</v>
      </c>
      <c r="BU44" s="325">
        <f> Time!BU$45</f>
        <v>0.0</v>
      </c>
      <c r="BV44" s="325">
        <f> Time!BV$45</f>
        <v>0.0</v>
      </c>
      <c r="BW44" s="325">
        <f> Time!BW$45</f>
        <v>0.0</v>
      </c>
      <c r="BX44" s="325">
        <f> Time!BX$45</f>
        <v>0.0</v>
      </c>
      <c r="BY44" s="325">
        <f> Time!BY$45</f>
        <v>0.0</v>
      </c>
      <c r="BZ44" s="325">
        <f> Time!BZ$45</f>
        <v>0.0</v>
      </c>
      <c r="CA44" s="325">
        <f> Time!CA$45</f>
        <v>0.0</v>
      </c>
      <c r="CB44" s="325">
        <f> Time!CB$45</f>
        <v>0.0</v>
      </c>
      <c r="CC44" s="325">
        <f> Time!CC$45</f>
        <v>0.0</v>
      </c>
      <c r="CD44" s="325">
        <f> Time!CD$45</f>
        <v>0.0</v>
      </c>
      <c r="CE44" s="325">
        <f> Time!CE$45</f>
        <v>0.0</v>
      </c>
      <c r="CF44" s="325">
        <f> Time!CF$45</f>
        <v>0.0</v>
      </c>
      <c r="CG44" s="325">
        <f> Time!CG$45</f>
        <v>0.0</v>
      </c>
      <c r="CH44" s="325">
        <f> Time!CH$45</f>
        <v>0.0</v>
      </c>
      <c r="CI44" s="325">
        <f> Time!CI$45</f>
        <v>0.0</v>
      </c>
      <c r="CJ44" s="325">
        <f> Time!CJ$45</f>
        <v>0.0</v>
      </c>
      <c r="CK44" s="325">
        <f> Time!CK$45</f>
        <v>0.0</v>
      </c>
      <c r="CL44" s="325">
        <f> Time!CL$45</f>
        <v>0.0</v>
      </c>
      <c r="CM44" s="325">
        <f> Time!CM$45</f>
        <v>0.0</v>
      </c>
      <c r="CN44" s="325">
        <f> Time!CN$45</f>
        <v>0.0</v>
      </c>
      <c r="CO44" s="325">
        <f> Time!CO$45</f>
        <v>0.0</v>
      </c>
    </row>
    <row r="45" customFormat="1" s="61">
      <c r="A45" s="294" t="n"/>
      <c r="B45" s="294" t="n"/>
      <c r="C45" s="212" t="n"/>
      <c r="D45" s="244" t="n"/>
    </row>
    <row r="46" customFormat="1" s="61">
      <c r="A46" s="294" t="n"/>
      <c r="B46" s="294" t="n"/>
      <c r="C46" s="212" t="n"/>
      <c r="D46" s="244" t="n"/>
      <c r="E46" s="61" t="inlineStr">
        <is>
          <t>Deferred tax balance BEG</t>
        </is>
      </c>
      <c r="G46" s="61" t="inlineStr">
        <is>
          <t>$ 000s</t>
        </is>
      </c>
      <c r="J46" s="61">
        <f> I49</f>
        <v>0.0</v>
      </c>
      <c r="K46" s="61">
        <f> J49</f>
        <v>0.0</v>
      </c>
      <c r="L46" s="61">
        <f> K49</f>
        <v>0.0</v>
      </c>
      <c r="M46" s="61">
        <f> L49</f>
        <v>999.9999999999999</v>
      </c>
      <c r="N46" s="61">
        <f> M49</f>
        <v>1924.9999999999998</v>
      </c>
      <c r="O46" s="61">
        <f> N49</f>
        <v>2778.7499999999995</v>
      </c>
      <c r="P46" s="61">
        <f> O49</f>
        <v>3564.812499999999</v>
      </c>
      <c r="Q46" s="61">
        <f> P49</f>
        <v>4286.571875</v>
      </c>
      <c r="R46" s="61">
        <f> Q49</f>
        <v>4947.24328125</v>
      </c>
      <c r="S46" s="61">
        <f> R49</f>
        <v>5549.8811171874995</v>
      </c>
      <c r="T46" s="61">
        <f> S49</f>
        <v>6097.387061328125</v>
      </c>
      <c r="U46" s="61">
        <f> T49</f>
        <v>6592.517708261719</v>
      </c>
      <c r="V46" s="61">
        <f> U49</f>
        <v>7036.391822848633</v>
      </c>
      <c r="W46" s="61">
        <f> V49</f>
        <v>7431.572231706201</v>
      </c>
      <c r="X46" s="61">
        <f> W49</f>
        <v>7780.493620120891</v>
      </c>
      <c r="Y46" s="61">
        <f> X49</f>
        <v>8085.468939114846</v>
      </c>
      <c r="Z46" s="61">
        <f> Y49</f>
        <v>8347.945492159104</v>
      </c>
      <c r="AA46" s="61">
        <f> Z49</f>
        <v>8570.048217551148</v>
      </c>
      <c r="AB46" s="61">
        <f> AA49</f>
        <v>8753.79580667359</v>
      </c>
      <c r="AC46" s="61">
        <f> AB49</f>
        <v>8901.106016339909</v>
      </c>
      <c r="AD46" s="61">
        <f> AC49</f>
        <v>9012.675715522913</v>
      </c>
      <c r="AE46" s="61">
        <f> AD49</f>
        <v>9090.291929746769</v>
      </c>
      <c r="AF46" s="61">
        <f> AE49</f>
        <v>9135.65233325943</v>
      </c>
      <c r="AG46" s="61">
        <f> AF49</f>
        <v>9150.369716596459</v>
      </c>
      <c r="AH46" s="61">
        <f> AG49</f>
        <v>9135.226230766635</v>
      </c>
      <c r="AI46" s="61">
        <f> AH49</f>
        <v>9091.714919228301</v>
      </c>
      <c r="AJ46" s="61">
        <f> AI49</f>
        <v>9021.254173266887</v>
      </c>
      <c r="AK46" s="61">
        <f> AJ49</f>
        <v>8925.191464603542</v>
      </c>
      <c r="AL46" s="61">
        <f> AK49</f>
        <v>8804.431891373364</v>
      </c>
      <c r="AM46" s="61">
        <f> AL49</f>
        <v>8660.210296804695</v>
      </c>
      <c r="AN46" s="61">
        <f> AM49</f>
        <v>8493.69978196446</v>
      </c>
      <c r="AO46" s="61">
        <f> AN49</f>
        <v>8336.014792866237</v>
      </c>
      <c r="AP46" s="61">
        <f> AO49</f>
        <v>8157.464053222926</v>
      </c>
      <c r="AQ46" s="61">
        <f> AP49</f>
        <v>7959.090850561779</v>
      </c>
      <c r="AR46" s="61">
        <f> AQ49</f>
        <v>7741.8863080336905</v>
      </c>
      <c r="AS46" s="61">
        <f> AR49</f>
        <v>7521.791992632005</v>
      </c>
      <c r="AT46" s="61">
        <f> AS49</f>
        <v>7283.952393000405</v>
      </c>
      <c r="AU46" s="61">
        <f> AT49</f>
        <v>7029.254773350384</v>
      </c>
      <c r="AV46" s="61">
        <f> AU49</f>
        <v>6758.542034682865</v>
      </c>
      <c r="AW46" s="61">
        <f> AV49</f>
        <v>6495.114932948722</v>
      </c>
      <c r="AX46" s="61">
        <f> AW49</f>
        <v>6217.234186301286</v>
      </c>
      <c r="AY46" s="61">
        <f> AX49</f>
        <v>5925.622476986222</v>
      </c>
      <c r="AZ46" s="61">
        <f> AY49</f>
        <v>5620.96635313691</v>
      </c>
      <c r="BA46" s="61">
        <f> AZ49</f>
        <v>5318.918035480065</v>
      </c>
      <c r="BB46" s="61">
        <f> BA49</f>
        <v>5005.097133706062</v>
      </c>
      <c r="BC46" s="61">
        <f> BB49</f>
        <v>4680.092277020758</v>
      </c>
      <c r="BD46" s="61">
        <f> BC49</f>
        <v>4344.462663169719</v>
      </c>
      <c r="BE46" s="61">
        <f> BD49</f>
        <v>4006.2395300112335</v>
      </c>
      <c r="BF46" s="61">
        <f> BE49</f>
        <v>3658.4275535106717</v>
      </c>
      <c r="BG46" s="61">
        <f> BF49</f>
        <v>3301.506175835138</v>
      </c>
      <c r="BH46" s="61">
        <f> BG49</f>
        <v>2935.93086704338</v>
      </c>
      <c r="BI46" s="61">
        <f> BH49</f>
        <v>2577.1343236912107</v>
      </c>
      <c r="BJ46" s="61">
        <f> BI49</f>
        <v>2210.527607506651</v>
      </c>
      <c r="BK46" s="61">
        <f> BJ49</f>
        <v>1836.501227131319</v>
      </c>
      <c r="BL46" s="61">
        <f> BK49</f>
        <v>1455.4261657747534</v>
      </c>
      <c r="BM46" s="61">
        <f> BL49</f>
        <v>1082.6548574860158</v>
      </c>
      <c r="BN46" s="61">
        <f> BM49</f>
        <v>703.5221146117156</v>
      </c>
      <c r="BO46" s="61">
        <f> BN49</f>
        <v>318.3460088811303</v>
      </c>
      <c r="BP46" s="61">
        <f> BO49</f>
        <v>-72.57129156292604</v>
      </c>
      <c r="BQ46" s="61">
        <f> BP49</f>
        <v>-468.94272698477926</v>
      </c>
      <c r="BR46" s="61">
        <f> BQ49</f>
        <v>-870.4955906355403</v>
      </c>
      <c r="BS46" s="61">
        <f> BR49</f>
        <v>-1276.970811103763</v>
      </c>
      <c r="BT46" s="61">
        <f> BS49</f>
        <v>-1688.1222705485748</v>
      </c>
      <c r="BU46" s="61">
        <f> BT49</f>
        <v>-1603.716157021146</v>
      </c>
      <c r="BV46" s="61">
        <f> BU49</f>
        <v>-1523.5303491700884</v>
      </c>
      <c r="BW46" s="61">
        <f> BV49</f>
        <v>-1447.353831711584</v>
      </c>
      <c r="BX46" s="61">
        <f> BW49</f>
        <v>-1374.9861401260046</v>
      </c>
      <c r="BY46" s="61">
        <f> BX49</f>
        <v>-1306.236833119704</v>
      </c>
      <c r="BZ46" s="61">
        <f> BY49</f>
        <v>-1240.9249914637185</v>
      </c>
      <c r="CA46" s="61">
        <f> BZ49</f>
        <v>-1178.8787418905326</v>
      </c>
      <c r="CB46" s="61">
        <f> CA49</f>
        <v>-1119.9348047960061</v>
      </c>
      <c r="CC46" s="61">
        <f> CB49</f>
        <v>-1063.9380645562055</v>
      </c>
      <c r="CD46" s="61">
        <f> CC49</f>
        <v>-1010.7411613283948</v>
      </c>
      <c r="CE46" s="61">
        <f> CD49</f>
        <v>-960.2041032619754</v>
      </c>
      <c r="CF46" s="61">
        <f> CE49</f>
        <v>-912.1938980988766</v>
      </c>
      <c r="CG46" s="61">
        <f> CF49</f>
        <v>-866.5842031939333</v>
      </c>
      <c r="CH46" s="61">
        <f> CG49</f>
        <v>-823.254993034237</v>
      </c>
      <c r="CI46" s="61">
        <f> CH49</f>
        <v>-782.0922433825249</v>
      </c>
      <c r="CJ46" s="61">
        <f> CI49</f>
        <v>-742.9876312133988</v>
      </c>
      <c r="CK46" s="61">
        <f> CJ49</f>
        <v>-705.8382496527288</v>
      </c>
      <c r="CL46" s="61">
        <f> CK49</f>
        <v>-670.5463371700921</v>
      </c>
      <c r="CM46" s="61">
        <f> CL49</f>
        <v>-637.0190203115876</v>
      </c>
      <c r="CN46" s="61">
        <f> CM49</f>
        <v>9.094947017729282e-13</v>
      </c>
      <c r="CO46" s="61">
        <f> CN49</f>
        <v>9.094947017729282e-13</v>
      </c>
    </row>
    <row r="47" customFormat="1" s="183">
      <c r="A47" s="294" t="n"/>
      <c r="B47" s="294" t="n"/>
      <c r="C47" s="212" t="n"/>
      <c r="D47" s="244" t="inlineStr">
        <is>
          <t>plus</t>
        </is>
      </c>
      <c r="E47" s="61" t="str">
        <f> E$37</f>
        <v>Tax expense POS</v>
      </c>
      <c r="F47" s="61">
        <f> F$37</f>
        <v>0.0</v>
      </c>
      <c r="G47" s="61" t="str">
        <f> G$37</f>
        <v>$ 000s</v>
      </c>
      <c r="H47" s="61">
        <f> H$37</f>
        <v>198871.26024775312</v>
      </c>
      <c r="I47" s="61">
        <f> I$37</f>
        <v>0.0</v>
      </c>
      <c r="J47" s="61">
        <f> J$37</f>
        <v>0.0</v>
      </c>
      <c r="K47" s="61">
        <f> K$37</f>
        <v>0.0</v>
      </c>
      <c r="L47" s="61">
        <f> L$37</f>
        <v>900.2875310137914</v>
      </c>
      <c r="M47" s="61">
        <f> M$37</f>
        <v>778.2771831915708</v>
      </c>
      <c r="N47" s="61">
        <f> N$37</f>
        <v>931.9700330130095</v>
      </c>
      <c r="O47" s="61">
        <f> O$37</f>
        <v>816.4682490000002</v>
      </c>
      <c r="P47" s="61">
        <f> P$37</f>
        <v>990.0201943813707</v>
      </c>
      <c r="Q47" s="61">
        <f> Q$37</f>
        <v>879.3290278140628</v>
      </c>
      <c r="R47" s="61">
        <f> R$37</f>
        <v>1047.4488901186537</v>
      </c>
      <c r="S47" s="61">
        <f> S$37</f>
        <v>937.108328116667</v>
      </c>
      <c r="T47" s="61">
        <f> T$37</f>
        <v>1174.16633825442</v>
      </c>
      <c r="U47" s="61">
        <f> U$37</f>
        <v>1052.707788156241</v>
      </c>
      <c r="V47" s="61">
        <f> V$37</f>
        <v>1230.021319490961</v>
      </c>
      <c r="W47" s="61">
        <f> W$37</f>
        <v>1106.0705159413321</v>
      </c>
      <c r="X47" s="61">
        <f> X$37</f>
        <v>1274.0054137326845</v>
      </c>
      <c r="Y47" s="61">
        <f> Y$37</f>
        <v>1140.7949216305617</v>
      </c>
      <c r="Z47" s="61">
        <f> Z$37</f>
        <v>1319.5207581574687</v>
      </c>
      <c r="AA47" s="61">
        <f> AA$37</f>
        <v>1186.5972980862377</v>
      </c>
      <c r="AB47" s="61">
        <f> AB$37</f>
        <v>1351.218076144664</v>
      </c>
      <c r="AC47" s="61">
        <f> AC$37</f>
        <v>1214.2171026128112</v>
      </c>
      <c r="AD47" s="61">
        <f> AD$37</f>
        <v>1601.6658055585297</v>
      </c>
      <c r="AE47" s="61">
        <f> AE$37</f>
        <v>1454.8993381979517</v>
      </c>
      <c r="AF47" s="61">
        <f> AF$37</f>
        <v>1643.9387836300716</v>
      </c>
      <c r="AG47" s="61">
        <f> AG$37</f>
        <v>1493.3220254401137</v>
      </c>
      <c r="AH47" s="61">
        <f> AH$37</f>
        <v>1696.0924463919519</v>
      </c>
      <c r="AI47" s="61">
        <f> AI$37</f>
        <v>1544.6239850105555</v>
      </c>
      <c r="AJ47" s="61">
        <f> AJ$37</f>
        <v>1745.059447138973</v>
      </c>
      <c r="AK47" s="61">
        <f> AK$37</f>
        <v>1591.0790195366478</v>
      </c>
      <c r="AL47" s="61">
        <f> AL$37</f>
        <v>1800.1058864503757</v>
      </c>
      <c r="AM47" s="61">
        <f> AM$37</f>
        <v>1849.1903979091967</v>
      </c>
      <c r="AN47" s="61">
        <f> AN$37</f>
        <v>2091.491413664954</v>
      </c>
      <c r="AO47" s="61">
        <f> AO$37</f>
        <v>1921.7649237253752</v>
      </c>
      <c r="AP47" s="61">
        <f> AP$37</f>
        <v>2150.7690680333326</v>
      </c>
      <c r="AQ47" s="61">
        <f> AQ$37</f>
        <v>1979.0267765131373</v>
      </c>
      <c r="AR47" s="61">
        <f> AR$37</f>
        <v>2211.9486560749015</v>
      </c>
      <c r="AS47" s="61">
        <f> AS$37</f>
        <v>2037.2842047704685</v>
      </c>
      <c r="AT47" s="61">
        <f> AT$37</f>
        <v>2263.3391400743317</v>
      </c>
      <c r="AU47" s="61">
        <f> AU$37</f>
        <v>2076.178913141864</v>
      </c>
      <c r="AV47" s="61">
        <f> AV$37</f>
        <v>2328.099615757148</v>
      </c>
      <c r="AW47" s="61">
        <f> AW$37</f>
        <v>2138.1527309135813</v>
      </c>
      <c r="AX47" s="61">
        <f> AX$37</f>
        <v>2638.518390555388</v>
      </c>
      <c r="AY47" s="61">
        <f> AY$37</f>
        <v>2434.902394373609</v>
      </c>
      <c r="AZ47" s="61">
        <f> AZ$37</f>
        <v>2701.029962796172</v>
      </c>
      <c r="BA47" s="61">
        <f> BA$37</f>
        <v>2494.3822961794604</v>
      </c>
      <c r="BB47" s="61">
        <f> BB$37</f>
        <v>2749.2489422720487</v>
      </c>
      <c r="BC47" s="61">
        <f> BC$37</f>
        <v>2539.524466204816</v>
      </c>
      <c r="BD47" s="61">
        <f> BD$37</f>
        <v>2805.6858616800564</v>
      </c>
      <c r="BE47" s="61">
        <f> BE$37</f>
        <v>2592.838765064844</v>
      </c>
      <c r="BF47" s="61">
        <f> BF$37</f>
        <v>2855.351410540209</v>
      </c>
      <c r="BG47" s="61">
        <f> BG$37</f>
        <v>2639.3352001909598</v>
      </c>
      <c r="BH47" s="61">
        <f> BH$37</f>
        <v>2677.842386858471</v>
      </c>
      <c r="BI47" s="61">
        <f> BI$37</f>
        <v>2946.2396896384284</v>
      </c>
      <c r="BJ47" s="61">
        <f> BJ$37</f>
        <v>2725.381116865684</v>
      </c>
      <c r="BK47" s="61">
        <f> BK$37</f>
        <v>2997.7746290933846</v>
      </c>
      <c r="BL47" s="61">
        <f> BL$37</f>
        <v>2788.6276584642246</v>
      </c>
      <c r="BM47" s="61">
        <f> BM$37</f>
        <v>3065.0768803275796</v>
      </c>
      <c r="BN47" s="61">
        <f> BN$37</f>
        <v>2837.592550371654</v>
      </c>
      <c r="BO47" s="61">
        <f> BO$37</f>
        <v>3118.1578679661857</v>
      </c>
      <c r="BP47" s="61">
        <f> BP$37</f>
        <v>2887.28648821815</v>
      </c>
      <c r="BQ47" s="61">
        <f> BQ$37</f>
        <v>2912.4102352330083</v>
      </c>
      <c r="BR47" s="61">
        <f> BR$37</f>
        <v>3199.2648907853686</v>
      </c>
      <c r="BS47" s="61">
        <f> BS$37</f>
        <v>2963.218145299063</v>
      </c>
      <c r="BT47" s="61">
        <f> BT$37</f>
        <v>3754.3438247133404</v>
      </c>
      <c r="BU47" s="61">
        <f> BU$37</f>
        <v>3514.7825422899978</v>
      </c>
      <c r="BV47" s="61">
        <f> BV$37</f>
        <v>3810.2428375089276</v>
      </c>
      <c r="BW47" s="61">
        <f> BW$37</f>
        <v>3838.5036821253234</v>
      </c>
      <c r="BX47" s="61">
        <f> BX$37</f>
        <v>3866.974139454739</v>
      </c>
      <c r="BY47" s="61">
        <f> BY$37</f>
        <v>3895.6557642097123</v>
      </c>
      <c r="BZ47" s="61">
        <f> BZ$37</f>
        <v>3924.550122634194</v>
      </c>
      <c r="CA47" s="61">
        <f> CA$37</f>
        <v>3953.6587925890835</v>
      </c>
      <c r="CB47" s="61">
        <f> CB$37</f>
        <v>3982.983363638381</v>
      </c>
      <c r="CC47" s="61">
        <f> CC$37</f>
        <v>4012.525437136002</v>
      </c>
      <c r="CD47" s="61">
        <f> CD$37</f>
        <v>4042.286626313219</v>
      </c>
      <c r="CE47" s="61">
        <f> CE$37</f>
        <v>4072.268556366753</v>
      </c>
      <c r="CF47" s="61">
        <f> CF$37</f>
        <v>4102.472864547531</v>
      </c>
      <c r="CG47" s="61">
        <f> CG$37</f>
        <v>4132.901200250081</v>
      </c>
      <c r="CH47" s="61">
        <f> CH$37</f>
        <v>4163.555225102615</v>
      </c>
      <c r="CI47" s="61">
        <f> CI$37</f>
        <v>4194.436613057755</v>
      </c>
      <c r="CJ47" s="61">
        <f> CJ$37</f>
        <v>4225.547050483956</v>
      </c>
      <c r="CK47" s="61">
        <f> CK$37</f>
        <v>4256.888236257583</v>
      </c>
      <c r="CL47" s="61">
        <f> CL$37</f>
        <v>4288.461881855693</v>
      </c>
      <c r="CM47" s="61">
        <f> CM$37</f>
        <v>4320.269711449487</v>
      </c>
      <c r="CN47" s="61">
        <f> CN$37</f>
        <v>-3.1125182431424037e-12</v>
      </c>
      <c r="CO47" s="61">
        <f> CO$37</f>
        <v>-3.147101779177319e-12</v>
      </c>
    </row>
    <row r="48" customFormat="1" s="183">
      <c r="A48" s="294" t="n"/>
      <c r="B48" s="294" t="n"/>
      <c r="C48" s="212" t="n"/>
      <c r="D48" s="244" t="inlineStr">
        <is>
          <t>less</t>
        </is>
      </c>
      <c r="E48" s="61" t="str">
        <f> E$31</f>
        <v>Tax paid POS</v>
      </c>
      <c r="F48" s="61">
        <f> F$31</f>
        <v>0.0</v>
      </c>
      <c r="G48" s="61" t="str">
        <f> G$31</f>
        <v>$ 000s</v>
      </c>
      <c r="H48" s="61">
        <f> H$31</f>
        <v>198871.2602477531</v>
      </c>
      <c r="I48" s="61">
        <f> I$31</f>
        <v>0.0</v>
      </c>
      <c r="J48" s="61">
        <f> J$31</f>
        <v>0.0</v>
      </c>
      <c r="K48" s="61">
        <f> K$31</f>
        <v>0.0</v>
      </c>
      <c r="L48" s="61">
        <f> L$31</f>
        <v>-99.71246898620848</v>
      </c>
      <c r="M48" s="61">
        <f> M$31</f>
        <v>-146.72281680842917</v>
      </c>
      <c r="N48" s="61">
        <f> N$31</f>
        <v>78.22003301300957</v>
      </c>
      <c r="O48" s="61">
        <f> O$31</f>
        <v>30.4057490000003</v>
      </c>
      <c r="P48" s="61">
        <f> P$31</f>
        <v>268.26081938137077</v>
      </c>
      <c r="Q48" s="61">
        <f> Q$31</f>
        <v>218.65762156406274</v>
      </c>
      <c r="R48" s="61">
        <f> R$31</f>
        <v>444.8110541811538</v>
      </c>
      <c r="S48" s="61">
        <f> S$31</f>
        <v>389.6023839760422</v>
      </c>
      <c r="T48" s="61">
        <f> T$31</f>
        <v>679.0356913208262</v>
      </c>
      <c r="U48" s="61">
        <f> U$31</f>
        <v>608.833673569327</v>
      </c>
      <c r="V48" s="61">
        <f> V$31</f>
        <v>834.8409106333929</v>
      </c>
      <c r="W48" s="61">
        <f> W$31</f>
        <v>757.1491275266421</v>
      </c>
      <c r="X48" s="61">
        <f> X$31</f>
        <v>969.0300947387291</v>
      </c>
      <c r="Y48" s="61">
        <f> Y$31</f>
        <v>878.3183685863041</v>
      </c>
      <c r="Z48" s="61">
        <f> Z$31</f>
        <v>1097.4180327654242</v>
      </c>
      <c r="AA48" s="61">
        <f> AA$31</f>
        <v>1002.8497089637954</v>
      </c>
      <c r="AB48" s="61">
        <f> AB$31</f>
        <v>1203.9078664783437</v>
      </c>
      <c r="AC48" s="61">
        <f> AC$31</f>
        <v>1102.6474034298071</v>
      </c>
      <c r="AD48" s="61">
        <f> AD$31</f>
        <v>1524.0495913346756</v>
      </c>
      <c r="AE48" s="61">
        <f> AE$31</f>
        <v>1409.5389346852903</v>
      </c>
      <c r="AF48" s="61">
        <f> AF$31</f>
        <v>1629.2214002930436</v>
      </c>
      <c r="AG48" s="61">
        <f> AG$31</f>
        <v>1508.465511269937</v>
      </c>
      <c r="AH48" s="61">
        <f> AH$31</f>
        <v>1739.603757930284</v>
      </c>
      <c r="AI48" s="61">
        <f> AI$31</f>
        <v>1615.0847309719709</v>
      </c>
      <c r="AJ48" s="61">
        <f> AJ$31</f>
        <v>1841.1221558023174</v>
      </c>
      <c r="AK48" s="61">
        <f> AK$31</f>
        <v>1711.8385927668253</v>
      </c>
      <c r="AL48" s="61">
        <f> AL$31</f>
        <v>1944.3274810190444</v>
      </c>
      <c r="AM48" s="61">
        <f> AM$31</f>
        <v>2015.7009127494316</v>
      </c>
      <c r="AN48" s="61">
        <f> AN$31</f>
        <v>2249.176402763177</v>
      </c>
      <c r="AO48" s="61">
        <f> AO$31</f>
        <v>2100.315663368687</v>
      </c>
      <c r="AP48" s="61">
        <f> AP$31</f>
        <v>2349.1422706944795</v>
      </c>
      <c r="AQ48" s="61">
        <f> AQ$31</f>
        <v>2196.2313190412265</v>
      </c>
      <c r="AR48" s="61">
        <f> AR$31</f>
        <v>2432.0429714765864</v>
      </c>
      <c r="AS48" s="61">
        <f> AS$31</f>
        <v>2275.123804402069</v>
      </c>
      <c r="AT48" s="61">
        <f> AT$31</f>
        <v>2518.036759724352</v>
      </c>
      <c r="AU48" s="61">
        <f> AU$31</f>
        <v>2346.8916518093833</v>
      </c>
      <c r="AV48" s="61">
        <f> AV$31</f>
        <v>2591.526717491291</v>
      </c>
      <c r="AW48" s="61">
        <f> AW$31</f>
        <v>2416.033477561017</v>
      </c>
      <c r="AX48" s="61">
        <f> AX$31</f>
        <v>2930.1300998704523</v>
      </c>
      <c r="AY48" s="61">
        <f> AY$31</f>
        <v>2739.55851822292</v>
      </c>
      <c r="AZ48" s="61">
        <f> AZ$31</f>
        <v>3003.0782804530177</v>
      </c>
      <c r="BA48" s="61">
        <f> BA$31</f>
        <v>2808.203197953463</v>
      </c>
      <c r="BB48" s="61">
        <f> BB$31</f>
        <v>3074.2537989573516</v>
      </c>
      <c r="BC48" s="61">
        <f> BC$31</f>
        <v>2875.1540800558537</v>
      </c>
      <c r="BD48" s="61">
        <f> BD$31</f>
        <v>3143.908994838542</v>
      </c>
      <c r="BE48" s="61">
        <f> BE$31</f>
        <v>2940.650741565406</v>
      </c>
      <c r="BF48" s="61">
        <f> BF$31</f>
        <v>3212.272788215743</v>
      </c>
      <c r="BG48" s="61">
        <f> BG$31</f>
        <v>3004.910508982717</v>
      </c>
      <c r="BH48" s="61">
        <f> BH$31</f>
        <v>3036.63893021064</v>
      </c>
      <c r="BI48" s="61">
        <f> BI$31</f>
        <v>3312.846405822989</v>
      </c>
      <c r="BJ48" s="61">
        <f> BJ$31</f>
        <v>3099.4074972410162</v>
      </c>
      <c r="BK48" s="61">
        <f> BK$31</f>
        <v>3378.8496904499502</v>
      </c>
      <c r="BL48" s="61">
        <f> BL$31</f>
        <v>3161.3989667529618</v>
      </c>
      <c r="BM48" s="61">
        <f> BM$31</f>
        <v>3444.2096232018803</v>
      </c>
      <c r="BN48" s="61">
        <f> BN$31</f>
        <v>3222.768656102239</v>
      </c>
      <c r="BO48" s="61">
        <f> BO$31</f>
        <v>3509.075168410242</v>
      </c>
      <c r="BP48" s="61">
        <f> BP$31</f>
        <v>3283.6579236400034</v>
      </c>
      <c r="BQ48" s="61">
        <f> BQ$31</f>
        <v>3313.9630988837694</v>
      </c>
      <c r="BR48" s="61">
        <f> BR$31</f>
        <v>3605.7401112535913</v>
      </c>
      <c r="BS48" s="61">
        <f> BS$31</f>
        <v>3374.369604743875</v>
      </c>
      <c r="BT48" s="61">
        <f> BT$31</f>
        <v>3669.9377111859117</v>
      </c>
      <c r="BU48" s="61">
        <f> BU$31</f>
        <v>3434.59673443894</v>
      </c>
      <c r="BV48" s="61">
        <f> BV$31</f>
        <v>3734.066320050423</v>
      </c>
      <c r="BW48" s="61">
        <f> BW$31</f>
        <v>3766.135990539744</v>
      </c>
      <c r="BX48" s="61">
        <f> BX$31</f>
        <v>3798.2248324484385</v>
      </c>
      <c r="BY48" s="61">
        <f> BY$31</f>
        <v>3830.3439225537268</v>
      </c>
      <c r="BZ48" s="61">
        <f> BZ$31</f>
        <v>3862.503873061008</v>
      </c>
      <c r="CA48" s="61">
        <f> CA$31</f>
        <v>3894.714855494557</v>
      </c>
      <c r="CB48" s="61">
        <f> CB$31</f>
        <v>3926.9866233985804</v>
      </c>
      <c r="CC48" s="61">
        <f> CC$31</f>
        <v>3959.3285339081913</v>
      </c>
      <c r="CD48" s="61">
        <f> CD$31</f>
        <v>3991.7495682467998</v>
      </c>
      <c r="CE48" s="61">
        <f> CE$31</f>
        <v>4024.258351203654</v>
      </c>
      <c r="CF48" s="61">
        <f> CF$31</f>
        <v>4056.8631696425873</v>
      </c>
      <c r="CG48" s="61">
        <f> CG$31</f>
        <v>4089.571990090385</v>
      </c>
      <c r="CH48" s="61">
        <f> CH$31</f>
        <v>4122.392475450903</v>
      </c>
      <c r="CI48" s="61">
        <f> CI$31</f>
        <v>4155.3320008886285</v>
      </c>
      <c r="CJ48" s="61">
        <f> CJ$31</f>
        <v>4188.397668923286</v>
      </c>
      <c r="CK48" s="61">
        <f> CK$31</f>
        <v>4221.5963237749465</v>
      </c>
      <c r="CL48" s="61">
        <f> CL$31</f>
        <v>4254.934564997188</v>
      </c>
      <c r="CM48" s="61">
        <f> CM$31</f>
        <v>3683.2506911378982</v>
      </c>
      <c r="CN48" s="61">
        <f> CN$31</f>
        <v>-3.1125182431424037e-12</v>
      </c>
      <c r="CO48" s="61">
        <f> CO$31</f>
        <v>-3.147101779177319e-12</v>
      </c>
    </row>
    <row r="49" customFormat="1" s="322">
      <c r="A49" s="318" t="n"/>
      <c r="B49" s="318" t="n"/>
      <c r="C49" s="319" t="n"/>
      <c r="D49" s="320" t="n"/>
      <c r="E49" s="322" t="inlineStr">
        <is>
          <t>Deferred tax balance</t>
        </is>
      </c>
      <c r="F49" s="322" t="inlineStr">
        <is>
          <t>BS</t>
        </is>
      </c>
      <c r="G49" s="322" t="inlineStr">
        <is>
          <t>$ 000s</t>
        </is>
      </c>
      <c r="I49" s="323" t="n"/>
      <c r="J49" s="322">
        <f> IF(J44 = 1, $F43, J46 + J47 - J48)</f>
        <v>0.0</v>
      </c>
      <c r="K49" s="322">
        <f> IF(K44 = 1, $F43, K46 + K47 - K48)</f>
        <v>0.0</v>
      </c>
      <c r="L49" s="322">
        <f> IF(L44 = 1, $F43, L46 + L47 - L48)</f>
        <v>999.9999999999999</v>
      </c>
      <c r="M49" s="322">
        <f> IF(M44 = 1, $F43, M46 + M47 - M48)</f>
        <v>1924.9999999999998</v>
      </c>
      <c r="N49" s="322">
        <f> IF(N44 = 1, $F43, N46 + N47 - N48)</f>
        <v>2778.7499999999995</v>
      </c>
      <c r="O49" s="322">
        <f> IF(O44 = 1, $F43, O46 + O47 - O48)</f>
        <v>3564.812499999999</v>
      </c>
      <c r="P49" s="322">
        <f> IF(P44 = 1, $F43, P46 + P47 - P48)</f>
        <v>4286.571875</v>
      </c>
      <c r="Q49" s="322">
        <f> IF(Q44 = 1, $F43, Q46 + Q47 - Q48)</f>
        <v>4947.24328125</v>
      </c>
      <c r="R49" s="322">
        <f> IF(R44 = 1, $F43, R46 + R47 - R48)</f>
        <v>5549.8811171874995</v>
      </c>
      <c r="S49" s="322">
        <f> IF(S44 = 1, $F43, S46 + S47 - S48)</f>
        <v>6097.387061328125</v>
      </c>
      <c r="T49" s="322">
        <f> IF(T44 = 1, $F43, T46 + T47 - T48)</f>
        <v>6592.517708261719</v>
      </c>
      <c r="U49" s="322">
        <f> IF(U44 = 1, $F43, U46 + U47 - U48)</f>
        <v>7036.391822848633</v>
      </c>
      <c r="V49" s="322">
        <f> IF(V44 = 1, $F43, V46 + V47 - V48)</f>
        <v>7431.572231706201</v>
      </c>
      <c r="W49" s="322">
        <f> IF(W44 = 1, $F43, W46 + W47 - W48)</f>
        <v>7780.493620120891</v>
      </c>
      <c r="X49" s="322">
        <f> IF(X44 = 1, $F43, X46 + X47 - X48)</f>
        <v>8085.468939114846</v>
      </c>
      <c r="Y49" s="322">
        <f> IF(Y44 = 1, $F43, Y46 + Y47 - Y48)</f>
        <v>8347.945492159104</v>
      </c>
      <c r="Z49" s="322">
        <f> IF(Z44 = 1, $F43, Z46 + Z47 - Z48)</f>
        <v>8570.048217551148</v>
      </c>
      <c r="AA49" s="322">
        <f> IF(AA44 = 1, $F43, AA46 + AA47 - AA48)</f>
        <v>8753.79580667359</v>
      </c>
      <c r="AB49" s="322">
        <f> IF(AB44 = 1, $F43, AB46 + AB47 - AB48)</f>
        <v>8901.106016339909</v>
      </c>
      <c r="AC49" s="322">
        <f> IF(AC44 = 1, $F43, AC46 + AC47 - AC48)</f>
        <v>9012.675715522913</v>
      </c>
      <c r="AD49" s="322">
        <f> IF(AD44 = 1, $F43, AD46 + AD47 - AD48)</f>
        <v>9090.291929746769</v>
      </c>
      <c r="AE49" s="322">
        <f> IF(AE44 = 1, $F43, AE46 + AE47 - AE48)</f>
        <v>9135.65233325943</v>
      </c>
      <c r="AF49" s="322">
        <f> IF(AF44 = 1, $F43, AF46 + AF47 - AF48)</f>
        <v>9150.369716596459</v>
      </c>
      <c r="AG49" s="322">
        <f> IF(AG44 = 1, $F43, AG46 + AG47 - AG48)</f>
        <v>9135.226230766635</v>
      </c>
      <c r="AH49" s="322">
        <f> IF(AH44 = 1, $F43, AH46 + AH47 - AH48)</f>
        <v>9091.714919228301</v>
      </c>
      <c r="AI49" s="322">
        <f> IF(AI44 = 1, $F43, AI46 + AI47 - AI48)</f>
        <v>9021.254173266887</v>
      </c>
      <c r="AJ49" s="322">
        <f> IF(AJ44 = 1, $F43, AJ46 + AJ47 - AJ48)</f>
        <v>8925.191464603542</v>
      </c>
      <c r="AK49" s="322">
        <f> IF(AK44 = 1, $F43, AK46 + AK47 - AK48)</f>
        <v>8804.431891373364</v>
      </c>
      <c r="AL49" s="322">
        <f> IF(AL44 = 1, $F43, AL46 + AL47 - AL48)</f>
        <v>8660.210296804695</v>
      </c>
      <c r="AM49" s="322">
        <f> IF(AM44 = 1, $F43, AM46 + AM47 - AM48)</f>
        <v>8493.69978196446</v>
      </c>
      <c r="AN49" s="322">
        <f> IF(AN44 = 1, $F43, AN46 + AN47 - AN48)</f>
        <v>8336.014792866237</v>
      </c>
      <c r="AO49" s="322">
        <f> IF(AO44 = 1, $F43, AO46 + AO47 - AO48)</f>
        <v>8157.464053222926</v>
      </c>
      <c r="AP49" s="322">
        <f> IF(AP44 = 1, $F43, AP46 + AP47 - AP48)</f>
        <v>7959.090850561779</v>
      </c>
      <c r="AQ49" s="322">
        <f> IF(AQ44 = 1, $F43, AQ46 + AQ47 - AQ48)</f>
        <v>7741.8863080336905</v>
      </c>
      <c r="AR49" s="322">
        <f> IF(AR44 = 1, $F43, AR46 + AR47 - AR48)</f>
        <v>7521.791992632005</v>
      </c>
      <c r="AS49" s="322">
        <f> IF(AS44 = 1, $F43, AS46 + AS47 - AS48)</f>
        <v>7283.952393000405</v>
      </c>
      <c r="AT49" s="322">
        <f> IF(AT44 = 1, $F43, AT46 + AT47 - AT48)</f>
        <v>7029.254773350384</v>
      </c>
      <c r="AU49" s="322">
        <f> IF(AU44 = 1, $F43, AU46 + AU47 - AU48)</f>
        <v>6758.542034682865</v>
      </c>
      <c r="AV49" s="322">
        <f> IF(AV44 = 1, $F43, AV46 + AV47 - AV48)</f>
        <v>6495.114932948722</v>
      </c>
      <c r="AW49" s="322">
        <f> IF(AW44 = 1, $F43, AW46 + AW47 - AW48)</f>
        <v>6217.234186301286</v>
      </c>
      <c r="AX49" s="322">
        <f> IF(AX44 = 1, $F43, AX46 + AX47 - AX48)</f>
        <v>5925.622476986222</v>
      </c>
      <c r="AY49" s="322">
        <f> IF(AY44 = 1, $F43, AY46 + AY47 - AY48)</f>
        <v>5620.96635313691</v>
      </c>
      <c r="AZ49" s="322">
        <f> IF(AZ44 = 1, $F43, AZ46 + AZ47 - AZ48)</f>
        <v>5318.918035480065</v>
      </c>
      <c r="BA49" s="322">
        <f> IF(BA44 = 1, $F43, BA46 + BA47 - BA48)</f>
        <v>5005.097133706062</v>
      </c>
      <c r="BB49" s="322">
        <f> IF(BB44 = 1, $F43, BB46 + BB47 - BB48)</f>
        <v>4680.092277020758</v>
      </c>
      <c r="BC49" s="322">
        <f> IF(BC44 = 1, $F43, BC46 + BC47 - BC48)</f>
        <v>4344.462663169719</v>
      </c>
      <c r="BD49" s="322">
        <f> IF(BD44 = 1, $F43, BD46 + BD47 - BD48)</f>
        <v>4006.2395300112335</v>
      </c>
      <c r="BE49" s="322">
        <f> IF(BE44 = 1, $F43, BE46 + BE47 - BE48)</f>
        <v>3658.4275535106717</v>
      </c>
      <c r="BF49" s="322">
        <f> IF(BF44 = 1, $F43, BF46 + BF47 - BF48)</f>
        <v>3301.506175835138</v>
      </c>
      <c r="BG49" s="322">
        <f> IF(BG44 = 1, $F43, BG46 + BG47 - BG48)</f>
        <v>2935.93086704338</v>
      </c>
      <c r="BH49" s="322">
        <f> IF(BH44 = 1, $F43, BH46 + BH47 - BH48)</f>
        <v>2577.1343236912107</v>
      </c>
      <c r="BI49" s="322">
        <f> IF(BI44 = 1, $F43, BI46 + BI47 - BI48)</f>
        <v>2210.527607506651</v>
      </c>
      <c r="BJ49" s="322">
        <f> IF(BJ44 = 1, $F43, BJ46 + BJ47 - BJ48)</f>
        <v>1836.501227131319</v>
      </c>
      <c r="BK49" s="322">
        <f> IF(BK44 = 1, $F43, BK46 + BK47 - BK48)</f>
        <v>1455.4261657747534</v>
      </c>
      <c r="BL49" s="322">
        <f> IF(BL44 = 1, $F43, BL46 + BL47 - BL48)</f>
        <v>1082.6548574860158</v>
      </c>
      <c r="BM49" s="322">
        <f> IF(BM44 = 1, $F43, BM46 + BM47 - BM48)</f>
        <v>703.5221146117156</v>
      </c>
      <c r="BN49" s="322">
        <f> IF(BN44 = 1, $F43, BN46 + BN47 - BN48)</f>
        <v>318.3460088811303</v>
      </c>
      <c r="BO49" s="322">
        <f> IF(BO44 = 1, $F43, BO46 + BO47 - BO48)</f>
        <v>-72.57129156292604</v>
      </c>
      <c r="BP49" s="322">
        <f> IF(BP44 = 1, $F43, BP46 + BP47 - BP48)</f>
        <v>-468.94272698477926</v>
      </c>
      <c r="BQ49" s="322">
        <f> IF(BQ44 = 1, $F43, BQ46 + BQ47 - BQ48)</f>
        <v>-870.4955906355403</v>
      </c>
      <c r="BR49" s="322">
        <f> IF(BR44 = 1, $F43, BR46 + BR47 - BR48)</f>
        <v>-1276.970811103763</v>
      </c>
      <c r="BS49" s="322">
        <f> IF(BS44 = 1, $F43, BS46 + BS47 - BS48)</f>
        <v>-1688.1222705485748</v>
      </c>
      <c r="BT49" s="322">
        <f> IF(BT44 = 1, $F43, BT46 + BT47 - BT48)</f>
        <v>-1603.716157021146</v>
      </c>
      <c r="BU49" s="322">
        <f> IF(BU44 = 1, $F43, BU46 + BU47 - BU48)</f>
        <v>-1523.5303491700884</v>
      </c>
      <c r="BV49" s="322">
        <f> IF(BV44 = 1, $F43, BV46 + BV47 - BV48)</f>
        <v>-1447.353831711584</v>
      </c>
      <c r="BW49" s="322">
        <f> IF(BW44 = 1, $F43, BW46 + BW47 - BW48)</f>
        <v>-1374.9861401260046</v>
      </c>
      <c r="BX49" s="322">
        <f> IF(BX44 = 1, $F43, BX46 + BX47 - BX48)</f>
        <v>-1306.236833119704</v>
      </c>
      <c r="BY49" s="322">
        <f> IF(BY44 = 1, $F43, BY46 + BY47 - BY48)</f>
        <v>-1240.9249914637185</v>
      </c>
      <c r="BZ49" s="322">
        <f> IF(BZ44 = 1, $F43, BZ46 + BZ47 - BZ48)</f>
        <v>-1178.8787418905326</v>
      </c>
      <c r="CA49" s="322">
        <f> IF(CA44 = 1, $F43, CA46 + CA47 - CA48)</f>
        <v>-1119.9348047960061</v>
      </c>
      <c r="CB49" s="322">
        <f> IF(CB44 = 1, $F43, CB46 + CB47 - CB48)</f>
        <v>-1063.9380645562055</v>
      </c>
      <c r="CC49" s="322">
        <f> IF(CC44 = 1, $F43, CC46 + CC47 - CC48)</f>
        <v>-1010.7411613283948</v>
      </c>
      <c r="CD49" s="322">
        <f> IF(CD44 = 1, $F43, CD46 + CD47 - CD48)</f>
        <v>-960.2041032619754</v>
      </c>
      <c r="CE49" s="322">
        <f> IF(CE44 = 1, $F43, CE46 + CE47 - CE48)</f>
        <v>-912.1938980988766</v>
      </c>
      <c r="CF49" s="322">
        <f> IF(CF44 = 1, $F43, CF46 + CF47 - CF48)</f>
        <v>-866.5842031939333</v>
      </c>
      <c r="CG49" s="322">
        <f> IF(CG44 = 1, $F43, CG46 + CG47 - CG48)</f>
        <v>-823.254993034237</v>
      </c>
      <c r="CH49" s="322">
        <f> IF(CH44 = 1, $F43, CH46 + CH47 - CH48)</f>
        <v>-782.0922433825249</v>
      </c>
      <c r="CI49" s="322">
        <f> IF(CI44 = 1, $F43, CI46 + CI47 - CI48)</f>
        <v>-742.9876312133988</v>
      </c>
      <c r="CJ49" s="322">
        <f> IF(CJ44 = 1, $F43, CJ46 + CJ47 - CJ48)</f>
        <v>-705.8382496527288</v>
      </c>
      <c r="CK49" s="322">
        <f> IF(CK44 = 1, $F43, CK46 + CK47 - CK48)</f>
        <v>-670.5463371700921</v>
      </c>
      <c r="CL49" s="322">
        <f> IF(CL44 = 1, $F43, CL46 + CL47 - CL48)</f>
        <v>-637.0190203115876</v>
      </c>
      <c r="CM49" s="322">
        <f> IF(CM44 = 1, $F43, CM46 + CM47 - CM48)</f>
        <v>9.094947017729282e-13</v>
      </c>
      <c r="CN49" s="322">
        <f> IF(CN44 = 1, $F43, CN46 + CN47 - CN48)</f>
        <v>9.094947017729282e-13</v>
      </c>
      <c r="CO49" s="322">
        <f> IF(CO44 = 1, $F43, CO46 + CO47 - CO48)</f>
        <v>9.094947017729282e-13</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0.xml><?xml version="1.0" encoding="utf-8"?>
<worksheet xmlns="http://schemas.openxmlformats.org/spreadsheetml/2006/main">
  <sheetPr>
    <tabColor rgb="000B5E82"/>
    <outlinePr summaryBelow="0" summaryRight="0"/>
    <pageSetUpPr/>
  </sheetPr>
  <dimension ref="A1:CO64"/>
  <sheetViews>
    <sheetView showGridLines="0" defaultGridColor="0" colorId="22" zoomScaleNormal="100" workbookViewId="0">
      <pane xSplit="9" ySplit="5" topLeftCell="J6" activePane="bottomRight" state="frozen"/>
      <selection activeCell="I34" sqref="I34"/>
      <selection pane="topRight" activeCell="I34" sqref="I34"/>
      <selection pane="bottomLeft" activeCell="I34" sqref="I34"/>
      <selection pane="bottomRight" activeCell="E19" sqref="A19:XFD19"/>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CAPITAL EXPENDITURE</t>
        </is>
      </c>
    </row>
    <row r="9">
      <c r="E9" s="339" t="str">
        <f> InpC!E$55</f>
        <v>Investment / addition date</v>
      </c>
      <c r="F9" s="339" t="str">
        <f> InpC!F$55</f>
        <v>$000s</v>
      </c>
      <c r="G9" s="325">
        <f> InpC!G$55</f>
        <v>0.0</v>
      </c>
    </row>
    <row r="10">
      <c r="E10" s="338">
        <f> InpC!E$56</f>
        <v>45291.0</v>
      </c>
      <c r="F10" s="325">
        <f> InpC!F$56</f>
        <v>2000.0</v>
      </c>
      <c r="G10" s="325" t="str">
        <f> InpC!G$56</f>
        <v>$ 000s</v>
      </c>
    </row>
    <row r="11">
      <c r="E11" s="338">
        <f> InpC!E$57</f>
        <v>45657.0</v>
      </c>
      <c r="F11" s="325">
        <f> InpC!F$57</f>
        <v>1000.0</v>
      </c>
      <c r="G11" s="325" t="str">
        <f> InpC!G$57</f>
        <v>$ 000s</v>
      </c>
    </row>
    <row r="12">
      <c r="E12" s="338">
        <f> InpC!E$58</f>
        <v>46022.0</v>
      </c>
      <c r="F12" s="325">
        <f> InpC!F$58</f>
        <v>1500.0</v>
      </c>
      <c r="G12" s="325" t="str">
        <f> InpC!G$58</f>
        <v>$ 000s</v>
      </c>
    </row>
    <row r="13">
      <c r="E13" s="338">
        <f> InpC!E$59</f>
        <v>46387.0</v>
      </c>
      <c r="F13" s="325">
        <f> InpC!F$59</f>
        <v>1000.0</v>
      </c>
      <c r="G13" s="325" t="str">
        <f> InpC!G$59</f>
        <v>$ 000s</v>
      </c>
    </row>
    <row r="14">
      <c r="E14" s="338">
        <f> InpC!E$60</f>
        <v>46752.0</v>
      </c>
      <c r="F14" s="325">
        <f> InpC!F$60</f>
        <v>500.0</v>
      </c>
      <c r="G14" s="325" t="str">
        <f> InpC!G$60</f>
        <v>$ 000s</v>
      </c>
    </row>
    <row r="15">
      <c r="E15" s="338">
        <f> InpC!E$61</f>
        <v>47118.0</v>
      </c>
      <c r="F15" s="325">
        <f> InpC!F$61</f>
        <v>1000.0</v>
      </c>
      <c r="G15" s="325" t="str">
        <f> InpC!G$61</f>
        <v>$ 000s</v>
      </c>
    </row>
    <row r="16">
      <c r="E16" s="338">
        <f> InpC!E$62</f>
        <v>47483.0</v>
      </c>
      <c r="F16" s="325">
        <f> InpC!F$62</f>
        <v>1000.0</v>
      </c>
      <c r="G16" s="325" t="str">
        <f> InpC!G$62</f>
        <v>$ 000s</v>
      </c>
    </row>
    <row r="17" customFormat="1" s="340">
      <c r="C17" s="341" t="n"/>
      <c r="D17" s="342" t="n"/>
      <c r="E17" s="343" t="str">
        <f> Time!E$25</f>
        <v>Model period ending </v>
      </c>
      <c r="F17" s="343">
        <f> Time!F$25</f>
        <v>0.0</v>
      </c>
      <c r="G17" s="343" t="str">
        <f> Time!G$25</f>
        <v>date</v>
      </c>
      <c r="H17" s="343">
        <f> Time!H$25</f>
        <v>0.0</v>
      </c>
      <c r="I17" s="343">
        <f> Time!I$25</f>
        <v>0.0</v>
      </c>
      <c r="J17" s="343">
        <f> Time!J$25</f>
        <v>44469.0</v>
      </c>
      <c r="K17" s="340">
        <f> Time!K$25</f>
        <v>44561.0</v>
      </c>
      <c r="L17" s="340">
        <f> Time!L$25</f>
        <v>44651.0</v>
      </c>
      <c r="M17" s="340">
        <f> Time!M$25</f>
        <v>44742.0</v>
      </c>
      <c r="N17" s="340">
        <f> Time!N$25</f>
        <v>44834.0</v>
      </c>
      <c r="O17" s="340">
        <f> Time!O$25</f>
        <v>44926.0</v>
      </c>
      <c r="P17" s="340">
        <f> Time!P$25</f>
        <v>45016.0</v>
      </c>
      <c r="Q17" s="340">
        <f> Time!Q$25</f>
        <v>45107.0</v>
      </c>
      <c r="R17" s="340">
        <f> Time!R$25</f>
        <v>45199.0</v>
      </c>
      <c r="S17" s="340">
        <f> Time!S$25</f>
        <v>45291.0</v>
      </c>
      <c r="T17" s="340">
        <f> Time!T$25</f>
        <v>45382.0</v>
      </c>
      <c r="U17" s="340">
        <f> Time!U$25</f>
        <v>45473.0</v>
      </c>
      <c r="V17" s="340">
        <f> Time!V$25</f>
        <v>45565.0</v>
      </c>
      <c r="W17" s="340">
        <f> Time!W$25</f>
        <v>45657.0</v>
      </c>
      <c r="X17" s="340">
        <f> Time!X$25</f>
        <v>45747.0</v>
      </c>
      <c r="Y17" s="340">
        <f> Time!Y$25</f>
        <v>45838.0</v>
      </c>
      <c r="Z17" s="340">
        <f> Time!Z$25</f>
        <v>45930.0</v>
      </c>
      <c r="AA17" s="340">
        <f> Time!AA$25</f>
        <v>46022.0</v>
      </c>
      <c r="AB17" s="340">
        <f> Time!AB$25</f>
        <v>46112.0</v>
      </c>
      <c r="AC17" s="340">
        <f> Time!AC$25</f>
        <v>46203.0</v>
      </c>
      <c r="AD17" s="340">
        <f> Time!AD$25</f>
        <v>46295.0</v>
      </c>
      <c r="AE17" s="340">
        <f> Time!AE$25</f>
        <v>46387.0</v>
      </c>
      <c r="AF17" s="340">
        <f> Time!AF$25</f>
        <v>46477.0</v>
      </c>
      <c r="AG17" s="340">
        <f> Time!AG$25</f>
        <v>46568.0</v>
      </c>
      <c r="AH17" s="340">
        <f> Time!AH$25</f>
        <v>46660.0</v>
      </c>
      <c r="AI17" s="340">
        <f> Time!AI$25</f>
        <v>46752.0</v>
      </c>
      <c r="AJ17" s="340">
        <f> Time!AJ$25</f>
        <v>46843.0</v>
      </c>
      <c r="AK17" s="340">
        <f> Time!AK$25</f>
        <v>46934.0</v>
      </c>
      <c r="AL17" s="340">
        <f> Time!AL$25</f>
        <v>47026.0</v>
      </c>
      <c r="AM17" s="340">
        <f> Time!AM$25</f>
        <v>47118.0</v>
      </c>
      <c r="AN17" s="340">
        <f> Time!AN$25</f>
        <v>47208.0</v>
      </c>
      <c r="AO17" s="340">
        <f> Time!AO$25</f>
        <v>47299.0</v>
      </c>
      <c r="AP17" s="340">
        <f> Time!AP$25</f>
        <v>47391.0</v>
      </c>
      <c r="AQ17" s="340">
        <f> Time!AQ$25</f>
        <v>47483.0</v>
      </c>
      <c r="AR17" s="340">
        <f> Time!AR$25</f>
        <v>47573.0</v>
      </c>
      <c r="AS17" s="340">
        <f> Time!AS$25</f>
        <v>47664.0</v>
      </c>
      <c r="AT17" s="340">
        <f> Time!AT$25</f>
        <v>47756.0</v>
      </c>
      <c r="AU17" s="340">
        <f> Time!AU$25</f>
        <v>47848.0</v>
      </c>
      <c r="AV17" s="340">
        <f> Time!AV$25</f>
        <v>47938.0</v>
      </c>
      <c r="AW17" s="340">
        <f> Time!AW$25</f>
        <v>48029.0</v>
      </c>
      <c r="AX17" s="340">
        <f> Time!AX$25</f>
        <v>48121.0</v>
      </c>
      <c r="AY17" s="340">
        <f> Time!AY$25</f>
        <v>48213.0</v>
      </c>
      <c r="AZ17" s="340">
        <f> Time!AZ$25</f>
        <v>48304.0</v>
      </c>
      <c r="BA17" s="340">
        <f> Time!BA$25</f>
        <v>48395.0</v>
      </c>
      <c r="BB17" s="340">
        <f> Time!BB$25</f>
        <v>48487.0</v>
      </c>
      <c r="BC17" s="340">
        <f> Time!BC$25</f>
        <v>48579.0</v>
      </c>
      <c r="BD17" s="340">
        <f> Time!BD$25</f>
        <v>48669.0</v>
      </c>
      <c r="BE17" s="340">
        <f> Time!BE$25</f>
        <v>48760.0</v>
      </c>
      <c r="BF17" s="340">
        <f> Time!BF$25</f>
        <v>48852.0</v>
      </c>
      <c r="BG17" s="340">
        <f> Time!BG$25</f>
        <v>48944.0</v>
      </c>
      <c r="BH17" s="340">
        <f> Time!BH$25</f>
        <v>49034.0</v>
      </c>
      <c r="BI17" s="340">
        <f> Time!BI$25</f>
        <v>49125.0</v>
      </c>
      <c r="BJ17" s="340">
        <f> Time!BJ$25</f>
        <v>49217.0</v>
      </c>
      <c r="BK17" s="340">
        <f> Time!BK$25</f>
        <v>49309.0</v>
      </c>
      <c r="BL17" s="340">
        <f> Time!BL$25</f>
        <v>49399.0</v>
      </c>
      <c r="BM17" s="340">
        <f> Time!BM$25</f>
        <v>49490.0</v>
      </c>
      <c r="BN17" s="340">
        <f> Time!BN$25</f>
        <v>49582.0</v>
      </c>
      <c r="BO17" s="340">
        <f> Time!BO$25</f>
        <v>49674.0</v>
      </c>
      <c r="BP17" s="340">
        <f> Time!BP$25</f>
        <v>49765.0</v>
      </c>
      <c r="BQ17" s="340">
        <f> Time!BQ$25</f>
        <v>49856.0</v>
      </c>
      <c r="BR17" s="340">
        <f> Time!BR$25</f>
        <v>49948.0</v>
      </c>
      <c r="BS17" s="340">
        <f> Time!BS$25</f>
        <v>50040.0</v>
      </c>
      <c r="BT17" s="340">
        <f> Time!BT$25</f>
        <v>50130.0</v>
      </c>
      <c r="BU17" s="340">
        <f> Time!BU$25</f>
        <v>50221.0</v>
      </c>
      <c r="BV17" s="340">
        <f> Time!BV$25</f>
        <v>50313.0</v>
      </c>
      <c r="BW17" s="340">
        <f> Time!BW$25</f>
        <v>50405.0</v>
      </c>
      <c r="BX17" s="340">
        <f> Time!BX$25</f>
        <v>50495.0</v>
      </c>
      <c r="BY17" s="340">
        <f> Time!BY$25</f>
        <v>50586.0</v>
      </c>
      <c r="BZ17" s="340">
        <f> Time!BZ$25</f>
        <v>50678.0</v>
      </c>
      <c r="CA17" s="340">
        <f> Time!CA$25</f>
        <v>50770.0</v>
      </c>
      <c r="CB17" s="340">
        <f> Time!CB$25</f>
        <v>50860.0</v>
      </c>
      <c r="CC17" s="340">
        <f> Time!CC$25</f>
        <v>50951.0</v>
      </c>
      <c r="CD17" s="340">
        <f> Time!CD$25</f>
        <v>51043.0</v>
      </c>
      <c r="CE17" s="340">
        <f> Time!CE$25</f>
        <v>51135.0</v>
      </c>
      <c r="CF17" s="340">
        <f> Time!CF$25</f>
        <v>51226.0</v>
      </c>
      <c r="CG17" s="340">
        <f> Time!CG$25</f>
        <v>51317.0</v>
      </c>
      <c r="CH17" s="340">
        <f> Time!CH$25</f>
        <v>51409.0</v>
      </c>
      <c r="CI17" s="340">
        <f> Time!CI$25</f>
        <v>51501.0</v>
      </c>
      <c r="CJ17" s="340">
        <f> Time!CJ$25</f>
        <v>51591.0</v>
      </c>
      <c r="CK17" s="340">
        <f> Time!CK$25</f>
        <v>51682.0</v>
      </c>
      <c r="CL17" s="340">
        <f> Time!CL$25</f>
        <v>51774.0</v>
      </c>
      <c r="CM17" s="340">
        <f> Time!CM$25</f>
        <v>51866.0</v>
      </c>
      <c r="CN17" s="340">
        <f> Time!CN$25</f>
        <v>51956.0</v>
      </c>
      <c r="CO17" s="340">
        <f> Time!CO$25</f>
        <v>52047.0</v>
      </c>
    </row>
    <row r="18" customFormat="1" s="345">
      <c r="A18" s="326" t="n"/>
      <c r="B18" s="326" t="n"/>
      <c r="C18" s="327" t="n"/>
      <c r="D18" s="328" t="n"/>
      <c r="E18" s="345" t="inlineStr">
        <is>
          <t>Capital expenditure POS</t>
        </is>
      </c>
      <c r="G18" s="345" t="str">
        <f>SMU</f>
        <v>$ 000s</v>
      </c>
      <c r="H18" s="345">
        <f> SUM(J18:CO18)</f>
        <v>8000.0</v>
      </c>
      <c r="J18" s="345">
        <f>_xlfn.IFNA(VLOOKUP(J17, $E10:$F16, 2,FALSE),0)</f>
        <v>0.0</v>
      </c>
      <c r="K18" s="345">
        <f>_xlfn.IFNA(VLOOKUP(K17, $E10:$F16, 2,FALSE),0)</f>
        <v>0.0</v>
      </c>
      <c r="L18" s="345">
        <f>_xlfn.IFNA(VLOOKUP(L17, $E10:$F16, 2,FALSE),0)</f>
        <v>0.0</v>
      </c>
      <c r="M18" s="345">
        <f>_xlfn.IFNA(VLOOKUP(M17, $E10:$F16, 2,FALSE),0)</f>
        <v>0.0</v>
      </c>
      <c r="N18" s="345">
        <f>_xlfn.IFNA(VLOOKUP(N17, $E10:$F16, 2,FALSE),0)</f>
        <v>0.0</v>
      </c>
      <c r="O18" s="345">
        <f>_xlfn.IFNA(VLOOKUP(O17, $E10:$F16, 2,FALSE),0)</f>
        <v>0.0</v>
      </c>
      <c r="P18" s="345">
        <f>_xlfn.IFNA(VLOOKUP(P17, $E10:$F16, 2,FALSE),0)</f>
        <v>0.0</v>
      </c>
      <c r="Q18" s="345">
        <f>_xlfn.IFNA(VLOOKUP(Q17, $E10:$F16, 2,FALSE),0)</f>
        <v>0.0</v>
      </c>
      <c r="R18" s="345">
        <f>_xlfn.IFNA(VLOOKUP(R17, $E10:$F16, 2,FALSE),0)</f>
        <v>0.0</v>
      </c>
      <c r="S18" s="345">
        <f>_xlfn.IFNA(VLOOKUP(S17, $E10:$F16, 2,FALSE),0)</f>
        <v>2000.0</v>
      </c>
      <c r="T18" s="345">
        <f>_xlfn.IFNA(VLOOKUP(T17, $E10:$F16, 2,FALSE),0)</f>
        <v>0.0</v>
      </c>
      <c r="U18" s="345">
        <f>_xlfn.IFNA(VLOOKUP(U17, $E10:$F16, 2,FALSE),0)</f>
        <v>0.0</v>
      </c>
      <c r="V18" s="345">
        <f>_xlfn.IFNA(VLOOKUP(V17, $E10:$F16, 2,FALSE),0)</f>
        <v>0.0</v>
      </c>
      <c r="W18" s="345">
        <f>_xlfn.IFNA(VLOOKUP(W17, $E10:$F16, 2,FALSE),0)</f>
        <v>1000.0</v>
      </c>
      <c r="X18" s="345">
        <f>_xlfn.IFNA(VLOOKUP(X17, $E10:$F16, 2,FALSE),0)</f>
        <v>0.0</v>
      </c>
      <c r="Y18" s="345">
        <f>_xlfn.IFNA(VLOOKUP(Y17, $E10:$F16, 2,FALSE),0)</f>
        <v>0.0</v>
      </c>
      <c r="Z18" s="345">
        <f>_xlfn.IFNA(VLOOKUP(Z17, $E10:$F16, 2,FALSE),0)</f>
        <v>0.0</v>
      </c>
      <c r="AA18" s="345">
        <f>_xlfn.IFNA(VLOOKUP(AA17, $E10:$F16, 2,FALSE),0)</f>
        <v>1500.0</v>
      </c>
      <c r="AB18" s="345">
        <f>_xlfn.IFNA(VLOOKUP(AB17, $E10:$F16, 2,FALSE),0)</f>
        <v>0.0</v>
      </c>
      <c r="AC18" s="345">
        <f>_xlfn.IFNA(VLOOKUP(AC17, $E10:$F16, 2,FALSE),0)</f>
        <v>0.0</v>
      </c>
      <c r="AD18" s="345">
        <f>_xlfn.IFNA(VLOOKUP(AD17, $E10:$F16, 2,FALSE),0)</f>
        <v>0.0</v>
      </c>
      <c r="AE18" s="345">
        <f>_xlfn.IFNA(VLOOKUP(AE17, $E10:$F16, 2,FALSE),0)</f>
        <v>1000.0</v>
      </c>
      <c r="AF18" s="345">
        <f>_xlfn.IFNA(VLOOKUP(AF17, $E10:$F16, 2,FALSE),0)</f>
        <v>0.0</v>
      </c>
      <c r="AG18" s="345">
        <f>_xlfn.IFNA(VLOOKUP(AG17, $E10:$F16, 2,FALSE),0)</f>
        <v>0.0</v>
      </c>
      <c r="AH18" s="345">
        <f>_xlfn.IFNA(VLOOKUP(AH17, $E10:$F16, 2,FALSE),0)</f>
        <v>0.0</v>
      </c>
      <c r="AI18" s="345">
        <f>_xlfn.IFNA(VLOOKUP(AI17, $E10:$F16, 2,FALSE),0)</f>
        <v>500.0</v>
      </c>
      <c r="AJ18" s="345">
        <f>_xlfn.IFNA(VLOOKUP(AJ17, $E10:$F16, 2,FALSE),0)</f>
        <v>0.0</v>
      </c>
      <c r="AK18" s="345">
        <f>_xlfn.IFNA(VLOOKUP(AK17, $E10:$F16, 2,FALSE),0)</f>
        <v>0.0</v>
      </c>
      <c r="AL18" s="345">
        <f>_xlfn.IFNA(VLOOKUP(AL17, $E10:$F16, 2,FALSE),0)</f>
        <v>0.0</v>
      </c>
      <c r="AM18" s="345">
        <f>_xlfn.IFNA(VLOOKUP(AM17, $E10:$F16, 2,FALSE),0)</f>
        <v>1000.0</v>
      </c>
      <c r="AN18" s="345">
        <f>_xlfn.IFNA(VLOOKUP(AN17, $E10:$F16, 2,FALSE),0)</f>
        <v>0.0</v>
      </c>
      <c r="AO18" s="345">
        <f>_xlfn.IFNA(VLOOKUP(AO17, $E10:$F16, 2,FALSE),0)</f>
        <v>0.0</v>
      </c>
      <c r="AP18" s="345">
        <f>_xlfn.IFNA(VLOOKUP(AP17, $E10:$F16, 2,FALSE),0)</f>
        <v>0.0</v>
      </c>
      <c r="AQ18" s="345">
        <f>_xlfn.IFNA(VLOOKUP(AQ17, $E10:$F16, 2,FALSE),0)</f>
        <v>1000.0</v>
      </c>
      <c r="AR18" s="345">
        <f>_xlfn.IFNA(VLOOKUP(AR17, $E10:$F16, 2,FALSE),0)</f>
        <v>0.0</v>
      </c>
      <c r="AS18" s="345">
        <f>_xlfn.IFNA(VLOOKUP(AS17, $E10:$F16, 2,FALSE),0)</f>
        <v>0.0</v>
      </c>
      <c r="AT18" s="345">
        <f>_xlfn.IFNA(VLOOKUP(AT17, $E10:$F16, 2,FALSE),0)</f>
        <v>0.0</v>
      </c>
      <c r="AU18" s="345">
        <f>_xlfn.IFNA(VLOOKUP(AU17, $E10:$F16, 2,FALSE),0)</f>
        <v>0.0</v>
      </c>
      <c r="AV18" s="345">
        <f>_xlfn.IFNA(VLOOKUP(AV17, $E10:$F16, 2,FALSE),0)</f>
        <v>0.0</v>
      </c>
      <c r="AW18" s="345">
        <f>_xlfn.IFNA(VLOOKUP(AW17, $E10:$F16, 2,FALSE),0)</f>
        <v>0.0</v>
      </c>
      <c r="AX18" s="345">
        <f>_xlfn.IFNA(VLOOKUP(AX17, $E10:$F16, 2,FALSE),0)</f>
        <v>0.0</v>
      </c>
      <c r="AY18" s="345">
        <f>_xlfn.IFNA(VLOOKUP(AY17, $E10:$F16, 2,FALSE),0)</f>
        <v>0.0</v>
      </c>
      <c r="AZ18" s="345">
        <f>_xlfn.IFNA(VLOOKUP(AZ17, $E10:$F16, 2,FALSE),0)</f>
        <v>0.0</v>
      </c>
      <c r="BA18" s="345">
        <f>_xlfn.IFNA(VLOOKUP(BA17, $E10:$F16, 2,FALSE),0)</f>
        <v>0.0</v>
      </c>
      <c r="BB18" s="345">
        <f>_xlfn.IFNA(VLOOKUP(BB17, $E10:$F16, 2,FALSE),0)</f>
        <v>0.0</v>
      </c>
      <c r="BC18" s="345">
        <f>_xlfn.IFNA(VLOOKUP(BC17, $E10:$F16, 2,FALSE),0)</f>
        <v>0.0</v>
      </c>
      <c r="BD18" s="345">
        <f>_xlfn.IFNA(VLOOKUP(BD17, $E10:$F16, 2,FALSE),0)</f>
        <v>0.0</v>
      </c>
      <c r="BE18" s="345">
        <f>_xlfn.IFNA(VLOOKUP(BE17, $E10:$F16, 2,FALSE),0)</f>
        <v>0.0</v>
      </c>
      <c r="BF18" s="345">
        <f>_xlfn.IFNA(VLOOKUP(BF17, $E10:$F16, 2,FALSE),0)</f>
        <v>0.0</v>
      </c>
      <c r="BG18" s="345">
        <f>_xlfn.IFNA(VLOOKUP(BG17, $E10:$F16, 2,FALSE),0)</f>
        <v>0.0</v>
      </c>
      <c r="BH18" s="345">
        <f>_xlfn.IFNA(VLOOKUP(BH17, $E10:$F16, 2,FALSE),0)</f>
        <v>0.0</v>
      </c>
      <c r="BI18" s="345">
        <f>_xlfn.IFNA(VLOOKUP(BI17, $E10:$F16, 2,FALSE),0)</f>
        <v>0.0</v>
      </c>
      <c r="BJ18" s="345">
        <f>_xlfn.IFNA(VLOOKUP(BJ17, $E10:$F16, 2,FALSE),0)</f>
        <v>0.0</v>
      </c>
      <c r="BK18" s="345">
        <f>_xlfn.IFNA(VLOOKUP(BK17, $E10:$F16, 2,FALSE),0)</f>
        <v>0.0</v>
      </c>
      <c r="BL18" s="345">
        <f>_xlfn.IFNA(VLOOKUP(BL17, $E10:$F16, 2,FALSE),0)</f>
        <v>0.0</v>
      </c>
      <c r="BM18" s="345">
        <f>_xlfn.IFNA(VLOOKUP(BM17, $E10:$F16, 2,FALSE),0)</f>
        <v>0.0</v>
      </c>
      <c r="BN18" s="345">
        <f>_xlfn.IFNA(VLOOKUP(BN17, $E10:$F16, 2,FALSE),0)</f>
        <v>0.0</v>
      </c>
      <c r="BO18" s="345">
        <f>_xlfn.IFNA(VLOOKUP(BO17, $E10:$F16, 2,FALSE),0)</f>
        <v>0.0</v>
      </c>
      <c r="BP18" s="345">
        <f>_xlfn.IFNA(VLOOKUP(BP17, $E10:$F16, 2,FALSE),0)</f>
        <v>0.0</v>
      </c>
      <c r="BQ18" s="345">
        <f>_xlfn.IFNA(VLOOKUP(BQ17, $E10:$F16, 2,FALSE),0)</f>
        <v>0.0</v>
      </c>
      <c r="BR18" s="345">
        <f>_xlfn.IFNA(VLOOKUP(BR17, $E10:$F16, 2,FALSE),0)</f>
        <v>0.0</v>
      </c>
      <c r="BS18" s="345">
        <f>_xlfn.IFNA(VLOOKUP(BS17, $E10:$F16, 2,FALSE),0)</f>
        <v>0.0</v>
      </c>
      <c r="BT18" s="345">
        <f>_xlfn.IFNA(VLOOKUP(BT17, $E10:$F16, 2,FALSE),0)</f>
        <v>0.0</v>
      </c>
      <c r="BU18" s="345">
        <f>_xlfn.IFNA(VLOOKUP(BU17, $E10:$F16, 2,FALSE),0)</f>
        <v>0.0</v>
      </c>
      <c r="BV18" s="345">
        <f>_xlfn.IFNA(VLOOKUP(BV17, $E10:$F16, 2,FALSE),0)</f>
        <v>0.0</v>
      </c>
      <c r="BW18" s="345">
        <f>_xlfn.IFNA(VLOOKUP(BW17, $E10:$F16, 2,FALSE),0)</f>
        <v>0.0</v>
      </c>
      <c r="BX18" s="345">
        <f>_xlfn.IFNA(VLOOKUP(BX17, $E10:$F16, 2,FALSE),0)</f>
        <v>0.0</v>
      </c>
      <c r="BY18" s="345">
        <f>_xlfn.IFNA(VLOOKUP(BY17, $E10:$F16, 2,FALSE),0)</f>
        <v>0.0</v>
      </c>
      <c r="BZ18" s="345">
        <f>_xlfn.IFNA(VLOOKUP(BZ17, $E10:$F16, 2,FALSE),0)</f>
        <v>0.0</v>
      </c>
      <c r="CA18" s="345">
        <f>_xlfn.IFNA(VLOOKUP(CA17, $E10:$F16, 2,FALSE),0)</f>
        <v>0.0</v>
      </c>
      <c r="CB18" s="345">
        <f>_xlfn.IFNA(VLOOKUP(CB17, $E10:$F16, 2,FALSE),0)</f>
        <v>0.0</v>
      </c>
      <c r="CC18" s="345">
        <f>_xlfn.IFNA(VLOOKUP(CC17, $E10:$F16, 2,FALSE),0)</f>
        <v>0.0</v>
      </c>
      <c r="CD18" s="345">
        <f>_xlfn.IFNA(VLOOKUP(CD17, $E10:$F16, 2,FALSE),0)</f>
        <v>0.0</v>
      </c>
      <c r="CE18" s="345">
        <f>_xlfn.IFNA(VLOOKUP(CE17, $E10:$F16, 2,FALSE),0)</f>
        <v>0.0</v>
      </c>
      <c r="CF18" s="345">
        <f>_xlfn.IFNA(VLOOKUP(CF17, $E10:$F16, 2,FALSE),0)</f>
        <v>0.0</v>
      </c>
      <c r="CG18" s="345">
        <f>_xlfn.IFNA(VLOOKUP(CG17, $E10:$F16, 2,FALSE),0)</f>
        <v>0.0</v>
      </c>
      <c r="CH18" s="345">
        <f>_xlfn.IFNA(VLOOKUP(CH17, $E10:$F16, 2,FALSE),0)</f>
        <v>0.0</v>
      </c>
      <c r="CI18" s="345">
        <f>_xlfn.IFNA(VLOOKUP(CI17, $E10:$F16, 2,FALSE),0)</f>
        <v>0.0</v>
      </c>
      <c r="CJ18" s="345">
        <f>_xlfn.IFNA(VLOOKUP(CJ17, $E10:$F16, 2,FALSE),0)</f>
        <v>0.0</v>
      </c>
      <c r="CK18" s="345">
        <f>_xlfn.IFNA(VLOOKUP(CK17, $E10:$F16, 2,FALSE),0)</f>
        <v>0.0</v>
      </c>
      <c r="CL18" s="345">
        <f>_xlfn.IFNA(VLOOKUP(CL17, $E10:$F16, 2,FALSE),0)</f>
        <v>0.0</v>
      </c>
      <c r="CM18" s="345">
        <f>_xlfn.IFNA(VLOOKUP(CM17, $E10:$F16, 2,FALSE),0)</f>
        <v>0.0</v>
      </c>
      <c r="CN18" s="345">
        <f>_xlfn.IFNA(VLOOKUP(CN17, $E10:$F16, 2,FALSE),0)</f>
        <v>0.0</v>
      </c>
      <c r="CO18" s="345">
        <f>_xlfn.IFNA(VLOOKUP(CO17, $E10:$F16, 2,FALSE),0)</f>
        <v>0.0</v>
      </c>
    </row>
    <row r="19" customFormat="1" s="150">
      <c r="A19" s="348" t="n"/>
      <c r="B19" s="348" t="n"/>
      <c r="C19" s="349" t="n"/>
      <c r="D19" s="193" t="n"/>
      <c r="E19" s="150" t="str">
        <f> LEFT(E18, LEN(E18) - 4)</f>
        <v>Capital expenditure</v>
      </c>
      <c r="F19" s="150" t="inlineStr">
        <is>
          <t>CF</t>
        </is>
      </c>
      <c r="G19" s="150" t="str">
        <f> G18</f>
        <v>$ 000s</v>
      </c>
      <c r="H19" s="150">
        <f> SUM(J19:CO19)</f>
        <v>-8000.0</v>
      </c>
      <c r="I19" s="150" t="n"/>
      <c r="J19" s="150">
        <f> -1 * J18</f>
        <v>-0.0</v>
      </c>
      <c r="K19" s="150">
        <f> -1 * K18</f>
        <v>-0.0</v>
      </c>
      <c r="L19" s="150">
        <f> -1 * L18</f>
        <v>-0.0</v>
      </c>
      <c r="M19" s="150">
        <f> -1 * M18</f>
        <v>-0.0</v>
      </c>
      <c r="N19" s="150">
        <f> -1 * N18</f>
        <v>-0.0</v>
      </c>
      <c r="O19" s="150">
        <f> -1 * O18</f>
        <v>-0.0</v>
      </c>
      <c r="P19" s="150">
        <f> -1 * P18</f>
        <v>-0.0</v>
      </c>
      <c r="Q19" s="150">
        <f> -1 * Q18</f>
        <v>-0.0</v>
      </c>
      <c r="R19" s="150">
        <f> -1 * R18</f>
        <v>-0.0</v>
      </c>
      <c r="S19" s="150">
        <f> -1 * S18</f>
        <v>-2000.0</v>
      </c>
      <c r="T19" s="150">
        <f> -1 * T18</f>
        <v>-0.0</v>
      </c>
      <c r="U19" s="150">
        <f> -1 * U18</f>
        <v>-0.0</v>
      </c>
      <c r="V19" s="150">
        <f> -1 * V18</f>
        <v>-0.0</v>
      </c>
      <c r="W19" s="150">
        <f> -1 * W18</f>
        <v>-1000.0</v>
      </c>
      <c r="X19" s="150">
        <f> -1 * X18</f>
        <v>-0.0</v>
      </c>
      <c r="Y19" s="150">
        <f> -1 * Y18</f>
        <v>-0.0</v>
      </c>
      <c r="Z19" s="150">
        <f> -1 * Z18</f>
        <v>-0.0</v>
      </c>
      <c r="AA19" s="150">
        <f> -1 * AA18</f>
        <v>-1500.0</v>
      </c>
      <c r="AB19" s="150">
        <f> -1 * AB18</f>
        <v>-0.0</v>
      </c>
      <c r="AC19" s="150">
        <f> -1 * AC18</f>
        <v>-0.0</v>
      </c>
      <c r="AD19" s="150">
        <f> -1 * AD18</f>
        <v>-0.0</v>
      </c>
      <c r="AE19" s="150">
        <f> -1 * AE18</f>
        <v>-1000.0</v>
      </c>
      <c r="AF19" s="150">
        <f> -1 * AF18</f>
        <v>-0.0</v>
      </c>
      <c r="AG19" s="150">
        <f> -1 * AG18</f>
        <v>-0.0</v>
      </c>
      <c r="AH19" s="150">
        <f> -1 * AH18</f>
        <v>-0.0</v>
      </c>
      <c r="AI19" s="150">
        <f> -1 * AI18</f>
        <v>-500.0</v>
      </c>
      <c r="AJ19" s="150">
        <f> -1 * AJ18</f>
        <v>-0.0</v>
      </c>
      <c r="AK19" s="150">
        <f> -1 * AK18</f>
        <v>-0.0</v>
      </c>
      <c r="AL19" s="150">
        <f> -1 * AL18</f>
        <v>-0.0</v>
      </c>
      <c r="AM19" s="150">
        <f> -1 * AM18</f>
        <v>-1000.0</v>
      </c>
      <c r="AN19" s="150">
        <f> -1 * AN18</f>
        <v>-0.0</v>
      </c>
      <c r="AO19" s="150">
        <f> -1 * AO18</f>
        <v>-0.0</v>
      </c>
      <c r="AP19" s="150">
        <f> -1 * AP18</f>
        <v>-0.0</v>
      </c>
      <c r="AQ19" s="150">
        <f> -1 * AQ18</f>
        <v>-1000.0</v>
      </c>
      <c r="AR19" s="150">
        <f> -1 * AR18</f>
        <v>-0.0</v>
      </c>
      <c r="AS19" s="150">
        <f> -1 * AS18</f>
        <v>-0.0</v>
      </c>
      <c r="AT19" s="150">
        <f> -1 * AT18</f>
        <v>-0.0</v>
      </c>
      <c r="AU19" s="150">
        <f> -1 * AU18</f>
        <v>-0.0</v>
      </c>
      <c r="AV19" s="150">
        <f> -1 * AV18</f>
        <v>-0.0</v>
      </c>
      <c r="AW19" s="150">
        <f> -1 * AW18</f>
        <v>-0.0</v>
      </c>
      <c r="AX19" s="150">
        <f> -1 * AX18</f>
        <v>-0.0</v>
      </c>
      <c r="AY19" s="150">
        <f> -1 * AY18</f>
        <v>-0.0</v>
      </c>
      <c r="AZ19" s="150">
        <f> -1 * AZ18</f>
        <v>-0.0</v>
      </c>
      <c r="BA19" s="150">
        <f> -1 * BA18</f>
        <v>-0.0</v>
      </c>
      <c r="BB19" s="150">
        <f> -1 * BB18</f>
        <v>-0.0</v>
      </c>
      <c r="BC19" s="150">
        <f> -1 * BC18</f>
        <v>-0.0</v>
      </c>
      <c r="BD19" s="150">
        <f> -1 * BD18</f>
        <v>-0.0</v>
      </c>
      <c r="BE19" s="150">
        <f> -1 * BE18</f>
        <v>-0.0</v>
      </c>
      <c r="BF19" s="150">
        <f> -1 * BF18</f>
        <v>-0.0</v>
      </c>
      <c r="BG19" s="150">
        <f> -1 * BG18</f>
        <v>-0.0</v>
      </c>
      <c r="BH19" s="150">
        <f> -1 * BH18</f>
        <v>-0.0</v>
      </c>
      <c r="BI19" s="150">
        <f> -1 * BI18</f>
        <v>-0.0</v>
      </c>
      <c r="BJ19" s="150">
        <f> -1 * BJ18</f>
        <v>-0.0</v>
      </c>
      <c r="BK19" s="150">
        <f> -1 * BK18</f>
        <v>-0.0</v>
      </c>
      <c r="BL19" s="150">
        <f> -1 * BL18</f>
        <v>-0.0</v>
      </c>
      <c r="BM19" s="150">
        <f> -1 * BM18</f>
        <v>-0.0</v>
      </c>
      <c r="BN19" s="150">
        <f> -1 * BN18</f>
        <v>-0.0</v>
      </c>
      <c r="BO19" s="150">
        <f> -1 * BO18</f>
        <v>-0.0</v>
      </c>
      <c r="BP19" s="150">
        <f> -1 * BP18</f>
        <v>-0.0</v>
      </c>
      <c r="BQ19" s="150">
        <f> -1 * BQ18</f>
        <v>-0.0</v>
      </c>
      <c r="BR19" s="150">
        <f> -1 * BR18</f>
        <v>-0.0</v>
      </c>
      <c r="BS19" s="150">
        <f> -1 * BS18</f>
        <v>-0.0</v>
      </c>
      <c r="BT19" s="150">
        <f> -1 * BT18</f>
        <v>-0.0</v>
      </c>
      <c r="BU19" s="150">
        <f> -1 * BU18</f>
        <v>-0.0</v>
      </c>
      <c r="BV19" s="150">
        <f> -1 * BV18</f>
        <v>-0.0</v>
      </c>
      <c r="BW19" s="150">
        <f> -1 * BW18</f>
        <v>-0.0</v>
      </c>
      <c r="BX19" s="150">
        <f> -1 * BX18</f>
        <v>-0.0</v>
      </c>
      <c r="BY19" s="150">
        <f> -1 * BY18</f>
        <v>-0.0</v>
      </c>
      <c r="BZ19" s="150">
        <f> -1 * BZ18</f>
        <v>-0.0</v>
      </c>
      <c r="CA19" s="150">
        <f> -1 * CA18</f>
        <v>-0.0</v>
      </c>
      <c r="CB19" s="150">
        <f> -1 * CB18</f>
        <v>-0.0</v>
      </c>
      <c r="CC19" s="150">
        <f> -1 * CC18</f>
        <v>-0.0</v>
      </c>
      <c r="CD19" s="150">
        <f> -1 * CD18</f>
        <v>-0.0</v>
      </c>
      <c r="CE19" s="150">
        <f> -1 * CE18</f>
        <v>-0.0</v>
      </c>
      <c r="CF19" s="150">
        <f> -1 * CF18</f>
        <v>-0.0</v>
      </c>
      <c r="CG19" s="150">
        <f> -1 * CG18</f>
        <v>-0.0</v>
      </c>
      <c r="CH19" s="150">
        <f> -1 * CH18</f>
        <v>-0.0</v>
      </c>
      <c r="CI19" s="150">
        <f> -1 * CI18</f>
        <v>-0.0</v>
      </c>
      <c r="CJ19" s="150">
        <f> -1 * CJ18</f>
        <v>-0.0</v>
      </c>
      <c r="CK19" s="150">
        <f> -1 * CK18</f>
        <v>-0.0</v>
      </c>
      <c r="CL19" s="150">
        <f> -1 * CL18</f>
        <v>-0.0</v>
      </c>
      <c r="CM19" s="150">
        <f> -1 * CM18</f>
        <v>-0.0</v>
      </c>
      <c r="CN19" s="150">
        <f> -1 * CN18</f>
        <v>-0.0</v>
      </c>
      <c r="CO19" s="150">
        <f> -1 * CO18</f>
        <v>-0.0</v>
      </c>
    </row>
    <row r="22">
      <c r="A22" s="294" t="inlineStr">
        <is>
          <t>ACCOUNTING DEPRECIATION</t>
        </is>
      </c>
    </row>
    <row r="24">
      <c r="C24" s="212" t="inlineStr">
        <is>
          <t>Accounting depreciation - Initial balance</t>
        </is>
      </c>
    </row>
    <row r="25">
      <c r="E25" s="325" t="str">
        <f> InpC!E$64</f>
        <v>Non current asset - initial balance</v>
      </c>
      <c r="F25" s="325">
        <f> InpC!F$64</f>
        <v>100000.0</v>
      </c>
      <c r="G25" s="325" t="str">
        <f> InpC!G$64</f>
        <v>$ 000s</v>
      </c>
    </row>
    <row r="26">
      <c r="E26" s="325" t="str">
        <f> InpC!E$65</f>
        <v>Useful life of NCA at acquisition </v>
      </c>
      <c r="F26" s="325">
        <f> InpC!F$65</f>
        <v>15.0</v>
      </c>
      <c r="G26" s="325" t="str">
        <f> InpC!G$65</f>
        <v>years</v>
      </c>
    </row>
    <row r="27">
      <c r="E27" s="325" t="str">
        <f> InpC!E$99</f>
        <v>No of periods in a year</v>
      </c>
      <c r="F27" s="325">
        <f> InpC!F$99</f>
        <v>4.0</v>
      </c>
      <c r="G27" s="325" t="str">
        <f> InpC!G$99</f>
        <v>periods</v>
      </c>
    </row>
    <row r="28">
      <c r="E28" s="324" t="str">
        <f> Time!E$95</f>
        <v>Depreciation period flag</v>
      </c>
      <c r="F28" s="324">
        <f> Time!F$95</f>
        <v>0.0</v>
      </c>
      <c r="G28" s="324" t="str">
        <f> Time!G$95</f>
        <v>flag</v>
      </c>
      <c r="H28" s="324">
        <f> Time!H$95</f>
        <v>60.0</v>
      </c>
      <c r="I28" s="324">
        <f> Time!I$95</f>
        <v>0.0</v>
      </c>
      <c r="J28" s="324">
        <f> Time!J$95</f>
        <v>0.0</v>
      </c>
      <c r="K28" s="324">
        <f> Time!K$95</f>
        <v>0.0</v>
      </c>
      <c r="L28" s="324">
        <f> Time!L$95</f>
        <v>1.0</v>
      </c>
      <c r="M28" s="324">
        <f> Time!M$95</f>
        <v>1.0</v>
      </c>
      <c r="N28" s="324">
        <f> Time!N$95</f>
        <v>1.0</v>
      </c>
      <c r="O28" s="324">
        <f> Time!O$95</f>
        <v>1.0</v>
      </c>
      <c r="P28" s="324">
        <f> Time!P$95</f>
        <v>1.0</v>
      </c>
      <c r="Q28" s="324">
        <f> Time!Q$95</f>
        <v>1.0</v>
      </c>
      <c r="R28" s="324">
        <f> Time!R$95</f>
        <v>1.0</v>
      </c>
      <c r="S28" s="324">
        <f> Time!S$95</f>
        <v>1.0</v>
      </c>
      <c r="T28" s="324">
        <f> Time!T$95</f>
        <v>1.0</v>
      </c>
      <c r="U28" s="324">
        <f> Time!U$95</f>
        <v>1.0</v>
      </c>
      <c r="V28" s="324">
        <f> Time!V$95</f>
        <v>1.0</v>
      </c>
      <c r="W28" s="324">
        <f> Time!W$95</f>
        <v>1.0</v>
      </c>
      <c r="X28" s="324">
        <f> Time!X$95</f>
        <v>1.0</v>
      </c>
      <c r="Y28" s="324">
        <f> Time!Y$95</f>
        <v>1.0</v>
      </c>
      <c r="Z28" s="324">
        <f> Time!Z$95</f>
        <v>1.0</v>
      </c>
      <c r="AA28" s="324">
        <f> Time!AA$95</f>
        <v>1.0</v>
      </c>
      <c r="AB28" s="324">
        <f> Time!AB$95</f>
        <v>1.0</v>
      </c>
      <c r="AC28" s="324">
        <f> Time!AC$95</f>
        <v>1.0</v>
      </c>
      <c r="AD28" s="324">
        <f> Time!AD$95</f>
        <v>1.0</v>
      </c>
      <c r="AE28" s="324">
        <f> Time!AE$95</f>
        <v>1.0</v>
      </c>
      <c r="AF28" s="324">
        <f> Time!AF$95</f>
        <v>1.0</v>
      </c>
      <c r="AG28" s="324">
        <f> Time!AG$95</f>
        <v>1.0</v>
      </c>
      <c r="AH28" s="324">
        <f> Time!AH$95</f>
        <v>1.0</v>
      </c>
      <c r="AI28" s="324">
        <f> Time!AI$95</f>
        <v>1.0</v>
      </c>
      <c r="AJ28" s="324">
        <f> Time!AJ$95</f>
        <v>1.0</v>
      </c>
      <c r="AK28" s="324">
        <f> Time!AK$95</f>
        <v>1.0</v>
      </c>
      <c r="AL28" s="324">
        <f> Time!AL$95</f>
        <v>1.0</v>
      </c>
      <c r="AM28" s="324">
        <f> Time!AM$95</f>
        <v>1.0</v>
      </c>
      <c r="AN28" s="324">
        <f> Time!AN$95</f>
        <v>1.0</v>
      </c>
      <c r="AO28" s="324">
        <f> Time!AO$95</f>
        <v>1.0</v>
      </c>
      <c r="AP28" s="324">
        <f> Time!AP$95</f>
        <v>1.0</v>
      </c>
      <c r="AQ28" s="324">
        <f> Time!AQ$95</f>
        <v>1.0</v>
      </c>
      <c r="AR28" s="324">
        <f> Time!AR$95</f>
        <v>1.0</v>
      </c>
      <c r="AS28" s="324">
        <f> Time!AS$95</f>
        <v>1.0</v>
      </c>
      <c r="AT28" s="324">
        <f> Time!AT$95</f>
        <v>1.0</v>
      </c>
      <c r="AU28" s="324">
        <f> Time!AU$95</f>
        <v>1.0</v>
      </c>
      <c r="AV28" s="324">
        <f> Time!AV$95</f>
        <v>1.0</v>
      </c>
      <c r="AW28" s="324">
        <f> Time!AW$95</f>
        <v>1.0</v>
      </c>
      <c r="AX28" s="324">
        <f> Time!AX$95</f>
        <v>1.0</v>
      </c>
      <c r="AY28" s="324">
        <f> Time!AY$95</f>
        <v>1.0</v>
      </c>
      <c r="AZ28" s="324">
        <f> Time!AZ$95</f>
        <v>1.0</v>
      </c>
      <c r="BA28" s="324">
        <f> Time!BA$95</f>
        <v>1.0</v>
      </c>
      <c r="BB28" s="324">
        <f> Time!BB$95</f>
        <v>1.0</v>
      </c>
      <c r="BC28" s="324">
        <f> Time!BC$95</f>
        <v>1.0</v>
      </c>
      <c r="BD28" s="324">
        <f> Time!BD$95</f>
        <v>1.0</v>
      </c>
      <c r="BE28" s="324">
        <f> Time!BE$95</f>
        <v>1.0</v>
      </c>
      <c r="BF28" s="324">
        <f> Time!BF$95</f>
        <v>1.0</v>
      </c>
      <c r="BG28" s="324">
        <f> Time!BG$95</f>
        <v>1.0</v>
      </c>
      <c r="BH28" s="324">
        <f> Time!BH$95</f>
        <v>1.0</v>
      </c>
      <c r="BI28" s="324">
        <f> Time!BI$95</f>
        <v>1.0</v>
      </c>
      <c r="BJ28" s="324">
        <f> Time!BJ$95</f>
        <v>1.0</v>
      </c>
      <c r="BK28" s="324">
        <f> Time!BK$95</f>
        <v>1.0</v>
      </c>
      <c r="BL28" s="324">
        <f> Time!BL$95</f>
        <v>1.0</v>
      </c>
      <c r="BM28" s="324">
        <f> Time!BM$95</f>
        <v>1.0</v>
      </c>
      <c r="BN28" s="324">
        <f> Time!BN$95</f>
        <v>1.0</v>
      </c>
      <c r="BO28" s="324">
        <f> Time!BO$95</f>
        <v>1.0</v>
      </c>
      <c r="BP28" s="324">
        <f> Time!BP$95</f>
        <v>1.0</v>
      </c>
      <c r="BQ28" s="324">
        <f> Time!BQ$95</f>
        <v>1.0</v>
      </c>
      <c r="BR28" s="324">
        <f> Time!BR$95</f>
        <v>1.0</v>
      </c>
      <c r="BS28" s="324">
        <f> Time!BS$95</f>
        <v>1.0</v>
      </c>
      <c r="BT28" s="324">
        <f> Time!BT$95</f>
        <v>0.0</v>
      </c>
      <c r="BU28" s="324">
        <f> Time!BU$95</f>
        <v>0.0</v>
      </c>
      <c r="BV28" s="324">
        <f> Time!BV$95</f>
        <v>0.0</v>
      </c>
      <c r="BW28" s="324">
        <f> Time!BW$95</f>
        <v>0.0</v>
      </c>
      <c r="BX28" s="324">
        <f> Time!BX$95</f>
        <v>0.0</v>
      </c>
      <c r="BY28" s="324">
        <f> Time!BY$95</f>
        <v>0.0</v>
      </c>
      <c r="BZ28" s="324">
        <f> Time!BZ$95</f>
        <v>0.0</v>
      </c>
      <c r="CA28" s="324">
        <f> Time!CA$95</f>
        <v>0.0</v>
      </c>
      <c r="CB28" s="324">
        <f> Time!CB$95</f>
        <v>0.0</v>
      </c>
      <c r="CC28" s="324">
        <f> Time!CC$95</f>
        <v>0.0</v>
      </c>
      <c r="CD28" s="324">
        <f> Time!CD$95</f>
        <v>0.0</v>
      </c>
      <c r="CE28" s="324">
        <f> Time!CE$95</f>
        <v>0.0</v>
      </c>
      <c r="CF28" s="324">
        <f> Time!CF$95</f>
        <v>0.0</v>
      </c>
      <c r="CG28" s="324">
        <f> Time!CG$95</f>
        <v>0.0</v>
      </c>
      <c r="CH28" s="324">
        <f> Time!CH$95</f>
        <v>0.0</v>
      </c>
      <c r="CI28" s="324">
        <f> Time!CI$95</f>
        <v>0.0</v>
      </c>
      <c r="CJ28" s="324">
        <f> Time!CJ$95</f>
        <v>0.0</v>
      </c>
      <c r="CK28" s="324">
        <f> Time!CK$95</f>
        <v>0.0</v>
      </c>
      <c r="CL28" s="324">
        <f> Time!CL$95</f>
        <v>0.0</v>
      </c>
      <c r="CM28" s="324">
        <f> Time!CM$95</f>
        <v>0.0</v>
      </c>
      <c r="CN28" s="324">
        <f> Time!CN$95</f>
        <v>0.0</v>
      </c>
      <c r="CO28" s="324">
        <f> Time!CO$95</f>
        <v>0.0</v>
      </c>
    </row>
    <row r="29" customFormat="1" s="260">
      <c r="A29" s="263" t="n"/>
      <c r="B29" s="263" t="n"/>
      <c r="C29" s="264" t="n"/>
      <c r="D29" s="335" t="n"/>
      <c r="E29" s="260" t="inlineStr">
        <is>
          <t>Accounting depreciation - Initial balance</t>
        </is>
      </c>
      <c r="G29" s="260" t="str">
        <f>SMU</f>
        <v>$ 000s</v>
      </c>
      <c r="H29" s="260">
        <f> SUM(J29:CO29)</f>
        <v>100000.0</v>
      </c>
      <c r="J29" s="260">
        <f> IF(J28 = 1, $F25 / ( $F26 * $F27),0)</f>
        <v>0.0</v>
      </c>
      <c r="K29" s="260">
        <f> IF(K28 = 1, $F25 / ( $F26 * $F27),0)</f>
        <v>0.0</v>
      </c>
      <c r="L29" s="260">
        <f> IF(L28 = 1, $F25 / ( $F26 * $F27),0)</f>
        <v>1666.6666666666667</v>
      </c>
      <c r="M29" s="260">
        <f> IF(M28 = 1, $F25 / ( $F26 * $F27),0)</f>
        <v>1666.6666666666667</v>
      </c>
      <c r="N29" s="260">
        <f> IF(N28 = 1, $F25 / ( $F26 * $F27),0)</f>
        <v>1666.6666666666667</v>
      </c>
      <c r="O29" s="260">
        <f> IF(O28 = 1, $F25 / ( $F26 * $F27),0)</f>
        <v>1666.6666666666667</v>
      </c>
      <c r="P29" s="260">
        <f> IF(P28 = 1, $F25 / ( $F26 * $F27),0)</f>
        <v>1666.6666666666667</v>
      </c>
      <c r="Q29" s="260">
        <f> IF(Q28 = 1, $F25 / ( $F26 * $F27),0)</f>
        <v>1666.6666666666667</v>
      </c>
      <c r="R29" s="260">
        <f> IF(R28 = 1, $F25 / ( $F26 * $F27),0)</f>
        <v>1666.6666666666667</v>
      </c>
      <c r="S29" s="260">
        <f> IF(S28 = 1, $F25 / ( $F26 * $F27),0)</f>
        <v>1666.6666666666667</v>
      </c>
      <c r="T29" s="260">
        <f> IF(T28 = 1, $F25 / ( $F26 * $F27),0)</f>
        <v>1666.6666666666667</v>
      </c>
      <c r="U29" s="260">
        <f> IF(U28 = 1, $F25 / ( $F26 * $F27),0)</f>
        <v>1666.6666666666667</v>
      </c>
      <c r="V29" s="260">
        <f> IF(V28 = 1, $F25 / ( $F26 * $F27),0)</f>
        <v>1666.6666666666667</v>
      </c>
      <c r="W29" s="260">
        <f> IF(W28 = 1, $F25 / ( $F26 * $F27),0)</f>
        <v>1666.6666666666667</v>
      </c>
      <c r="X29" s="260">
        <f> IF(X28 = 1, $F25 / ( $F26 * $F27),0)</f>
        <v>1666.6666666666667</v>
      </c>
      <c r="Y29" s="260">
        <f> IF(Y28 = 1, $F25 / ( $F26 * $F27),0)</f>
        <v>1666.6666666666667</v>
      </c>
      <c r="Z29" s="260">
        <f> IF(Z28 = 1, $F25 / ( $F26 * $F27),0)</f>
        <v>1666.6666666666667</v>
      </c>
      <c r="AA29" s="260">
        <f> IF(AA28 = 1, $F25 / ( $F26 * $F27),0)</f>
        <v>1666.6666666666667</v>
      </c>
      <c r="AB29" s="260">
        <f> IF(AB28 = 1, $F25 / ( $F26 * $F27),0)</f>
        <v>1666.6666666666667</v>
      </c>
      <c r="AC29" s="260">
        <f> IF(AC28 = 1, $F25 / ( $F26 * $F27),0)</f>
        <v>1666.6666666666667</v>
      </c>
      <c r="AD29" s="260">
        <f> IF(AD28 = 1, $F25 / ( $F26 * $F27),0)</f>
        <v>1666.6666666666667</v>
      </c>
      <c r="AE29" s="260">
        <f> IF(AE28 = 1, $F25 / ( $F26 * $F27),0)</f>
        <v>1666.6666666666667</v>
      </c>
      <c r="AF29" s="260">
        <f> IF(AF28 = 1, $F25 / ( $F26 * $F27),0)</f>
        <v>1666.6666666666667</v>
      </c>
      <c r="AG29" s="260">
        <f> IF(AG28 = 1, $F25 / ( $F26 * $F27),0)</f>
        <v>1666.6666666666667</v>
      </c>
      <c r="AH29" s="260">
        <f> IF(AH28 = 1, $F25 / ( $F26 * $F27),0)</f>
        <v>1666.6666666666667</v>
      </c>
      <c r="AI29" s="260">
        <f> IF(AI28 = 1, $F25 / ( $F26 * $F27),0)</f>
        <v>1666.6666666666667</v>
      </c>
      <c r="AJ29" s="260">
        <f> IF(AJ28 = 1, $F25 / ( $F26 * $F27),0)</f>
        <v>1666.6666666666667</v>
      </c>
      <c r="AK29" s="260">
        <f> IF(AK28 = 1, $F25 / ( $F26 * $F27),0)</f>
        <v>1666.6666666666667</v>
      </c>
      <c r="AL29" s="260">
        <f> IF(AL28 = 1, $F25 / ( $F26 * $F27),0)</f>
        <v>1666.6666666666667</v>
      </c>
      <c r="AM29" s="260">
        <f> IF(AM28 = 1, $F25 / ( $F26 * $F27),0)</f>
        <v>1666.6666666666667</v>
      </c>
      <c r="AN29" s="260">
        <f> IF(AN28 = 1, $F25 / ( $F26 * $F27),0)</f>
        <v>1666.6666666666667</v>
      </c>
      <c r="AO29" s="260">
        <f> IF(AO28 = 1, $F25 / ( $F26 * $F27),0)</f>
        <v>1666.6666666666667</v>
      </c>
      <c r="AP29" s="260">
        <f> IF(AP28 = 1, $F25 / ( $F26 * $F27),0)</f>
        <v>1666.6666666666667</v>
      </c>
      <c r="AQ29" s="260">
        <f> IF(AQ28 = 1, $F25 / ( $F26 * $F27),0)</f>
        <v>1666.6666666666667</v>
      </c>
      <c r="AR29" s="260">
        <f> IF(AR28 = 1, $F25 / ( $F26 * $F27),0)</f>
        <v>1666.6666666666667</v>
      </c>
      <c r="AS29" s="260">
        <f> IF(AS28 = 1, $F25 / ( $F26 * $F27),0)</f>
        <v>1666.6666666666667</v>
      </c>
      <c r="AT29" s="260">
        <f> IF(AT28 = 1, $F25 / ( $F26 * $F27),0)</f>
        <v>1666.6666666666667</v>
      </c>
      <c r="AU29" s="260">
        <f> IF(AU28 = 1, $F25 / ( $F26 * $F27),0)</f>
        <v>1666.6666666666667</v>
      </c>
      <c r="AV29" s="260">
        <f> IF(AV28 = 1, $F25 / ( $F26 * $F27),0)</f>
        <v>1666.6666666666667</v>
      </c>
      <c r="AW29" s="260">
        <f> IF(AW28 = 1, $F25 / ( $F26 * $F27),0)</f>
        <v>1666.6666666666667</v>
      </c>
      <c r="AX29" s="260">
        <f> IF(AX28 = 1, $F25 / ( $F26 * $F27),0)</f>
        <v>1666.6666666666667</v>
      </c>
      <c r="AY29" s="260">
        <f> IF(AY28 = 1, $F25 / ( $F26 * $F27),0)</f>
        <v>1666.6666666666667</v>
      </c>
      <c r="AZ29" s="260">
        <f> IF(AZ28 = 1, $F25 / ( $F26 * $F27),0)</f>
        <v>1666.6666666666667</v>
      </c>
      <c r="BA29" s="260">
        <f> IF(BA28 = 1, $F25 / ( $F26 * $F27),0)</f>
        <v>1666.6666666666667</v>
      </c>
      <c r="BB29" s="260">
        <f> IF(BB28 = 1, $F25 / ( $F26 * $F27),0)</f>
        <v>1666.6666666666667</v>
      </c>
      <c r="BC29" s="260">
        <f> IF(BC28 = 1, $F25 / ( $F26 * $F27),0)</f>
        <v>1666.6666666666667</v>
      </c>
      <c r="BD29" s="260">
        <f> IF(BD28 = 1, $F25 / ( $F26 * $F27),0)</f>
        <v>1666.6666666666667</v>
      </c>
      <c r="BE29" s="260">
        <f> IF(BE28 = 1, $F25 / ( $F26 * $F27),0)</f>
        <v>1666.6666666666667</v>
      </c>
      <c r="BF29" s="260">
        <f> IF(BF28 = 1, $F25 / ( $F26 * $F27),0)</f>
        <v>1666.6666666666667</v>
      </c>
      <c r="BG29" s="260">
        <f> IF(BG28 = 1, $F25 / ( $F26 * $F27),0)</f>
        <v>1666.6666666666667</v>
      </c>
      <c r="BH29" s="260">
        <f> IF(BH28 = 1, $F25 / ( $F26 * $F27),0)</f>
        <v>1666.6666666666667</v>
      </c>
      <c r="BI29" s="260">
        <f> IF(BI28 = 1, $F25 / ( $F26 * $F27),0)</f>
        <v>1666.6666666666667</v>
      </c>
      <c r="BJ29" s="260">
        <f> IF(BJ28 = 1, $F25 / ( $F26 * $F27),0)</f>
        <v>1666.6666666666667</v>
      </c>
      <c r="BK29" s="260">
        <f> IF(BK28 = 1, $F25 / ( $F26 * $F27),0)</f>
        <v>1666.6666666666667</v>
      </c>
      <c r="BL29" s="260">
        <f> IF(BL28 = 1, $F25 / ( $F26 * $F27),0)</f>
        <v>1666.6666666666667</v>
      </c>
      <c r="BM29" s="260">
        <f> IF(BM28 = 1, $F25 / ( $F26 * $F27),0)</f>
        <v>1666.6666666666667</v>
      </c>
      <c r="BN29" s="260">
        <f> IF(BN28 = 1, $F25 / ( $F26 * $F27),0)</f>
        <v>1666.6666666666667</v>
      </c>
      <c r="BO29" s="260">
        <f> IF(BO28 = 1, $F25 / ( $F26 * $F27),0)</f>
        <v>1666.6666666666667</v>
      </c>
      <c r="BP29" s="260">
        <f> IF(BP28 = 1, $F25 / ( $F26 * $F27),0)</f>
        <v>1666.6666666666667</v>
      </c>
      <c r="BQ29" s="260">
        <f> IF(BQ28 = 1, $F25 / ( $F26 * $F27),0)</f>
        <v>1666.6666666666667</v>
      </c>
      <c r="BR29" s="260">
        <f> IF(BR28 = 1, $F25 / ( $F26 * $F27),0)</f>
        <v>1666.6666666666667</v>
      </c>
      <c r="BS29" s="260">
        <f> IF(BS28 = 1, $F25 / ( $F26 * $F27),0)</f>
        <v>1666.6666666666667</v>
      </c>
      <c r="BT29" s="260">
        <f> IF(BT28 = 1, $F25 / ( $F26 * $F27),0)</f>
        <v>0.0</v>
      </c>
      <c r="BU29" s="260">
        <f> IF(BU28 = 1, $F25 / ( $F26 * $F27),0)</f>
        <v>0.0</v>
      </c>
      <c r="BV29" s="260">
        <f> IF(BV28 = 1, $F25 / ( $F26 * $F27),0)</f>
        <v>0.0</v>
      </c>
      <c r="BW29" s="260">
        <f> IF(BW28 = 1, $F25 / ( $F26 * $F27),0)</f>
        <v>0.0</v>
      </c>
      <c r="BX29" s="260">
        <f> IF(BX28 = 1, $F25 / ( $F26 * $F27),0)</f>
        <v>0.0</v>
      </c>
      <c r="BY29" s="260">
        <f> IF(BY28 = 1, $F25 / ( $F26 * $F27),0)</f>
        <v>0.0</v>
      </c>
      <c r="BZ29" s="260">
        <f> IF(BZ28 = 1, $F25 / ( $F26 * $F27),0)</f>
        <v>0.0</v>
      </c>
      <c r="CA29" s="260">
        <f> IF(CA28 = 1, $F25 / ( $F26 * $F27),0)</f>
        <v>0.0</v>
      </c>
      <c r="CB29" s="260">
        <f> IF(CB28 = 1, $F25 / ( $F26 * $F27),0)</f>
        <v>0.0</v>
      </c>
      <c r="CC29" s="260">
        <f> IF(CC28 = 1, $F25 / ( $F26 * $F27),0)</f>
        <v>0.0</v>
      </c>
      <c r="CD29" s="260">
        <f> IF(CD28 = 1, $F25 / ( $F26 * $F27),0)</f>
        <v>0.0</v>
      </c>
      <c r="CE29" s="260">
        <f> IF(CE28 = 1, $F25 / ( $F26 * $F27),0)</f>
        <v>0.0</v>
      </c>
      <c r="CF29" s="260">
        <f> IF(CF28 = 1, $F25 / ( $F26 * $F27),0)</f>
        <v>0.0</v>
      </c>
      <c r="CG29" s="260">
        <f> IF(CG28 = 1, $F25 / ( $F26 * $F27),0)</f>
        <v>0.0</v>
      </c>
      <c r="CH29" s="260">
        <f> IF(CH28 = 1, $F25 / ( $F26 * $F27),0)</f>
        <v>0.0</v>
      </c>
      <c r="CI29" s="260">
        <f> IF(CI28 = 1, $F25 / ( $F26 * $F27),0)</f>
        <v>0.0</v>
      </c>
      <c r="CJ29" s="260">
        <f> IF(CJ28 = 1, $F25 / ( $F26 * $F27),0)</f>
        <v>0.0</v>
      </c>
      <c r="CK29" s="260">
        <f> IF(CK28 = 1, $F25 / ( $F26 * $F27),0)</f>
        <v>0.0</v>
      </c>
      <c r="CL29" s="260">
        <f> IF(CL28 = 1, $F25 / ( $F26 * $F27),0)</f>
        <v>0.0</v>
      </c>
      <c r="CM29" s="260">
        <f> IF(CM28 = 1, $F25 / ( $F26 * $F27),0)</f>
        <v>0.0</v>
      </c>
      <c r="CN29" s="260">
        <f> IF(CN28 = 1, $F25 / ( $F26 * $F27),0)</f>
        <v>0.0</v>
      </c>
      <c r="CO29" s="260">
        <f> IF(CO28 = 1, $F25 / ( $F26 * $F27),0)</f>
        <v>0.0</v>
      </c>
    </row>
    <row r="30" customFormat="1" s="61">
      <c r="A30" s="294" t="n"/>
      <c r="B30" s="294" t="n"/>
      <c r="C30" s="212" t="n"/>
      <c r="D30" s="244" t="n"/>
      <c r="E30" s="61" t="n"/>
    </row>
    <row r="31" customFormat="1" s="61">
      <c r="A31" s="294" t="n"/>
      <c r="B31" s="294" t="n"/>
      <c r="C31" s="212" t="inlineStr">
        <is>
          <t>Accounting depreciation - capex</t>
        </is>
      </c>
      <c r="D31" s="244" t="n"/>
      <c r="E31" s="61" t="n"/>
    </row>
    <row r="32" customFormat="1" s="61">
      <c r="A32" s="294" t="n"/>
      <c r="B32" s="294" t="n"/>
      <c r="C32" s="212" t="n"/>
      <c r="D32" s="244" t="n"/>
      <c r="E32" s="325" t="str">
        <f> InpC!E$67</f>
        <v>Useful life -capex</v>
      </c>
      <c r="F32" s="325">
        <f> InpC!F$67</f>
        <v>5.0</v>
      </c>
      <c r="G32" s="325" t="str">
        <f> InpC!G$67</f>
        <v>yrs</v>
      </c>
    </row>
    <row r="33">
      <c r="E33" s="325" t="str">
        <f> InpC!E$99</f>
        <v>No of periods in a year</v>
      </c>
      <c r="F33" s="325">
        <f> InpC!F$99</f>
        <v>4.0</v>
      </c>
      <c r="G33" s="325" t="str">
        <f> InpC!G$99</f>
        <v>periods</v>
      </c>
    </row>
    <row r="34" customFormat="1" s="61">
      <c r="A34" s="294" t="n"/>
      <c r="B34" s="294" t="n"/>
      <c r="C34" s="212" t="n"/>
      <c r="D34" s="244" t="n"/>
      <c r="E34" s="61" t="inlineStr">
        <is>
          <t>Periodic useful life</t>
        </is>
      </c>
      <c r="F34" s="61">
        <f> F32 * F33</f>
        <v>20.0</v>
      </c>
      <c r="G34" s="61" t="inlineStr">
        <is>
          <t>periods</t>
        </is>
      </c>
    </row>
    <row r="35" customFormat="1" s="61">
      <c r="A35" s="294" t="n"/>
      <c r="B35" s="294" t="n"/>
      <c r="C35" s="212" t="n"/>
      <c r="D35" s="244" t="n"/>
      <c r="E35" s="61" t="n"/>
    </row>
    <row r="36" customFormat="1" s="61">
      <c r="A36" s="294" t="n"/>
      <c r="B36" s="294" t="n"/>
      <c r="C36" s="212" t="n"/>
      <c r="D36" s="244" t="n"/>
      <c r="E36" s="61" t="str">
        <f> E$34</f>
        <v>Periodic useful life</v>
      </c>
      <c r="F36" s="61">
        <f> F$34</f>
        <v>20.0</v>
      </c>
      <c r="G36" s="61" t="str">
        <f> G$34</f>
        <v>periods</v>
      </c>
    </row>
    <row r="37" customFormat="1" s="61">
      <c r="A37" s="294" t="n"/>
      <c r="B37" s="294" t="n"/>
      <c r="C37" s="212" t="n"/>
      <c r="D37" s="244" t="n"/>
      <c r="E37" s="377" t="str">
        <f> Time!E$10</f>
        <v>Model column counter</v>
      </c>
      <c r="F37" s="377">
        <f> Time!F$10</f>
        <v>0.0</v>
      </c>
      <c r="G37" s="377" t="str">
        <f> Time!G$10</f>
        <v>counter</v>
      </c>
      <c r="H37" s="377">
        <f> Time!H$10</f>
        <v>0.0</v>
      </c>
      <c r="I37" s="377">
        <f> Time!I$10</f>
        <v>0.0</v>
      </c>
      <c r="J37" s="377">
        <f> Time!J$10</f>
        <v>1.0</v>
      </c>
      <c r="K37" s="377">
        <f> Time!K$10</f>
        <v>2.0</v>
      </c>
      <c r="L37" s="377">
        <f> Time!L$10</f>
        <v>3.0</v>
      </c>
      <c r="M37" s="377">
        <f> Time!M$10</f>
        <v>4.0</v>
      </c>
      <c r="N37" s="377">
        <f> Time!N$10</f>
        <v>5.0</v>
      </c>
      <c r="O37" s="377">
        <f> Time!O$10</f>
        <v>6.0</v>
      </c>
      <c r="P37" s="377">
        <f> Time!P$10</f>
        <v>7.0</v>
      </c>
      <c r="Q37" s="377">
        <f> Time!Q$10</f>
        <v>8.0</v>
      </c>
      <c r="R37" s="377">
        <f> Time!R$10</f>
        <v>9.0</v>
      </c>
      <c r="S37" s="377">
        <f> Time!S$10</f>
        <v>10.0</v>
      </c>
      <c r="T37" s="377">
        <f> Time!T$10</f>
        <v>11.0</v>
      </c>
      <c r="U37" s="377">
        <f> Time!U$10</f>
        <v>12.0</v>
      </c>
      <c r="V37" s="377">
        <f> Time!V$10</f>
        <v>13.0</v>
      </c>
      <c r="W37" s="377">
        <f> Time!W$10</f>
        <v>14.0</v>
      </c>
      <c r="X37" s="377">
        <f> Time!X$10</f>
        <v>15.0</v>
      </c>
      <c r="Y37" s="377">
        <f> Time!Y$10</f>
        <v>16.0</v>
      </c>
      <c r="Z37" s="377">
        <f> Time!Z$10</f>
        <v>17.0</v>
      </c>
      <c r="AA37" s="377">
        <f> Time!AA$10</f>
        <v>18.0</v>
      </c>
      <c r="AB37" s="377">
        <f> Time!AB$10</f>
        <v>19.0</v>
      </c>
      <c r="AC37" s="377">
        <f> Time!AC$10</f>
        <v>20.0</v>
      </c>
      <c r="AD37" s="377">
        <f> Time!AD$10</f>
        <v>21.0</v>
      </c>
      <c r="AE37" s="377">
        <f> Time!AE$10</f>
        <v>22.0</v>
      </c>
      <c r="AF37" s="377">
        <f> Time!AF$10</f>
        <v>23.0</v>
      </c>
      <c r="AG37" s="377">
        <f> Time!AG$10</f>
        <v>24.0</v>
      </c>
      <c r="AH37" s="377">
        <f> Time!AH$10</f>
        <v>25.0</v>
      </c>
      <c r="AI37" s="377">
        <f> Time!AI$10</f>
        <v>26.0</v>
      </c>
      <c r="AJ37" s="377">
        <f> Time!AJ$10</f>
        <v>27.0</v>
      </c>
      <c r="AK37" s="377">
        <f> Time!AK$10</f>
        <v>28.0</v>
      </c>
      <c r="AL37" s="377">
        <f> Time!AL$10</f>
        <v>29.0</v>
      </c>
      <c r="AM37" s="377">
        <f> Time!AM$10</f>
        <v>30.0</v>
      </c>
      <c r="AN37" s="377">
        <f> Time!AN$10</f>
        <v>31.0</v>
      </c>
      <c r="AO37" s="377">
        <f> Time!AO$10</f>
        <v>32.0</v>
      </c>
      <c r="AP37" s="377">
        <f> Time!AP$10</f>
        <v>33.0</v>
      </c>
      <c r="AQ37" s="377">
        <f> Time!AQ$10</f>
        <v>34.0</v>
      </c>
      <c r="AR37" s="377">
        <f> Time!AR$10</f>
        <v>35.0</v>
      </c>
      <c r="AS37" s="377">
        <f> Time!AS$10</f>
        <v>36.0</v>
      </c>
      <c r="AT37" s="377">
        <f> Time!AT$10</f>
        <v>37.0</v>
      </c>
      <c r="AU37" s="377">
        <f> Time!AU$10</f>
        <v>38.0</v>
      </c>
      <c r="AV37" s="377">
        <f> Time!AV$10</f>
        <v>39.0</v>
      </c>
      <c r="AW37" s="377">
        <f> Time!AW$10</f>
        <v>40.0</v>
      </c>
      <c r="AX37" s="377">
        <f> Time!AX$10</f>
        <v>41.0</v>
      </c>
      <c r="AY37" s="377">
        <f> Time!AY$10</f>
        <v>42.0</v>
      </c>
      <c r="AZ37" s="377">
        <f> Time!AZ$10</f>
        <v>43.0</v>
      </c>
      <c r="BA37" s="377">
        <f> Time!BA$10</f>
        <v>44.0</v>
      </c>
      <c r="BB37" s="377">
        <f> Time!BB$10</f>
        <v>45.0</v>
      </c>
      <c r="BC37" s="377">
        <f> Time!BC$10</f>
        <v>46.0</v>
      </c>
      <c r="BD37" s="377">
        <f> Time!BD$10</f>
        <v>47.0</v>
      </c>
      <c r="BE37" s="377">
        <f> Time!BE$10</f>
        <v>48.0</v>
      </c>
      <c r="BF37" s="377">
        <f> Time!BF$10</f>
        <v>49.0</v>
      </c>
      <c r="BG37" s="377">
        <f> Time!BG$10</f>
        <v>50.0</v>
      </c>
      <c r="BH37" s="377">
        <f> Time!BH$10</f>
        <v>51.0</v>
      </c>
      <c r="BI37" s="377">
        <f> Time!BI$10</f>
        <v>52.0</v>
      </c>
      <c r="BJ37" s="377">
        <f> Time!BJ$10</f>
        <v>53.0</v>
      </c>
      <c r="BK37" s="377">
        <f> Time!BK$10</f>
        <v>54.0</v>
      </c>
      <c r="BL37" s="377">
        <f> Time!BL$10</f>
        <v>55.0</v>
      </c>
      <c r="BM37" s="377">
        <f> Time!BM$10</f>
        <v>56.0</v>
      </c>
      <c r="BN37" s="377">
        <f> Time!BN$10</f>
        <v>57.0</v>
      </c>
      <c r="BO37" s="377">
        <f> Time!BO$10</f>
        <v>58.0</v>
      </c>
      <c r="BP37" s="377">
        <f> Time!BP$10</f>
        <v>59.0</v>
      </c>
      <c r="BQ37" s="377">
        <f> Time!BQ$10</f>
        <v>60.0</v>
      </c>
      <c r="BR37" s="377">
        <f> Time!BR$10</f>
        <v>61.0</v>
      </c>
      <c r="BS37" s="377">
        <f> Time!BS$10</f>
        <v>62.0</v>
      </c>
      <c r="BT37" s="377">
        <f> Time!BT$10</f>
        <v>63.0</v>
      </c>
      <c r="BU37" s="377">
        <f> Time!BU$10</f>
        <v>64.0</v>
      </c>
      <c r="BV37" s="377">
        <f> Time!BV$10</f>
        <v>65.0</v>
      </c>
      <c r="BW37" s="377">
        <f> Time!BW$10</f>
        <v>66.0</v>
      </c>
      <c r="BX37" s="377">
        <f> Time!BX$10</f>
        <v>67.0</v>
      </c>
      <c r="BY37" s="377">
        <f> Time!BY$10</f>
        <v>68.0</v>
      </c>
      <c r="BZ37" s="377">
        <f> Time!BZ$10</f>
        <v>69.0</v>
      </c>
      <c r="CA37" s="377">
        <f> Time!CA$10</f>
        <v>70.0</v>
      </c>
      <c r="CB37" s="377">
        <f> Time!CB$10</f>
        <v>71.0</v>
      </c>
      <c r="CC37" s="377">
        <f> Time!CC$10</f>
        <v>72.0</v>
      </c>
      <c r="CD37" s="377">
        <f> Time!CD$10</f>
        <v>73.0</v>
      </c>
      <c r="CE37" s="377">
        <f> Time!CE$10</f>
        <v>74.0</v>
      </c>
      <c r="CF37" s="377">
        <f> Time!CF$10</f>
        <v>75.0</v>
      </c>
      <c r="CG37" s="377">
        <f> Time!CG$10</f>
        <v>76.0</v>
      </c>
      <c r="CH37" s="377">
        <f> Time!CH$10</f>
        <v>77.0</v>
      </c>
      <c r="CI37" s="377">
        <f> Time!CI$10</f>
        <v>78.0</v>
      </c>
      <c r="CJ37" s="377">
        <f> Time!CJ$10</f>
        <v>79.0</v>
      </c>
      <c r="CK37" s="377">
        <f> Time!CK$10</f>
        <v>80.0</v>
      </c>
      <c r="CL37" s="377">
        <f> Time!CL$10</f>
        <v>81.0</v>
      </c>
      <c r="CM37" s="377">
        <f> Time!CM$10</f>
        <v>82.0</v>
      </c>
      <c r="CN37" s="377">
        <f> Time!CN$10</f>
        <v>83.0</v>
      </c>
      <c r="CO37" s="377">
        <f> Time!CO$10</f>
        <v>84.0</v>
      </c>
    </row>
    <row r="38" customFormat="1" s="61">
      <c r="A38" s="294" t="n"/>
      <c r="B38" s="294" t="n"/>
      <c r="C38" s="212" t="n"/>
      <c r="D38" s="244" t="n"/>
      <c r="E38" s="61" t="str">
        <f> E$18</f>
        <v>Capital expenditure POS</v>
      </c>
      <c r="F38" s="61">
        <f> F$18</f>
        <v>0.0</v>
      </c>
      <c r="G38" s="61" t="str">
        <f> G$18</f>
        <v>$ 000s</v>
      </c>
      <c r="H38" s="61">
        <f> H$18</f>
        <v>8000.0</v>
      </c>
      <c r="I38" s="61">
        <f> I$18</f>
        <v>0.0</v>
      </c>
      <c r="J38" s="61">
        <f> J$18</f>
        <v>0.0</v>
      </c>
      <c r="K38" s="61">
        <f> K$18</f>
        <v>0.0</v>
      </c>
      <c r="L38" s="61">
        <f> L$18</f>
        <v>0.0</v>
      </c>
      <c r="M38" s="61">
        <f> M$18</f>
        <v>0.0</v>
      </c>
      <c r="N38" s="61">
        <f> N$18</f>
        <v>0.0</v>
      </c>
      <c r="O38" s="61">
        <f> O$18</f>
        <v>0.0</v>
      </c>
      <c r="P38" s="61">
        <f> P$18</f>
        <v>0.0</v>
      </c>
      <c r="Q38" s="61">
        <f> Q$18</f>
        <v>0.0</v>
      </c>
      <c r="R38" s="61">
        <f> R$18</f>
        <v>0.0</v>
      </c>
      <c r="S38" s="61">
        <f> S$18</f>
        <v>2000.0</v>
      </c>
      <c r="T38" s="61">
        <f> T$18</f>
        <v>0.0</v>
      </c>
      <c r="U38" s="61">
        <f> U$18</f>
        <v>0.0</v>
      </c>
      <c r="V38" s="61">
        <f> V$18</f>
        <v>0.0</v>
      </c>
      <c r="W38" s="61">
        <f> W$18</f>
        <v>1000.0</v>
      </c>
      <c r="X38" s="61">
        <f> X$18</f>
        <v>0.0</v>
      </c>
      <c r="Y38" s="61">
        <f> Y$18</f>
        <v>0.0</v>
      </c>
      <c r="Z38" s="61">
        <f> Z$18</f>
        <v>0.0</v>
      </c>
      <c r="AA38" s="61">
        <f> AA$18</f>
        <v>1500.0</v>
      </c>
      <c r="AB38" s="61">
        <f> AB$18</f>
        <v>0.0</v>
      </c>
      <c r="AC38" s="61">
        <f> AC$18</f>
        <v>0.0</v>
      </c>
      <c r="AD38" s="61">
        <f> AD$18</f>
        <v>0.0</v>
      </c>
      <c r="AE38" s="61">
        <f> AE$18</f>
        <v>1000.0</v>
      </c>
      <c r="AF38" s="61">
        <f> AF$18</f>
        <v>0.0</v>
      </c>
      <c r="AG38" s="61">
        <f> AG$18</f>
        <v>0.0</v>
      </c>
      <c r="AH38" s="61">
        <f> AH$18</f>
        <v>0.0</v>
      </c>
      <c r="AI38" s="61">
        <f> AI$18</f>
        <v>500.0</v>
      </c>
      <c r="AJ38" s="61">
        <f> AJ$18</f>
        <v>0.0</v>
      </c>
      <c r="AK38" s="61">
        <f> AK$18</f>
        <v>0.0</v>
      </c>
      <c r="AL38" s="61">
        <f> AL$18</f>
        <v>0.0</v>
      </c>
      <c r="AM38" s="61">
        <f> AM$18</f>
        <v>1000.0</v>
      </c>
      <c r="AN38" s="61">
        <f> AN$18</f>
        <v>0.0</v>
      </c>
      <c r="AO38" s="61">
        <f> AO$18</f>
        <v>0.0</v>
      </c>
      <c r="AP38" s="61">
        <f> AP$18</f>
        <v>0.0</v>
      </c>
      <c r="AQ38" s="61">
        <f> AQ$18</f>
        <v>1000.0</v>
      </c>
      <c r="AR38" s="61">
        <f> AR$18</f>
        <v>0.0</v>
      </c>
      <c r="AS38" s="61">
        <f> AS$18</f>
        <v>0.0</v>
      </c>
      <c r="AT38" s="61">
        <f> AT$18</f>
        <v>0.0</v>
      </c>
      <c r="AU38" s="61">
        <f> AU$18</f>
        <v>0.0</v>
      </c>
      <c r="AV38" s="61">
        <f> AV$18</f>
        <v>0.0</v>
      </c>
      <c r="AW38" s="61">
        <f> AW$18</f>
        <v>0.0</v>
      </c>
      <c r="AX38" s="61">
        <f> AX$18</f>
        <v>0.0</v>
      </c>
      <c r="AY38" s="61">
        <f> AY$18</f>
        <v>0.0</v>
      </c>
      <c r="AZ38" s="61">
        <f> AZ$18</f>
        <v>0.0</v>
      </c>
      <c r="BA38" s="61">
        <f> BA$18</f>
        <v>0.0</v>
      </c>
      <c r="BB38" s="61">
        <f> BB$18</f>
        <v>0.0</v>
      </c>
      <c r="BC38" s="61">
        <f> BC$18</f>
        <v>0.0</v>
      </c>
      <c r="BD38" s="61">
        <f> BD$18</f>
        <v>0.0</v>
      </c>
      <c r="BE38" s="61">
        <f> BE$18</f>
        <v>0.0</v>
      </c>
      <c r="BF38" s="61">
        <f> BF$18</f>
        <v>0.0</v>
      </c>
      <c r="BG38" s="61">
        <f> BG$18</f>
        <v>0.0</v>
      </c>
      <c r="BH38" s="61">
        <f> BH$18</f>
        <v>0.0</v>
      </c>
      <c r="BI38" s="61">
        <f> BI$18</f>
        <v>0.0</v>
      </c>
      <c r="BJ38" s="61">
        <f> BJ$18</f>
        <v>0.0</v>
      </c>
      <c r="BK38" s="61">
        <f> BK$18</f>
        <v>0.0</v>
      </c>
      <c r="BL38" s="61">
        <f> BL$18</f>
        <v>0.0</v>
      </c>
      <c r="BM38" s="61">
        <f> BM$18</f>
        <v>0.0</v>
      </c>
      <c r="BN38" s="61">
        <f> BN$18</f>
        <v>0.0</v>
      </c>
      <c r="BO38" s="61">
        <f> BO$18</f>
        <v>0.0</v>
      </c>
      <c r="BP38" s="61">
        <f> BP$18</f>
        <v>0.0</v>
      </c>
      <c r="BQ38" s="61">
        <f> BQ$18</f>
        <v>0.0</v>
      </c>
      <c r="BR38" s="61">
        <f> BR$18</f>
        <v>0.0</v>
      </c>
      <c r="BS38" s="61">
        <f> BS$18</f>
        <v>0.0</v>
      </c>
      <c r="BT38" s="61">
        <f> BT$18</f>
        <v>0.0</v>
      </c>
      <c r="BU38" s="61">
        <f> BU$18</f>
        <v>0.0</v>
      </c>
      <c r="BV38" s="61">
        <f> BV$18</f>
        <v>0.0</v>
      </c>
      <c r="BW38" s="61">
        <f> BW$18</f>
        <v>0.0</v>
      </c>
      <c r="BX38" s="61">
        <f> BX$18</f>
        <v>0.0</v>
      </c>
      <c r="BY38" s="61">
        <f> BY$18</f>
        <v>0.0</v>
      </c>
      <c r="BZ38" s="61">
        <f> BZ$18</f>
        <v>0.0</v>
      </c>
      <c r="CA38" s="61">
        <f> CA$18</f>
        <v>0.0</v>
      </c>
      <c r="CB38" s="61">
        <f> CB$18</f>
        <v>0.0</v>
      </c>
      <c r="CC38" s="61">
        <f> CC$18</f>
        <v>0.0</v>
      </c>
      <c r="CD38" s="61">
        <f> CD$18</f>
        <v>0.0</v>
      </c>
      <c r="CE38" s="61">
        <f> CE$18</f>
        <v>0.0</v>
      </c>
      <c r="CF38" s="61">
        <f> CF$18</f>
        <v>0.0</v>
      </c>
      <c r="CG38" s="61">
        <f> CG$18</f>
        <v>0.0</v>
      </c>
      <c r="CH38" s="61">
        <f> CH$18</f>
        <v>0.0</v>
      </c>
      <c r="CI38" s="61">
        <f> CI$18</f>
        <v>0.0</v>
      </c>
      <c r="CJ38" s="61">
        <f> CJ$18</f>
        <v>0.0</v>
      </c>
      <c r="CK38" s="61">
        <f> CK$18</f>
        <v>0.0</v>
      </c>
      <c r="CL38" s="61">
        <f> CL$18</f>
        <v>0.0</v>
      </c>
      <c r="CM38" s="61">
        <f> CM$18</f>
        <v>0.0</v>
      </c>
      <c r="CN38" s="61">
        <f> CN$18</f>
        <v>0.0</v>
      </c>
      <c r="CO38" s="61">
        <f> CO$18</f>
        <v>0.0</v>
      </c>
    </row>
    <row r="39" customFormat="1" s="61">
      <c r="A39" s="294" t="n"/>
      <c r="B39" s="294" t="n"/>
      <c r="C39" s="212" t="n"/>
      <c r="D39" s="244" t="n"/>
      <c r="E39" s="61" t="inlineStr">
        <is>
          <t>Retirement of capex</t>
        </is>
      </c>
      <c r="G39" s="61" t="str">
        <f>SMU</f>
        <v>$ 000s</v>
      </c>
      <c r="H39" s="61">
        <f> SUM(J39:CO39)</f>
        <v>8000.0</v>
      </c>
      <c r="J39" s="61">
        <f> SUMIFS($J38:J38, $J37:J37, J37 - $F36)</f>
        <v>0.0</v>
      </c>
      <c r="K39" s="61">
        <f> SUMIFS($J38:K38, $J37:K37, K37 - $F36)</f>
        <v>0.0</v>
      </c>
      <c r="L39" s="61">
        <f> SUMIFS($J38:L38, $J37:L37, L37 - $F36)</f>
        <v>0.0</v>
      </c>
      <c r="M39" s="61">
        <f> SUMIFS($J38:M38, $J37:M37, M37 - $F36)</f>
        <v>0.0</v>
      </c>
      <c r="N39" s="61">
        <f> SUMIFS($J38:N38, $J37:N37, N37 - $F36)</f>
        <v>0.0</v>
      </c>
      <c r="O39" s="61">
        <f> SUMIFS($J38:O38, $J37:O37, O37 - $F36)</f>
        <v>0.0</v>
      </c>
      <c r="P39" s="61">
        <f> SUMIFS($J38:P38, $J37:P37, P37 - $F36)</f>
        <v>0.0</v>
      </c>
      <c r="Q39" s="61">
        <f> SUMIFS($J38:Q38, $J37:Q37, Q37 - $F36)</f>
        <v>0.0</v>
      </c>
      <c r="R39" s="61">
        <f> SUMIFS($J38:R38, $J37:R37, R37 - $F36)</f>
        <v>0.0</v>
      </c>
      <c r="S39" s="61">
        <f> SUMIFS($J38:S38, $J37:S37, S37 - $F36)</f>
        <v>0.0</v>
      </c>
      <c r="T39" s="61">
        <f> SUMIFS($J38:T38, $J37:T37, T37 - $F36)</f>
        <v>0.0</v>
      </c>
      <c r="U39" s="61">
        <f> SUMIFS($J38:U38, $J37:U37, U37 - $F36)</f>
        <v>0.0</v>
      </c>
      <c r="V39" s="61">
        <f> SUMIFS($J38:V38, $J37:V37, V37 - $F36)</f>
        <v>0.0</v>
      </c>
      <c r="W39" s="61">
        <f> SUMIFS($J38:W38, $J37:W37, W37 - $F36)</f>
        <v>0.0</v>
      </c>
      <c r="X39" s="61">
        <f> SUMIFS($J38:X38, $J37:X37, X37 - $F36)</f>
        <v>0.0</v>
      </c>
      <c r="Y39" s="61">
        <f> SUMIFS($J38:Y38, $J37:Y37, Y37 - $F36)</f>
        <v>0.0</v>
      </c>
      <c r="Z39" s="61">
        <f> SUMIFS($J38:Z38, $J37:Z37, Z37 - $F36)</f>
        <v>0.0</v>
      </c>
      <c r="AA39" s="61">
        <f> SUMIFS($J38:AA38, $J37:AA37, AA37 - $F36)</f>
        <v>0.0</v>
      </c>
      <c r="AB39" s="61">
        <f> SUMIFS($J38:AB38, $J37:AB37, AB37 - $F36)</f>
        <v>0.0</v>
      </c>
      <c r="AC39" s="61">
        <f> SUMIFS($J38:AC38, $J37:AC37, AC37 - $F36)</f>
        <v>0.0</v>
      </c>
      <c r="AD39" s="61">
        <f> SUMIFS($J38:AD38, $J37:AD37, AD37 - $F36)</f>
        <v>0.0</v>
      </c>
      <c r="AE39" s="61">
        <f> SUMIFS($J38:AE38, $J37:AE37, AE37 - $F36)</f>
        <v>0.0</v>
      </c>
      <c r="AF39" s="61">
        <f> SUMIFS($J38:AF38, $J37:AF37, AF37 - $F36)</f>
        <v>0.0</v>
      </c>
      <c r="AG39" s="61">
        <f> SUMIFS($J38:AG38, $J37:AG37, AG37 - $F36)</f>
        <v>0.0</v>
      </c>
      <c r="AH39" s="61">
        <f> SUMIFS($J38:AH38, $J37:AH37, AH37 - $F36)</f>
        <v>0.0</v>
      </c>
      <c r="AI39" s="61">
        <f> SUMIFS($J38:AI38, $J37:AI37, AI37 - $F36)</f>
        <v>0.0</v>
      </c>
      <c r="AJ39" s="61">
        <f> SUMIFS($J38:AJ38, $J37:AJ37, AJ37 - $F36)</f>
        <v>0.0</v>
      </c>
      <c r="AK39" s="61">
        <f> SUMIFS($J38:AK38, $J37:AK37, AK37 - $F36)</f>
        <v>0.0</v>
      </c>
      <c r="AL39" s="61">
        <f> SUMIFS($J38:AL38, $J37:AL37, AL37 - $F36)</f>
        <v>0.0</v>
      </c>
      <c r="AM39" s="61">
        <f> SUMIFS($J38:AM38, $J37:AM37, AM37 - $F36)</f>
        <v>2000.0</v>
      </c>
      <c r="AN39" s="61">
        <f> SUMIFS($J38:AN38, $J37:AN37, AN37 - $F36)</f>
        <v>0.0</v>
      </c>
      <c r="AO39" s="61">
        <f> SUMIFS($J38:AO38, $J37:AO37, AO37 - $F36)</f>
        <v>0.0</v>
      </c>
      <c r="AP39" s="61">
        <f> SUMIFS($J38:AP38, $J37:AP37, AP37 - $F36)</f>
        <v>0.0</v>
      </c>
      <c r="AQ39" s="61">
        <f> SUMIFS($J38:AQ38, $J37:AQ37, AQ37 - $F36)</f>
        <v>1000.0</v>
      </c>
      <c r="AR39" s="61">
        <f> SUMIFS($J38:AR38, $J37:AR37, AR37 - $F36)</f>
        <v>0.0</v>
      </c>
      <c r="AS39" s="61">
        <f> SUMIFS($J38:AS38, $J37:AS37, AS37 - $F36)</f>
        <v>0.0</v>
      </c>
      <c r="AT39" s="61">
        <f> SUMIFS($J38:AT38, $J37:AT37, AT37 - $F36)</f>
        <v>0.0</v>
      </c>
      <c r="AU39" s="61">
        <f> SUMIFS($J38:AU38, $J37:AU37, AU37 - $F36)</f>
        <v>1500.0</v>
      </c>
      <c r="AV39" s="61">
        <f> SUMIFS($J38:AV38, $J37:AV37, AV37 - $F36)</f>
        <v>0.0</v>
      </c>
      <c r="AW39" s="61">
        <f> SUMIFS($J38:AW38, $J37:AW37, AW37 - $F36)</f>
        <v>0.0</v>
      </c>
      <c r="AX39" s="61">
        <f> SUMIFS($J38:AX38, $J37:AX37, AX37 - $F36)</f>
        <v>0.0</v>
      </c>
      <c r="AY39" s="61">
        <f> SUMIFS($J38:AY38, $J37:AY37, AY37 - $F36)</f>
        <v>1000.0</v>
      </c>
      <c r="AZ39" s="61">
        <f> SUMIFS($J38:AZ38, $J37:AZ37, AZ37 - $F36)</f>
        <v>0.0</v>
      </c>
      <c r="BA39" s="61">
        <f> SUMIFS($J38:BA38, $J37:BA37, BA37 - $F36)</f>
        <v>0.0</v>
      </c>
      <c r="BB39" s="61">
        <f> SUMIFS($J38:BB38, $J37:BB37, BB37 - $F36)</f>
        <v>0.0</v>
      </c>
      <c r="BC39" s="61">
        <f> SUMIFS($J38:BC38, $J37:BC37, BC37 - $F36)</f>
        <v>500.0</v>
      </c>
      <c r="BD39" s="61">
        <f> SUMIFS($J38:BD38, $J37:BD37, BD37 - $F36)</f>
        <v>0.0</v>
      </c>
      <c r="BE39" s="61">
        <f> SUMIFS($J38:BE38, $J37:BE37, BE37 - $F36)</f>
        <v>0.0</v>
      </c>
      <c r="BF39" s="61">
        <f> SUMIFS($J38:BF38, $J37:BF37, BF37 - $F36)</f>
        <v>0.0</v>
      </c>
      <c r="BG39" s="61">
        <f> SUMIFS($J38:BG38, $J37:BG37, BG37 - $F36)</f>
        <v>1000.0</v>
      </c>
      <c r="BH39" s="61">
        <f> SUMIFS($J38:BH38, $J37:BH37, BH37 - $F36)</f>
        <v>0.0</v>
      </c>
      <c r="BI39" s="61">
        <f> SUMIFS($J38:BI38, $J37:BI37, BI37 - $F36)</f>
        <v>0.0</v>
      </c>
      <c r="BJ39" s="61">
        <f> SUMIFS($J38:BJ38, $J37:BJ37, BJ37 - $F36)</f>
        <v>0.0</v>
      </c>
      <c r="BK39" s="61">
        <f> SUMIFS($J38:BK38, $J37:BK37, BK37 - $F36)</f>
        <v>1000.0</v>
      </c>
      <c r="BL39" s="61">
        <f> SUMIFS($J38:BL38, $J37:BL37, BL37 - $F36)</f>
        <v>0.0</v>
      </c>
      <c r="BM39" s="61">
        <f> SUMIFS($J38:BM38, $J37:BM37, BM37 - $F36)</f>
        <v>0.0</v>
      </c>
      <c r="BN39" s="61">
        <f> SUMIFS($J38:BN38, $J37:BN37, BN37 - $F36)</f>
        <v>0.0</v>
      </c>
      <c r="BO39" s="61">
        <f> SUMIFS($J38:BO38, $J37:BO37, BO37 - $F36)</f>
        <v>0.0</v>
      </c>
      <c r="BP39" s="61">
        <f> SUMIFS($J38:BP38, $J37:BP37, BP37 - $F36)</f>
        <v>0.0</v>
      </c>
      <c r="BQ39" s="61">
        <f> SUMIFS($J38:BQ38, $J37:BQ37, BQ37 - $F36)</f>
        <v>0.0</v>
      </c>
      <c r="BR39" s="61">
        <f> SUMIFS($J38:BR38, $J37:BR37, BR37 - $F36)</f>
        <v>0.0</v>
      </c>
      <c r="BS39" s="61">
        <f> SUMIFS($J38:BS38, $J37:BS37, BS37 - $F36)</f>
        <v>0.0</v>
      </c>
      <c r="BT39" s="61">
        <f> SUMIFS($J38:BT38, $J37:BT37, BT37 - $F36)</f>
        <v>0.0</v>
      </c>
      <c r="BU39" s="61">
        <f> SUMIFS($J38:BU38, $J37:BU37, BU37 - $F36)</f>
        <v>0.0</v>
      </c>
      <c r="BV39" s="61">
        <f> SUMIFS($J38:BV38, $J37:BV37, BV37 - $F36)</f>
        <v>0.0</v>
      </c>
      <c r="BW39" s="61">
        <f> SUMIFS($J38:BW38, $J37:BW37, BW37 - $F36)</f>
        <v>0.0</v>
      </c>
      <c r="BX39" s="61">
        <f> SUMIFS($J38:BX38, $J37:BX37, BX37 - $F36)</f>
        <v>0.0</v>
      </c>
      <c r="BY39" s="61">
        <f> SUMIFS($J38:BY38, $J37:BY37, BY37 - $F36)</f>
        <v>0.0</v>
      </c>
      <c r="BZ39" s="61">
        <f> SUMIFS($J38:BZ38, $J37:BZ37, BZ37 - $F36)</f>
        <v>0.0</v>
      </c>
      <c r="CA39" s="61">
        <f> SUMIFS($J38:CA38, $J37:CA37, CA37 - $F36)</f>
        <v>0.0</v>
      </c>
      <c r="CB39" s="61">
        <f> SUMIFS($J38:CB38, $J37:CB37, CB37 - $F36)</f>
        <v>0.0</v>
      </c>
      <c r="CC39" s="61">
        <f> SUMIFS($J38:CC38, $J37:CC37, CC37 - $F36)</f>
        <v>0.0</v>
      </c>
      <c r="CD39" s="61">
        <f> SUMIFS($J38:CD38, $J37:CD37, CD37 - $F36)</f>
        <v>0.0</v>
      </c>
      <c r="CE39" s="61">
        <f> SUMIFS($J38:CE38, $J37:CE37, CE37 - $F36)</f>
        <v>0.0</v>
      </c>
      <c r="CF39" s="61">
        <f> SUMIFS($J38:CF38, $J37:CF37, CF37 - $F36)</f>
        <v>0.0</v>
      </c>
      <c r="CG39" s="61">
        <f> SUMIFS($J38:CG38, $J37:CG37, CG37 - $F36)</f>
        <v>0.0</v>
      </c>
      <c r="CH39" s="61">
        <f> SUMIFS($J38:CH38, $J37:CH37, CH37 - $F36)</f>
        <v>0.0</v>
      </c>
      <c r="CI39" s="61">
        <f> SUMIFS($J38:CI38, $J37:CI37, CI37 - $F36)</f>
        <v>0.0</v>
      </c>
      <c r="CJ39" s="61">
        <f> SUMIFS($J38:CJ38, $J37:CJ37, CJ37 - $F36)</f>
        <v>0.0</v>
      </c>
      <c r="CK39" s="61">
        <f> SUMIFS($J38:CK38, $J37:CK37, CK37 - $F36)</f>
        <v>0.0</v>
      </c>
      <c r="CL39" s="61">
        <f> SUMIFS($J38:CL38, $J37:CL37, CL37 - $F36)</f>
        <v>0.0</v>
      </c>
      <c r="CM39" s="61">
        <f> SUMIFS($J38:CM38, $J37:CM37, CM37 - $F36)</f>
        <v>0.0</v>
      </c>
      <c r="CN39" s="61">
        <f> SUMIFS($J38:CN38, $J37:CN37, CN37 - $F36)</f>
        <v>0.0</v>
      </c>
      <c r="CO39" s="61">
        <f> SUMIFS($J38:CO38, $J37:CO37, CO37 - $F36)</f>
        <v>0.0</v>
      </c>
    </row>
    <row r="40" customFormat="1" s="61">
      <c r="A40" s="294" t="n"/>
      <c r="B40" s="294" t="n"/>
      <c r="C40" s="212" t="n"/>
      <c r="D40" s="244" t="n"/>
      <c r="E40" s="61" t="n"/>
    </row>
    <row r="41" customFormat="1" s="370">
      <c r="A41" s="331" t="n"/>
      <c r="B41" s="331" t="n"/>
      <c r="C41" s="332" t="n"/>
      <c r="D41" s="333" t="n"/>
      <c r="E41" s="370" t="inlineStr">
        <is>
          <t>Capex depreciable balance BEG</t>
        </is>
      </c>
      <c r="G41" s="370" t="str">
        <f>SMU</f>
        <v>$ 000s</v>
      </c>
      <c r="J41" s="370">
        <f>I44</f>
        <v>0.0</v>
      </c>
      <c r="K41" s="370">
        <f>J44</f>
        <v>0.0</v>
      </c>
      <c r="L41" s="370">
        <f>K44</f>
        <v>0.0</v>
      </c>
      <c r="M41" s="370">
        <f>L44</f>
        <v>0.0</v>
      </c>
      <c r="N41" s="370">
        <f>M44</f>
        <v>0.0</v>
      </c>
      <c r="O41" s="370">
        <f>N44</f>
        <v>0.0</v>
      </c>
      <c r="P41" s="370">
        <f>O44</f>
        <v>0.0</v>
      </c>
      <c r="Q41" s="370">
        <f>P44</f>
        <v>0.0</v>
      </c>
      <c r="R41" s="370">
        <f>Q44</f>
        <v>0.0</v>
      </c>
      <c r="S41" s="370">
        <f>R44</f>
        <v>0.0</v>
      </c>
      <c r="T41" s="370">
        <f>S44</f>
        <v>2000.0</v>
      </c>
      <c r="U41" s="370">
        <f>T44</f>
        <v>2000.0</v>
      </c>
      <c r="V41" s="370">
        <f>U44</f>
        <v>2000.0</v>
      </c>
      <c r="W41" s="370">
        <f>V44</f>
        <v>2000.0</v>
      </c>
      <c r="X41" s="370">
        <f>W44</f>
        <v>3000.0</v>
      </c>
      <c r="Y41" s="370">
        <f>X44</f>
        <v>3000.0</v>
      </c>
      <c r="Z41" s="370">
        <f>Y44</f>
        <v>3000.0</v>
      </c>
      <c r="AA41" s="370">
        <f>Z44</f>
        <v>3000.0</v>
      </c>
      <c r="AB41" s="370">
        <f>AA44</f>
        <v>4500.0</v>
      </c>
      <c r="AC41" s="370">
        <f>AB44</f>
        <v>4500.0</v>
      </c>
      <c r="AD41" s="370">
        <f>AC44</f>
        <v>4500.0</v>
      </c>
      <c r="AE41" s="370">
        <f>AD44</f>
        <v>4500.0</v>
      </c>
      <c r="AF41" s="370">
        <f>AE44</f>
        <v>5500.0</v>
      </c>
      <c r="AG41" s="370">
        <f>AF44</f>
        <v>5500.0</v>
      </c>
      <c r="AH41" s="370">
        <f>AG44</f>
        <v>5500.0</v>
      </c>
      <c r="AI41" s="370">
        <f>AH44</f>
        <v>5500.0</v>
      </c>
      <c r="AJ41" s="370">
        <f>AI44</f>
        <v>6000.0</v>
      </c>
      <c r="AK41" s="370">
        <f>AJ44</f>
        <v>6000.0</v>
      </c>
      <c r="AL41" s="370">
        <f>AK44</f>
        <v>6000.0</v>
      </c>
      <c r="AM41" s="370">
        <f>AL44</f>
        <v>6000.0</v>
      </c>
      <c r="AN41" s="370">
        <f>AM44</f>
        <v>5000.0</v>
      </c>
      <c r="AO41" s="370">
        <f>AN44</f>
        <v>5000.0</v>
      </c>
      <c r="AP41" s="370">
        <f>AO44</f>
        <v>5000.0</v>
      </c>
      <c r="AQ41" s="370">
        <f>AP44</f>
        <v>5000.0</v>
      </c>
      <c r="AR41" s="370">
        <f>AQ44</f>
        <v>5000.0</v>
      </c>
      <c r="AS41" s="370">
        <f>AR44</f>
        <v>5000.0</v>
      </c>
      <c r="AT41" s="370">
        <f>AS44</f>
        <v>5000.0</v>
      </c>
      <c r="AU41" s="370">
        <f>AT44</f>
        <v>5000.0</v>
      </c>
      <c r="AV41" s="370">
        <f>AU44</f>
        <v>3500.0</v>
      </c>
      <c r="AW41" s="370">
        <f>AV44</f>
        <v>3500.0</v>
      </c>
      <c r="AX41" s="370">
        <f>AW44</f>
        <v>3500.0</v>
      </c>
      <c r="AY41" s="370">
        <f>AX44</f>
        <v>3500.0</v>
      </c>
      <c r="AZ41" s="370">
        <f>AY44</f>
        <v>2500.0</v>
      </c>
      <c r="BA41" s="370">
        <f>AZ44</f>
        <v>2500.0</v>
      </c>
      <c r="BB41" s="370">
        <f>BA44</f>
        <v>2500.0</v>
      </c>
      <c r="BC41" s="370">
        <f>BB44</f>
        <v>2500.0</v>
      </c>
      <c r="BD41" s="370">
        <f>BC44</f>
        <v>2000.0</v>
      </c>
      <c r="BE41" s="370">
        <f>BD44</f>
        <v>2000.0</v>
      </c>
      <c r="BF41" s="370">
        <f>BE44</f>
        <v>2000.0</v>
      </c>
      <c r="BG41" s="370">
        <f>BF44</f>
        <v>2000.0</v>
      </c>
      <c r="BH41" s="370">
        <f>BG44</f>
        <v>1000.0</v>
      </c>
      <c r="BI41" s="370">
        <f>BH44</f>
        <v>1000.0</v>
      </c>
      <c r="BJ41" s="370">
        <f>BI44</f>
        <v>1000.0</v>
      </c>
      <c r="BK41" s="370">
        <f>BJ44</f>
        <v>1000.0</v>
      </c>
      <c r="BL41" s="370">
        <f>BK44</f>
        <v>0.0</v>
      </c>
      <c r="BM41" s="370">
        <f>BL44</f>
        <v>0.0</v>
      </c>
      <c r="BN41" s="370">
        <f>BM44</f>
        <v>0.0</v>
      </c>
      <c r="BO41" s="370">
        <f>BN44</f>
        <v>0.0</v>
      </c>
      <c r="BP41" s="370">
        <f>BO44</f>
        <v>0.0</v>
      </c>
      <c r="BQ41" s="370">
        <f>BP44</f>
        <v>0.0</v>
      </c>
      <c r="BR41" s="370">
        <f>BQ44</f>
        <v>0.0</v>
      </c>
      <c r="BS41" s="370">
        <f>BR44</f>
        <v>0.0</v>
      </c>
      <c r="BT41" s="370">
        <f>BS44</f>
        <v>0.0</v>
      </c>
      <c r="BU41" s="370">
        <f>BT44</f>
        <v>0.0</v>
      </c>
      <c r="BV41" s="370">
        <f>BU44</f>
        <v>0.0</v>
      </c>
      <c r="BW41" s="370">
        <f>BV44</f>
        <v>0.0</v>
      </c>
      <c r="BX41" s="370">
        <f>BW44</f>
        <v>0.0</v>
      </c>
      <c r="BY41" s="370">
        <f>BX44</f>
        <v>0.0</v>
      </c>
      <c r="BZ41" s="370">
        <f>BY44</f>
        <v>0.0</v>
      </c>
      <c r="CA41" s="370">
        <f>BZ44</f>
        <v>0.0</v>
      </c>
      <c r="CB41" s="370">
        <f>CA44</f>
        <v>0.0</v>
      </c>
      <c r="CC41" s="370">
        <f>CB44</f>
        <v>0.0</v>
      </c>
      <c r="CD41" s="370">
        <f>CC44</f>
        <v>0.0</v>
      </c>
      <c r="CE41" s="370">
        <f>CD44</f>
        <v>0.0</v>
      </c>
      <c r="CF41" s="370">
        <f>CE44</f>
        <v>0.0</v>
      </c>
      <c r="CG41" s="370">
        <f>CF44</f>
        <v>0.0</v>
      </c>
      <c r="CH41" s="370">
        <f>CG44</f>
        <v>0.0</v>
      </c>
      <c r="CI41" s="370">
        <f>CH44</f>
        <v>0.0</v>
      </c>
      <c r="CJ41" s="370">
        <f>CI44</f>
        <v>0.0</v>
      </c>
      <c r="CK41" s="370">
        <f>CJ44</f>
        <v>0.0</v>
      </c>
      <c r="CL41" s="370">
        <f>CK44</f>
        <v>0.0</v>
      </c>
      <c r="CM41" s="370">
        <f>CL44</f>
        <v>0.0</v>
      </c>
      <c r="CN41" s="370">
        <f>CM44</f>
        <v>0.0</v>
      </c>
      <c r="CO41" s="370">
        <f>CN44</f>
        <v>0.0</v>
      </c>
    </row>
    <row r="42" customFormat="1" s="61">
      <c r="A42" s="294" t="n"/>
      <c r="B42" s="294" t="n"/>
      <c r="C42" s="212" t="n"/>
      <c r="D42" s="244" t="inlineStr">
        <is>
          <t>plus</t>
        </is>
      </c>
      <c r="E42" s="61" t="str">
        <f> E$18</f>
        <v>Capital expenditure POS</v>
      </c>
      <c r="F42" s="61">
        <f> F$18</f>
        <v>0.0</v>
      </c>
      <c r="G42" s="61" t="str">
        <f> G$18</f>
        <v>$ 000s</v>
      </c>
      <c r="H42" s="61">
        <f> H$18</f>
        <v>8000.0</v>
      </c>
      <c r="I42" s="61">
        <f> I$18</f>
        <v>0.0</v>
      </c>
      <c r="J42" s="61">
        <f> J$18</f>
        <v>0.0</v>
      </c>
      <c r="K42" s="61">
        <f> K$18</f>
        <v>0.0</v>
      </c>
      <c r="L42" s="61">
        <f> L$18</f>
        <v>0.0</v>
      </c>
      <c r="M42" s="61">
        <f> M$18</f>
        <v>0.0</v>
      </c>
      <c r="N42" s="61">
        <f> N$18</f>
        <v>0.0</v>
      </c>
      <c r="O42" s="61">
        <f> O$18</f>
        <v>0.0</v>
      </c>
      <c r="P42" s="61">
        <f> P$18</f>
        <v>0.0</v>
      </c>
      <c r="Q42" s="61">
        <f> Q$18</f>
        <v>0.0</v>
      </c>
      <c r="R42" s="61">
        <f> R$18</f>
        <v>0.0</v>
      </c>
      <c r="S42" s="61">
        <f> S$18</f>
        <v>2000.0</v>
      </c>
      <c r="T42" s="61">
        <f> T$18</f>
        <v>0.0</v>
      </c>
      <c r="U42" s="61">
        <f> U$18</f>
        <v>0.0</v>
      </c>
      <c r="V42" s="61">
        <f> V$18</f>
        <v>0.0</v>
      </c>
      <c r="W42" s="61">
        <f> W$18</f>
        <v>1000.0</v>
      </c>
      <c r="X42" s="61">
        <f> X$18</f>
        <v>0.0</v>
      </c>
      <c r="Y42" s="61">
        <f> Y$18</f>
        <v>0.0</v>
      </c>
      <c r="Z42" s="61">
        <f> Z$18</f>
        <v>0.0</v>
      </c>
      <c r="AA42" s="61">
        <f> AA$18</f>
        <v>1500.0</v>
      </c>
      <c r="AB42" s="61">
        <f> AB$18</f>
        <v>0.0</v>
      </c>
      <c r="AC42" s="61">
        <f> AC$18</f>
        <v>0.0</v>
      </c>
      <c r="AD42" s="61">
        <f> AD$18</f>
        <v>0.0</v>
      </c>
      <c r="AE42" s="61">
        <f> AE$18</f>
        <v>1000.0</v>
      </c>
      <c r="AF42" s="61">
        <f> AF$18</f>
        <v>0.0</v>
      </c>
      <c r="AG42" s="61">
        <f> AG$18</f>
        <v>0.0</v>
      </c>
      <c r="AH42" s="61">
        <f> AH$18</f>
        <v>0.0</v>
      </c>
      <c r="AI42" s="61">
        <f> AI$18</f>
        <v>500.0</v>
      </c>
      <c r="AJ42" s="61">
        <f> AJ$18</f>
        <v>0.0</v>
      </c>
      <c r="AK42" s="61">
        <f> AK$18</f>
        <v>0.0</v>
      </c>
      <c r="AL42" s="61">
        <f> AL$18</f>
        <v>0.0</v>
      </c>
      <c r="AM42" s="61">
        <f> AM$18</f>
        <v>1000.0</v>
      </c>
      <c r="AN42" s="61">
        <f> AN$18</f>
        <v>0.0</v>
      </c>
      <c r="AO42" s="61">
        <f> AO$18</f>
        <v>0.0</v>
      </c>
      <c r="AP42" s="61">
        <f> AP$18</f>
        <v>0.0</v>
      </c>
      <c r="AQ42" s="61">
        <f> AQ$18</f>
        <v>1000.0</v>
      </c>
      <c r="AR42" s="61">
        <f> AR$18</f>
        <v>0.0</v>
      </c>
      <c r="AS42" s="61">
        <f> AS$18</f>
        <v>0.0</v>
      </c>
      <c r="AT42" s="61">
        <f> AT$18</f>
        <v>0.0</v>
      </c>
      <c r="AU42" s="61">
        <f> AU$18</f>
        <v>0.0</v>
      </c>
      <c r="AV42" s="61">
        <f> AV$18</f>
        <v>0.0</v>
      </c>
      <c r="AW42" s="61">
        <f> AW$18</f>
        <v>0.0</v>
      </c>
      <c r="AX42" s="61">
        <f> AX$18</f>
        <v>0.0</v>
      </c>
      <c r="AY42" s="61">
        <f> AY$18</f>
        <v>0.0</v>
      </c>
      <c r="AZ42" s="61">
        <f> AZ$18</f>
        <v>0.0</v>
      </c>
      <c r="BA42" s="61">
        <f> BA$18</f>
        <v>0.0</v>
      </c>
      <c r="BB42" s="61">
        <f> BB$18</f>
        <v>0.0</v>
      </c>
      <c r="BC42" s="61">
        <f> BC$18</f>
        <v>0.0</v>
      </c>
      <c r="BD42" s="61">
        <f> BD$18</f>
        <v>0.0</v>
      </c>
      <c r="BE42" s="61">
        <f> BE$18</f>
        <v>0.0</v>
      </c>
      <c r="BF42" s="61">
        <f> BF$18</f>
        <v>0.0</v>
      </c>
      <c r="BG42" s="61">
        <f> BG$18</f>
        <v>0.0</v>
      </c>
      <c r="BH42" s="61">
        <f> BH$18</f>
        <v>0.0</v>
      </c>
      <c r="BI42" s="61">
        <f> BI$18</f>
        <v>0.0</v>
      </c>
      <c r="BJ42" s="61">
        <f> BJ$18</f>
        <v>0.0</v>
      </c>
      <c r="BK42" s="61">
        <f> BK$18</f>
        <v>0.0</v>
      </c>
      <c r="BL42" s="61">
        <f> BL$18</f>
        <v>0.0</v>
      </c>
      <c r="BM42" s="61">
        <f> BM$18</f>
        <v>0.0</v>
      </c>
      <c r="BN42" s="61">
        <f> BN$18</f>
        <v>0.0</v>
      </c>
      <c r="BO42" s="61">
        <f> BO$18</f>
        <v>0.0</v>
      </c>
      <c r="BP42" s="61">
        <f> BP$18</f>
        <v>0.0</v>
      </c>
      <c r="BQ42" s="61">
        <f> BQ$18</f>
        <v>0.0</v>
      </c>
      <c r="BR42" s="61">
        <f> BR$18</f>
        <v>0.0</v>
      </c>
      <c r="BS42" s="61">
        <f> BS$18</f>
        <v>0.0</v>
      </c>
      <c r="BT42" s="61">
        <f> BT$18</f>
        <v>0.0</v>
      </c>
      <c r="BU42" s="61">
        <f> BU$18</f>
        <v>0.0</v>
      </c>
      <c r="BV42" s="61">
        <f> BV$18</f>
        <v>0.0</v>
      </c>
      <c r="BW42" s="61">
        <f> BW$18</f>
        <v>0.0</v>
      </c>
      <c r="BX42" s="61">
        <f> BX$18</f>
        <v>0.0</v>
      </c>
      <c r="BY42" s="61">
        <f> BY$18</f>
        <v>0.0</v>
      </c>
      <c r="BZ42" s="61">
        <f> BZ$18</f>
        <v>0.0</v>
      </c>
      <c r="CA42" s="61">
        <f> CA$18</f>
        <v>0.0</v>
      </c>
      <c r="CB42" s="61">
        <f> CB$18</f>
        <v>0.0</v>
      </c>
      <c r="CC42" s="61">
        <f> CC$18</f>
        <v>0.0</v>
      </c>
      <c r="CD42" s="61">
        <f> CD$18</f>
        <v>0.0</v>
      </c>
      <c r="CE42" s="61">
        <f> CE$18</f>
        <v>0.0</v>
      </c>
      <c r="CF42" s="61">
        <f> CF$18</f>
        <v>0.0</v>
      </c>
      <c r="CG42" s="61">
        <f> CG$18</f>
        <v>0.0</v>
      </c>
      <c r="CH42" s="61">
        <f> CH$18</f>
        <v>0.0</v>
      </c>
      <c r="CI42" s="61">
        <f> CI$18</f>
        <v>0.0</v>
      </c>
      <c r="CJ42" s="61">
        <f> CJ$18</f>
        <v>0.0</v>
      </c>
      <c r="CK42" s="61">
        <f> CK$18</f>
        <v>0.0</v>
      </c>
      <c r="CL42" s="61">
        <f> CL$18</f>
        <v>0.0</v>
      </c>
      <c r="CM42" s="61">
        <f> CM$18</f>
        <v>0.0</v>
      </c>
      <c r="CN42" s="61">
        <f> CN$18</f>
        <v>0.0</v>
      </c>
      <c r="CO42" s="61">
        <f> CO$18</f>
        <v>0.0</v>
      </c>
    </row>
    <row r="43" customFormat="1" s="61">
      <c r="A43" s="294" t="n"/>
      <c r="B43" s="294" t="n"/>
      <c r="C43" s="212" t="n"/>
      <c r="D43" s="244" t="inlineStr">
        <is>
          <t>less</t>
        </is>
      </c>
      <c r="E43" s="61" t="str">
        <f> E$39</f>
        <v>Retirement of capex</v>
      </c>
      <c r="F43" s="61">
        <f> F$39</f>
        <v>0.0</v>
      </c>
      <c r="G43" s="61" t="str">
        <f> G$39</f>
        <v>$ 000s</v>
      </c>
      <c r="H43" s="61">
        <f> H$39</f>
        <v>8000.0</v>
      </c>
      <c r="I43" s="61">
        <f> I$39</f>
        <v>0.0</v>
      </c>
      <c r="J43" s="61">
        <f> J$39</f>
        <v>0.0</v>
      </c>
      <c r="K43" s="61">
        <f> K$39</f>
        <v>0.0</v>
      </c>
      <c r="L43" s="61">
        <f> L$39</f>
        <v>0.0</v>
      </c>
      <c r="M43" s="61">
        <f> M$39</f>
        <v>0.0</v>
      </c>
      <c r="N43" s="61">
        <f> N$39</f>
        <v>0.0</v>
      </c>
      <c r="O43" s="61">
        <f> O$39</f>
        <v>0.0</v>
      </c>
      <c r="P43" s="61">
        <f> P$39</f>
        <v>0.0</v>
      </c>
      <c r="Q43" s="61">
        <f> Q$39</f>
        <v>0.0</v>
      </c>
      <c r="R43" s="61">
        <f> R$39</f>
        <v>0.0</v>
      </c>
      <c r="S43" s="61">
        <f> S$39</f>
        <v>0.0</v>
      </c>
      <c r="T43" s="61">
        <f> T$39</f>
        <v>0.0</v>
      </c>
      <c r="U43" s="61">
        <f> U$39</f>
        <v>0.0</v>
      </c>
      <c r="V43" s="61">
        <f> V$39</f>
        <v>0.0</v>
      </c>
      <c r="W43" s="61">
        <f> W$39</f>
        <v>0.0</v>
      </c>
      <c r="X43" s="61">
        <f> X$39</f>
        <v>0.0</v>
      </c>
      <c r="Y43" s="61">
        <f> Y$39</f>
        <v>0.0</v>
      </c>
      <c r="Z43" s="61">
        <f> Z$39</f>
        <v>0.0</v>
      </c>
      <c r="AA43" s="61">
        <f> AA$39</f>
        <v>0.0</v>
      </c>
      <c r="AB43" s="61">
        <f> AB$39</f>
        <v>0.0</v>
      </c>
      <c r="AC43" s="61">
        <f> AC$39</f>
        <v>0.0</v>
      </c>
      <c r="AD43" s="61">
        <f> AD$39</f>
        <v>0.0</v>
      </c>
      <c r="AE43" s="61">
        <f> AE$39</f>
        <v>0.0</v>
      </c>
      <c r="AF43" s="61">
        <f> AF$39</f>
        <v>0.0</v>
      </c>
      <c r="AG43" s="61">
        <f> AG$39</f>
        <v>0.0</v>
      </c>
      <c r="AH43" s="61">
        <f> AH$39</f>
        <v>0.0</v>
      </c>
      <c r="AI43" s="61">
        <f> AI$39</f>
        <v>0.0</v>
      </c>
      <c r="AJ43" s="61">
        <f> AJ$39</f>
        <v>0.0</v>
      </c>
      <c r="AK43" s="61">
        <f> AK$39</f>
        <v>0.0</v>
      </c>
      <c r="AL43" s="61">
        <f> AL$39</f>
        <v>0.0</v>
      </c>
      <c r="AM43" s="61">
        <f> AM$39</f>
        <v>2000.0</v>
      </c>
      <c r="AN43" s="61">
        <f> AN$39</f>
        <v>0.0</v>
      </c>
      <c r="AO43" s="61">
        <f> AO$39</f>
        <v>0.0</v>
      </c>
      <c r="AP43" s="61">
        <f> AP$39</f>
        <v>0.0</v>
      </c>
      <c r="AQ43" s="61">
        <f> AQ$39</f>
        <v>1000.0</v>
      </c>
      <c r="AR43" s="61">
        <f> AR$39</f>
        <v>0.0</v>
      </c>
      <c r="AS43" s="61">
        <f> AS$39</f>
        <v>0.0</v>
      </c>
      <c r="AT43" s="61">
        <f> AT$39</f>
        <v>0.0</v>
      </c>
      <c r="AU43" s="61">
        <f> AU$39</f>
        <v>1500.0</v>
      </c>
      <c r="AV43" s="61">
        <f> AV$39</f>
        <v>0.0</v>
      </c>
      <c r="AW43" s="61">
        <f> AW$39</f>
        <v>0.0</v>
      </c>
      <c r="AX43" s="61">
        <f> AX$39</f>
        <v>0.0</v>
      </c>
      <c r="AY43" s="61">
        <f> AY$39</f>
        <v>1000.0</v>
      </c>
      <c r="AZ43" s="61">
        <f> AZ$39</f>
        <v>0.0</v>
      </c>
      <c r="BA43" s="61">
        <f> BA$39</f>
        <v>0.0</v>
      </c>
      <c r="BB43" s="61">
        <f> BB$39</f>
        <v>0.0</v>
      </c>
      <c r="BC43" s="61">
        <f> BC$39</f>
        <v>500.0</v>
      </c>
      <c r="BD43" s="61">
        <f> BD$39</f>
        <v>0.0</v>
      </c>
      <c r="BE43" s="61">
        <f> BE$39</f>
        <v>0.0</v>
      </c>
      <c r="BF43" s="61">
        <f> BF$39</f>
        <v>0.0</v>
      </c>
      <c r="BG43" s="61">
        <f> BG$39</f>
        <v>1000.0</v>
      </c>
      <c r="BH43" s="61">
        <f> BH$39</f>
        <v>0.0</v>
      </c>
      <c r="BI43" s="61">
        <f> BI$39</f>
        <v>0.0</v>
      </c>
      <c r="BJ43" s="61">
        <f> BJ$39</f>
        <v>0.0</v>
      </c>
      <c r="BK43" s="61">
        <f> BK$39</f>
        <v>1000.0</v>
      </c>
      <c r="BL43" s="61">
        <f> BL$39</f>
        <v>0.0</v>
      </c>
      <c r="BM43" s="61">
        <f> BM$39</f>
        <v>0.0</v>
      </c>
      <c r="BN43" s="61">
        <f> BN$39</f>
        <v>0.0</v>
      </c>
      <c r="BO43" s="61">
        <f> BO$39</f>
        <v>0.0</v>
      </c>
      <c r="BP43" s="61">
        <f> BP$39</f>
        <v>0.0</v>
      </c>
      <c r="BQ43" s="61">
        <f> BQ$39</f>
        <v>0.0</v>
      </c>
      <c r="BR43" s="61">
        <f> BR$39</f>
        <v>0.0</v>
      </c>
      <c r="BS43" s="61">
        <f> BS$39</f>
        <v>0.0</v>
      </c>
      <c r="BT43" s="61">
        <f> BT$39</f>
        <v>0.0</v>
      </c>
      <c r="BU43" s="61">
        <f> BU$39</f>
        <v>0.0</v>
      </c>
      <c r="BV43" s="61">
        <f> BV$39</f>
        <v>0.0</v>
      </c>
      <c r="BW43" s="61">
        <f> BW$39</f>
        <v>0.0</v>
      </c>
      <c r="BX43" s="61">
        <f> BX$39</f>
        <v>0.0</v>
      </c>
      <c r="BY43" s="61">
        <f> BY$39</f>
        <v>0.0</v>
      </c>
      <c r="BZ43" s="61">
        <f> BZ$39</f>
        <v>0.0</v>
      </c>
      <c r="CA43" s="61">
        <f> CA$39</f>
        <v>0.0</v>
      </c>
      <c r="CB43" s="61">
        <f> CB$39</f>
        <v>0.0</v>
      </c>
      <c r="CC43" s="61">
        <f> CC$39</f>
        <v>0.0</v>
      </c>
      <c r="CD43" s="61">
        <f> CD$39</f>
        <v>0.0</v>
      </c>
      <c r="CE43" s="61">
        <f> CE$39</f>
        <v>0.0</v>
      </c>
      <c r="CF43" s="61">
        <f> CF$39</f>
        <v>0.0</v>
      </c>
      <c r="CG43" s="61">
        <f> CG$39</f>
        <v>0.0</v>
      </c>
      <c r="CH43" s="61">
        <f> CH$39</f>
        <v>0.0</v>
      </c>
      <c r="CI43" s="61">
        <f> CI$39</f>
        <v>0.0</v>
      </c>
      <c r="CJ43" s="61">
        <f> CJ$39</f>
        <v>0.0</v>
      </c>
      <c r="CK43" s="61">
        <f> CK$39</f>
        <v>0.0</v>
      </c>
      <c r="CL43" s="61">
        <f> CL$39</f>
        <v>0.0</v>
      </c>
      <c r="CM43" s="61">
        <f> CM$39</f>
        <v>0.0</v>
      </c>
      <c r="CN43" s="61">
        <f> CN$39</f>
        <v>0.0</v>
      </c>
      <c r="CO43" s="61">
        <f> CO$39</f>
        <v>0.0</v>
      </c>
    </row>
    <row r="44" customFormat="1" s="381">
      <c r="A44" s="378" t="n"/>
      <c r="B44" s="378" t="n"/>
      <c r="C44" s="379" t="n"/>
      <c r="D44" s="380" t="n"/>
      <c r="E44" s="381" t="inlineStr">
        <is>
          <t>Capex depreciable balance END</t>
        </is>
      </c>
      <c r="G44" s="381" t="str">
        <f>SMU</f>
        <v>$ 000s</v>
      </c>
      <c r="I44" s="382" t="n"/>
      <c r="J44" s="381">
        <f> J41 + J42 - J43</f>
        <v>0.0</v>
      </c>
      <c r="K44" s="381">
        <f> K41 + K42 - K43</f>
        <v>0.0</v>
      </c>
      <c r="L44" s="381">
        <f> L41 + L42 - L43</f>
        <v>0.0</v>
      </c>
      <c r="M44" s="381">
        <f> M41 + M42 - M43</f>
        <v>0.0</v>
      </c>
      <c r="N44" s="381">
        <f> N41 + N42 - N43</f>
        <v>0.0</v>
      </c>
      <c r="O44" s="381">
        <f> O41 + O42 - O43</f>
        <v>0.0</v>
      </c>
      <c r="P44" s="381">
        <f> P41 + P42 - P43</f>
        <v>0.0</v>
      </c>
      <c r="Q44" s="381">
        <f> Q41 + Q42 - Q43</f>
        <v>0.0</v>
      </c>
      <c r="R44" s="381">
        <f> R41 + R42 - R43</f>
        <v>0.0</v>
      </c>
      <c r="S44" s="381">
        <f> S41 + S42 - S43</f>
        <v>2000.0</v>
      </c>
      <c r="T44" s="381">
        <f> T41 + T42 - T43</f>
        <v>2000.0</v>
      </c>
      <c r="U44" s="381">
        <f> U41 + U42 - U43</f>
        <v>2000.0</v>
      </c>
      <c r="V44" s="381">
        <f> V41 + V42 - V43</f>
        <v>2000.0</v>
      </c>
      <c r="W44" s="381">
        <f> W41 + W42 - W43</f>
        <v>3000.0</v>
      </c>
      <c r="X44" s="381">
        <f> X41 + X42 - X43</f>
        <v>3000.0</v>
      </c>
      <c r="Y44" s="381">
        <f> Y41 + Y42 - Y43</f>
        <v>3000.0</v>
      </c>
      <c r="Z44" s="381">
        <f> Z41 + Z42 - Z43</f>
        <v>3000.0</v>
      </c>
      <c r="AA44" s="381">
        <f> AA41 + AA42 - AA43</f>
        <v>4500.0</v>
      </c>
      <c r="AB44" s="381">
        <f> AB41 + AB42 - AB43</f>
        <v>4500.0</v>
      </c>
      <c r="AC44" s="381">
        <f> AC41 + AC42 - AC43</f>
        <v>4500.0</v>
      </c>
      <c r="AD44" s="381">
        <f> AD41 + AD42 - AD43</f>
        <v>4500.0</v>
      </c>
      <c r="AE44" s="381">
        <f> AE41 + AE42 - AE43</f>
        <v>5500.0</v>
      </c>
      <c r="AF44" s="381">
        <f> AF41 + AF42 - AF43</f>
        <v>5500.0</v>
      </c>
      <c r="AG44" s="381">
        <f> AG41 + AG42 - AG43</f>
        <v>5500.0</v>
      </c>
      <c r="AH44" s="381">
        <f> AH41 + AH42 - AH43</f>
        <v>5500.0</v>
      </c>
      <c r="AI44" s="381">
        <f> AI41 + AI42 - AI43</f>
        <v>6000.0</v>
      </c>
      <c r="AJ44" s="381">
        <f> AJ41 + AJ42 - AJ43</f>
        <v>6000.0</v>
      </c>
      <c r="AK44" s="381">
        <f> AK41 + AK42 - AK43</f>
        <v>6000.0</v>
      </c>
      <c r="AL44" s="381">
        <f> AL41 + AL42 - AL43</f>
        <v>6000.0</v>
      </c>
      <c r="AM44" s="381">
        <f> AM41 + AM42 - AM43</f>
        <v>5000.0</v>
      </c>
      <c r="AN44" s="381">
        <f> AN41 + AN42 - AN43</f>
        <v>5000.0</v>
      </c>
      <c r="AO44" s="381">
        <f> AO41 + AO42 - AO43</f>
        <v>5000.0</v>
      </c>
      <c r="AP44" s="381">
        <f> AP41 + AP42 - AP43</f>
        <v>5000.0</v>
      </c>
      <c r="AQ44" s="381">
        <f> AQ41 + AQ42 - AQ43</f>
        <v>5000.0</v>
      </c>
      <c r="AR44" s="381">
        <f> AR41 + AR42 - AR43</f>
        <v>5000.0</v>
      </c>
      <c r="AS44" s="381">
        <f> AS41 + AS42 - AS43</f>
        <v>5000.0</v>
      </c>
      <c r="AT44" s="381">
        <f> AT41 + AT42 - AT43</f>
        <v>5000.0</v>
      </c>
      <c r="AU44" s="381">
        <f> AU41 + AU42 - AU43</f>
        <v>3500.0</v>
      </c>
      <c r="AV44" s="381">
        <f> AV41 + AV42 - AV43</f>
        <v>3500.0</v>
      </c>
      <c r="AW44" s="381">
        <f> AW41 + AW42 - AW43</f>
        <v>3500.0</v>
      </c>
      <c r="AX44" s="381">
        <f> AX41 + AX42 - AX43</f>
        <v>3500.0</v>
      </c>
      <c r="AY44" s="381">
        <f> AY41 + AY42 - AY43</f>
        <v>2500.0</v>
      </c>
      <c r="AZ44" s="381">
        <f> AZ41 + AZ42 - AZ43</f>
        <v>2500.0</v>
      </c>
      <c r="BA44" s="381">
        <f> BA41 + BA42 - BA43</f>
        <v>2500.0</v>
      </c>
      <c r="BB44" s="381">
        <f> BB41 + BB42 - BB43</f>
        <v>2500.0</v>
      </c>
      <c r="BC44" s="381">
        <f> BC41 + BC42 - BC43</f>
        <v>2000.0</v>
      </c>
      <c r="BD44" s="381">
        <f> BD41 + BD42 - BD43</f>
        <v>2000.0</v>
      </c>
      <c r="BE44" s="381">
        <f> BE41 + BE42 - BE43</f>
        <v>2000.0</v>
      </c>
      <c r="BF44" s="381">
        <f> BF41 + BF42 - BF43</f>
        <v>2000.0</v>
      </c>
      <c r="BG44" s="381">
        <f> BG41 + BG42 - BG43</f>
        <v>1000.0</v>
      </c>
      <c r="BH44" s="381">
        <f> BH41 + BH42 - BH43</f>
        <v>1000.0</v>
      </c>
      <c r="BI44" s="381">
        <f> BI41 + BI42 - BI43</f>
        <v>1000.0</v>
      </c>
      <c r="BJ44" s="381">
        <f> BJ41 + BJ42 - BJ43</f>
        <v>1000.0</v>
      </c>
      <c r="BK44" s="381">
        <f> BK41 + BK42 - BK43</f>
        <v>0.0</v>
      </c>
      <c r="BL44" s="381">
        <f> BL41 + BL42 - BL43</f>
        <v>0.0</v>
      </c>
      <c r="BM44" s="381">
        <f> BM41 + BM42 - BM43</f>
        <v>0.0</v>
      </c>
      <c r="BN44" s="381">
        <f> BN41 + BN42 - BN43</f>
        <v>0.0</v>
      </c>
      <c r="BO44" s="381">
        <f> BO41 + BO42 - BO43</f>
        <v>0.0</v>
      </c>
      <c r="BP44" s="381">
        <f> BP41 + BP42 - BP43</f>
        <v>0.0</v>
      </c>
      <c r="BQ44" s="381">
        <f> BQ41 + BQ42 - BQ43</f>
        <v>0.0</v>
      </c>
      <c r="BR44" s="381">
        <f> BR41 + BR42 - BR43</f>
        <v>0.0</v>
      </c>
      <c r="BS44" s="381">
        <f> BS41 + BS42 - BS43</f>
        <v>0.0</v>
      </c>
      <c r="BT44" s="381">
        <f> BT41 + BT42 - BT43</f>
        <v>0.0</v>
      </c>
      <c r="BU44" s="381">
        <f> BU41 + BU42 - BU43</f>
        <v>0.0</v>
      </c>
      <c r="BV44" s="381">
        <f> BV41 + BV42 - BV43</f>
        <v>0.0</v>
      </c>
      <c r="BW44" s="381">
        <f> BW41 + BW42 - BW43</f>
        <v>0.0</v>
      </c>
      <c r="BX44" s="381">
        <f> BX41 + BX42 - BX43</f>
        <v>0.0</v>
      </c>
      <c r="BY44" s="381">
        <f> BY41 + BY42 - BY43</f>
        <v>0.0</v>
      </c>
      <c r="BZ44" s="381">
        <f> BZ41 + BZ42 - BZ43</f>
        <v>0.0</v>
      </c>
      <c r="CA44" s="381">
        <f> CA41 + CA42 - CA43</f>
        <v>0.0</v>
      </c>
      <c r="CB44" s="381">
        <f> CB41 + CB42 - CB43</f>
        <v>0.0</v>
      </c>
      <c r="CC44" s="381">
        <f> CC41 + CC42 - CC43</f>
        <v>0.0</v>
      </c>
      <c r="CD44" s="381">
        <f> CD41 + CD42 - CD43</f>
        <v>0.0</v>
      </c>
      <c r="CE44" s="381">
        <f> CE41 + CE42 - CE43</f>
        <v>0.0</v>
      </c>
      <c r="CF44" s="381">
        <f> CF41 + CF42 - CF43</f>
        <v>0.0</v>
      </c>
      <c r="CG44" s="381">
        <f> CG41 + CG42 - CG43</f>
        <v>0.0</v>
      </c>
      <c r="CH44" s="381">
        <f> CH41 + CH42 - CH43</f>
        <v>0.0</v>
      </c>
      <c r="CI44" s="381">
        <f> CI41 + CI42 - CI43</f>
        <v>0.0</v>
      </c>
      <c r="CJ44" s="381">
        <f> CJ41 + CJ42 - CJ43</f>
        <v>0.0</v>
      </c>
      <c r="CK44" s="381">
        <f> CK41 + CK42 - CK43</f>
        <v>0.0</v>
      </c>
      <c r="CL44" s="381">
        <f> CL41 + CL42 - CL43</f>
        <v>0.0</v>
      </c>
      <c r="CM44" s="381">
        <f> CM41 + CM42 - CM43</f>
        <v>0.0</v>
      </c>
      <c r="CN44" s="381">
        <f> CN41 + CN42 - CN43</f>
        <v>0.0</v>
      </c>
      <c r="CO44" s="381">
        <f> CO41 + CO42 - CO43</f>
        <v>0.0</v>
      </c>
    </row>
    <row r="45" customFormat="1" s="61">
      <c r="A45" s="294" t="n"/>
      <c r="B45" s="294" t="n"/>
      <c r="C45" s="212" t="n"/>
      <c r="D45" s="244" t="n"/>
      <c r="I45" s="61" t="n"/>
    </row>
    <row r="46" customFormat="1" s="61">
      <c r="A46" s="294" t="n"/>
      <c r="B46" s="294" t="n"/>
      <c r="C46" s="212" t="n"/>
      <c r="D46" s="244" t="n"/>
      <c r="E46" s="61" t="str">
        <f> E$34</f>
        <v>Periodic useful life</v>
      </c>
      <c r="F46" s="61">
        <f> F$34</f>
        <v>20.0</v>
      </c>
      <c r="G46" s="61" t="str">
        <f> G$34</f>
        <v>periods</v>
      </c>
      <c r="I46" s="61" t="n"/>
    </row>
    <row r="47" customFormat="1" s="61">
      <c r="A47" s="294" t="n"/>
      <c r="B47" s="294" t="n"/>
      <c r="C47" s="212" t="n"/>
      <c r="D47" s="244" t="n"/>
      <c r="E47" s="61" t="str">
        <f> E$41</f>
        <v>Capex depreciable balance BEG</v>
      </c>
      <c r="F47" s="61">
        <f> F$41</f>
        <v>0.0</v>
      </c>
      <c r="G47" s="61" t="str">
        <f> G$41</f>
        <v>$ 000s</v>
      </c>
      <c r="H47" s="61">
        <f> H$41</f>
        <v>0.0</v>
      </c>
      <c r="I47" s="61">
        <f> I$41</f>
        <v>0.0</v>
      </c>
      <c r="J47" s="61">
        <f> J$41</f>
        <v>0.0</v>
      </c>
      <c r="K47" s="61">
        <f> K$41</f>
        <v>0.0</v>
      </c>
      <c r="L47" s="61">
        <f> L$41</f>
        <v>0.0</v>
      </c>
      <c r="M47" s="61">
        <f> M$41</f>
        <v>0.0</v>
      </c>
      <c r="N47" s="61">
        <f> N$41</f>
        <v>0.0</v>
      </c>
      <c r="O47" s="61">
        <f> O$41</f>
        <v>0.0</v>
      </c>
      <c r="P47" s="61">
        <f> P$41</f>
        <v>0.0</v>
      </c>
      <c r="Q47" s="61">
        <f> Q$41</f>
        <v>0.0</v>
      </c>
      <c r="R47" s="61">
        <f> R$41</f>
        <v>0.0</v>
      </c>
      <c r="S47" s="61">
        <f> S$41</f>
        <v>0.0</v>
      </c>
      <c r="T47" s="61">
        <f> T$41</f>
        <v>2000.0</v>
      </c>
      <c r="U47" s="61">
        <f> U$41</f>
        <v>2000.0</v>
      </c>
      <c r="V47" s="61">
        <f> V$41</f>
        <v>2000.0</v>
      </c>
      <c r="W47" s="61">
        <f> W$41</f>
        <v>2000.0</v>
      </c>
      <c r="X47" s="61">
        <f> X$41</f>
        <v>3000.0</v>
      </c>
      <c r="Y47" s="61">
        <f> Y$41</f>
        <v>3000.0</v>
      </c>
      <c r="Z47" s="61">
        <f> Z$41</f>
        <v>3000.0</v>
      </c>
      <c r="AA47" s="61">
        <f> AA$41</f>
        <v>3000.0</v>
      </c>
      <c r="AB47" s="61">
        <f> AB$41</f>
        <v>4500.0</v>
      </c>
      <c r="AC47" s="61">
        <f> AC$41</f>
        <v>4500.0</v>
      </c>
      <c r="AD47" s="61">
        <f> AD$41</f>
        <v>4500.0</v>
      </c>
      <c r="AE47" s="61">
        <f> AE$41</f>
        <v>4500.0</v>
      </c>
      <c r="AF47" s="61">
        <f> AF$41</f>
        <v>5500.0</v>
      </c>
      <c r="AG47" s="61">
        <f> AG$41</f>
        <v>5500.0</v>
      </c>
      <c r="AH47" s="61">
        <f> AH$41</f>
        <v>5500.0</v>
      </c>
      <c r="AI47" s="61">
        <f> AI$41</f>
        <v>5500.0</v>
      </c>
      <c r="AJ47" s="61">
        <f> AJ$41</f>
        <v>6000.0</v>
      </c>
      <c r="AK47" s="61">
        <f> AK$41</f>
        <v>6000.0</v>
      </c>
      <c r="AL47" s="61">
        <f> AL$41</f>
        <v>6000.0</v>
      </c>
      <c r="AM47" s="61">
        <f> AM$41</f>
        <v>6000.0</v>
      </c>
      <c r="AN47" s="61">
        <f> AN$41</f>
        <v>5000.0</v>
      </c>
      <c r="AO47" s="61">
        <f> AO$41</f>
        <v>5000.0</v>
      </c>
      <c r="AP47" s="61">
        <f> AP$41</f>
        <v>5000.0</v>
      </c>
      <c r="AQ47" s="61">
        <f> AQ$41</f>
        <v>5000.0</v>
      </c>
      <c r="AR47" s="61">
        <f> AR$41</f>
        <v>5000.0</v>
      </c>
      <c r="AS47" s="61">
        <f> AS$41</f>
        <v>5000.0</v>
      </c>
      <c r="AT47" s="61">
        <f> AT$41</f>
        <v>5000.0</v>
      </c>
      <c r="AU47" s="61">
        <f> AU$41</f>
        <v>5000.0</v>
      </c>
      <c r="AV47" s="61">
        <f> AV$41</f>
        <v>3500.0</v>
      </c>
      <c r="AW47" s="61">
        <f> AW$41</f>
        <v>3500.0</v>
      </c>
      <c r="AX47" s="61">
        <f> AX$41</f>
        <v>3500.0</v>
      </c>
      <c r="AY47" s="61">
        <f> AY$41</f>
        <v>3500.0</v>
      </c>
      <c r="AZ47" s="61">
        <f> AZ$41</f>
        <v>2500.0</v>
      </c>
      <c r="BA47" s="61">
        <f> BA$41</f>
        <v>2500.0</v>
      </c>
      <c r="BB47" s="61">
        <f> BB$41</f>
        <v>2500.0</v>
      </c>
      <c r="BC47" s="61">
        <f> BC$41</f>
        <v>2500.0</v>
      </c>
      <c r="BD47" s="61">
        <f> BD$41</f>
        <v>2000.0</v>
      </c>
      <c r="BE47" s="61">
        <f> BE$41</f>
        <v>2000.0</v>
      </c>
      <c r="BF47" s="61">
        <f> BF$41</f>
        <v>2000.0</v>
      </c>
      <c r="BG47" s="61">
        <f> BG$41</f>
        <v>2000.0</v>
      </c>
      <c r="BH47" s="61">
        <f> BH$41</f>
        <v>1000.0</v>
      </c>
      <c r="BI47" s="61">
        <f> BI$41</f>
        <v>1000.0</v>
      </c>
      <c r="BJ47" s="61">
        <f> BJ$41</f>
        <v>1000.0</v>
      </c>
      <c r="BK47" s="61">
        <f> BK$41</f>
        <v>1000.0</v>
      </c>
      <c r="BL47" s="61">
        <f> BL$41</f>
        <v>0.0</v>
      </c>
      <c r="BM47" s="61">
        <f> BM$41</f>
        <v>0.0</v>
      </c>
      <c r="BN47" s="61">
        <f> BN$41</f>
        <v>0.0</v>
      </c>
      <c r="BO47" s="61">
        <f> BO$41</f>
        <v>0.0</v>
      </c>
      <c r="BP47" s="61">
        <f> BP$41</f>
        <v>0.0</v>
      </c>
      <c r="BQ47" s="61">
        <f> BQ$41</f>
        <v>0.0</v>
      </c>
      <c r="BR47" s="61">
        <f> BR$41</f>
        <v>0.0</v>
      </c>
      <c r="BS47" s="61">
        <f> BS$41</f>
        <v>0.0</v>
      </c>
      <c r="BT47" s="61">
        <f> BT$41</f>
        <v>0.0</v>
      </c>
      <c r="BU47" s="61">
        <f> BU$41</f>
        <v>0.0</v>
      </c>
      <c r="BV47" s="61">
        <f> BV$41</f>
        <v>0.0</v>
      </c>
      <c r="BW47" s="61">
        <f> BW$41</f>
        <v>0.0</v>
      </c>
      <c r="BX47" s="61">
        <f> BX$41</f>
        <v>0.0</v>
      </c>
      <c r="BY47" s="61">
        <f> BY$41</f>
        <v>0.0</v>
      </c>
      <c r="BZ47" s="61">
        <f> BZ$41</f>
        <v>0.0</v>
      </c>
      <c r="CA47" s="61">
        <f> CA$41</f>
        <v>0.0</v>
      </c>
      <c r="CB47" s="61">
        <f> CB$41</f>
        <v>0.0</v>
      </c>
      <c r="CC47" s="61">
        <f> CC$41</f>
        <v>0.0</v>
      </c>
      <c r="CD47" s="61">
        <f> CD$41</f>
        <v>0.0</v>
      </c>
      <c r="CE47" s="61">
        <f> CE$41</f>
        <v>0.0</v>
      </c>
      <c r="CF47" s="61">
        <f> CF$41</f>
        <v>0.0</v>
      </c>
      <c r="CG47" s="61">
        <f> CG$41</f>
        <v>0.0</v>
      </c>
      <c r="CH47" s="61">
        <f> CH$41</f>
        <v>0.0</v>
      </c>
      <c r="CI47" s="61">
        <f> CI$41</f>
        <v>0.0</v>
      </c>
      <c r="CJ47" s="61">
        <f> CJ$41</f>
        <v>0.0</v>
      </c>
      <c r="CK47" s="61">
        <f> CK$41</f>
        <v>0.0</v>
      </c>
      <c r="CL47" s="61">
        <f> CL$41</f>
        <v>0.0</v>
      </c>
      <c r="CM47" s="61">
        <f> CM$41</f>
        <v>0.0</v>
      </c>
      <c r="CN47" s="61">
        <f> CN$41</f>
        <v>0.0</v>
      </c>
      <c r="CO47" s="61">
        <f> CO$41</f>
        <v>0.0</v>
      </c>
    </row>
    <row r="48" customFormat="1" s="260">
      <c r="A48" s="263" t="n"/>
      <c r="B48" s="263" t="n"/>
      <c r="C48" s="264" t="n"/>
      <c r="D48" s="335" t="n"/>
      <c r="E48" s="260" t="inlineStr">
        <is>
          <t>Accounting depreciation - capex</t>
        </is>
      </c>
      <c r="G48" s="260" t="str">
        <f>SMU</f>
        <v>$ 000s</v>
      </c>
      <c r="H48" s="260">
        <f> SUM(J48:CO48)</f>
        <v>8000.0</v>
      </c>
      <c r="I48" s="260" t="n"/>
      <c r="J48" s="260">
        <f> J47 / $F46</f>
        <v>0.0</v>
      </c>
      <c r="K48" s="260">
        <f> K47 / $F46</f>
        <v>0.0</v>
      </c>
      <c r="L48" s="260">
        <f> L47 / $F46</f>
        <v>0.0</v>
      </c>
      <c r="M48" s="260">
        <f> M47 / $F46</f>
        <v>0.0</v>
      </c>
      <c r="N48" s="260">
        <f> N47 / $F46</f>
        <v>0.0</v>
      </c>
      <c r="O48" s="260">
        <f> O47 / $F46</f>
        <v>0.0</v>
      </c>
      <c r="P48" s="260">
        <f> P47 / $F46</f>
        <v>0.0</v>
      </c>
      <c r="Q48" s="260">
        <f> Q47 / $F46</f>
        <v>0.0</v>
      </c>
      <c r="R48" s="260">
        <f> R47 / $F46</f>
        <v>0.0</v>
      </c>
      <c r="S48" s="260">
        <f> S47 / $F46</f>
        <v>0.0</v>
      </c>
      <c r="T48" s="260">
        <f> T47 / $F46</f>
        <v>100.0</v>
      </c>
      <c r="U48" s="260">
        <f> U47 / $F46</f>
        <v>100.0</v>
      </c>
      <c r="V48" s="260">
        <f> V47 / $F46</f>
        <v>100.0</v>
      </c>
      <c r="W48" s="260">
        <f> W47 / $F46</f>
        <v>100.0</v>
      </c>
      <c r="X48" s="260">
        <f> X47 / $F46</f>
        <v>150.0</v>
      </c>
      <c r="Y48" s="260">
        <f> Y47 / $F46</f>
        <v>150.0</v>
      </c>
      <c r="Z48" s="260">
        <f> Z47 / $F46</f>
        <v>150.0</v>
      </c>
      <c r="AA48" s="260">
        <f> AA47 / $F46</f>
        <v>150.0</v>
      </c>
      <c r="AB48" s="260">
        <f> AB47 / $F46</f>
        <v>225.0</v>
      </c>
      <c r="AC48" s="260">
        <f> AC47 / $F46</f>
        <v>225.0</v>
      </c>
      <c r="AD48" s="260">
        <f> AD47 / $F46</f>
        <v>225.0</v>
      </c>
      <c r="AE48" s="260">
        <f> AE47 / $F46</f>
        <v>225.0</v>
      </c>
      <c r="AF48" s="260">
        <f> AF47 / $F46</f>
        <v>275.0</v>
      </c>
      <c r="AG48" s="260">
        <f> AG47 / $F46</f>
        <v>275.0</v>
      </c>
      <c r="AH48" s="260">
        <f> AH47 / $F46</f>
        <v>275.0</v>
      </c>
      <c r="AI48" s="260">
        <f> AI47 / $F46</f>
        <v>275.0</v>
      </c>
      <c r="AJ48" s="260">
        <f> AJ47 / $F46</f>
        <v>300.0</v>
      </c>
      <c r="AK48" s="260">
        <f> AK47 / $F46</f>
        <v>300.0</v>
      </c>
      <c r="AL48" s="260">
        <f> AL47 / $F46</f>
        <v>300.0</v>
      </c>
      <c r="AM48" s="260">
        <f> AM47 / $F46</f>
        <v>300.0</v>
      </c>
      <c r="AN48" s="260">
        <f> AN47 / $F46</f>
        <v>250.0</v>
      </c>
      <c r="AO48" s="260">
        <f> AO47 / $F46</f>
        <v>250.0</v>
      </c>
      <c r="AP48" s="260">
        <f> AP47 / $F46</f>
        <v>250.0</v>
      </c>
      <c r="AQ48" s="260">
        <f> AQ47 / $F46</f>
        <v>250.0</v>
      </c>
      <c r="AR48" s="260">
        <f> AR47 / $F46</f>
        <v>250.0</v>
      </c>
      <c r="AS48" s="260">
        <f> AS47 / $F46</f>
        <v>250.0</v>
      </c>
      <c r="AT48" s="260">
        <f> AT47 / $F46</f>
        <v>250.0</v>
      </c>
      <c r="AU48" s="260">
        <f> AU47 / $F46</f>
        <v>250.0</v>
      </c>
      <c r="AV48" s="260">
        <f> AV47 / $F46</f>
        <v>175.0</v>
      </c>
      <c r="AW48" s="260">
        <f> AW47 / $F46</f>
        <v>175.0</v>
      </c>
      <c r="AX48" s="260">
        <f> AX47 / $F46</f>
        <v>175.0</v>
      </c>
      <c r="AY48" s="260">
        <f> AY47 / $F46</f>
        <v>175.0</v>
      </c>
      <c r="AZ48" s="260">
        <f> AZ47 / $F46</f>
        <v>125.0</v>
      </c>
      <c r="BA48" s="260">
        <f> BA47 / $F46</f>
        <v>125.0</v>
      </c>
      <c r="BB48" s="260">
        <f> BB47 / $F46</f>
        <v>125.0</v>
      </c>
      <c r="BC48" s="260">
        <f> BC47 / $F46</f>
        <v>125.0</v>
      </c>
      <c r="BD48" s="260">
        <f> BD47 / $F46</f>
        <v>100.0</v>
      </c>
      <c r="BE48" s="260">
        <f> BE47 / $F46</f>
        <v>100.0</v>
      </c>
      <c r="BF48" s="260">
        <f> BF47 / $F46</f>
        <v>100.0</v>
      </c>
      <c r="BG48" s="260">
        <f> BG47 / $F46</f>
        <v>100.0</v>
      </c>
      <c r="BH48" s="260">
        <f> BH47 / $F46</f>
        <v>50.0</v>
      </c>
      <c r="BI48" s="260">
        <f> BI47 / $F46</f>
        <v>50.0</v>
      </c>
      <c r="BJ48" s="260">
        <f> BJ47 / $F46</f>
        <v>50.0</v>
      </c>
      <c r="BK48" s="260">
        <f> BK47 / $F46</f>
        <v>50.0</v>
      </c>
      <c r="BL48" s="260">
        <f> BL47 / $F46</f>
        <v>0.0</v>
      </c>
      <c r="BM48" s="260">
        <f> BM47 / $F46</f>
        <v>0.0</v>
      </c>
      <c r="BN48" s="260">
        <f> BN47 / $F46</f>
        <v>0.0</v>
      </c>
      <c r="BO48" s="260">
        <f> BO47 / $F46</f>
        <v>0.0</v>
      </c>
      <c r="BP48" s="260">
        <f> BP47 / $F46</f>
        <v>0.0</v>
      </c>
      <c r="BQ48" s="260">
        <f> BQ47 / $F46</f>
        <v>0.0</v>
      </c>
      <c r="BR48" s="260">
        <f> BR47 / $F46</f>
        <v>0.0</v>
      </c>
      <c r="BS48" s="260">
        <f> BS47 / $F46</f>
        <v>0.0</v>
      </c>
      <c r="BT48" s="260">
        <f> BT47 / $F46</f>
        <v>0.0</v>
      </c>
      <c r="BU48" s="260">
        <f> BU47 / $F46</f>
        <v>0.0</v>
      </c>
      <c r="BV48" s="260">
        <f> BV47 / $F46</f>
        <v>0.0</v>
      </c>
      <c r="BW48" s="260">
        <f> BW47 / $F46</f>
        <v>0.0</v>
      </c>
      <c r="BX48" s="260">
        <f> BX47 / $F46</f>
        <v>0.0</v>
      </c>
      <c r="BY48" s="260">
        <f> BY47 / $F46</f>
        <v>0.0</v>
      </c>
      <c r="BZ48" s="260">
        <f> BZ47 / $F46</f>
        <v>0.0</v>
      </c>
      <c r="CA48" s="260">
        <f> CA47 / $F46</f>
        <v>0.0</v>
      </c>
      <c r="CB48" s="260">
        <f> CB47 / $F46</f>
        <v>0.0</v>
      </c>
      <c r="CC48" s="260">
        <f> CC47 / $F46</f>
        <v>0.0</v>
      </c>
      <c r="CD48" s="260">
        <f> CD47 / $F46</f>
        <v>0.0</v>
      </c>
      <c r="CE48" s="260">
        <f> CE47 / $F46</f>
        <v>0.0</v>
      </c>
      <c r="CF48" s="260">
        <f> CF47 / $F46</f>
        <v>0.0</v>
      </c>
      <c r="CG48" s="260">
        <f> CG47 / $F46</f>
        <v>0.0</v>
      </c>
      <c r="CH48" s="260">
        <f> CH47 / $F46</f>
        <v>0.0</v>
      </c>
      <c r="CI48" s="260">
        <f> CI47 / $F46</f>
        <v>0.0</v>
      </c>
      <c r="CJ48" s="260">
        <f> CJ47 / $F46</f>
        <v>0.0</v>
      </c>
      <c r="CK48" s="260">
        <f> CK47 / $F46</f>
        <v>0.0</v>
      </c>
      <c r="CL48" s="260">
        <f> CL47 / $F46</f>
        <v>0.0</v>
      </c>
      <c r="CM48" s="260">
        <f> CM47 / $F46</f>
        <v>0.0</v>
      </c>
      <c r="CN48" s="260">
        <f> CN47 / $F46</f>
        <v>0.0</v>
      </c>
      <c r="CO48" s="260">
        <f> CO47 / $F46</f>
        <v>0.0</v>
      </c>
    </row>
    <row r="49" customFormat="1" s="61">
      <c r="A49" s="294" t="n"/>
      <c r="B49" s="294" t="n"/>
      <c r="C49" s="212" t="n"/>
      <c r="D49" s="244" t="n"/>
      <c r="I49" s="61" t="n"/>
    </row>
    <row r="50" customFormat="1" s="61">
      <c r="A50" s="294" t="inlineStr">
        <is>
          <t>Summary of accounting depreciation</t>
        </is>
      </c>
      <c r="B50" s="294" t="n"/>
      <c r="C50" s="212" t="n"/>
      <c r="D50" s="244" t="n"/>
      <c r="I50" s="61" t="n"/>
    </row>
    <row r="51" customFormat="1" s="61">
      <c r="A51" s="294" t="n"/>
      <c r="B51" s="294" t="n"/>
      <c r="C51" s="212" t="n"/>
      <c r="D51" s="244" t="n"/>
      <c r="E51" s="61" t="str">
        <f> E$29</f>
        <v>Accounting depreciation - Initial balance</v>
      </c>
      <c r="F51" s="61">
        <f> F$29</f>
        <v>0.0</v>
      </c>
      <c r="G51" s="61" t="str">
        <f> G$29</f>
        <v>$ 000s</v>
      </c>
      <c r="H51" s="61">
        <f> H$29</f>
        <v>100000.0</v>
      </c>
      <c r="I51" s="61">
        <f> I$29</f>
        <v>0.0</v>
      </c>
      <c r="J51" s="61">
        <f> J$29</f>
        <v>0.0</v>
      </c>
      <c r="K51" s="61">
        <f> K$29</f>
        <v>0.0</v>
      </c>
      <c r="L51" s="61">
        <f> L$29</f>
        <v>1666.6666666666667</v>
      </c>
      <c r="M51" s="61">
        <f> M$29</f>
        <v>1666.6666666666667</v>
      </c>
      <c r="N51" s="61">
        <f> N$29</f>
        <v>1666.6666666666667</v>
      </c>
      <c r="O51" s="61">
        <f> O$29</f>
        <v>1666.6666666666667</v>
      </c>
      <c r="P51" s="61">
        <f> P$29</f>
        <v>1666.6666666666667</v>
      </c>
      <c r="Q51" s="61">
        <f> Q$29</f>
        <v>1666.6666666666667</v>
      </c>
      <c r="R51" s="61">
        <f> R$29</f>
        <v>1666.6666666666667</v>
      </c>
      <c r="S51" s="61">
        <f> S$29</f>
        <v>1666.6666666666667</v>
      </c>
      <c r="T51" s="61">
        <f> T$29</f>
        <v>1666.6666666666667</v>
      </c>
      <c r="U51" s="61">
        <f> U$29</f>
        <v>1666.6666666666667</v>
      </c>
      <c r="V51" s="61">
        <f> V$29</f>
        <v>1666.6666666666667</v>
      </c>
      <c r="W51" s="61">
        <f> W$29</f>
        <v>1666.6666666666667</v>
      </c>
      <c r="X51" s="61">
        <f> X$29</f>
        <v>1666.6666666666667</v>
      </c>
      <c r="Y51" s="61">
        <f> Y$29</f>
        <v>1666.6666666666667</v>
      </c>
      <c r="Z51" s="61">
        <f> Z$29</f>
        <v>1666.6666666666667</v>
      </c>
      <c r="AA51" s="61">
        <f> AA$29</f>
        <v>1666.6666666666667</v>
      </c>
      <c r="AB51" s="61">
        <f> AB$29</f>
        <v>1666.6666666666667</v>
      </c>
      <c r="AC51" s="61">
        <f> AC$29</f>
        <v>1666.6666666666667</v>
      </c>
      <c r="AD51" s="61">
        <f> AD$29</f>
        <v>1666.6666666666667</v>
      </c>
      <c r="AE51" s="61">
        <f> AE$29</f>
        <v>1666.6666666666667</v>
      </c>
      <c r="AF51" s="61">
        <f> AF$29</f>
        <v>1666.6666666666667</v>
      </c>
      <c r="AG51" s="61">
        <f> AG$29</f>
        <v>1666.6666666666667</v>
      </c>
      <c r="AH51" s="61">
        <f> AH$29</f>
        <v>1666.6666666666667</v>
      </c>
      <c r="AI51" s="61">
        <f> AI$29</f>
        <v>1666.6666666666667</v>
      </c>
      <c r="AJ51" s="61">
        <f> AJ$29</f>
        <v>1666.6666666666667</v>
      </c>
      <c r="AK51" s="61">
        <f> AK$29</f>
        <v>1666.6666666666667</v>
      </c>
      <c r="AL51" s="61">
        <f> AL$29</f>
        <v>1666.6666666666667</v>
      </c>
      <c r="AM51" s="61">
        <f> AM$29</f>
        <v>1666.6666666666667</v>
      </c>
      <c r="AN51" s="61">
        <f> AN$29</f>
        <v>1666.6666666666667</v>
      </c>
      <c r="AO51" s="61">
        <f> AO$29</f>
        <v>1666.6666666666667</v>
      </c>
      <c r="AP51" s="61">
        <f> AP$29</f>
        <v>1666.6666666666667</v>
      </c>
      <c r="AQ51" s="61">
        <f> AQ$29</f>
        <v>1666.6666666666667</v>
      </c>
      <c r="AR51" s="61">
        <f> AR$29</f>
        <v>1666.6666666666667</v>
      </c>
      <c r="AS51" s="61">
        <f> AS$29</f>
        <v>1666.6666666666667</v>
      </c>
      <c r="AT51" s="61">
        <f> AT$29</f>
        <v>1666.6666666666667</v>
      </c>
      <c r="AU51" s="61">
        <f> AU$29</f>
        <v>1666.6666666666667</v>
      </c>
      <c r="AV51" s="61">
        <f> AV$29</f>
        <v>1666.6666666666667</v>
      </c>
      <c r="AW51" s="61">
        <f> AW$29</f>
        <v>1666.6666666666667</v>
      </c>
      <c r="AX51" s="61">
        <f> AX$29</f>
        <v>1666.6666666666667</v>
      </c>
      <c r="AY51" s="61">
        <f> AY$29</f>
        <v>1666.6666666666667</v>
      </c>
      <c r="AZ51" s="61">
        <f> AZ$29</f>
        <v>1666.6666666666667</v>
      </c>
      <c r="BA51" s="61">
        <f> BA$29</f>
        <v>1666.6666666666667</v>
      </c>
      <c r="BB51" s="61">
        <f> BB$29</f>
        <v>1666.6666666666667</v>
      </c>
      <c r="BC51" s="61">
        <f> BC$29</f>
        <v>1666.6666666666667</v>
      </c>
      <c r="BD51" s="61">
        <f> BD$29</f>
        <v>1666.6666666666667</v>
      </c>
      <c r="BE51" s="61">
        <f> BE$29</f>
        <v>1666.6666666666667</v>
      </c>
      <c r="BF51" s="61">
        <f> BF$29</f>
        <v>1666.6666666666667</v>
      </c>
      <c r="BG51" s="61">
        <f> BG$29</f>
        <v>1666.6666666666667</v>
      </c>
      <c r="BH51" s="61">
        <f> BH$29</f>
        <v>1666.6666666666667</v>
      </c>
      <c r="BI51" s="61">
        <f> BI$29</f>
        <v>1666.6666666666667</v>
      </c>
      <c r="BJ51" s="61">
        <f> BJ$29</f>
        <v>1666.6666666666667</v>
      </c>
      <c r="BK51" s="61">
        <f> BK$29</f>
        <v>1666.6666666666667</v>
      </c>
      <c r="BL51" s="61">
        <f> BL$29</f>
        <v>1666.6666666666667</v>
      </c>
      <c r="BM51" s="61">
        <f> BM$29</f>
        <v>1666.6666666666667</v>
      </c>
      <c r="BN51" s="61">
        <f> BN$29</f>
        <v>1666.6666666666667</v>
      </c>
      <c r="BO51" s="61">
        <f> BO$29</f>
        <v>1666.6666666666667</v>
      </c>
      <c r="BP51" s="61">
        <f> BP$29</f>
        <v>1666.6666666666667</v>
      </c>
      <c r="BQ51" s="61">
        <f> BQ$29</f>
        <v>1666.6666666666667</v>
      </c>
      <c r="BR51" s="61">
        <f> BR$29</f>
        <v>1666.6666666666667</v>
      </c>
      <c r="BS51" s="61">
        <f> BS$29</f>
        <v>1666.6666666666667</v>
      </c>
      <c r="BT51" s="61">
        <f> BT$29</f>
        <v>0.0</v>
      </c>
      <c r="BU51" s="61">
        <f> BU$29</f>
        <v>0.0</v>
      </c>
      <c r="BV51" s="61">
        <f> BV$29</f>
        <v>0.0</v>
      </c>
      <c r="BW51" s="61">
        <f> BW$29</f>
        <v>0.0</v>
      </c>
      <c r="BX51" s="61">
        <f> BX$29</f>
        <v>0.0</v>
      </c>
      <c r="BY51" s="61">
        <f> BY$29</f>
        <v>0.0</v>
      </c>
      <c r="BZ51" s="61">
        <f> BZ$29</f>
        <v>0.0</v>
      </c>
      <c r="CA51" s="61">
        <f> CA$29</f>
        <v>0.0</v>
      </c>
      <c r="CB51" s="61">
        <f> CB$29</f>
        <v>0.0</v>
      </c>
      <c r="CC51" s="61">
        <f> CC$29</f>
        <v>0.0</v>
      </c>
      <c r="CD51" s="61">
        <f> CD$29</f>
        <v>0.0</v>
      </c>
      <c r="CE51" s="61">
        <f> CE$29</f>
        <v>0.0</v>
      </c>
      <c r="CF51" s="61">
        <f> CF$29</f>
        <v>0.0</v>
      </c>
      <c r="CG51" s="61">
        <f> CG$29</f>
        <v>0.0</v>
      </c>
      <c r="CH51" s="61">
        <f> CH$29</f>
        <v>0.0</v>
      </c>
      <c r="CI51" s="61">
        <f> CI$29</f>
        <v>0.0</v>
      </c>
      <c r="CJ51" s="61">
        <f> CJ$29</f>
        <v>0.0</v>
      </c>
      <c r="CK51" s="61">
        <f> CK$29</f>
        <v>0.0</v>
      </c>
      <c r="CL51" s="61">
        <f> CL$29</f>
        <v>0.0</v>
      </c>
      <c r="CM51" s="61">
        <f> CM$29</f>
        <v>0.0</v>
      </c>
      <c r="CN51" s="61">
        <f> CN$29</f>
        <v>0.0</v>
      </c>
      <c r="CO51" s="61">
        <f> CO$29</f>
        <v>0.0</v>
      </c>
    </row>
    <row r="52" customFormat="1" s="61">
      <c r="A52" s="294" t="n"/>
      <c r="B52" s="294" t="n"/>
      <c r="C52" s="212" t="n"/>
      <c r="D52" s="244" t="n"/>
      <c r="E52" s="61" t="str">
        <f> E$48</f>
        <v>Accounting depreciation - capex</v>
      </c>
      <c r="F52" s="61">
        <f> F$48</f>
        <v>0.0</v>
      </c>
      <c r="G52" s="61" t="str">
        <f> G$48</f>
        <v>$ 000s</v>
      </c>
      <c r="H52" s="61">
        <f> H$48</f>
        <v>8000.0</v>
      </c>
      <c r="I52" s="61">
        <f> I$48</f>
        <v>0.0</v>
      </c>
      <c r="J52" s="61">
        <f> J$48</f>
        <v>0.0</v>
      </c>
      <c r="K52" s="61">
        <f> K$48</f>
        <v>0.0</v>
      </c>
      <c r="L52" s="61">
        <f> L$48</f>
        <v>0.0</v>
      </c>
      <c r="M52" s="61">
        <f> M$48</f>
        <v>0.0</v>
      </c>
      <c r="N52" s="61">
        <f> N$48</f>
        <v>0.0</v>
      </c>
      <c r="O52" s="61">
        <f> O$48</f>
        <v>0.0</v>
      </c>
      <c r="P52" s="61">
        <f> P$48</f>
        <v>0.0</v>
      </c>
      <c r="Q52" s="61">
        <f> Q$48</f>
        <v>0.0</v>
      </c>
      <c r="R52" s="61">
        <f> R$48</f>
        <v>0.0</v>
      </c>
      <c r="S52" s="61">
        <f> S$48</f>
        <v>0.0</v>
      </c>
      <c r="T52" s="61">
        <f> T$48</f>
        <v>100.0</v>
      </c>
      <c r="U52" s="61">
        <f> U$48</f>
        <v>100.0</v>
      </c>
      <c r="V52" s="61">
        <f> V$48</f>
        <v>100.0</v>
      </c>
      <c r="W52" s="61">
        <f> W$48</f>
        <v>100.0</v>
      </c>
      <c r="X52" s="61">
        <f> X$48</f>
        <v>150.0</v>
      </c>
      <c r="Y52" s="61">
        <f> Y$48</f>
        <v>150.0</v>
      </c>
      <c r="Z52" s="61">
        <f> Z$48</f>
        <v>150.0</v>
      </c>
      <c r="AA52" s="61">
        <f> AA$48</f>
        <v>150.0</v>
      </c>
      <c r="AB52" s="61">
        <f> AB$48</f>
        <v>225.0</v>
      </c>
      <c r="AC52" s="61">
        <f> AC$48</f>
        <v>225.0</v>
      </c>
      <c r="AD52" s="61">
        <f> AD$48</f>
        <v>225.0</v>
      </c>
      <c r="AE52" s="61">
        <f> AE$48</f>
        <v>225.0</v>
      </c>
      <c r="AF52" s="61">
        <f> AF$48</f>
        <v>275.0</v>
      </c>
      <c r="AG52" s="61">
        <f> AG$48</f>
        <v>275.0</v>
      </c>
      <c r="AH52" s="61">
        <f> AH$48</f>
        <v>275.0</v>
      </c>
      <c r="AI52" s="61">
        <f> AI$48</f>
        <v>275.0</v>
      </c>
      <c r="AJ52" s="61">
        <f> AJ$48</f>
        <v>300.0</v>
      </c>
      <c r="AK52" s="61">
        <f> AK$48</f>
        <v>300.0</v>
      </c>
      <c r="AL52" s="61">
        <f> AL$48</f>
        <v>300.0</v>
      </c>
      <c r="AM52" s="61">
        <f> AM$48</f>
        <v>300.0</v>
      </c>
      <c r="AN52" s="61">
        <f> AN$48</f>
        <v>250.0</v>
      </c>
      <c r="AO52" s="61">
        <f> AO$48</f>
        <v>250.0</v>
      </c>
      <c r="AP52" s="61">
        <f> AP$48</f>
        <v>250.0</v>
      </c>
      <c r="AQ52" s="61">
        <f> AQ$48</f>
        <v>250.0</v>
      </c>
      <c r="AR52" s="61">
        <f> AR$48</f>
        <v>250.0</v>
      </c>
      <c r="AS52" s="61">
        <f> AS$48</f>
        <v>250.0</v>
      </c>
      <c r="AT52" s="61">
        <f> AT$48</f>
        <v>250.0</v>
      </c>
      <c r="AU52" s="61">
        <f> AU$48</f>
        <v>250.0</v>
      </c>
      <c r="AV52" s="61">
        <f> AV$48</f>
        <v>175.0</v>
      </c>
      <c r="AW52" s="61">
        <f> AW$48</f>
        <v>175.0</v>
      </c>
      <c r="AX52" s="61">
        <f> AX$48</f>
        <v>175.0</v>
      </c>
      <c r="AY52" s="61">
        <f> AY$48</f>
        <v>175.0</v>
      </c>
      <c r="AZ52" s="61">
        <f> AZ$48</f>
        <v>125.0</v>
      </c>
      <c r="BA52" s="61">
        <f> BA$48</f>
        <v>125.0</v>
      </c>
      <c r="BB52" s="61">
        <f> BB$48</f>
        <v>125.0</v>
      </c>
      <c r="BC52" s="61">
        <f> BC$48</f>
        <v>125.0</v>
      </c>
      <c r="BD52" s="61">
        <f> BD$48</f>
        <v>100.0</v>
      </c>
      <c r="BE52" s="61">
        <f> BE$48</f>
        <v>100.0</v>
      </c>
      <c r="BF52" s="61">
        <f> BF$48</f>
        <v>100.0</v>
      </c>
      <c r="BG52" s="61">
        <f> BG$48</f>
        <v>100.0</v>
      </c>
      <c r="BH52" s="61">
        <f> BH$48</f>
        <v>50.0</v>
      </c>
      <c r="BI52" s="61">
        <f> BI$48</f>
        <v>50.0</v>
      </c>
      <c r="BJ52" s="61">
        <f> BJ$48</f>
        <v>50.0</v>
      </c>
      <c r="BK52" s="61">
        <f> BK$48</f>
        <v>50.0</v>
      </c>
      <c r="BL52" s="61">
        <f> BL$48</f>
        <v>0.0</v>
      </c>
      <c r="BM52" s="61">
        <f> BM$48</f>
        <v>0.0</v>
      </c>
      <c r="BN52" s="61">
        <f> BN$48</f>
        <v>0.0</v>
      </c>
      <c r="BO52" s="61">
        <f> BO$48</f>
        <v>0.0</v>
      </c>
      <c r="BP52" s="61">
        <f> BP$48</f>
        <v>0.0</v>
      </c>
      <c r="BQ52" s="61">
        <f> BQ$48</f>
        <v>0.0</v>
      </c>
      <c r="BR52" s="61">
        <f> BR$48</f>
        <v>0.0</v>
      </c>
      <c r="BS52" s="61">
        <f> BS$48</f>
        <v>0.0</v>
      </c>
      <c r="BT52" s="61">
        <f> BT$48</f>
        <v>0.0</v>
      </c>
      <c r="BU52" s="61">
        <f> BU$48</f>
        <v>0.0</v>
      </c>
      <c r="BV52" s="61">
        <f> BV$48</f>
        <v>0.0</v>
      </c>
      <c r="BW52" s="61">
        <f> BW$48</f>
        <v>0.0</v>
      </c>
      <c r="BX52" s="61">
        <f> BX$48</f>
        <v>0.0</v>
      </c>
      <c r="BY52" s="61">
        <f> BY$48</f>
        <v>0.0</v>
      </c>
      <c r="BZ52" s="61">
        <f> BZ$48</f>
        <v>0.0</v>
      </c>
      <c r="CA52" s="61">
        <f> CA$48</f>
        <v>0.0</v>
      </c>
      <c r="CB52" s="61">
        <f> CB$48</f>
        <v>0.0</v>
      </c>
      <c r="CC52" s="61">
        <f> CC$48</f>
        <v>0.0</v>
      </c>
      <c r="CD52" s="61">
        <f> CD$48</f>
        <v>0.0</v>
      </c>
      <c r="CE52" s="61">
        <f> CE$48</f>
        <v>0.0</v>
      </c>
      <c r="CF52" s="61">
        <f> CF$48</f>
        <v>0.0</v>
      </c>
      <c r="CG52" s="61">
        <f> CG$48</f>
        <v>0.0</v>
      </c>
      <c r="CH52" s="61">
        <f> CH$48</f>
        <v>0.0</v>
      </c>
      <c r="CI52" s="61">
        <f> CI$48</f>
        <v>0.0</v>
      </c>
      <c r="CJ52" s="61">
        <f> CJ$48</f>
        <v>0.0</v>
      </c>
      <c r="CK52" s="61">
        <f> CK$48</f>
        <v>0.0</v>
      </c>
      <c r="CL52" s="61">
        <f> CL$48</f>
        <v>0.0</v>
      </c>
      <c r="CM52" s="61">
        <f> CM$48</f>
        <v>0.0</v>
      </c>
      <c r="CN52" s="61">
        <f> CN$48</f>
        <v>0.0</v>
      </c>
      <c r="CO52" s="61">
        <f> CO$48</f>
        <v>0.0</v>
      </c>
    </row>
    <row r="53" customFormat="1" s="260">
      <c r="A53" s="263" t="n"/>
      <c r="B53" s="263" t="n"/>
      <c r="C53" s="264" t="n"/>
      <c r="D53" s="335" t="n"/>
      <c r="E53" s="260" t="inlineStr">
        <is>
          <t>Accounting depreciation POS</t>
        </is>
      </c>
      <c r="G53" s="260" t="str">
        <f>SMU</f>
        <v>$ 000s</v>
      </c>
      <c r="H53" s="260">
        <f> SUM(J53:CO53)</f>
        <v>108000.0</v>
      </c>
      <c r="I53" s="260" t="n"/>
      <c r="J53" s="260">
        <f>SUM(J51:J52)</f>
        <v>0.0</v>
      </c>
      <c r="K53" s="260">
        <f>SUM(K51:K52)</f>
        <v>0.0</v>
      </c>
      <c r="L53" s="260">
        <f>SUM(L51:L52)</f>
        <v>1666.6666666666667</v>
      </c>
      <c r="M53" s="260">
        <f>SUM(M51:M52)</f>
        <v>1666.6666666666667</v>
      </c>
      <c r="N53" s="260">
        <f>SUM(N51:N52)</f>
        <v>1666.6666666666667</v>
      </c>
      <c r="O53" s="260">
        <f>SUM(O51:O52)</f>
        <v>1666.6666666666667</v>
      </c>
      <c r="P53" s="260">
        <f>SUM(P51:P52)</f>
        <v>1666.6666666666667</v>
      </c>
      <c r="Q53" s="260">
        <f>SUM(Q51:Q52)</f>
        <v>1666.6666666666667</v>
      </c>
      <c r="R53" s="260">
        <f>SUM(R51:R52)</f>
        <v>1666.6666666666667</v>
      </c>
      <c r="S53" s="260">
        <f>SUM(S51:S52)</f>
        <v>1666.6666666666667</v>
      </c>
      <c r="T53" s="260">
        <f>SUM(T51:T52)</f>
        <v>1766.6666666666667</v>
      </c>
      <c r="U53" s="260">
        <f>SUM(U51:U52)</f>
        <v>1766.6666666666667</v>
      </c>
      <c r="V53" s="260">
        <f>SUM(V51:V52)</f>
        <v>1766.6666666666667</v>
      </c>
      <c r="W53" s="260">
        <f>SUM(W51:W52)</f>
        <v>1766.6666666666667</v>
      </c>
      <c r="X53" s="260">
        <f>SUM(X51:X52)</f>
        <v>1816.6666666666667</v>
      </c>
      <c r="Y53" s="260">
        <f>SUM(Y51:Y52)</f>
        <v>1816.6666666666667</v>
      </c>
      <c r="Z53" s="260">
        <f>SUM(Z51:Z52)</f>
        <v>1816.6666666666667</v>
      </c>
      <c r="AA53" s="260">
        <f>SUM(AA51:AA52)</f>
        <v>1816.6666666666667</v>
      </c>
      <c r="AB53" s="260">
        <f>SUM(AB51:AB52)</f>
        <v>1891.6666666666667</v>
      </c>
      <c r="AC53" s="260">
        <f>SUM(AC51:AC52)</f>
        <v>1891.6666666666667</v>
      </c>
      <c r="AD53" s="260">
        <f>SUM(AD51:AD52)</f>
        <v>1891.6666666666667</v>
      </c>
      <c r="AE53" s="260">
        <f>SUM(AE51:AE52)</f>
        <v>1891.6666666666667</v>
      </c>
      <c r="AF53" s="260">
        <f>SUM(AF51:AF52)</f>
        <v>1941.6666666666667</v>
      </c>
      <c r="AG53" s="260">
        <f>SUM(AG51:AG52)</f>
        <v>1941.6666666666667</v>
      </c>
      <c r="AH53" s="260">
        <f>SUM(AH51:AH52)</f>
        <v>1941.6666666666667</v>
      </c>
      <c r="AI53" s="260">
        <f>SUM(AI51:AI52)</f>
        <v>1941.6666666666667</v>
      </c>
      <c r="AJ53" s="260">
        <f>SUM(AJ51:AJ52)</f>
        <v>1966.6666666666667</v>
      </c>
      <c r="AK53" s="260">
        <f>SUM(AK51:AK52)</f>
        <v>1966.6666666666667</v>
      </c>
      <c r="AL53" s="260">
        <f>SUM(AL51:AL52)</f>
        <v>1966.6666666666667</v>
      </c>
      <c r="AM53" s="260">
        <f>SUM(AM51:AM52)</f>
        <v>1966.6666666666667</v>
      </c>
      <c r="AN53" s="260">
        <f>SUM(AN51:AN52)</f>
        <v>1916.6666666666667</v>
      </c>
      <c r="AO53" s="260">
        <f>SUM(AO51:AO52)</f>
        <v>1916.6666666666667</v>
      </c>
      <c r="AP53" s="260">
        <f>SUM(AP51:AP52)</f>
        <v>1916.6666666666667</v>
      </c>
      <c r="AQ53" s="260">
        <f>SUM(AQ51:AQ52)</f>
        <v>1916.6666666666667</v>
      </c>
      <c r="AR53" s="260">
        <f>SUM(AR51:AR52)</f>
        <v>1916.6666666666667</v>
      </c>
      <c r="AS53" s="260">
        <f>SUM(AS51:AS52)</f>
        <v>1916.6666666666667</v>
      </c>
      <c r="AT53" s="260">
        <f>SUM(AT51:AT52)</f>
        <v>1916.6666666666667</v>
      </c>
      <c r="AU53" s="260">
        <f>SUM(AU51:AU52)</f>
        <v>1916.6666666666667</v>
      </c>
      <c r="AV53" s="260">
        <f>SUM(AV51:AV52)</f>
        <v>1841.6666666666667</v>
      </c>
      <c r="AW53" s="260">
        <f>SUM(AW51:AW52)</f>
        <v>1841.6666666666667</v>
      </c>
      <c r="AX53" s="260">
        <f>SUM(AX51:AX52)</f>
        <v>1841.6666666666667</v>
      </c>
      <c r="AY53" s="260">
        <f>SUM(AY51:AY52)</f>
        <v>1841.6666666666667</v>
      </c>
      <c r="AZ53" s="260">
        <f>SUM(AZ51:AZ52)</f>
        <v>1791.6666666666667</v>
      </c>
      <c r="BA53" s="260">
        <f>SUM(BA51:BA52)</f>
        <v>1791.6666666666667</v>
      </c>
      <c r="BB53" s="260">
        <f>SUM(BB51:BB52)</f>
        <v>1791.6666666666667</v>
      </c>
      <c r="BC53" s="260">
        <f>SUM(BC51:BC52)</f>
        <v>1791.6666666666667</v>
      </c>
      <c r="BD53" s="260">
        <f>SUM(BD51:BD52)</f>
        <v>1766.6666666666667</v>
      </c>
      <c r="BE53" s="260">
        <f>SUM(BE51:BE52)</f>
        <v>1766.6666666666667</v>
      </c>
      <c r="BF53" s="260">
        <f>SUM(BF51:BF52)</f>
        <v>1766.6666666666667</v>
      </c>
      <c r="BG53" s="260">
        <f>SUM(BG51:BG52)</f>
        <v>1766.6666666666667</v>
      </c>
      <c r="BH53" s="260">
        <f>SUM(BH51:BH52)</f>
        <v>1716.6666666666667</v>
      </c>
      <c r="BI53" s="260">
        <f>SUM(BI51:BI52)</f>
        <v>1716.6666666666667</v>
      </c>
      <c r="BJ53" s="260">
        <f>SUM(BJ51:BJ52)</f>
        <v>1716.6666666666667</v>
      </c>
      <c r="BK53" s="260">
        <f>SUM(BK51:BK52)</f>
        <v>1716.6666666666667</v>
      </c>
      <c r="BL53" s="260">
        <f>SUM(BL51:BL52)</f>
        <v>1666.6666666666667</v>
      </c>
      <c r="BM53" s="260">
        <f>SUM(BM51:BM52)</f>
        <v>1666.6666666666667</v>
      </c>
      <c r="BN53" s="260">
        <f>SUM(BN51:BN52)</f>
        <v>1666.6666666666667</v>
      </c>
      <c r="BO53" s="260">
        <f>SUM(BO51:BO52)</f>
        <v>1666.6666666666667</v>
      </c>
      <c r="BP53" s="260">
        <f>SUM(BP51:BP52)</f>
        <v>1666.6666666666667</v>
      </c>
      <c r="BQ53" s="260">
        <f>SUM(BQ51:BQ52)</f>
        <v>1666.6666666666667</v>
      </c>
      <c r="BR53" s="260">
        <f>SUM(BR51:BR52)</f>
        <v>1666.6666666666667</v>
      </c>
      <c r="BS53" s="260">
        <f>SUM(BS51:BS52)</f>
        <v>1666.6666666666667</v>
      </c>
      <c r="BT53" s="260">
        <f>SUM(BT51:BT52)</f>
        <v>0.0</v>
      </c>
      <c r="BU53" s="260">
        <f>SUM(BU51:BU52)</f>
        <v>0.0</v>
      </c>
      <c r="BV53" s="260">
        <f>SUM(BV51:BV52)</f>
        <v>0.0</v>
      </c>
      <c r="BW53" s="260">
        <f>SUM(BW51:BW52)</f>
        <v>0.0</v>
      </c>
      <c r="BX53" s="260">
        <f>SUM(BX51:BX52)</f>
        <v>0.0</v>
      </c>
      <c r="BY53" s="260">
        <f>SUM(BY51:BY52)</f>
        <v>0.0</v>
      </c>
      <c r="BZ53" s="260">
        <f>SUM(BZ51:BZ52)</f>
        <v>0.0</v>
      </c>
      <c r="CA53" s="260">
        <f>SUM(CA51:CA52)</f>
        <v>0.0</v>
      </c>
      <c r="CB53" s="260">
        <f>SUM(CB51:CB52)</f>
        <v>0.0</v>
      </c>
      <c r="CC53" s="260">
        <f>SUM(CC51:CC52)</f>
        <v>0.0</v>
      </c>
      <c r="CD53" s="260">
        <f>SUM(CD51:CD52)</f>
        <v>0.0</v>
      </c>
      <c r="CE53" s="260">
        <f>SUM(CE51:CE52)</f>
        <v>0.0</v>
      </c>
      <c r="CF53" s="260">
        <f>SUM(CF51:CF52)</f>
        <v>0.0</v>
      </c>
      <c r="CG53" s="260">
        <f>SUM(CG51:CG52)</f>
        <v>0.0</v>
      </c>
      <c r="CH53" s="260">
        <f>SUM(CH51:CH52)</f>
        <v>0.0</v>
      </c>
      <c r="CI53" s="260">
        <f>SUM(CI51:CI52)</f>
        <v>0.0</v>
      </c>
      <c r="CJ53" s="260">
        <f>SUM(CJ51:CJ52)</f>
        <v>0.0</v>
      </c>
      <c r="CK53" s="260">
        <f>SUM(CK51:CK52)</f>
        <v>0.0</v>
      </c>
      <c r="CL53" s="260">
        <f>SUM(CL51:CL52)</f>
        <v>0.0</v>
      </c>
      <c r="CM53" s="260">
        <f>SUM(CM51:CM52)</f>
        <v>0.0</v>
      </c>
      <c r="CN53" s="260">
        <f>SUM(CN51:CN52)</f>
        <v>0.0</v>
      </c>
      <c r="CO53" s="260">
        <f>SUM(CO51:CO52)</f>
        <v>0.0</v>
      </c>
    </row>
    <row r="54" customFormat="1" s="150">
      <c r="A54" s="348" t="n"/>
      <c r="B54" s="348" t="n"/>
      <c r="C54" s="349" t="n"/>
      <c r="D54" s="193" t="n"/>
      <c r="E54" s="150" t="str">
        <f> LEFT(E53, LEN(E53) - 4)</f>
        <v>Accounting depreciation</v>
      </c>
      <c r="F54" s="150" t="inlineStr">
        <is>
          <t>IS</t>
        </is>
      </c>
      <c r="G54" s="150" t="str">
        <f> G53</f>
        <v>$ 000s</v>
      </c>
      <c r="H54" s="150">
        <f> SUM(J54:CO54)</f>
        <v>-108000.0</v>
      </c>
      <c r="I54" s="150" t="n"/>
      <c r="J54" s="150">
        <f> -1 * J53</f>
        <v>-0.0</v>
      </c>
      <c r="K54" s="150">
        <f> -1 * K53</f>
        <v>-0.0</v>
      </c>
      <c r="L54" s="150">
        <f> -1 * L53</f>
        <v>-1666.6666666666667</v>
      </c>
      <c r="M54" s="150">
        <f> -1 * M53</f>
        <v>-1666.6666666666667</v>
      </c>
      <c r="N54" s="150">
        <f> -1 * N53</f>
        <v>-1666.6666666666667</v>
      </c>
      <c r="O54" s="150">
        <f> -1 * O53</f>
        <v>-1666.6666666666667</v>
      </c>
      <c r="P54" s="150">
        <f> -1 * P53</f>
        <v>-1666.6666666666667</v>
      </c>
      <c r="Q54" s="150">
        <f> -1 * Q53</f>
        <v>-1666.6666666666667</v>
      </c>
      <c r="R54" s="150">
        <f> -1 * R53</f>
        <v>-1666.6666666666667</v>
      </c>
      <c r="S54" s="150">
        <f> -1 * S53</f>
        <v>-1666.6666666666667</v>
      </c>
      <c r="T54" s="150">
        <f> -1 * T53</f>
        <v>-1766.6666666666667</v>
      </c>
      <c r="U54" s="150">
        <f> -1 * U53</f>
        <v>-1766.6666666666667</v>
      </c>
      <c r="V54" s="150">
        <f> -1 * V53</f>
        <v>-1766.6666666666667</v>
      </c>
      <c r="W54" s="150">
        <f> -1 * W53</f>
        <v>-1766.6666666666667</v>
      </c>
      <c r="X54" s="150">
        <f> -1 * X53</f>
        <v>-1816.6666666666667</v>
      </c>
      <c r="Y54" s="150">
        <f> -1 * Y53</f>
        <v>-1816.6666666666667</v>
      </c>
      <c r="Z54" s="150">
        <f> -1 * Z53</f>
        <v>-1816.6666666666667</v>
      </c>
      <c r="AA54" s="150">
        <f> -1 * AA53</f>
        <v>-1816.6666666666667</v>
      </c>
      <c r="AB54" s="150">
        <f> -1 * AB53</f>
        <v>-1891.6666666666667</v>
      </c>
      <c r="AC54" s="150">
        <f> -1 * AC53</f>
        <v>-1891.6666666666667</v>
      </c>
      <c r="AD54" s="150">
        <f> -1 * AD53</f>
        <v>-1891.6666666666667</v>
      </c>
      <c r="AE54" s="150">
        <f> -1 * AE53</f>
        <v>-1891.6666666666667</v>
      </c>
      <c r="AF54" s="150">
        <f> -1 * AF53</f>
        <v>-1941.6666666666667</v>
      </c>
      <c r="AG54" s="150">
        <f> -1 * AG53</f>
        <v>-1941.6666666666667</v>
      </c>
      <c r="AH54" s="150">
        <f> -1 * AH53</f>
        <v>-1941.6666666666667</v>
      </c>
      <c r="AI54" s="150">
        <f> -1 * AI53</f>
        <v>-1941.6666666666667</v>
      </c>
      <c r="AJ54" s="150">
        <f> -1 * AJ53</f>
        <v>-1966.6666666666667</v>
      </c>
      <c r="AK54" s="150">
        <f> -1 * AK53</f>
        <v>-1966.6666666666667</v>
      </c>
      <c r="AL54" s="150">
        <f> -1 * AL53</f>
        <v>-1966.6666666666667</v>
      </c>
      <c r="AM54" s="150">
        <f> -1 * AM53</f>
        <v>-1966.6666666666667</v>
      </c>
      <c r="AN54" s="150">
        <f> -1 * AN53</f>
        <v>-1916.6666666666667</v>
      </c>
      <c r="AO54" s="150">
        <f> -1 * AO53</f>
        <v>-1916.6666666666667</v>
      </c>
      <c r="AP54" s="150">
        <f> -1 * AP53</f>
        <v>-1916.6666666666667</v>
      </c>
      <c r="AQ54" s="150">
        <f> -1 * AQ53</f>
        <v>-1916.6666666666667</v>
      </c>
      <c r="AR54" s="150">
        <f> -1 * AR53</f>
        <v>-1916.6666666666667</v>
      </c>
      <c r="AS54" s="150">
        <f> -1 * AS53</f>
        <v>-1916.6666666666667</v>
      </c>
      <c r="AT54" s="150">
        <f> -1 * AT53</f>
        <v>-1916.6666666666667</v>
      </c>
      <c r="AU54" s="150">
        <f> -1 * AU53</f>
        <v>-1916.6666666666667</v>
      </c>
      <c r="AV54" s="150">
        <f> -1 * AV53</f>
        <v>-1841.6666666666667</v>
      </c>
      <c r="AW54" s="150">
        <f> -1 * AW53</f>
        <v>-1841.6666666666667</v>
      </c>
      <c r="AX54" s="150">
        <f> -1 * AX53</f>
        <v>-1841.6666666666667</v>
      </c>
      <c r="AY54" s="150">
        <f> -1 * AY53</f>
        <v>-1841.6666666666667</v>
      </c>
      <c r="AZ54" s="150">
        <f> -1 * AZ53</f>
        <v>-1791.6666666666667</v>
      </c>
      <c r="BA54" s="150">
        <f> -1 * BA53</f>
        <v>-1791.6666666666667</v>
      </c>
      <c r="BB54" s="150">
        <f> -1 * BB53</f>
        <v>-1791.6666666666667</v>
      </c>
      <c r="BC54" s="150">
        <f> -1 * BC53</f>
        <v>-1791.6666666666667</v>
      </c>
      <c r="BD54" s="150">
        <f> -1 * BD53</f>
        <v>-1766.6666666666667</v>
      </c>
      <c r="BE54" s="150">
        <f> -1 * BE53</f>
        <v>-1766.6666666666667</v>
      </c>
      <c r="BF54" s="150">
        <f> -1 * BF53</f>
        <v>-1766.6666666666667</v>
      </c>
      <c r="BG54" s="150">
        <f> -1 * BG53</f>
        <v>-1766.6666666666667</v>
      </c>
      <c r="BH54" s="150">
        <f> -1 * BH53</f>
        <v>-1716.6666666666667</v>
      </c>
      <c r="BI54" s="150">
        <f> -1 * BI53</f>
        <v>-1716.6666666666667</v>
      </c>
      <c r="BJ54" s="150">
        <f> -1 * BJ53</f>
        <v>-1716.6666666666667</v>
      </c>
      <c r="BK54" s="150">
        <f> -1 * BK53</f>
        <v>-1716.6666666666667</v>
      </c>
      <c r="BL54" s="150">
        <f> -1 * BL53</f>
        <v>-1666.6666666666667</v>
      </c>
      <c r="BM54" s="150">
        <f> -1 * BM53</f>
        <v>-1666.6666666666667</v>
      </c>
      <c r="BN54" s="150">
        <f> -1 * BN53</f>
        <v>-1666.6666666666667</v>
      </c>
      <c r="BO54" s="150">
        <f> -1 * BO53</f>
        <v>-1666.6666666666667</v>
      </c>
      <c r="BP54" s="150">
        <f> -1 * BP53</f>
        <v>-1666.6666666666667</v>
      </c>
      <c r="BQ54" s="150">
        <f> -1 * BQ53</f>
        <v>-1666.6666666666667</v>
      </c>
      <c r="BR54" s="150">
        <f> -1 * BR53</f>
        <v>-1666.6666666666667</v>
      </c>
      <c r="BS54" s="150">
        <f> -1 * BS53</f>
        <v>-1666.6666666666667</v>
      </c>
      <c r="BT54" s="150">
        <f> -1 * BT53</f>
        <v>-0.0</v>
      </c>
      <c r="BU54" s="150">
        <f> -1 * BU53</f>
        <v>-0.0</v>
      </c>
      <c r="BV54" s="150">
        <f> -1 * BV53</f>
        <v>-0.0</v>
      </c>
      <c r="BW54" s="150">
        <f> -1 * BW53</f>
        <v>-0.0</v>
      </c>
      <c r="BX54" s="150">
        <f> -1 * BX53</f>
        <v>-0.0</v>
      </c>
      <c r="BY54" s="150">
        <f> -1 * BY53</f>
        <v>-0.0</v>
      </c>
      <c r="BZ54" s="150">
        <f> -1 * BZ53</f>
        <v>-0.0</v>
      </c>
      <c r="CA54" s="150">
        <f> -1 * CA53</f>
        <v>-0.0</v>
      </c>
      <c r="CB54" s="150">
        <f> -1 * CB53</f>
        <v>-0.0</v>
      </c>
      <c r="CC54" s="150">
        <f> -1 * CC53</f>
        <v>-0.0</v>
      </c>
      <c r="CD54" s="150">
        <f> -1 * CD53</f>
        <v>-0.0</v>
      </c>
      <c r="CE54" s="150">
        <f> -1 * CE53</f>
        <v>-0.0</v>
      </c>
      <c r="CF54" s="150">
        <f> -1 * CF53</f>
        <v>-0.0</v>
      </c>
      <c r="CG54" s="150">
        <f> -1 * CG53</f>
        <v>-0.0</v>
      </c>
      <c r="CH54" s="150">
        <f> -1 * CH53</f>
        <v>-0.0</v>
      </c>
      <c r="CI54" s="150">
        <f> -1 * CI53</f>
        <v>-0.0</v>
      </c>
      <c r="CJ54" s="150">
        <f> -1 * CJ53</f>
        <v>-0.0</v>
      </c>
      <c r="CK54" s="150">
        <f> -1 * CK53</f>
        <v>-0.0</v>
      </c>
      <c r="CL54" s="150">
        <f> -1 * CL53</f>
        <v>-0.0</v>
      </c>
      <c r="CM54" s="150">
        <f> -1 * CM53</f>
        <v>-0.0</v>
      </c>
      <c r="CN54" s="150">
        <f> -1 * CN53</f>
        <v>-0.0</v>
      </c>
      <c r="CO54" s="150">
        <f> -1 * CO53</f>
        <v>-0.0</v>
      </c>
    </row>
    <row r="56">
      <c r="A56" s="294" t="inlineStr">
        <is>
          <t>NON CURRENT ASSET BALANCE</t>
        </is>
      </c>
    </row>
    <row r="58" customFormat="1" s="182">
      <c r="A58" s="177" t="n"/>
      <c r="B58" s="177" t="n"/>
      <c r="C58" s="178" t="n"/>
      <c r="D58" s="179" t="n"/>
      <c r="E58" s="368" t="str">
        <f> InpC!E$64</f>
        <v>Non current asset - initial balance</v>
      </c>
      <c r="F58" s="368">
        <f> InpC!F$64</f>
        <v>100000.0</v>
      </c>
      <c r="G58" s="368" t="str">
        <f> InpC!G$64</f>
        <v>$ 000s</v>
      </c>
    </row>
    <row r="59" customFormat="1" s="100">
      <c r="A59" s="294" t="n"/>
      <c r="B59" s="294" t="n"/>
      <c r="C59" s="212" t="n"/>
      <c r="D59" s="244" t="n"/>
      <c r="E59" s="325" t="str">
        <f> Time!E$45</f>
        <v>Acquisition / initial balance date flag</v>
      </c>
      <c r="F59" s="325">
        <f> Time!F$45</f>
        <v>0.0</v>
      </c>
      <c r="G59" s="325" t="str">
        <f> Time!G$45</f>
        <v>flag</v>
      </c>
      <c r="H59" s="325">
        <f> Time!H$45</f>
        <v>1.0</v>
      </c>
      <c r="I59" s="325">
        <f> Time!I$45</f>
        <v>0.0</v>
      </c>
      <c r="J59" s="325">
        <f> Time!J$45</f>
        <v>0.0</v>
      </c>
      <c r="K59" s="325">
        <f> Time!K$45</f>
        <v>1.0</v>
      </c>
      <c r="L59" s="325">
        <f> Time!L$45</f>
        <v>0.0</v>
      </c>
      <c r="M59" s="325">
        <f> Time!M$45</f>
        <v>0.0</v>
      </c>
      <c r="N59" s="325">
        <f> Time!N$45</f>
        <v>0.0</v>
      </c>
      <c r="O59" s="325">
        <f> Time!O$45</f>
        <v>0.0</v>
      </c>
      <c r="P59" s="325">
        <f> Time!P$45</f>
        <v>0.0</v>
      </c>
      <c r="Q59" s="325">
        <f> Time!Q$45</f>
        <v>0.0</v>
      </c>
      <c r="R59" s="325">
        <f> Time!R$45</f>
        <v>0.0</v>
      </c>
      <c r="S59" s="325">
        <f> Time!S$45</f>
        <v>0.0</v>
      </c>
      <c r="T59" s="325">
        <f> Time!T$45</f>
        <v>0.0</v>
      </c>
      <c r="U59" s="325">
        <f> Time!U$45</f>
        <v>0.0</v>
      </c>
      <c r="V59" s="325">
        <f> Time!V$45</f>
        <v>0.0</v>
      </c>
      <c r="W59" s="325">
        <f> Time!W$45</f>
        <v>0.0</v>
      </c>
      <c r="X59" s="325">
        <f> Time!X$45</f>
        <v>0.0</v>
      </c>
      <c r="Y59" s="325">
        <f> Time!Y$45</f>
        <v>0.0</v>
      </c>
      <c r="Z59" s="325">
        <f> Time!Z$45</f>
        <v>0.0</v>
      </c>
      <c r="AA59" s="325">
        <f> Time!AA$45</f>
        <v>0.0</v>
      </c>
      <c r="AB59" s="325">
        <f> Time!AB$45</f>
        <v>0.0</v>
      </c>
      <c r="AC59" s="325">
        <f> Time!AC$45</f>
        <v>0.0</v>
      </c>
      <c r="AD59" s="325">
        <f> Time!AD$45</f>
        <v>0.0</v>
      </c>
      <c r="AE59" s="325">
        <f> Time!AE$45</f>
        <v>0.0</v>
      </c>
      <c r="AF59" s="325">
        <f> Time!AF$45</f>
        <v>0.0</v>
      </c>
      <c r="AG59" s="325">
        <f> Time!AG$45</f>
        <v>0.0</v>
      </c>
      <c r="AH59" s="325">
        <f> Time!AH$45</f>
        <v>0.0</v>
      </c>
      <c r="AI59" s="325">
        <f> Time!AI$45</f>
        <v>0.0</v>
      </c>
      <c r="AJ59" s="325">
        <f> Time!AJ$45</f>
        <v>0.0</v>
      </c>
      <c r="AK59" s="325">
        <f> Time!AK$45</f>
        <v>0.0</v>
      </c>
      <c r="AL59" s="325">
        <f> Time!AL$45</f>
        <v>0.0</v>
      </c>
      <c r="AM59" s="325">
        <f> Time!AM$45</f>
        <v>0.0</v>
      </c>
      <c r="AN59" s="325">
        <f> Time!AN$45</f>
        <v>0.0</v>
      </c>
      <c r="AO59" s="325">
        <f> Time!AO$45</f>
        <v>0.0</v>
      </c>
      <c r="AP59" s="325">
        <f> Time!AP$45</f>
        <v>0.0</v>
      </c>
      <c r="AQ59" s="325">
        <f> Time!AQ$45</f>
        <v>0.0</v>
      </c>
      <c r="AR59" s="325">
        <f> Time!AR$45</f>
        <v>0.0</v>
      </c>
      <c r="AS59" s="325">
        <f> Time!AS$45</f>
        <v>0.0</v>
      </c>
      <c r="AT59" s="325">
        <f> Time!AT$45</f>
        <v>0.0</v>
      </c>
      <c r="AU59" s="325">
        <f> Time!AU$45</f>
        <v>0.0</v>
      </c>
      <c r="AV59" s="325">
        <f> Time!AV$45</f>
        <v>0.0</v>
      </c>
      <c r="AW59" s="325">
        <f> Time!AW$45</f>
        <v>0.0</v>
      </c>
      <c r="AX59" s="325">
        <f> Time!AX$45</f>
        <v>0.0</v>
      </c>
      <c r="AY59" s="325">
        <f> Time!AY$45</f>
        <v>0.0</v>
      </c>
      <c r="AZ59" s="325">
        <f> Time!AZ$45</f>
        <v>0.0</v>
      </c>
      <c r="BA59" s="325">
        <f> Time!BA$45</f>
        <v>0.0</v>
      </c>
      <c r="BB59" s="325">
        <f> Time!BB$45</f>
        <v>0.0</v>
      </c>
      <c r="BC59" s="325">
        <f> Time!BC$45</f>
        <v>0.0</v>
      </c>
      <c r="BD59" s="325">
        <f> Time!BD$45</f>
        <v>0.0</v>
      </c>
      <c r="BE59" s="325">
        <f> Time!BE$45</f>
        <v>0.0</v>
      </c>
      <c r="BF59" s="325">
        <f> Time!BF$45</f>
        <v>0.0</v>
      </c>
      <c r="BG59" s="325">
        <f> Time!BG$45</f>
        <v>0.0</v>
      </c>
      <c r="BH59" s="325">
        <f> Time!BH$45</f>
        <v>0.0</v>
      </c>
      <c r="BI59" s="325">
        <f> Time!BI$45</f>
        <v>0.0</v>
      </c>
      <c r="BJ59" s="325">
        <f> Time!BJ$45</f>
        <v>0.0</v>
      </c>
      <c r="BK59" s="325">
        <f> Time!BK$45</f>
        <v>0.0</v>
      </c>
      <c r="BL59" s="325">
        <f> Time!BL$45</f>
        <v>0.0</v>
      </c>
      <c r="BM59" s="325">
        <f> Time!BM$45</f>
        <v>0.0</v>
      </c>
      <c r="BN59" s="325">
        <f> Time!BN$45</f>
        <v>0.0</v>
      </c>
      <c r="BO59" s="325">
        <f> Time!BO$45</f>
        <v>0.0</v>
      </c>
      <c r="BP59" s="325">
        <f> Time!BP$45</f>
        <v>0.0</v>
      </c>
      <c r="BQ59" s="325">
        <f> Time!BQ$45</f>
        <v>0.0</v>
      </c>
      <c r="BR59" s="325">
        <f> Time!BR$45</f>
        <v>0.0</v>
      </c>
      <c r="BS59" s="325">
        <f> Time!BS$45</f>
        <v>0.0</v>
      </c>
      <c r="BT59" s="325">
        <f> Time!BT$45</f>
        <v>0.0</v>
      </c>
      <c r="BU59" s="325">
        <f> Time!BU$45</f>
        <v>0.0</v>
      </c>
      <c r="BV59" s="325">
        <f> Time!BV$45</f>
        <v>0.0</v>
      </c>
      <c r="BW59" s="325">
        <f> Time!BW$45</f>
        <v>0.0</v>
      </c>
      <c r="BX59" s="325">
        <f> Time!BX$45</f>
        <v>0.0</v>
      </c>
      <c r="BY59" s="325">
        <f> Time!BY$45</f>
        <v>0.0</v>
      </c>
      <c r="BZ59" s="325">
        <f> Time!BZ$45</f>
        <v>0.0</v>
      </c>
      <c r="CA59" s="325">
        <f> Time!CA$45</f>
        <v>0.0</v>
      </c>
      <c r="CB59" s="325">
        <f> Time!CB$45</f>
        <v>0.0</v>
      </c>
      <c r="CC59" s="325">
        <f> Time!CC$45</f>
        <v>0.0</v>
      </c>
      <c r="CD59" s="325">
        <f> Time!CD$45</f>
        <v>0.0</v>
      </c>
      <c r="CE59" s="325">
        <f> Time!CE$45</f>
        <v>0.0</v>
      </c>
      <c r="CF59" s="325">
        <f> Time!CF$45</f>
        <v>0.0</v>
      </c>
      <c r="CG59" s="325">
        <f> Time!CG$45</f>
        <v>0.0</v>
      </c>
      <c r="CH59" s="325">
        <f> Time!CH$45</f>
        <v>0.0</v>
      </c>
      <c r="CI59" s="325">
        <f> Time!CI$45</f>
        <v>0.0</v>
      </c>
      <c r="CJ59" s="325">
        <f> Time!CJ$45</f>
        <v>0.0</v>
      </c>
      <c r="CK59" s="325">
        <f> Time!CK$45</f>
        <v>0.0</v>
      </c>
      <c r="CL59" s="325">
        <f> Time!CL$45</f>
        <v>0.0</v>
      </c>
      <c r="CM59" s="325">
        <f> Time!CM$45</f>
        <v>0.0</v>
      </c>
      <c r="CN59" s="325">
        <f> Time!CN$45</f>
        <v>0.0</v>
      </c>
      <c r="CO59" s="325">
        <f> Time!CO$45</f>
        <v>0.0</v>
      </c>
    </row>
    <row r="60" customFormat="1" s="61">
      <c r="A60" s="294" t="n"/>
      <c r="B60" s="294" t="n"/>
      <c r="C60" s="212" t="n"/>
      <c r="D60" s="244" t="n"/>
    </row>
    <row r="61" customFormat="1" s="61">
      <c r="A61" s="294" t="n"/>
      <c r="B61" s="294" t="n"/>
      <c r="C61" s="212" t="n"/>
      <c r="D61" s="244" t="n"/>
      <c r="E61" s="61" t="inlineStr">
        <is>
          <t>Non current asset balance BEG</t>
        </is>
      </c>
      <c r="G61" s="61" t="inlineStr">
        <is>
          <t>$ 000s</t>
        </is>
      </c>
      <c r="J61" s="61">
        <f> I64</f>
        <v>0.0</v>
      </c>
      <c r="K61" s="61">
        <f> J64</f>
        <v>0.0</v>
      </c>
      <c r="L61" s="61">
        <f> K64</f>
        <v>100000.0</v>
      </c>
      <c r="M61" s="61">
        <f> L64</f>
        <v>98333.33333333333</v>
      </c>
      <c r="N61" s="61">
        <f> M64</f>
        <v>96666.66666666666</v>
      </c>
      <c r="O61" s="61">
        <f> N64</f>
        <v>94999.99999999999</v>
      </c>
      <c r="P61" s="61">
        <f> O64</f>
        <v>93333.33333333331</v>
      </c>
      <c r="Q61" s="61">
        <f> P64</f>
        <v>91666.66666666664</v>
      </c>
      <c r="R61" s="61">
        <f> Q64</f>
        <v>89999.99999999997</v>
      </c>
      <c r="S61" s="61">
        <f> R64</f>
        <v>88333.3333333333</v>
      </c>
      <c r="T61" s="61">
        <f> S64</f>
        <v>88666.66666666663</v>
      </c>
      <c r="U61" s="61">
        <f> T64</f>
        <v>86899.99999999996</v>
      </c>
      <c r="V61" s="61">
        <f> U64</f>
        <v>85133.33333333328</v>
      </c>
      <c r="W61" s="61">
        <f> V64</f>
        <v>83366.66666666661</v>
      </c>
      <c r="X61" s="61">
        <f> W64</f>
        <v>82599.99999999994</v>
      </c>
      <c r="Y61" s="61">
        <f> X64</f>
        <v>80783.33333333327</v>
      </c>
      <c r="Z61" s="61">
        <f> Y64</f>
        <v>78966.6666666666</v>
      </c>
      <c r="AA61" s="61">
        <f> Z64</f>
        <v>77149.99999999993</v>
      </c>
      <c r="AB61" s="61">
        <f> AA64</f>
        <v>76833.33333333326</v>
      </c>
      <c r="AC61" s="61">
        <f> AB64</f>
        <v>74941.66666666658</v>
      </c>
      <c r="AD61" s="61">
        <f> AC64</f>
        <v>73049.99999999991</v>
      </c>
      <c r="AE61" s="61">
        <f> AD64</f>
        <v>71158.33333333324</v>
      </c>
      <c r="AF61" s="61">
        <f> AE64</f>
        <v>70266.66666666657</v>
      </c>
      <c r="AG61" s="61">
        <f> AF64</f>
        <v>68324.9999999999</v>
      </c>
      <c r="AH61" s="61">
        <f> AG64</f>
        <v>66383.33333333323</v>
      </c>
      <c r="AI61" s="61">
        <f> AH64</f>
        <v>64441.66666666656</v>
      </c>
      <c r="AJ61" s="61">
        <f> AI64</f>
        <v>62999.9999999999</v>
      </c>
      <c r="AK61" s="61">
        <f> AJ64</f>
        <v>61033.333333333234</v>
      </c>
      <c r="AL61" s="61">
        <f> AK64</f>
        <v>59066.66666666657</v>
      </c>
      <c r="AM61" s="61">
        <f> AL64</f>
        <v>57099.999999999905</v>
      </c>
      <c r="AN61" s="61">
        <f> AM64</f>
        <v>56133.33333333324</v>
      </c>
      <c r="AO61" s="61">
        <f> AN64</f>
        <v>54216.66666666658</v>
      </c>
      <c r="AP61" s="61">
        <f> AO64</f>
        <v>52299.99999999991</v>
      </c>
      <c r="AQ61" s="61">
        <f> AP64</f>
        <v>50383.33333333325</v>
      </c>
      <c r="AR61" s="61">
        <f> AQ64</f>
        <v>49466.666666666584</v>
      </c>
      <c r="AS61" s="61">
        <f> AR64</f>
        <v>47549.99999999992</v>
      </c>
      <c r="AT61" s="61">
        <f> AS64</f>
        <v>45633.333333333256</v>
      </c>
      <c r="AU61" s="61">
        <f> AT64</f>
        <v>43716.66666666659</v>
      </c>
      <c r="AV61" s="61">
        <f> AU64</f>
        <v>41799.99999999993</v>
      </c>
      <c r="AW61" s="61">
        <f> AV64</f>
        <v>39958.33333333326</v>
      </c>
      <c r="AX61" s="61">
        <f> AW64</f>
        <v>38116.6666666666</v>
      </c>
      <c r="AY61" s="61">
        <f> AX64</f>
        <v>36274.999999999935</v>
      </c>
      <c r="AZ61" s="61">
        <f> AY64</f>
        <v>34433.33333333327</v>
      </c>
      <c r="BA61" s="61">
        <f> AZ64</f>
        <v>32641.666666666602</v>
      </c>
      <c r="BB61" s="61">
        <f> BA64</f>
        <v>30849.999999999935</v>
      </c>
      <c r="BC61" s="61">
        <f> BB64</f>
        <v>29058.333333333267</v>
      </c>
      <c r="BD61" s="61">
        <f> BC64</f>
        <v>27266.6666666666</v>
      </c>
      <c r="BE61" s="61">
        <f> BD64</f>
        <v>25499.99999999993</v>
      </c>
      <c r="BF61" s="61">
        <f> BE64</f>
        <v>23733.333333333263</v>
      </c>
      <c r="BG61" s="61">
        <f> BF64</f>
        <v>21966.666666666595</v>
      </c>
      <c r="BH61" s="61">
        <f> BG64</f>
        <v>20199.999999999927</v>
      </c>
      <c r="BI61" s="61">
        <f> BH64</f>
        <v>18483.33333333326</v>
      </c>
      <c r="BJ61" s="61">
        <f> BI64</f>
        <v>16766.66666666659</v>
      </c>
      <c r="BK61" s="61">
        <f> BJ64</f>
        <v>15049.999999999925</v>
      </c>
      <c r="BL61" s="61">
        <f> BK64</f>
        <v>13333.33333333326</v>
      </c>
      <c r="BM61" s="61">
        <f> BL64</f>
        <v>11666.666666666593</v>
      </c>
      <c r="BN61" s="61">
        <f> BM64</f>
        <v>9999.999999999927</v>
      </c>
      <c r="BO61" s="61">
        <f> BN64</f>
        <v>8333.333333333261</v>
      </c>
      <c r="BP61" s="61">
        <f> BO64</f>
        <v>6666.666666666594</v>
      </c>
      <c r="BQ61" s="61">
        <f> BP64</f>
        <v>4999.999999999927</v>
      </c>
      <c r="BR61" s="61">
        <f> BQ64</f>
        <v>3333.3333333332603</v>
      </c>
      <c r="BS61" s="61">
        <f> BR64</f>
        <v>1666.6666666665935</v>
      </c>
      <c r="BT61" s="61">
        <f> BS64</f>
        <v>-7.321432349272072e-11</v>
      </c>
      <c r="BU61" s="61">
        <f> BT64</f>
        <v>-7.321432349272072e-11</v>
      </c>
      <c r="BV61" s="61">
        <f> BU64</f>
        <v>-7.321432349272072e-11</v>
      </c>
      <c r="BW61" s="61">
        <f> BV64</f>
        <v>-7.321432349272072e-11</v>
      </c>
      <c r="BX61" s="61">
        <f> BW64</f>
        <v>-7.321432349272072e-11</v>
      </c>
      <c r="BY61" s="61">
        <f> BX64</f>
        <v>-7.321432349272072e-11</v>
      </c>
      <c r="BZ61" s="61">
        <f> BY64</f>
        <v>-7.321432349272072e-11</v>
      </c>
      <c r="CA61" s="61">
        <f> BZ64</f>
        <v>-7.321432349272072e-11</v>
      </c>
      <c r="CB61" s="61">
        <f> CA64</f>
        <v>-7.321432349272072e-11</v>
      </c>
      <c r="CC61" s="61">
        <f> CB64</f>
        <v>-7.321432349272072e-11</v>
      </c>
      <c r="CD61" s="61">
        <f> CC64</f>
        <v>-7.321432349272072e-11</v>
      </c>
      <c r="CE61" s="61">
        <f> CD64</f>
        <v>-7.321432349272072e-11</v>
      </c>
      <c r="CF61" s="61">
        <f> CE64</f>
        <v>-7.321432349272072e-11</v>
      </c>
      <c r="CG61" s="61">
        <f> CF64</f>
        <v>-7.321432349272072e-11</v>
      </c>
      <c r="CH61" s="61">
        <f> CG64</f>
        <v>-7.321432349272072e-11</v>
      </c>
      <c r="CI61" s="61">
        <f> CH64</f>
        <v>-7.321432349272072e-11</v>
      </c>
      <c r="CJ61" s="61">
        <f> CI64</f>
        <v>-7.321432349272072e-11</v>
      </c>
      <c r="CK61" s="61">
        <f> CJ64</f>
        <v>-7.321432349272072e-11</v>
      </c>
      <c r="CL61" s="61">
        <f> CK64</f>
        <v>-7.321432349272072e-11</v>
      </c>
      <c r="CM61" s="61">
        <f> CL64</f>
        <v>-7.321432349272072e-11</v>
      </c>
      <c r="CN61" s="61">
        <f> CM64</f>
        <v>-7.321432349272072e-11</v>
      </c>
      <c r="CO61" s="61">
        <f> CN64</f>
        <v>-7.321432349272072e-11</v>
      </c>
    </row>
    <row r="62" customFormat="1" s="183">
      <c r="A62" s="294" t="n"/>
      <c r="B62" s="294" t="n"/>
      <c r="C62" s="212" t="n"/>
      <c r="D62" s="244" t="inlineStr">
        <is>
          <t>plus</t>
        </is>
      </c>
      <c r="E62" s="61" t="str">
        <f> E$18</f>
        <v>Capital expenditure POS</v>
      </c>
      <c r="F62" s="61">
        <f> F$18</f>
        <v>0.0</v>
      </c>
      <c r="G62" s="61" t="str">
        <f> G$18</f>
        <v>$ 000s</v>
      </c>
      <c r="H62" s="61">
        <f> H$18</f>
        <v>8000.0</v>
      </c>
      <c r="I62" s="61">
        <f> I$18</f>
        <v>0.0</v>
      </c>
      <c r="J62" s="61">
        <f> J$18</f>
        <v>0.0</v>
      </c>
      <c r="K62" s="61">
        <f> K$18</f>
        <v>0.0</v>
      </c>
      <c r="L62" s="61">
        <f> L$18</f>
        <v>0.0</v>
      </c>
      <c r="M62" s="61">
        <f> M$18</f>
        <v>0.0</v>
      </c>
      <c r="N62" s="61">
        <f> N$18</f>
        <v>0.0</v>
      </c>
      <c r="O62" s="61">
        <f> O$18</f>
        <v>0.0</v>
      </c>
      <c r="P62" s="61">
        <f> P$18</f>
        <v>0.0</v>
      </c>
      <c r="Q62" s="61">
        <f> Q$18</f>
        <v>0.0</v>
      </c>
      <c r="R62" s="61">
        <f> R$18</f>
        <v>0.0</v>
      </c>
      <c r="S62" s="61">
        <f> S$18</f>
        <v>2000.0</v>
      </c>
      <c r="T62" s="61">
        <f> T$18</f>
        <v>0.0</v>
      </c>
      <c r="U62" s="61">
        <f> U$18</f>
        <v>0.0</v>
      </c>
      <c r="V62" s="61">
        <f> V$18</f>
        <v>0.0</v>
      </c>
      <c r="W62" s="61">
        <f> W$18</f>
        <v>1000.0</v>
      </c>
      <c r="X62" s="61">
        <f> X$18</f>
        <v>0.0</v>
      </c>
      <c r="Y62" s="61">
        <f> Y$18</f>
        <v>0.0</v>
      </c>
      <c r="Z62" s="61">
        <f> Z$18</f>
        <v>0.0</v>
      </c>
      <c r="AA62" s="61">
        <f> AA$18</f>
        <v>1500.0</v>
      </c>
      <c r="AB62" s="61">
        <f> AB$18</f>
        <v>0.0</v>
      </c>
      <c r="AC62" s="61">
        <f> AC$18</f>
        <v>0.0</v>
      </c>
      <c r="AD62" s="61">
        <f> AD$18</f>
        <v>0.0</v>
      </c>
      <c r="AE62" s="61">
        <f> AE$18</f>
        <v>1000.0</v>
      </c>
      <c r="AF62" s="61">
        <f> AF$18</f>
        <v>0.0</v>
      </c>
      <c r="AG62" s="61">
        <f> AG$18</f>
        <v>0.0</v>
      </c>
      <c r="AH62" s="61">
        <f> AH$18</f>
        <v>0.0</v>
      </c>
      <c r="AI62" s="61">
        <f> AI$18</f>
        <v>500.0</v>
      </c>
      <c r="AJ62" s="61">
        <f> AJ$18</f>
        <v>0.0</v>
      </c>
      <c r="AK62" s="61">
        <f> AK$18</f>
        <v>0.0</v>
      </c>
      <c r="AL62" s="61">
        <f> AL$18</f>
        <v>0.0</v>
      </c>
      <c r="AM62" s="61">
        <f> AM$18</f>
        <v>1000.0</v>
      </c>
      <c r="AN62" s="61">
        <f> AN$18</f>
        <v>0.0</v>
      </c>
      <c r="AO62" s="61">
        <f> AO$18</f>
        <v>0.0</v>
      </c>
      <c r="AP62" s="61">
        <f> AP$18</f>
        <v>0.0</v>
      </c>
      <c r="AQ62" s="61">
        <f> AQ$18</f>
        <v>1000.0</v>
      </c>
      <c r="AR62" s="61">
        <f> AR$18</f>
        <v>0.0</v>
      </c>
      <c r="AS62" s="61">
        <f> AS$18</f>
        <v>0.0</v>
      </c>
      <c r="AT62" s="61">
        <f> AT$18</f>
        <v>0.0</v>
      </c>
      <c r="AU62" s="61">
        <f> AU$18</f>
        <v>0.0</v>
      </c>
      <c r="AV62" s="61">
        <f> AV$18</f>
        <v>0.0</v>
      </c>
      <c r="AW62" s="61">
        <f> AW$18</f>
        <v>0.0</v>
      </c>
      <c r="AX62" s="61">
        <f> AX$18</f>
        <v>0.0</v>
      </c>
      <c r="AY62" s="61">
        <f> AY$18</f>
        <v>0.0</v>
      </c>
      <c r="AZ62" s="61">
        <f> AZ$18</f>
        <v>0.0</v>
      </c>
      <c r="BA62" s="61">
        <f> BA$18</f>
        <v>0.0</v>
      </c>
      <c r="BB62" s="61">
        <f> BB$18</f>
        <v>0.0</v>
      </c>
      <c r="BC62" s="61">
        <f> BC$18</f>
        <v>0.0</v>
      </c>
      <c r="BD62" s="61">
        <f> BD$18</f>
        <v>0.0</v>
      </c>
      <c r="BE62" s="61">
        <f> BE$18</f>
        <v>0.0</v>
      </c>
      <c r="BF62" s="61">
        <f> BF$18</f>
        <v>0.0</v>
      </c>
      <c r="BG62" s="61">
        <f> BG$18</f>
        <v>0.0</v>
      </c>
      <c r="BH62" s="61">
        <f> BH$18</f>
        <v>0.0</v>
      </c>
      <c r="BI62" s="61">
        <f> BI$18</f>
        <v>0.0</v>
      </c>
      <c r="BJ62" s="61">
        <f> BJ$18</f>
        <v>0.0</v>
      </c>
      <c r="BK62" s="61">
        <f> BK$18</f>
        <v>0.0</v>
      </c>
      <c r="BL62" s="61">
        <f> BL$18</f>
        <v>0.0</v>
      </c>
      <c r="BM62" s="61">
        <f> BM$18</f>
        <v>0.0</v>
      </c>
      <c r="BN62" s="61">
        <f> BN$18</f>
        <v>0.0</v>
      </c>
      <c r="BO62" s="61">
        <f> BO$18</f>
        <v>0.0</v>
      </c>
      <c r="BP62" s="61">
        <f> BP$18</f>
        <v>0.0</v>
      </c>
      <c r="BQ62" s="61">
        <f> BQ$18</f>
        <v>0.0</v>
      </c>
      <c r="BR62" s="61">
        <f> BR$18</f>
        <v>0.0</v>
      </c>
      <c r="BS62" s="61">
        <f> BS$18</f>
        <v>0.0</v>
      </c>
      <c r="BT62" s="61">
        <f> BT$18</f>
        <v>0.0</v>
      </c>
      <c r="BU62" s="61">
        <f> BU$18</f>
        <v>0.0</v>
      </c>
      <c r="BV62" s="61">
        <f> BV$18</f>
        <v>0.0</v>
      </c>
      <c r="BW62" s="61">
        <f> BW$18</f>
        <v>0.0</v>
      </c>
      <c r="BX62" s="61">
        <f> BX$18</f>
        <v>0.0</v>
      </c>
      <c r="BY62" s="61">
        <f> BY$18</f>
        <v>0.0</v>
      </c>
      <c r="BZ62" s="61">
        <f> BZ$18</f>
        <v>0.0</v>
      </c>
      <c r="CA62" s="61">
        <f> CA$18</f>
        <v>0.0</v>
      </c>
      <c r="CB62" s="61">
        <f> CB$18</f>
        <v>0.0</v>
      </c>
      <c r="CC62" s="61">
        <f> CC$18</f>
        <v>0.0</v>
      </c>
      <c r="CD62" s="61">
        <f> CD$18</f>
        <v>0.0</v>
      </c>
      <c r="CE62" s="61">
        <f> CE$18</f>
        <v>0.0</v>
      </c>
      <c r="CF62" s="61">
        <f> CF$18</f>
        <v>0.0</v>
      </c>
      <c r="CG62" s="61">
        <f> CG$18</f>
        <v>0.0</v>
      </c>
      <c r="CH62" s="61">
        <f> CH$18</f>
        <v>0.0</v>
      </c>
      <c r="CI62" s="61">
        <f> CI$18</f>
        <v>0.0</v>
      </c>
      <c r="CJ62" s="61">
        <f> CJ$18</f>
        <v>0.0</v>
      </c>
      <c r="CK62" s="61">
        <f> CK$18</f>
        <v>0.0</v>
      </c>
      <c r="CL62" s="61">
        <f> CL$18</f>
        <v>0.0</v>
      </c>
      <c r="CM62" s="61">
        <f> CM$18</f>
        <v>0.0</v>
      </c>
      <c r="CN62" s="61">
        <f> CN$18</f>
        <v>0.0</v>
      </c>
      <c r="CO62" s="61">
        <f> CO$18</f>
        <v>0.0</v>
      </c>
    </row>
    <row r="63" customFormat="1" s="183">
      <c r="A63" s="294" t="n"/>
      <c r="B63" s="294" t="n"/>
      <c r="C63" s="212" t="n"/>
      <c r="D63" s="244" t="inlineStr">
        <is>
          <t>less</t>
        </is>
      </c>
      <c r="E63" s="61" t="str">
        <f> E$53</f>
        <v>Accounting depreciation POS</v>
      </c>
      <c r="F63" s="61">
        <f> F$53</f>
        <v>0.0</v>
      </c>
      <c r="G63" s="61" t="str">
        <f> G$53</f>
        <v>$ 000s</v>
      </c>
      <c r="H63" s="61">
        <f> H$53</f>
        <v>108000.0</v>
      </c>
      <c r="I63" s="61">
        <f> I$53</f>
        <v>0.0</v>
      </c>
      <c r="J63" s="61">
        <f> J$53</f>
        <v>0.0</v>
      </c>
      <c r="K63" s="61">
        <f> K$53</f>
        <v>0.0</v>
      </c>
      <c r="L63" s="61">
        <f> L$53</f>
        <v>1666.6666666666667</v>
      </c>
      <c r="M63" s="61">
        <f> M$53</f>
        <v>1666.6666666666667</v>
      </c>
      <c r="N63" s="61">
        <f> N$53</f>
        <v>1666.6666666666667</v>
      </c>
      <c r="O63" s="61">
        <f> O$53</f>
        <v>1666.6666666666667</v>
      </c>
      <c r="P63" s="61">
        <f> P$53</f>
        <v>1666.6666666666667</v>
      </c>
      <c r="Q63" s="61">
        <f> Q$53</f>
        <v>1666.6666666666667</v>
      </c>
      <c r="R63" s="61">
        <f> R$53</f>
        <v>1666.6666666666667</v>
      </c>
      <c r="S63" s="61">
        <f> S$53</f>
        <v>1666.6666666666667</v>
      </c>
      <c r="T63" s="61">
        <f> T$53</f>
        <v>1766.6666666666667</v>
      </c>
      <c r="U63" s="61">
        <f> U$53</f>
        <v>1766.6666666666667</v>
      </c>
      <c r="V63" s="61">
        <f> V$53</f>
        <v>1766.6666666666667</v>
      </c>
      <c r="W63" s="61">
        <f> W$53</f>
        <v>1766.6666666666667</v>
      </c>
      <c r="X63" s="61">
        <f> X$53</f>
        <v>1816.6666666666667</v>
      </c>
      <c r="Y63" s="61">
        <f> Y$53</f>
        <v>1816.6666666666667</v>
      </c>
      <c r="Z63" s="61">
        <f> Z$53</f>
        <v>1816.6666666666667</v>
      </c>
      <c r="AA63" s="61">
        <f> AA$53</f>
        <v>1816.6666666666667</v>
      </c>
      <c r="AB63" s="61">
        <f> AB$53</f>
        <v>1891.6666666666667</v>
      </c>
      <c r="AC63" s="61">
        <f> AC$53</f>
        <v>1891.6666666666667</v>
      </c>
      <c r="AD63" s="61">
        <f> AD$53</f>
        <v>1891.6666666666667</v>
      </c>
      <c r="AE63" s="61">
        <f> AE$53</f>
        <v>1891.6666666666667</v>
      </c>
      <c r="AF63" s="61">
        <f> AF$53</f>
        <v>1941.6666666666667</v>
      </c>
      <c r="AG63" s="61">
        <f> AG$53</f>
        <v>1941.6666666666667</v>
      </c>
      <c r="AH63" s="61">
        <f> AH$53</f>
        <v>1941.6666666666667</v>
      </c>
      <c r="AI63" s="61">
        <f> AI$53</f>
        <v>1941.6666666666667</v>
      </c>
      <c r="AJ63" s="61">
        <f> AJ$53</f>
        <v>1966.6666666666667</v>
      </c>
      <c r="AK63" s="61">
        <f> AK$53</f>
        <v>1966.6666666666667</v>
      </c>
      <c r="AL63" s="61">
        <f> AL$53</f>
        <v>1966.6666666666667</v>
      </c>
      <c r="AM63" s="61">
        <f> AM$53</f>
        <v>1966.6666666666667</v>
      </c>
      <c r="AN63" s="61">
        <f> AN$53</f>
        <v>1916.6666666666667</v>
      </c>
      <c r="AO63" s="61">
        <f> AO$53</f>
        <v>1916.6666666666667</v>
      </c>
      <c r="AP63" s="61">
        <f> AP$53</f>
        <v>1916.6666666666667</v>
      </c>
      <c r="AQ63" s="61">
        <f> AQ$53</f>
        <v>1916.6666666666667</v>
      </c>
      <c r="AR63" s="61">
        <f> AR$53</f>
        <v>1916.6666666666667</v>
      </c>
      <c r="AS63" s="61">
        <f> AS$53</f>
        <v>1916.6666666666667</v>
      </c>
      <c r="AT63" s="61">
        <f> AT$53</f>
        <v>1916.6666666666667</v>
      </c>
      <c r="AU63" s="61">
        <f> AU$53</f>
        <v>1916.6666666666667</v>
      </c>
      <c r="AV63" s="61">
        <f> AV$53</f>
        <v>1841.6666666666667</v>
      </c>
      <c r="AW63" s="61">
        <f> AW$53</f>
        <v>1841.6666666666667</v>
      </c>
      <c r="AX63" s="61">
        <f> AX$53</f>
        <v>1841.6666666666667</v>
      </c>
      <c r="AY63" s="61">
        <f> AY$53</f>
        <v>1841.6666666666667</v>
      </c>
      <c r="AZ63" s="61">
        <f> AZ$53</f>
        <v>1791.6666666666667</v>
      </c>
      <c r="BA63" s="61">
        <f> BA$53</f>
        <v>1791.6666666666667</v>
      </c>
      <c r="BB63" s="61">
        <f> BB$53</f>
        <v>1791.6666666666667</v>
      </c>
      <c r="BC63" s="61">
        <f> BC$53</f>
        <v>1791.6666666666667</v>
      </c>
      <c r="BD63" s="61">
        <f> BD$53</f>
        <v>1766.6666666666667</v>
      </c>
      <c r="BE63" s="61">
        <f> BE$53</f>
        <v>1766.6666666666667</v>
      </c>
      <c r="BF63" s="61">
        <f> BF$53</f>
        <v>1766.6666666666667</v>
      </c>
      <c r="BG63" s="61">
        <f> BG$53</f>
        <v>1766.6666666666667</v>
      </c>
      <c r="BH63" s="61">
        <f> BH$53</f>
        <v>1716.6666666666667</v>
      </c>
      <c r="BI63" s="61">
        <f> BI$53</f>
        <v>1716.6666666666667</v>
      </c>
      <c r="BJ63" s="61">
        <f> BJ$53</f>
        <v>1716.6666666666667</v>
      </c>
      <c r="BK63" s="61">
        <f> BK$53</f>
        <v>1716.6666666666667</v>
      </c>
      <c r="BL63" s="61">
        <f> BL$53</f>
        <v>1666.6666666666667</v>
      </c>
      <c r="BM63" s="61">
        <f> BM$53</f>
        <v>1666.6666666666667</v>
      </c>
      <c r="BN63" s="61">
        <f> BN$53</f>
        <v>1666.6666666666667</v>
      </c>
      <c r="BO63" s="61">
        <f> BO$53</f>
        <v>1666.6666666666667</v>
      </c>
      <c r="BP63" s="61">
        <f> BP$53</f>
        <v>1666.6666666666667</v>
      </c>
      <c r="BQ63" s="61">
        <f> BQ$53</f>
        <v>1666.6666666666667</v>
      </c>
      <c r="BR63" s="61">
        <f> BR$53</f>
        <v>1666.6666666666667</v>
      </c>
      <c r="BS63" s="61">
        <f> BS$53</f>
        <v>1666.6666666666667</v>
      </c>
      <c r="BT63" s="61">
        <f> BT$53</f>
        <v>0.0</v>
      </c>
      <c r="BU63" s="61">
        <f> BU$53</f>
        <v>0.0</v>
      </c>
      <c r="BV63" s="61">
        <f> BV$53</f>
        <v>0.0</v>
      </c>
      <c r="BW63" s="61">
        <f> BW$53</f>
        <v>0.0</v>
      </c>
      <c r="BX63" s="61">
        <f> BX$53</f>
        <v>0.0</v>
      </c>
      <c r="BY63" s="61">
        <f> BY$53</f>
        <v>0.0</v>
      </c>
      <c r="BZ63" s="61">
        <f> BZ$53</f>
        <v>0.0</v>
      </c>
      <c r="CA63" s="61">
        <f> CA$53</f>
        <v>0.0</v>
      </c>
      <c r="CB63" s="61">
        <f> CB$53</f>
        <v>0.0</v>
      </c>
      <c r="CC63" s="61">
        <f> CC$53</f>
        <v>0.0</v>
      </c>
      <c r="CD63" s="61">
        <f> CD$53</f>
        <v>0.0</v>
      </c>
      <c r="CE63" s="61">
        <f> CE$53</f>
        <v>0.0</v>
      </c>
      <c r="CF63" s="61">
        <f> CF$53</f>
        <v>0.0</v>
      </c>
      <c r="CG63" s="61">
        <f> CG$53</f>
        <v>0.0</v>
      </c>
      <c r="CH63" s="61">
        <f> CH$53</f>
        <v>0.0</v>
      </c>
      <c r="CI63" s="61">
        <f> CI$53</f>
        <v>0.0</v>
      </c>
      <c r="CJ63" s="61">
        <f> CJ$53</f>
        <v>0.0</v>
      </c>
      <c r="CK63" s="61">
        <f> CK$53</f>
        <v>0.0</v>
      </c>
      <c r="CL63" s="61">
        <f> CL$53</f>
        <v>0.0</v>
      </c>
      <c r="CM63" s="61">
        <f> CM$53</f>
        <v>0.0</v>
      </c>
      <c r="CN63" s="61">
        <f> CN$53</f>
        <v>0.0</v>
      </c>
      <c r="CO63" s="61">
        <f> CO$53</f>
        <v>0.0</v>
      </c>
    </row>
    <row r="64" customFormat="1" s="322">
      <c r="A64" s="318" t="n"/>
      <c r="B64" s="318" t="n"/>
      <c r="C64" s="319" t="n"/>
      <c r="D64" s="320" t="n"/>
      <c r="E64" s="322" t="inlineStr">
        <is>
          <t>Non current asset balance</t>
        </is>
      </c>
      <c r="F64" s="322" t="inlineStr">
        <is>
          <t xml:space="preserve"> </t>
        </is>
      </c>
      <c r="G64" s="322" t="inlineStr">
        <is>
          <t>$ 000s</t>
        </is>
      </c>
      <c r="I64" s="323" t="n"/>
      <c r="J64" s="322">
        <f> IF(J59 = 1, $F58, J61 + J62 - J63)</f>
        <v>0.0</v>
      </c>
      <c r="K64" s="322">
        <f> IF(K59 = 1, $F58, K61 + K62 - K63)</f>
        <v>100000.0</v>
      </c>
      <c r="L64" s="322">
        <f> IF(L59 = 1, $F58, L61 + L62 - L63)</f>
        <v>98333.33333333333</v>
      </c>
      <c r="M64" s="322">
        <f> IF(M59 = 1, $F58, M61 + M62 - M63)</f>
        <v>96666.66666666666</v>
      </c>
      <c r="N64" s="322">
        <f> IF(N59 = 1, $F58, N61 + N62 - N63)</f>
        <v>94999.99999999999</v>
      </c>
      <c r="O64" s="322">
        <f> IF(O59 = 1, $F58, O61 + O62 - O63)</f>
        <v>93333.33333333331</v>
      </c>
      <c r="P64" s="322">
        <f> IF(P59 = 1, $F58, P61 + P62 - P63)</f>
        <v>91666.66666666664</v>
      </c>
      <c r="Q64" s="322">
        <f> IF(Q59 = 1, $F58, Q61 + Q62 - Q63)</f>
        <v>89999.99999999997</v>
      </c>
      <c r="R64" s="322">
        <f> IF(R59 = 1, $F58, R61 + R62 - R63)</f>
        <v>88333.3333333333</v>
      </c>
      <c r="S64" s="322">
        <f> IF(S59 = 1, $F58, S61 + S62 - S63)</f>
        <v>88666.66666666663</v>
      </c>
      <c r="T64" s="322">
        <f> IF(T59 = 1, $F58, T61 + T62 - T63)</f>
        <v>86899.99999999996</v>
      </c>
      <c r="U64" s="322">
        <f> IF(U59 = 1, $F58, U61 + U62 - U63)</f>
        <v>85133.33333333328</v>
      </c>
      <c r="V64" s="322">
        <f> IF(V59 = 1, $F58, V61 + V62 - V63)</f>
        <v>83366.66666666661</v>
      </c>
      <c r="W64" s="322">
        <f> IF(W59 = 1, $F58, W61 + W62 - W63)</f>
        <v>82599.99999999994</v>
      </c>
      <c r="X64" s="322">
        <f> IF(X59 = 1, $F58, X61 + X62 - X63)</f>
        <v>80783.33333333327</v>
      </c>
      <c r="Y64" s="322">
        <f> IF(Y59 = 1, $F58, Y61 + Y62 - Y63)</f>
        <v>78966.6666666666</v>
      </c>
      <c r="Z64" s="322">
        <f> IF(Z59 = 1, $F58, Z61 + Z62 - Z63)</f>
        <v>77149.99999999993</v>
      </c>
      <c r="AA64" s="322">
        <f> IF(AA59 = 1, $F58, AA61 + AA62 - AA63)</f>
        <v>76833.33333333326</v>
      </c>
      <c r="AB64" s="322">
        <f> IF(AB59 = 1, $F58, AB61 + AB62 - AB63)</f>
        <v>74941.66666666658</v>
      </c>
      <c r="AC64" s="322">
        <f> IF(AC59 = 1, $F58, AC61 + AC62 - AC63)</f>
        <v>73049.99999999991</v>
      </c>
      <c r="AD64" s="322">
        <f> IF(AD59 = 1, $F58, AD61 + AD62 - AD63)</f>
        <v>71158.33333333324</v>
      </c>
      <c r="AE64" s="322">
        <f> IF(AE59 = 1, $F58, AE61 + AE62 - AE63)</f>
        <v>70266.66666666657</v>
      </c>
      <c r="AF64" s="322">
        <f> IF(AF59 = 1, $F58, AF61 + AF62 - AF63)</f>
        <v>68324.9999999999</v>
      </c>
      <c r="AG64" s="322">
        <f> IF(AG59 = 1, $F58, AG61 + AG62 - AG63)</f>
        <v>66383.33333333323</v>
      </c>
      <c r="AH64" s="322">
        <f> IF(AH59 = 1, $F58, AH61 + AH62 - AH63)</f>
        <v>64441.66666666656</v>
      </c>
      <c r="AI64" s="322">
        <f> IF(AI59 = 1, $F58, AI61 + AI62 - AI63)</f>
        <v>62999.9999999999</v>
      </c>
      <c r="AJ64" s="322">
        <f> IF(AJ59 = 1, $F58, AJ61 + AJ62 - AJ63)</f>
        <v>61033.333333333234</v>
      </c>
      <c r="AK64" s="322">
        <f> IF(AK59 = 1, $F58, AK61 + AK62 - AK63)</f>
        <v>59066.66666666657</v>
      </c>
      <c r="AL64" s="322">
        <f> IF(AL59 = 1, $F58, AL61 + AL62 - AL63)</f>
        <v>57099.999999999905</v>
      </c>
      <c r="AM64" s="322">
        <f> IF(AM59 = 1, $F58, AM61 + AM62 - AM63)</f>
        <v>56133.33333333324</v>
      </c>
      <c r="AN64" s="322">
        <f> IF(AN59 = 1, $F58, AN61 + AN62 - AN63)</f>
        <v>54216.66666666658</v>
      </c>
      <c r="AO64" s="322">
        <f> IF(AO59 = 1, $F58, AO61 + AO62 - AO63)</f>
        <v>52299.99999999991</v>
      </c>
      <c r="AP64" s="322">
        <f> IF(AP59 = 1, $F58, AP61 + AP62 - AP63)</f>
        <v>50383.33333333325</v>
      </c>
      <c r="AQ64" s="322">
        <f> IF(AQ59 = 1, $F58, AQ61 + AQ62 - AQ63)</f>
        <v>49466.666666666584</v>
      </c>
      <c r="AR64" s="322">
        <f> IF(AR59 = 1, $F58, AR61 + AR62 - AR63)</f>
        <v>47549.99999999992</v>
      </c>
      <c r="AS64" s="322">
        <f> IF(AS59 = 1, $F58, AS61 + AS62 - AS63)</f>
        <v>45633.333333333256</v>
      </c>
      <c r="AT64" s="322">
        <f> IF(AT59 = 1, $F58, AT61 + AT62 - AT63)</f>
        <v>43716.66666666659</v>
      </c>
      <c r="AU64" s="322">
        <f> IF(AU59 = 1, $F58, AU61 + AU62 - AU63)</f>
        <v>41799.99999999993</v>
      </c>
      <c r="AV64" s="322">
        <f> IF(AV59 = 1, $F58, AV61 + AV62 - AV63)</f>
        <v>39958.33333333326</v>
      </c>
      <c r="AW64" s="322">
        <f> IF(AW59 = 1, $F58, AW61 + AW62 - AW63)</f>
        <v>38116.6666666666</v>
      </c>
      <c r="AX64" s="322">
        <f> IF(AX59 = 1, $F58, AX61 + AX62 - AX63)</f>
        <v>36274.999999999935</v>
      </c>
      <c r="AY64" s="322">
        <f> IF(AY59 = 1, $F58, AY61 + AY62 - AY63)</f>
        <v>34433.33333333327</v>
      </c>
      <c r="AZ64" s="322">
        <f> IF(AZ59 = 1, $F58, AZ61 + AZ62 - AZ63)</f>
        <v>32641.666666666602</v>
      </c>
      <c r="BA64" s="322">
        <f> IF(BA59 = 1, $F58, BA61 + BA62 - BA63)</f>
        <v>30849.999999999935</v>
      </c>
      <c r="BB64" s="322">
        <f> IF(BB59 = 1, $F58, BB61 + BB62 - BB63)</f>
        <v>29058.333333333267</v>
      </c>
      <c r="BC64" s="322">
        <f> IF(BC59 = 1, $F58, BC61 + BC62 - BC63)</f>
        <v>27266.6666666666</v>
      </c>
      <c r="BD64" s="322">
        <f> IF(BD59 = 1, $F58, BD61 + BD62 - BD63)</f>
        <v>25499.99999999993</v>
      </c>
      <c r="BE64" s="322">
        <f> IF(BE59 = 1, $F58, BE61 + BE62 - BE63)</f>
        <v>23733.333333333263</v>
      </c>
      <c r="BF64" s="322">
        <f> IF(BF59 = 1, $F58, BF61 + BF62 - BF63)</f>
        <v>21966.666666666595</v>
      </c>
      <c r="BG64" s="322">
        <f> IF(BG59 = 1, $F58, BG61 + BG62 - BG63)</f>
        <v>20199.999999999927</v>
      </c>
      <c r="BH64" s="322">
        <f> IF(BH59 = 1, $F58, BH61 + BH62 - BH63)</f>
        <v>18483.33333333326</v>
      </c>
      <c r="BI64" s="322">
        <f> IF(BI59 = 1, $F58, BI61 + BI62 - BI63)</f>
        <v>16766.66666666659</v>
      </c>
      <c r="BJ64" s="322">
        <f> IF(BJ59 = 1, $F58, BJ61 + BJ62 - BJ63)</f>
        <v>15049.999999999925</v>
      </c>
      <c r="BK64" s="322">
        <f> IF(BK59 = 1, $F58, BK61 + BK62 - BK63)</f>
        <v>13333.33333333326</v>
      </c>
      <c r="BL64" s="322">
        <f> IF(BL59 = 1, $F58, BL61 + BL62 - BL63)</f>
        <v>11666.666666666593</v>
      </c>
      <c r="BM64" s="322">
        <f> IF(BM59 = 1, $F58, BM61 + BM62 - BM63)</f>
        <v>9999.999999999927</v>
      </c>
      <c r="BN64" s="322">
        <f> IF(BN59 = 1, $F58, BN61 + BN62 - BN63)</f>
        <v>8333.333333333261</v>
      </c>
      <c r="BO64" s="322">
        <f> IF(BO59 = 1, $F58, BO61 + BO62 - BO63)</f>
        <v>6666.666666666594</v>
      </c>
      <c r="BP64" s="322">
        <f> IF(BP59 = 1, $F58, BP61 + BP62 - BP63)</f>
        <v>4999.999999999927</v>
      </c>
      <c r="BQ64" s="322">
        <f> IF(BQ59 = 1, $F58, BQ61 + BQ62 - BQ63)</f>
        <v>3333.3333333332603</v>
      </c>
      <c r="BR64" s="322">
        <f> IF(BR59 = 1, $F58, BR61 + BR62 - BR63)</f>
        <v>1666.6666666665935</v>
      </c>
      <c r="BS64" s="322">
        <f> IF(BS59 = 1, $F58, BS61 + BS62 - BS63)</f>
        <v>-7.321432349272072e-11</v>
      </c>
      <c r="BT64" s="322">
        <f> IF(BT59 = 1, $F58, BT61 + BT62 - BT63)</f>
        <v>-7.321432349272072e-11</v>
      </c>
      <c r="BU64" s="322">
        <f> IF(BU59 = 1, $F58, BU61 + BU62 - BU63)</f>
        <v>-7.321432349272072e-11</v>
      </c>
      <c r="BV64" s="322">
        <f> IF(BV59 = 1, $F58, BV61 + BV62 - BV63)</f>
        <v>-7.321432349272072e-11</v>
      </c>
      <c r="BW64" s="322">
        <f> IF(BW59 = 1, $F58, BW61 + BW62 - BW63)</f>
        <v>-7.321432349272072e-11</v>
      </c>
      <c r="BX64" s="322">
        <f> IF(BX59 = 1, $F58, BX61 + BX62 - BX63)</f>
        <v>-7.321432349272072e-11</v>
      </c>
      <c r="BY64" s="322">
        <f> IF(BY59 = 1, $F58, BY61 + BY62 - BY63)</f>
        <v>-7.321432349272072e-11</v>
      </c>
      <c r="BZ64" s="322">
        <f> IF(BZ59 = 1, $F58, BZ61 + BZ62 - BZ63)</f>
        <v>-7.321432349272072e-11</v>
      </c>
      <c r="CA64" s="322">
        <f> IF(CA59 = 1, $F58, CA61 + CA62 - CA63)</f>
        <v>-7.321432349272072e-11</v>
      </c>
      <c r="CB64" s="322">
        <f> IF(CB59 = 1, $F58, CB61 + CB62 - CB63)</f>
        <v>-7.321432349272072e-11</v>
      </c>
      <c r="CC64" s="322">
        <f> IF(CC59 = 1, $F58, CC61 + CC62 - CC63)</f>
        <v>-7.321432349272072e-11</v>
      </c>
      <c r="CD64" s="322">
        <f> IF(CD59 = 1, $F58, CD61 + CD62 - CD63)</f>
        <v>-7.321432349272072e-11</v>
      </c>
      <c r="CE64" s="322">
        <f> IF(CE59 = 1, $F58, CE61 + CE62 - CE63)</f>
        <v>-7.321432349272072e-11</v>
      </c>
      <c r="CF64" s="322">
        <f> IF(CF59 = 1, $F58, CF61 + CF62 - CF63)</f>
        <v>-7.321432349272072e-11</v>
      </c>
      <c r="CG64" s="322">
        <f> IF(CG59 = 1, $F58, CG61 + CG62 - CG63)</f>
        <v>-7.321432349272072e-11</v>
      </c>
      <c r="CH64" s="322">
        <f> IF(CH59 = 1, $F58, CH61 + CH62 - CH63)</f>
        <v>-7.321432349272072e-11</v>
      </c>
      <c r="CI64" s="322">
        <f> IF(CI59 = 1, $F58, CI61 + CI62 - CI63)</f>
        <v>-7.321432349272072e-11</v>
      </c>
      <c r="CJ64" s="322">
        <f> IF(CJ59 = 1, $F58, CJ61 + CJ62 - CJ63)</f>
        <v>-7.321432349272072e-11</v>
      </c>
      <c r="CK64" s="322">
        <f> IF(CK59 = 1, $F58, CK61 + CK62 - CK63)</f>
        <v>-7.321432349272072e-11</v>
      </c>
      <c r="CL64" s="322">
        <f> IF(CL59 = 1, $F58, CL61 + CL62 - CL63)</f>
        <v>-7.321432349272072e-11</v>
      </c>
      <c r="CM64" s="322">
        <f> IF(CM59 = 1, $F58, CM61 + CM62 - CM63)</f>
        <v>-7.321432349272072e-11</v>
      </c>
      <c r="CN64" s="322">
        <f> IF(CN59 = 1, $F58, CN61 + CN62 - CN63)</f>
        <v>-7.321432349272072e-11</v>
      </c>
      <c r="CO64" s="322">
        <f> IF(CO59 = 1, $F58, CO61 + CO62 - CO63)</f>
        <v>-7.321432349272072e-11</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1.xml><?xml version="1.0" encoding="utf-8"?>
<worksheet xmlns="http://schemas.openxmlformats.org/spreadsheetml/2006/main">
  <sheetPr>
    <tabColor rgb="000B5E82"/>
    <outlinePr summaryBelow="0" summaryRight="0"/>
    <pageSetUpPr/>
  </sheetPr>
  <dimension ref="A1:CO44"/>
  <sheetViews>
    <sheetView showGridLines="0" defaultGridColor="0" colorId="22" zoomScaleNormal="100" workbookViewId="0">
      <pane xSplit="9" ySplit="5" topLeftCell="J6" activePane="bottomRight" state="frozen"/>
      <selection activeCell="I34" sqref="I34"/>
      <selection pane="topRight" activeCell="I34" sqref="I34"/>
      <selection pane="bottomLeft" activeCell="I34" sqref="I34"/>
      <selection pane="bottomRight" activeCell="E22" sqref="A22:XFD22"/>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SENIOR DEBT PRINCIPAL REPAYMENT</t>
        </is>
      </c>
    </row>
    <row r="9">
      <c r="E9" s="325" t="str">
        <f> InpC!E$64</f>
        <v>Non current asset - initial balance</v>
      </c>
      <c r="F9" s="325">
        <f> InpC!F$64</f>
        <v>100000.0</v>
      </c>
      <c r="G9" s="325" t="str">
        <f> InpC!G$64</f>
        <v>$ 000s</v>
      </c>
    </row>
    <row r="10">
      <c r="E10" s="336" t="str">
        <f> InpC!E$72</f>
        <v>% of NCA financed with debt</v>
      </c>
      <c r="F10" s="336">
        <f> InpC!F$72</f>
        <v>0.6</v>
      </c>
      <c r="G10" s="336" t="str">
        <f> InpC!G$72</f>
        <v>%</v>
      </c>
    </row>
    <row r="11">
      <c r="E11" s="61" t="inlineStr">
        <is>
          <t>Senior debt - Initial balance</t>
        </is>
      </c>
      <c r="F11" s="61">
        <f>F9 * F10</f>
        <v>60000.0</v>
      </c>
      <c r="G11" s="61" t="str">
        <f>SMU</f>
        <v>$ 000s</v>
      </c>
    </row>
    <row r="13">
      <c r="E13" s="325" t="str">
        <f> InpC!E$74</f>
        <v>Senior debt principal repayment profile selection</v>
      </c>
      <c r="F13" s="325">
        <f> InpC!F$74</f>
        <v>1.0</v>
      </c>
      <c r="G13" s="325" t="str">
        <f> InpC!G$74</f>
        <v>switch</v>
      </c>
    </row>
    <row r="14">
      <c r="E14" s="336" t="str">
        <f> InpS!E$18</f>
        <v>Senior debt profile 1 - 7.5 years</v>
      </c>
      <c r="F14" s="336">
        <f> InpS!F$18</f>
        <v>0.0</v>
      </c>
      <c r="G14" s="336" t="str">
        <f> InpS!G$18</f>
        <v>%</v>
      </c>
      <c r="H14" s="336">
        <f> InpS!H$18</f>
        <v>0.99999999999999</v>
      </c>
      <c r="I14" s="336">
        <f> InpS!I$18</f>
        <v>0.0</v>
      </c>
      <c r="J14" s="336">
        <f> InpS!J$18</f>
        <v>0.0</v>
      </c>
      <c r="K14" s="336">
        <f> InpS!K$18</f>
        <v>0.0</v>
      </c>
      <c r="L14" s="336">
        <f> InpS!L$18</f>
        <v>0.0</v>
      </c>
      <c r="M14" s="336">
        <f> InpS!M$18</f>
        <v>0.0</v>
      </c>
      <c r="N14" s="336">
        <f> InpS!N$18</f>
        <v>0.0</v>
      </c>
      <c r="O14" s="336">
        <f> InpS!O$18</f>
        <v>0.033333333333333</v>
      </c>
      <c r="P14" s="336">
        <f> InpS!P$18</f>
        <v>0.033333333333333</v>
      </c>
      <c r="Q14" s="336">
        <f> InpS!Q$18</f>
        <v>0.033333333333333</v>
      </c>
      <c r="R14" s="336">
        <f> InpS!R$18</f>
        <v>0.033333333333333</v>
      </c>
      <c r="S14" s="336">
        <f> InpS!S$18</f>
        <v>0.033333333333333</v>
      </c>
      <c r="T14" s="336">
        <f> InpS!T$18</f>
        <v>0.033333333333333</v>
      </c>
      <c r="U14" s="336">
        <f> InpS!U$18</f>
        <v>0.033333333333333</v>
      </c>
      <c r="V14" s="336">
        <f> InpS!V$18</f>
        <v>0.033333333333333</v>
      </c>
      <c r="W14" s="336">
        <f> InpS!W$18</f>
        <v>0.033333333333333</v>
      </c>
      <c r="X14" s="336">
        <f> InpS!X$18</f>
        <v>0.033333333333333</v>
      </c>
      <c r="Y14" s="336">
        <f> InpS!Y$18</f>
        <v>0.033333333333333</v>
      </c>
      <c r="Z14" s="336">
        <f> InpS!Z$18</f>
        <v>0.033333333333333</v>
      </c>
      <c r="AA14" s="336">
        <f> InpS!AA$18</f>
        <v>0.033333333333333</v>
      </c>
      <c r="AB14" s="336">
        <f> InpS!AB$18</f>
        <v>0.033333333333333</v>
      </c>
      <c r="AC14" s="336">
        <f> InpS!AC$18</f>
        <v>0.033333333333333</v>
      </c>
      <c r="AD14" s="336">
        <f> InpS!AD$18</f>
        <v>0.033333333333333</v>
      </c>
      <c r="AE14" s="336">
        <f> InpS!AE$18</f>
        <v>0.033333333333333</v>
      </c>
      <c r="AF14" s="336">
        <f> InpS!AF$18</f>
        <v>0.033333333333333</v>
      </c>
      <c r="AG14" s="336">
        <f> InpS!AG$18</f>
        <v>0.033333333333333</v>
      </c>
      <c r="AH14" s="336">
        <f> InpS!AH$18</f>
        <v>0.033333333333333</v>
      </c>
      <c r="AI14" s="336">
        <f> InpS!AI$18</f>
        <v>0.033333333333333</v>
      </c>
      <c r="AJ14" s="336">
        <f> InpS!AJ$18</f>
        <v>0.033333333333333</v>
      </c>
      <c r="AK14" s="336">
        <f> InpS!AK$18</f>
        <v>0.033333333333333</v>
      </c>
      <c r="AL14" s="336">
        <f> InpS!AL$18</f>
        <v>0.033333333333333</v>
      </c>
      <c r="AM14" s="336">
        <f> InpS!AM$18</f>
        <v>0.033333333333333</v>
      </c>
      <c r="AN14" s="336">
        <f> InpS!AN$18</f>
        <v>0.033333333333333</v>
      </c>
      <c r="AO14" s="336">
        <f> InpS!AO$18</f>
        <v>0.033333333333333</v>
      </c>
      <c r="AP14" s="336">
        <f> InpS!AP$18</f>
        <v>0.033333333333333</v>
      </c>
      <c r="AQ14" s="336">
        <f> InpS!AQ$18</f>
        <v>0.033333333333333</v>
      </c>
      <c r="AR14" s="336">
        <f> InpS!AR$18</f>
        <v>0.033333333333333</v>
      </c>
      <c r="AS14" s="336">
        <f> InpS!AS$18</f>
        <v>0.0</v>
      </c>
      <c r="AT14" s="336">
        <f> InpS!AT$18</f>
        <v>0.0</v>
      </c>
      <c r="AU14" s="336">
        <f> InpS!AU$18</f>
        <v>0.0</v>
      </c>
      <c r="AV14" s="336">
        <f> InpS!AV$18</f>
        <v>0.0</v>
      </c>
      <c r="AW14" s="336">
        <f> InpS!AW$18</f>
        <v>0.0</v>
      </c>
      <c r="AX14" s="336">
        <f> InpS!AX$18</f>
        <v>0.0</v>
      </c>
      <c r="AY14" s="336">
        <f> InpS!AY$18</f>
        <v>0.0</v>
      </c>
      <c r="AZ14" s="336">
        <f> InpS!AZ$18</f>
        <v>0.0</v>
      </c>
      <c r="BA14" s="336">
        <f> InpS!BA$18</f>
        <v>0.0</v>
      </c>
      <c r="BB14" s="336">
        <f> InpS!BB$18</f>
        <v>0.0</v>
      </c>
      <c r="BC14" s="336">
        <f> InpS!BC$18</f>
        <v>0.0</v>
      </c>
      <c r="BD14" s="336">
        <f> InpS!BD$18</f>
        <v>0.0</v>
      </c>
      <c r="BE14" s="336">
        <f> InpS!BE$18</f>
        <v>0.0</v>
      </c>
      <c r="BF14" s="336">
        <f> InpS!BF$18</f>
        <v>0.0</v>
      </c>
      <c r="BG14" s="336">
        <f> InpS!BG$18</f>
        <v>0.0</v>
      </c>
      <c r="BH14" s="336">
        <f> InpS!BH$18</f>
        <v>0.0</v>
      </c>
      <c r="BI14" s="336">
        <f> InpS!BI$18</f>
        <v>0.0</v>
      </c>
      <c r="BJ14" s="336">
        <f> InpS!BJ$18</f>
        <v>0.0</v>
      </c>
      <c r="BK14" s="336">
        <f> InpS!BK$18</f>
        <v>0.0</v>
      </c>
      <c r="BL14" s="336">
        <f> InpS!BL$18</f>
        <v>0.0</v>
      </c>
      <c r="BM14" s="336">
        <f> InpS!BM$18</f>
        <v>0.0</v>
      </c>
      <c r="BN14" s="336">
        <f> InpS!BN$18</f>
        <v>0.0</v>
      </c>
      <c r="BO14" s="336">
        <f> InpS!BO$18</f>
        <v>0.0</v>
      </c>
      <c r="BP14" s="336">
        <f> InpS!BP$18</f>
        <v>0.0</v>
      </c>
      <c r="BQ14" s="336">
        <f> InpS!BQ$18</f>
        <v>0.0</v>
      </c>
      <c r="BR14" s="336">
        <f> InpS!BR$18</f>
        <v>0.0</v>
      </c>
      <c r="BS14" s="336">
        <f> InpS!BS$18</f>
        <v>0.0</v>
      </c>
      <c r="BT14" s="336">
        <f> InpS!BT$18</f>
        <v>0.0</v>
      </c>
      <c r="BU14" s="336">
        <f> InpS!BU$18</f>
        <v>0.0</v>
      </c>
      <c r="BV14" s="336">
        <f> InpS!BV$18</f>
        <v>0.0</v>
      </c>
      <c r="BW14" s="336">
        <f> InpS!BW$18</f>
        <v>0.0</v>
      </c>
      <c r="BX14" s="336">
        <f> InpS!BX$18</f>
        <v>0.0</v>
      </c>
      <c r="BY14" s="336">
        <f> InpS!BY$18</f>
        <v>0.0</v>
      </c>
      <c r="BZ14" s="336">
        <f> InpS!BZ$18</f>
        <v>0.0</v>
      </c>
      <c r="CA14" s="336">
        <f> InpS!CA$18</f>
        <v>0.0</v>
      </c>
      <c r="CB14" s="336">
        <f> InpS!CB$18</f>
        <v>0.0</v>
      </c>
      <c r="CC14" s="336">
        <f> InpS!CC$18</f>
        <v>0.0</v>
      </c>
      <c r="CD14" s="336">
        <f> InpS!CD$18</f>
        <v>0.0</v>
      </c>
      <c r="CE14" s="336">
        <f> InpS!CE$18</f>
        <v>0.0</v>
      </c>
      <c r="CF14" s="336">
        <f> InpS!CF$18</f>
        <v>0.0</v>
      </c>
      <c r="CG14" s="336">
        <f> InpS!CG$18</f>
        <v>0.0</v>
      </c>
      <c r="CH14" s="336">
        <f> InpS!CH$18</f>
        <v>0.0</v>
      </c>
      <c r="CI14" s="336">
        <f> InpS!CI$18</f>
        <v>0.0</v>
      </c>
      <c r="CJ14" s="336">
        <f> InpS!CJ$18</f>
        <v>0.0</v>
      </c>
      <c r="CK14" s="336">
        <f> InpS!CK$18</f>
        <v>0.0</v>
      </c>
      <c r="CL14" s="336">
        <f> InpS!CL$18</f>
        <v>0.0</v>
      </c>
      <c r="CM14" s="336">
        <f> InpS!CM$18</f>
        <v>0.0</v>
      </c>
      <c r="CN14" s="336">
        <f> InpS!CN$18</f>
        <v>0.0</v>
      </c>
      <c r="CO14" s="336">
        <f> InpS!CO$18</f>
        <v>0.0</v>
      </c>
    </row>
    <row r="15">
      <c r="E15" s="336" t="str">
        <f> InpS!E$19</f>
        <v>Senior debt profile 2 - 10 years</v>
      </c>
      <c r="F15" s="336">
        <f> InpS!F$19</f>
        <v>0.0</v>
      </c>
      <c r="G15" s="336" t="str">
        <f> InpS!G$19</f>
        <v>%</v>
      </c>
      <c r="H15" s="336">
        <f> InpS!H$19</f>
        <v>1.0</v>
      </c>
      <c r="I15" s="336">
        <f> InpS!I$19</f>
        <v>0.0</v>
      </c>
      <c r="J15" s="336">
        <f> InpS!J$19</f>
        <v>0.0</v>
      </c>
      <c r="K15" s="336">
        <f> InpS!K$19</f>
        <v>0.0</v>
      </c>
      <c r="L15" s="336">
        <f> InpS!L$19</f>
        <v>0.0</v>
      </c>
      <c r="M15" s="336">
        <f> InpS!M$19</f>
        <v>0.0</v>
      </c>
      <c r="N15" s="336">
        <f> InpS!N$19</f>
        <v>0.0</v>
      </c>
      <c r="O15" s="336">
        <f> InpS!O$19</f>
        <v>0.025</v>
      </c>
      <c r="P15" s="336">
        <f> InpS!P$19</f>
        <v>0.025</v>
      </c>
      <c r="Q15" s="336">
        <f> InpS!Q$19</f>
        <v>0.025</v>
      </c>
      <c r="R15" s="336">
        <f> InpS!R$19</f>
        <v>0.025</v>
      </c>
      <c r="S15" s="336">
        <f> InpS!S$19</f>
        <v>0.025</v>
      </c>
      <c r="T15" s="336">
        <f> InpS!T$19</f>
        <v>0.025</v>
      </c>
      <c r="U15" s="336">
        <f> InpS!U$19</f>
        <v>0.025</v>
      </c>
      <c r="V15" s="336">
        <f> InpS!V$19</f>
        <v>0.025</v>
      </c>
      <c r="W15" s="336">
        <f> InpS!W$19</f>
        <v>0.025</v>
      </c>
      <c r="X15" s="336">
        <f> InpS!X$19</f>
        <v>0.025</v>
      </c>
      <c r="Y15" s="336">
        <f> InpS!Y$19</f>
        <v>0.025</v>
      </c>
      <c r="Z15" s="336">
        <f> InpS!Z$19</f>
        <v>0.025</v>
      </c>
      <c r="AA15" s="336">
        <f> InpS!AA$19</f>
        <v>0.025</v>
      </c>
      <c r="AB15" s="336">
        <f> InpS!AB$19</f>
        <v>0.025</v>
      </c>
      <c r="AC15" s="336">
        <f> InpS!AC$19</f>
        <v>0.025</v>
      </c>
      <c r="AD15" s="336">
        <f> InpS!AD$19</f>
        <v>0.025</v>
      </c>
      <c r="AE15" s="336">
        <f> InpS!AE$19</f>
        <v>0.025</v>
      </c>
      <c r="AF15" s="336">
        <f> InpS!AF$19</f>
        <v>0.025</v>
      </c>
      <c r="AG15" s="336">
        <f> InpS!AG$19</f>
        <v>0.025</v>
      </c>
      <c r="AH15" s="336">
        <f> InpS!AH$19</f>
        <v>0.025</v>
      </c>
      <c r="AI15" s="336">
        <f> InpS!AI$19</f>
        <v>0.025</v>
      </c>
      <c r="AJ15" s="336">
        <f> InpS!AJ$19</f>
        <v>0.025</v>
      </c>
      <c r="AK15" s="336">
        <f> InpS!AK$19</f>
        <v>0.025</v>
      </c>
      <c r="AL15" s="336">
        <f> InpS!AL$19</f>
        <v>0.025</v>
      </c>
      <c r="AM15" s="336">
        <f> InpS!AM$19</f>
        <v>0.025</v>
      </c>
      <c r="AN15" s="336">
        <f> InpS!AN$19</f>
        <v>0.025</v>
      </c>
      <c r="AO15" s="336">
        <f> InpS!AO$19</f>
        <v>0.025</v>
      </c>
      <c r="AP15" s="336">
        <f> InpS!AP$19</f>
        <v>0.025</v>
      </c>
      <c r="AQ15" s="336">
        <f> InpS!AQ$19</f>
        <v>0.025</v>
      </c>
      <c r="AR15" s="336">
        <f> InpS!AR$19</f>
        <v>0.025</v>
      </c>
      <c r="AS15" s="336">
        <f> InpS!AS$19</f>
        <v>0.025</v>
      </c>
      <c r="AT15" s="336">
        <f> InpS!AT$19</f>
        <v>0.025</v>
      </c>
      <c r="AU15" s="336">
        <f> InpS!AU$19</f>
        <v>0.025</v>
      </c>
      <c r="AV15" s="336">
        <f> InpS!AV$19</f>
        <v>0.025</v>
      </c>
      <c r="AW15" s="336">
        <f> InpS!AW$19</f>
        <v>0.025</v>
      </c>
      <c r="AX15" s="336">
        <f> InpS!AX$19</f>
        <v>0.025</v>
      </c>
      <c r="AY15" s="336">
        <f> InpS!AY$19</f>
        <v>0.025</v>
      </c>
      <c r="AZ15" s="336">
        <f> InpS!AZ$19</f>
        <v>0.025</v>
      </c>
      <c r="BA15" s="336">
        <f> InpS!BA$19</f>
        <v>0.025</v>
      </c>
      <c r="BB15" s="336">
        <f> InpS!BB$19</f>
        <v>0.025</v>
      </c>
      <c r="BC15" s="336">
        <f> InpS!BC$19</f>
        <v>0.0</v>
      </c>
      <c r="BD15" s="336">
        <f> InpS!BD$19</f>
        <v>0.0</v>
      </c>
      <c r="BE15" s="336">
        <f> InpS!BE$19</f>
        <v>0.0</v>
      </c>
      <c r="BF15" s="336">
        <f> InpS!BF$19</f>
        <v>0.0</v>
      </c>
      <c r="BG15" s="336">
        <f> InpS!BG$19</f>
        <v>0.0</v>
      </c>
      <c r="BH15" s="336">
        <f> InpS!BH$19</f>
        <v>0.0</v>
      </c>
      <c r="BI15" s="336">
        <f> InpS!BI$19</f>
        <v>0.0</v>
      </c>
      <c r="BJ15" s="336">
        <f> InpS!BJ$19</f>
        <v>0.0</v>
      </c>
      <c r="BK15" s="336">
        <f> InpS!BK$19</f>
        <v>0.0</v>
      </c>
      <c r="BL15" s="336">
        <f> InpS!BL$19</f>
        <v>0.0</v>
      </c>
      <c r="BM15" s="336">
        <f> InpS!BM$19</f>
        <v>0.0</v>
      </c>
      <c r="BN15" s="336">
        <f> InpS!BN$19</f>
        <v>0.0</v>
      </c>
      <c r="BO15" s="336">
        <f> InpS!BO$19</f>
        <v>0.0</v>
      </c>
      <c r="BP15" s="336">
        <f> InpS!BP$19</f>
        <v>0.0</v>
      </c>
      <c r="BQ15" s="336">
        <f> InpS!BQ$19</f>
        <v>0.0</v>
      </c>
      <c r="BR15" s="336">
        <f> InpS!BR$19</f>
        <v>0.0</v>
      </c>
      <c r="BS15" s="336">
        <f> InpS!BS$19</f>
        <v>0.0</v>
      </c>
      <c r="BT15" s="336">
        <f> InpS!BT$19</f>
        <v>0.0</v>
      </c>
      <c r="BU15" s="336">
        <f> InpS!BU$19</f>
        <v>0.0</v>
      </c>
      <c r="BV15" s="336">
        <f> InpS!BV$19</f>
        <v>0.0</v>
      </c>
      <c r="BW15" s="336">
        <f> InpS!BW$19</f>
        <v>0.0</v>
      </c>
      <c r="BX15" s="336">
        <f> InpS!BX$19</f>
        <v>0.0</v>
      </c>
      <c r="BY15" s="336">
        <f> InpS!BY$19</f>
        <v>0.0</v>
      </c>
      <c r="BZ15" s="336">
        <f> InpS!BZ$19</f>
        <v>0.0</v>
      </c>
      <c r="CA15" s="336">
        <f> InpS!CA$19</f>
        <v>0.0</v>
      </c>
      <c r="CB15" s="336">
        <f> InpS!CB$19</f>
        <v>0.0</v>
      </c>
      <c r="CC15" s="336">
        <f> InpS!CC$19</f>
        <v>0.0</v>
      </c>
      <c r="CD15" s="336">
        <f> InpS!CD$19</f>
        <v>0.0</v>
      </c>
      <c r="CE15" s="336">
        <f> InpS!CE$19</f>
        <v>0.0</v>
      </c>
      <c r="CF15" s="336">
        <f> InpS!CF$19</f>
        <v>0.0</v>
      </c>
      <c r="CG15" s="336">
        <f> InpS!CG$19</f>
        <v>0.0</v>
      </c>
      <c r="CH15" s="336">
        <f> InpS!CH$19</f>
        <v>0.0</v>
      </c>
      <c r="CI15" s="336">
        <f> InpS!CI$19</f>
        <v>0.0</v>
      </c>
      <c r="CJ15" s="336">
        <f> InpS!CJ$19</f>
        <v>0.0</v>
      </c>
      <c r="CK15" s="336">
        <f> InpS!CK$19</f>
        <v>0.0</v>
      </c>
      <c r="CL15" s="336">
        <f> InpS!CL$19</f>
        <v>0.0</v>
      </c>
      <c r="CM15" s="336">
        <f> InpS!CM$19</f>
        <v>0.0</v>
      </c>
      <c r="CN15" s="336">
        <f> InpS!CN$19</f>
        <v>0.0</v>
      </c>
      <c r="CO15" s="336">
        <f> InpS!CO$19</f>
        <v>0.0</v>
      </c>
    </row>
    <row r="16">
      <c r="E16" s="336" t="str">
        <f> InpS!E$20</f>
        <v>Senior debt profile 3 - 15 years</v>
      </c>
      <c r="F16" s="336">
        <f> InpS!F$20</f>
        <v>0.0</v>
      </c>
      <c r="G16" s="336" t="str">
        <f> InpS!G$20</f>
        <v>%</v>
      </c>
      <c r="H16" s="336">
        <f> InpS!H$20</f>
        <v>1.00000000000002</v>
      </c>
      <c r="I16" s="336">
        <f> InpS!I$20</f>
        <v>0.0</v>
      </c>
      <c r="J16" s="336">
        <f> InpS!J$20</f>
        <v>0.0</v>
      </c>
      <c r="K16" s="336">
        <f> InpS!K$20</f>
        <v>0.0</v>
      </c>
      <c r="L16" s="336">
        <f> InpS!L$20</f>
        <v>0.0</v>
      </c>
      <c r="M16" s="336">
        <f> InpS!M$20</f>
        <v>0.0</v>
      </c>
      <c r="N16" s="336">
        <f> InpS!N$20</f>
        <v>0.0</v>
      </c>
      <c r="O16" s="336">
        <f> InpS!O$20</f>
        <v>0.016666666666667</v>
      </c>
      <c r="P16" s="336">
        <f> InpS!P$20</f>
        <v>0.016666666666667</v>
      </c>
      <c r="Q16" s="336">
        <f> InpS!Q$20</f>
        <v>0.016666666666667</v>
      </c>
      <c r="R16" s="336">
        <f> InpS!R$20</f>
        <v>0.016666666666667</v>
      </c>
      <c r="S16" s="336">
        <f> InpS!S$20</f>
        <v>0.016666666666667</v>
      </c>
      <c r="T16" s="336">
        <f> InpS!T$20</f>
        <v>0.016666666666667</v>
      </c>
      <c r="U16" s="336">
        <f> InpS!U$20</f>
        <v>0.016666666666667</v>
      </c>
      <c r="V16" s="336">
        <f> InpS!V$20</f>
        <v>0.016666666666667</v>
      </c>
      <c r="W16" s="336">
        <f> InpS!W$20</f>
        <v>0.016666666666667</v>
      </c>
      <c r="X16" s="336">
        <f> InpS!X$20</f>
        <v>0.016666666666667</v>
      </c>
      <c r="Y16" s="336">
        <f> InpS!Y$20</f>
        <v>0.016666666666667</v>
      </c>
      <c r="Z16" s="336">
        <f> InpS!Z$20</f>
        <v>0.016666666666667</v>
      </c>
      <c r="AA16" s="336">
        <f> InpS!AA$20</f>
        <v>0.016666666666667</v>
      </c>
      <c r="AB16" s="336">
        <f> InpS!AB$20</f>
        <v>0.016666666666667</v>
      </c>
      <c r="AC16" s="336">
        <f> InpS!AC$20</f>
        <v>0.016666666666667</v>
      </c>
      <c r="AD16" s="336">
        <f> InpS!AD$20</f>
        <v>0.016666666666667</v>
      </c>
      <c r="AE16" s="336">
        <f> InpS!AE$20</f>
        <v>0.016666666666667</v>
      </c>
      <c r="AF16" s="336">
        <f> InpS!AF$20</f>
        <v>0.016666666666667</v>
      </c>
      <c r="AG16" s="336">
        <f> InpS!AG$20</f>
        <v>0.016666666666667</v>
      </c>
      <c r="AH16" s="336">
        <f> InpS!AH$20</f>
        <v>0.016666666666667</v>
      </c>
      <c r="AI16" s="336">
        <f> InpS!AI$20</f>
        <v>0.016666666666667</v>
      </c>
      <c r="AJ16" s="336">
        <f> InpS!AJ$20</f>
        <v>0.016666666666667</v>
      </c>
      <c r="AK16" s="336">
        <f> InpS!AK$20</f>
        <v>0.016666666666667</v>
      </c>
      <c r="AL16" s="336">
        <f> InpS!AL$20</f>
        <v>0.016666666666667</v>
      </c>
      <c r="AM16" s="336">
        <f> InpS!AM$20</f>
        <v>0.016666666666667</v>
      </c>
      <c r="AN16" s="336">
        <f> InpS!AN$20</f>
        <v>0.016666666666667</v>
      </c>
      <c r="AO16" s="336">
        <f> InpS!AO$20</f>
        <v>0.016666666666667</v>
      </c>
      <c r="AP16" s="336">
        <f> InpS!AP$20</f>
        <v>0.016666666666667</v>
      </c>
      <c r="AQ16" s="336">
        <f> InpS!AQ$20</f>
        <v>0.016666666666667</v>
      </c>
      <c r="AR16" s="336">
        <f> InpS!AR$20</f>
        <v>0.016666666666667</v>
      </c>
      <c r="AS16" s="336">
        <f> InpS!AS$20</f>
        <v>0.016666666666667</v>
      </c>
      <c r="AT16" s="336">
        <f> InpS!AT$20</f>
        <v>0.016666666666667</v>
      </c>
      <c r="AU16" s="336">
        <f> InpS!AU$20</f>
        <v>0.016666666666667</v>
      </c>
      <c r="AV16" s="336">
        <f> InpS!AV$20</f>
        <v>0.016666666666667</v>
      </c>
      <c r="AW16" s="336">
        <f> InpS!AW$20</f>
        <v>0.016666666666667</v>
      </c>
      <c r="AX16" s="336">
        <f> InpS!AX$20</f>
        <v>0.016666666666667</v>
      </c>
      <c r="AY16" s="336">
        <f> InpS!AY$20</f>
        <v>0.016666666666667</v>
      </c>
      <c r="AZ16" s="336">
        <f> InpS!AZ$20</f>
        <v>0.016666666666667</v>
      </c>
      <c r="BA16" s="336">
        <f> InpS!BA$20</f>
        <v>0.016666666666667</v>
      </c>
      <c r="BB16" s="336">
        <f> InpS!BB$20</f>
        <v>0.016666666666667</v>
      </c>
      <c r="BC16" s="336">
        <f> InpS!BC$20</f>
        <v>0.016666666666667</v>
      </c>
      <c r="BD16" s="336">
        <f> InpS!BD$20</f>
        <v>0.016666666666667</v>
      </c>
      <c r="BE16" s="336">
        <f> InpS!BE$20</f>
        <v>0.016666666666667</v>
      </c>
      <c r="BF16" s="336">
        <f> InpS!BF$20</f>
        <v>0.016666666666667</v>
      </c>
      <c r="BG16" s="336">
        <f> InpS!BG$20</f>
        <v>0.016666666666667</v>
      </c>
      <c r="BH16" s="336">
        <f> InpS!BH$20</f>
        <v>0.016666666666667</v>
      </c>
      <c r="BI16" s="336">
        <f> InpS!BI$20</f>
        <v>0.016666666666667</v>
      </c>
      <c r="BJ16" s="336">
        <f> InpS!BJ$20</f>
        <v>0.016666666666667</v>
      </c>
      <c r="BK16" s="336">
        <f> InpS!BK$20</f>
        <v>0.016666666666667</v>
      </c>
      <c r="BL16" s="336">
        <f> InpS!BL$20</f>
        <v>0.016666666666667</v>
      </c>
      <c r="BM16" s="336">
        <f> InpS!BM$20</f>
        <v>0.016666666666667</v>
      </c>
      <c r="BN16" s="336">
        <f> InpS!BN$20</f>
        <v>0.016666666666667</v>
      </c>
      <c r="BO16" s="336">
        <f> InpS!BO$20</f>
        <v>0.016666666666667</v>
      </c>
      <c r="BP16" s="336">
        <f> InpS!BP$20</f>
        <v>0.016666666666667</v>
      </c>
      <c r="BQ16" s="336">
        <f> InpS!BQ$20</f>
        <v>0.016666666666667</v>
      </c>
      <c r="BR16" s="336">
        <f> InpS!BR$20</f>
        <v>0.016666666666667</v>
      </c>
      <c r="BS16" s="336">
        <f> InpS!BS$20</f>
        <v>0.016666666666667</v>
      </c>
      <c r="BT16" s="336">
        <f> InpS!BT$20</f>
        <v>0.016666666666667</v>
      </c>
      <c r="BU16" s="336">
        <f> InpS!BU$20</f>
        <v>0.016666666666667</v>
      </c>
      <c r="BV16" s="336">
        <f> InpS!BV$20</f>
        <v>0.016666666666667</v>
      </c>
      <c r="BW16" s="336">
        <f> InpS!BW$20</f>
        <v>0.0</v>
      </c>
      <c r="BX16" s="336">
        <f> InpS!BX$20</f>
        <v>0.0</v>
      </c>
      <c r="BY16" s="336">
        <f> InpS!BY$20</f>
        <v>0.0</v>
      </c>
      <c r="BZ16" s="336">
        <f> InpS!BZ$20</f>
        <v>0.0</v>
      </c>
      <c r="CA16" s="336">
        <f> InpS!CA$20</f>
        <v>0.0</v>
      </c>
      <c r="CB16" s="336">
        <f> InpS!CB$20</f>
        <v>0.0</v>
      </c>
      <c r="CC16" s="336">
        <f> InpS!CC$20</f>
        <v>0.0</v>
      </c>
      <c r="CD16" s="336">
        <f> InpS!CD$20</f>
        <v>0.0</v>
      </c>
      <c r="CE16" s="336">
        <f> InpS!CE$20</f>
        <v>0.0</v>
      </c>
      <c r="CF16" s="336">
        <f> InpS!CF$20</f>
        <v>0.0</v>
      </c>
      <c r="CG16" s="336">
        <f> InpS!CG$20</f>
        <v>0.0</v>
      </c>
      <c r="CH16" s="336">
        <f> InpS!CH$20</f>
        <v>0.0</v>
      </c>
      <c r="CI16" s="336">
        <f> InpS!CI$20</f>
        <v>0.0</v>
      </c>
      <c r="CJ16" s="336">
        <f> InpS!CJ$20</f>
        <v>0.0</v>
      </c>
      <c r="CK16" s="336">
        <f> InpS!CK$20</f>
        <v>0.0</v>
      </c>
      <c r="CL16" s="336">
        <f> InpS!CL$20</f>
        <v>0.0</v>
      </c>
      <c r="CM16" s="336">
        <f> InpS!CM$20</f>
        <v>0.0</v>
      </c>
      <c r="CN16" s="336">
        <f> InpS!CN$20</f>
        <v>0.0</v>
      </c>
      <c r="CO16" s="336">
        <f> InpS!CO$20</f>
        <v>0.0</v>
      </c>
    </row>
    <row r="17">
      <c r="E17" s="61" t="str">
        <f t="array" ref="E17">INDEX(E14:E16, F13) &amp; " - active"</f>
        <v>Senior debt profile 1 - 7.5 years - active</v>
      </c>
      <c r="G17" s="61" t="inlineStr">
        <is>
          <t>%</t>
        </is>
      </c>
      <c r="J17" s="271">
        <f t="array" ref="J17"> INDEX(J14:J16, $F13)</f>
        <v>0.0</v>
      </c>
      <c r="K17" s="271">
        <f> INDEX(K14:K16, $F13)</f>
        <v>0.0</v>
      </c>
      <c r="L17" s="271">
        <f> INDEX(L14:L16, $F13)</f>
        <v>0.0</v>
      </c>
      <c r="M17" s="271">
        <f> INDEX(M14:M16, $F13)</f>
        <v>0.0</v>
      </c>
      <c r="N17" s="271">
        <f> INDEX(N14:N16, $F13)</f>
        <v>0.0</v>
      </c>
      <c r="O17" s="271">
        <f> INDEX(O14:O16, $F13)</f>
        <v>0.033333333333333</v>
      </c>
      <c r="P17" s="271">
        <f> INDEX(P14:P16, $F13)</f>
        <v>0.033333333333333</v>
      </c>
      <c r="Q17" s="271">
        <f> INDEX(Q14:Q16, $F13)</f>
        <v>0.033333333333333</v>
      </c>
      <c r="R17" s="271">
        <f> INDEX(R14:R16, $F13)</f>
        <v>0.033333333333333</v>
      </c>
      <c r="S17" s="271">
        <f> INDEX(S14:S16, $F13)</f>
        <v>0.033333333333333</v>
      </c>
      <c r="T17" s="271">
        <f> INDEX(T14:T16, $F13)</f>
        <v>0.033333333333333</v>
      </c>
      <c r="U17" s="271">
        <f> INDEX(U14:U16, $F13)</f>
        <v>0.033333333333333</v>
      </c>
      <c r="V17" s="271">
        <f> INDEX(V14:V16, $F13)</f>
        <v>0.033333333333333</v>
      </c>
      <c r="W17" s="271">
        <f> INDEX(W14:W16, $F13)</f>
        <v>0.033333333333333</v>
      </c>
      <c r="X17" s="271">
        <f> INDEX(X14:X16, $F13)</f>
        <v>0.033333333333333</v>
      </c>
      <c r="Y17" s="271">
        <f> INDEX(Y14:Y16, $F13)</f>
        <v>0.033333333333333</v>
      </c>
      <c r="Z17" s="271">
        <f> INDEX(Z14:Z16, $F13)</f>
        <v>0.033333333333333</v>
      </c>
      <c r="AA17" s="271">
        <f> INDEX(AA14:AA16, $F13)</f>
        <v>0.033333333333333</v>
      </c>
      <c r="AB17" s="271">
        <f> INDEX(AB14:AB16, $F13)</f>
        <v>0.033333333333333</v>
      </c>
      <c r="AC17" s="271">
        <f> INDEX(AC14:AC16, $F13)</f>
        <v>0.033333333333333</v>
      </c>
      <c r="AD17" s="271">
        <f> INDEX(AD14:AD16, $F13)</f>
        <v>0.033333333333333</v>
      </c>
      <c r="AE17" s="271">
        <f> INDEX(AE14:AE16, $F13)</f>
        <v>0.033333333333333</v>
      </c>
      <c r="AF17" s="271">
        <f> INDEX(AF14:AF16, $F13)</f>
        <v>0.033333333333333</v>
      </c>
      <c r="AG17" s="271">
        <f> INDEX(AG14:AG16, $F13)</f>
        <v>0.033333333333333</v>
      </c>
      <c r="AH17" s="271">
        <f> INDEX(AH14:AH16, $F13)</f>
        <v>0.033333333333333</v>
      </c>
      <c r="AI17" s="271">
        <f> INDEX(AI14:AI16, $F13)</f>
        <v>0.033333333333333</v>
      </c>
      <c r="AJ17" s="271">
        <f> INDEX(AJ14:AJ16, $F13)</f>
        <v>0.033333333333333</v>
      </c>
      <c r="AK17" s="271">
        <f> INDEX(AK14:AK16, $F13)</f>
        <v>0.033333333333333</v>
      </c>
      <c r="AL17" s="271">
        <f> INDEX(AL14:AL16, $F13)</f>
        <v>0.033333333333333</v>
      </c>
      <c r="AM17" s="271">
        <f> INDEX(AM14:AM16, $F13)</f>
        <v>0.033333333333333</v>
      </c>
      <c r="AN17" s="271">
        <f> INDEX(AN14:AN16, $F13)</f>
        <v>0.033333333333333</v>
      </c>
      <c r="AO17" s="271">
        <f> INDEX(AO14:AO16, $F13)</f>
        <v>0.033333333333333</v>
      </c>
      <c r="AP17" s="271">
        <f> INDEX(AP14:AP16, $F13)</f>
        <v>0.033333333333333</v>
      </c>
      <c r="AQ17" s="271">
        <f> INDEX(AQ14:AQ16, $F13)</f>
        <v>0.033333333333333</v>
      </c>
      <c r="AR17" s="271">
        <f> INDEX(AR14:AR16, $F13)</f>
        <v>0.033333333333333</v>
      </c>
      <c r="AS17" s="271">
        <f> INDEX(AS14:AS16, $F13)</f>
        <v>0.0</v>
      </c>
      <c r="AT17" s="271">
        <f> INDEX(AT14:AT16, $F13)</f>
        <v>0.0</v>
      </c>
      <c r="AU17" s="271">
        <f> INDEX(AU14:AU16, $F13)</f>
        <v>0.0</v>
      </c>
      <c r="AV17" s="271">
        <f> INDEX(AV14:AV16, $F13)</f>
        <v>0.0</v>
      </c>
      <c r="AW17" s="271">
        <f> INDEX(AW14:AW16, $F13)</f>
        <v>0.0</v>
      </c>
      <c r="AX17" s="271">
        <f> INDEX(AX14:AX16, $F13)</f>
        <v>0.0</v>
      </c>
      <c r="AY17" s="271">
        <f> INDEX(AY14:AY16, $F13)</f>
        <v>0.0</v>
      </c>
      <c r="AZ17" s="271">
        <f> INDEX(AZ14:AZ16, $F13)</f>
        <v>0.0</v>
      </c>
      <c r="BA17" s="271">
        <f> INDEX(BA14:BA16, $F13)</f>
        <v>0.0</v>
      </c>
      <c r="BB17" s="271">
        <f> INDEX(BB14:BB16, $F13)</f>
        <v>0.0</v>
      </c>
      <c r="BC17" s="271">
        <f> INDEX(BC14:BC16, $F13)</f>
        <v>0.0</v>
      </c>
      <c r="BD17" s="271">
        <f> INDEX(BD14:BD16, $F13)</f>
        <v>0.0</v>
      </c>
      <c r="BE17" s="271">
        <f> INDEX(BE14:BE16, $F13)</f>
        <v>0.0</v>
      </c>
      <c r="BF17" s="271">
        <f> INDEX(BF14:BF16, $F13)</f>
        <v>0.0</v>
      </c>
      <c r="BG17" s="271">
        <f> INDEX(BG14:BG16, $F13)</f>
        <v>0.0</v>
      </c>
      <c r="BH17" s="271">
        <f> INDEX(BH14:BH16, $F13)</f>
        <v>0.0</v>
      </c>
      <c r="BI17" s="271">
        <f> INDEX(BI14:BI16, $F13)</f>
        <v>0.0</v>
      </c>
      <c r="BJ17" s="271">
        <f> INDEX(BJ14:BJ16, $F13)</f>
        <v>0.0</v>
      </c>
      <c r="BK17" s="271">
        <f> INDEX(BK14:BK16, $F13)</f>
        <v>0.0</v>
      </c>
      <c r="BL17" s="271">
        <f> INDEX(BL14:BL16, $F13)</f>
        <v>0.0</v>
      </c>
      <c r="BM17" s="271">
        <f> INDEX(BM14:BM16, $F13)</f>
        <v>0.0</v>
      </c>
      <c r="BN17" s="271">
        <f> INDEX(BN14:BN16, $F13)</f>
        <v>0.0</v>
      </c>
      <c r="BO17" s="271">
        <f> INDEX(BO14:BO16, $F13)</f>
        <v>0.0</v>
      </c>
      <c r="BP17" s="271">
        <f> INDEX(BP14:BP16, $F13)</f>
        <v>0.0</v>
      </c>
      <c r="BQ17" s="271">
        <f> INDEX(BQ14:BQ16, $F13)</f>
        <v>0.0</v>
      </c>
      <c r="BR17" s="271">
        <f> INDEX(BR14:BR16, $F13)</f>
        <v>0.0</v>
      </c>
      <c r="BS17" s="271">
        <f> INDEX(BS14:BS16, $F13)</f>
        <v>0.0</v>
      </c>
      <c r="BT17" s="271">
        <f> INDEX(BT14:BT16, $F13)</f>
        <v>0.0</v>
      </c>
      <c r="BU17" s="271">
        <f> INDEX(BU14:BU16, $F13)</f>
        <v>0.0</v>
      </c>
      <c r="BV17" s="271">
        <f> INDEX(BV14:BV16, $F13)</f>
        <v>0.0</v>
      </c>
      <c r="BW17" s="271">
        <f> INDEX(BW14:BW16, $F13)</f>
        <v>0.0</v>
      </c>
      <c r="BX17" s="271">
        <f> INDEX(BX14:BX16, $F13)</f>
        <v>0.0</v>
      </c>
      <c r="BY17" s="271">
        <f> INDEX(BY14:BY16, $F13)</f>
        <v>0.0</v>
      </c>
      <c r="BZ17" s="271">
        <f> INDEX(BZ14:BZ16, $F13)</f>
        <v>0.0</v>
      </c>
      <c r="CA17" s="271">
        <f> INDEX(CA14:CA16, $F13)</f>
        <v>0.0</v>
      </c>
      <c r="CB17" s="271">
        <f> INDEX(CB14:CB16, $F13)</f>
        <v>0.0</v>
      </c>
      <c r="CC17" s="271">
        <f> INDEX(CC14:CC16, $F13)</f>
        <v>0.0</v>
      </c>
      <c r="CD17" s="271">
        <f> INDEX(CD14:CD16, $F13)</f>
        <v>0.0</v>
      </c>
      <c r="CE17" s="271">
        <f> INDEX(CE14:CE16, $F13)</f>
        <v>0.0</v>
      </c>
      <c r="CF17" s="271">
        <f> INDEX(CF14:CF16, $F13)</f>
        <v>0.0</v>
      </c>
      <c r="CG17" s="271">
        <f> INDEX(CG14:CG16, $F13)</f>
        <v>0.0</v>
      </c>
      <c r="CH17" s="271">
        <f> INDEX(CH14:CH16, $F13)</f>
        <v>0.0</v>
      </c>
      <c r="CI17" s="271">
        <f> INDEX(CI14:CI16, $F13)</f>
        <v>0.0</v>
      </c>
      <c r="CJ17" s="271">
        <f> INDEX(CJ14:CJ16, $F13)</f>
        <v>0.0</v>
      </c>
      <c r="CK17" s="271">
        <f> INDEX(CK14:CK16, $F13)</f>
        <v>0.0</v>
      </c>
      <c r="CL17" s="271">
        <f> INDEX(CL14:CL16, $F13)</f>
        <v>0.0</v>
      </c>
      <c r="CM17" s="271">
        <f> INDEX(CM14:CM16, $F13)</f>
        <v>0.0</v>
      </c>
      <c r="CN17" s="271">
        <f> INDEX(CN14:CN16, $F13)</f>
        <v>0.0</v>
      </c>
      <c r="CO17" s="271">
        <f> INDEX(CO14:CO16, $F13)</f>
        <v>0.0</v>
      </c>
    </row>
    <row r="18">
      <c r="J18" s="271" t="n"/>
      <c r="K18" s="271" t="n"/>
      <c r="L18" s="271" t="n"/>
      <c r="M18" s="271" t="n"/>
      <c r="N18" s="271" t="n"/>
      <c r="O18" s="271" t="n"/>
      <c r="P18" s="271" t="n"/>
      <c r="Q18" s="271" t="n"/>
      <c r="R18" s="271" t="n"/>
      <c r="S18" s="271" t="n"/>
      <c r="T18" s="271" t="n"/>
      <c r="U18" s="271" t="n"/>
      <c r="V18" s="271" t="n"/>
      <c r="W18" s="271" t="n"/>
      <c r="X18" s="271" t="n"/>
      <c r="Y18" s="271" t="n"/>
      <c r="Z18" s="271" t="n"/>
      <c r="AA18" s="271" t="n"/>
      <c r="AB18" s="271" t="n"/>
      <c r="AC18" s="271" t="n"/>
      <c r="AD18" s="271" t="n"/>
      <c r="AE18" s="271" t="n"/>
      <c r="AF18" s="271" t="n"/>
      <c r="AG18" s="271" t="n"/>
      <c r="AH18" s="271" t="n"/>
      <c r="AI18" s="271" t="n"/>
      <c r="AJ18" s="271" t="n"/>
      <c r="AK18" s="271" t="n"/>
      <c r="AL18" s="271" t="n"/>
      <c r="AM18" s="271" t="n"/>
      <c r="AN18" s="271" t="n"/>
      <c r="AO18" s="271" t="n"/>
      <c r="AP18" s="271" t="n"/>
      <c r="AQ18" s="271" t="n"/>
      <c r="AR18" s="271" t="n"/>
      <c r="AS18" s="271" t="n"/>
      <c r="AT18" s="271" t="n"/>
      <c r="AU18" s="271" t="n"/>
      <c r="AV18" s="271" t="n"/>
      <c r="AW18" s="271" t="n"/>
      <c r="AX18" s="271" t="n"/>
      <c r="AY18" s="271" t="n"/>
      <c r="AZ18" s="271" t="n"/>
      <c r="BA18" s="271" t="n"/>
      <c r="BB18" s="271" t="n"/>
      <c r="BC18" s="271" t="n"/>
      <c r="BD18" s="271" t="n"/>
      <c r="BE18" s="271" t="n"/>
      <c r="BF18" s="271" t="n"/>
      <c r="BG18" s="271" t="n"/>
      <c r="BH18" s="271" t="n"/>
      <c r="BI18" s="271" t="n"/>
      <c r="BJ18" s="271" t="n"/>
      <c r="BK18" s="271" t="n"/>
      <c r="BL18" s="271" t="n"/>
      <c r="BM18" s="271" t="n"/>
      <c r="BN18" s="271" t="n"/>
      <c r="BO18" s="271" t="n"/>
      <c r="BP18" s="271" t="n"/>
      <c r="BQ18" s="271" t="n"/>
      <c r="BR18" s="271" t="n"/>
      <c r="BS18" s="271" t="n"/>
      <c r="BT18" s="271" t="n"/>
      <c r="BU18" s="271" t="n"/>
      <c r="BV18" s="271" t="n"/>
      <c r="BW18" s="271" t="n"/>
      <c r="BX18" s="271" t="n"/>
      <c r="BY18" s="271" t="n"/>
      <c r="BZ18" s="271" t="n"/>
      <c r="CA18" s="271" t="n"/>
      <c r="CB18" s="271" t="n"/>
      <c r="CC18" s="271" t="n"/>
      <c r="CD18" s="271" t="n"/>
      <c r="CE18" s="271" t="n"/>
      <c r="CF18" s="271" t="n"/>
      <c r="CG18" s="271" t="n"/>
      <c r="CH18" s="271" t="n"/>
      <c r="CI18" s="271" t="n"/>
      <c r="CJ18" s="271" t="n"/>
      <c r="CK18" s="271" t="n"/>
      <c r="CL18" s="271" t="n"/>
      <c r="CM18" s="271" t="n"/>
      <c r="CN18" s="271" t="n"/>
      <c r="CO18" s="271" t="n"/>
    </row>
    <row r="19">
      <c r="E19" s="61" t="str">
        <f> E$11</f>
        <v>Senior debt - Initial balance</v>
      </c>
      <c r="F19" s="61">
        <f> F$11</f>
        <v>60000.0</v>
      </c>
      <c r="G19" s="61" t="str">
        <f> G$11</f>
        <v>$ 000s</v>
      </c>
      <c r="J19" s="271" t="n"/>
      <c r="K19" s="271" t="n"/>
      <c r="L19" s="271" t="n"/>
      <c r="M19" s="271" t="n"/>
      <c r="N19" s="271" t="n"/>
      <c r="O19" s="271" t="n"/>
      <c r="P19" s="271" t="n"/>
      <c r="Q19" s="271" t="n"/>
      <c r="R19" s="271" t="n"/>
      <c r="S19" s="271" t="n"/>
      <c r="T19" s="271" t="n"/>
      <c r="U19" s="271" t="n"/>
      <c r="V19" s="271" t="n"/>
      <c r="W19" s="271" t="n"/>
      <c r="X19" s="271" t="n"/>
      <c r="Y19" s="271" t="n"/>
      <c r="Z19" s="271" t="n"/>
      <c r="AA19" s="271" t="n"/>
      <c r="AB19" s="271" t="n"/>
      <c r="AC19" s="271" t="n"/>
      <c r="AD19" s="271" t="n"/>
      <c r="AE19" s="271" t="n"/>
      <c r="AF19" s="271" t="n"/>
      <c r="AG19" s="271" t="n"/>
      <c r="AH19" s="271" t="n"/>
      <c r="AI19" s="271" t="n"/>
      <c r="AJ19" s="271" t="n"/>
      <c r="AK19" s="271" t="n"/>
      <c r="AL19" s="271" t="n"/>
      <c r="AM19" s="271" t="n"/>
      <c r="AN19" s="271" t="n"/>
      <c r="AO19" s="271" t="n"/>
      <c r="AP19" s="271" t="n"/>
      <c r="AQ19" s="271" t="n"/>
      <c r="AR19" s="271" t="n"/>
      <c r="AS19" s="271" t="n"/>
      <c r="AT19" s="271" t="n"/>
      <c r="AU19" s="271" t="n"/>
      <c r="AV19" s="271" t="n"/>
      <c r="AW19" s="271" t="n"/>
      <c r="AX19" s="271" t="n"/>
      <c r="AY19" s="271" t="n"/>
      <c r="AZ19" s="271" t="n"/>
      <c r="BA19" s="271" t="n"/>
      <c r="BB19" s="271" t="n"/>
      <c r="BC19" s="271" t="n"/>
      <c r="BD19" s="271" t="n"/>
      <c r="BE19" s="271" t="n"/>
      <c r="BF19" s="271" t="n"/>
      <c r="BG19" s="271" t="n"/>
      <c r="BH19" s="271" t="n"/>
      <c r="BI19" s="271" t="n"/>
      <c r="BJ19" s="271" t="n"/>
      <c r="BK19" s="271" t="n"/>
      <c r="BL19" s="271" t="n"/>
      <c r="BM19" s="271" t="n"/>
      <c r="BN19" s="271" t="n"/>
      <c r="BO19" s="271" t="n"/>
      <c r="BP19" s="271" t="n"/>
      <c r="BQ19" s="271" t="n"/>
      <c r="BR19" s="271" t="n"/>
      <c r="BS19" s="271" t="n"/>
      <c r="BT19" s="271" t="n"/>
      <c r="BU19" s="271" t="n"/>
      <c r="BV19" s="271" t="n"/>
      <c r="BW19" s="271" t="n"/>
      <c r="BX19" s="271" t="n"/>
      <c r="BY19" s="271" t="n"/>
      <c r="BZ19" s="271" t="n"/>
      <c r="CA19" s="271" t="n"/>
      <c r="CB19" s="271" t="n"/>
      <c r="CC19" s="271" t="n"/>
      <c r="CD19" s="271" t="n"/>
      <c r="CE19" s="271" t="n"/>
      <c r="CF19" s="271" t="n"/>
      <c r="CG19" s="271" t="n"/>
      <c r="CH19" s="271" t="n"/>
      <c r="CI19" s="271" t="n"/>
      <c r="CJ19" s="271" t="n"/>
      <c r="CK19" s="271" t="n"/>
      <c r="CL19" s="271" t="n"/>
      <c r="CM19" s="271" t="n"/>
      <c r="CN19" s="271" t="n"/>
      <c r="CO19" s="271" t="n"/>
    </row>
    <row r="20">
      <c r="E20" s="271" t="str">
        <f> E$17</f>
        <v>Senior debt profile 1 - 7.5 years - active</v>
      </c>
      <c r="F20" s="271">
        <f> F$17</f>
        <v>0.0</v>
      </c>
      <c r="G20" s="271" t="str">
        <f> G$17</f>
        <v>%</v>
      </c>
      <c r="H20" s="271">
        <f> H$17</f>
        <v>0.0</v>
      </c>
      <c r="I20" s="271">
        <f> I$17</f>
        <v>0.0</v>
      </c>
      <c r="J20" s="271">
        <f> J$17</f>
        <v>0.0</v>
      </c>
      <c r="K20" s="271">
        <f> K$17</f>
        <v>0.0</v>
      </c>
      <c r="L20" s="271">
        <f> L$17</f>
        <v>0.0</v>
      </c>
      <c r="M20" s="271">
        <f> M$17</f>
        <v>0.0</v>
      </c>
      <c r="N20" s="271">
        <f> N$17</f>
        <v>0.0</v>
      </c>
      <c r="O20" s="271">
        <f> O$17</f>
        <v>0.033333333333333</v>
      </c>
      <c r="P20" s="271">
        <f> P$17</f>
        <v>0.033333333333333</v>
      </c>
      <c r="Q20" s="271">
        <f> Q$17</f>
        <v>0.033333333333333</v>
      </c>
      <c r="R20" s="271">
        <f> R$17</f>
        <v>0.033333333333333</v>
      </c>
      <c r="S20" s="271">
        <f> S$17</f>
        <v>0.033333333333333</v>
      </c>
      <c r="T20" s="271">
        <f> T$17</f>
        <v>0.033333333333333</v>
      </c>
      <c r="U20" s="271">
        <f> U$17</f>
        <v>0.033333333333333</v>
      </c>
      <c r="V20" s="271">
        <f> V$17</f>
        <v>0.033333333333333</v>
      </c>
      <c r="W20" s="271">
        <f> W$17</f>
        <v>0.033333333333333</v>
      </c>
      <c r="X20" s="271">
        <f> X$17</f>
        <v>0.033333333333333</v>
      </c>
      <c r="Y20" s="271">
        <f> Y$17</f>
        <v>0.033333333333333</v>
      </c>
      <c r="Z20" s="271">
        <f> Z$17</f>
        <v>0.033333333333333</v>
      </c>
      <c r="AA20" s="271">
        <f> AA$17</f>
        <v>0.033333333333333</v>
      </c>
      <c r="AB20" s="271">
        <f> AB$17</f>
        <v>0.033333333333333</v>
      </c>
      <c r="AC20" s="271">
        <f> AC$17</f>
        <v>0.033333333333333</v>
      </c>
      <c r="AD20" s="271">
        <f> AD$17</f>
        <v>0.033333333333333</v>
      </c>
      <c r="AE20" s="271">
        <f> AE$17</f>
        <v>0.033333333333333</v>
      </c>
      <c r="AF20" s="271">
        <f> AF$17</f>
        <v>0.033333333333333</v>
      </c>
      <c r="AG20" s="271">
        <f> AG$17</f>
        <v>0.033333333333333</v>
      </c>
      <c r="AH20" s="271">
        <f> AH$17</f>
        <v>0.033333333333333</v>
      </c>
      <c r="AI20" s="271">
        <f> AI$17</f>
        <v>0.033333333333333</v>
      </c>
      <c r="AJ20" s="271">
        <f> AJ$17</f>
        <v>0.033333333333333</v>
      </c>
      <c r="AK20" s="271">
        <f> AK$17</f>
        <v>0.033333333333333</v>
      </c>
      <c r="AL20" s="271">
        <f> AL$17</f>
        <v>0.033333333333333</v>
      </c>
      <c r="AM20" s="271">
        <f> AM$17</f>
        <v>0.033333333333333</v>
      </c>
      <c r="AN20" s="271">
        <f> AN$17</f>
        <v>0.033333333333333</v>
      </c>
      <c r="AO20" s="271">
        <f> AO$17</f>
        <v>0.033333333333333</v>
      </c>
      <c r="AP20" s="271">
        <f> AP$17</f>
        <v>0.033333333333333</v>
      </c>
      <c r="AQ20" s="271">
        <f> AQ$17</f>
        <v>0.033333333333333</v>
      </c>
      <c r="AR20" s="271">
        <f> AR$17</f>
        <v>0.033333333333333</v>
      </c>
      <c r="AS20" s="271">
        <f> AS$17</f>
        <v>0.0</v>
      </c>
      <c r="AT20" s="271">
        <f> AT$17</f>
        <v>0.0</v>
      </c>
      <c r="AU20" s="271">
        <f> AU$17</f>
        <v>0.0</v>
      </c>
      <c r="AV20" s="271">
        <f> AV$17</f>
        <v>0.0</v>
      </c>
      <c r="AW20" s="271">
        <f> AW$17</f>
        <v>0.0</v>
      </c>
      <c r="AX20" s="271">
        <f> AX$17</f>
        <v>0.0</v>
      </c>
      <c r="AY20" s="271">
        <f> AY$17</f>
        <v>0.0</v>
      </c>
      <c r="AZ20" s="271">
        <f> AZ$17</f>
        <v>0.0</v>
      </c>
      <c r="BA20" s="271">
        <f> BA$17</f>
        <v>0.0</v>
      </c>
      <c r="BB20" s="271">
        <f> BB$17</f>
        <v>0.0</v>
      </c>
      <c r="BC20" s="271">
        <f> BC$17</f>
        <v>0.0</v>
      </c>
      <c r="BD20" s="271">
        <f> BD$17</f>
        <v>0.0</v>
      </c>
      <c r="BE20" s="271">
        <f> BE$17</f>
        <v>0.0</v>
      </c>
      <c r="BF20" s="271">
        <f> BF$17</f>
        <v>0.0</v>
      </c>
      <c r="BG20" s="271">
        <f> BG$17</f>
        <v>0.0</v>
      </c>
      <c r="BH20" s="271">
        <f> BH$17</f>
        <v>0.0</v>
      </c>
      <c r="BI20" s="271">
        <f> BI$17</f>
        <v>0.0</v>
      </c>
      <c r="BJ20" s="271">
        <f> BJ$17</f>
        <v>0.0</v>
      </c>
      <c r="BK20" s="271">
        <f> BK$17</f>
        <v>0.0</v>
      </c>
      <c r="BL20" s="271">
        <f> BL$17</f>
        <v>0.0</v>
      </c>
      <c r="BM20" s="271">
        <f> BM$17</f>
        <v>0.0</v>
      </c>
      <c r="BN20" s="271">
        <f> BN$17</f>
        <v>0.0</v>
      </c>
      <c r="BO20" s="271">
        <f> BO$17</f>
        <v>0.0</v>
      </c>
      <c r="BP20" s="271">
        <f> BP$17</f>
        <v>0.0</v>
      </c>
      <c r="BQ20" s="271">
        <f> BQ$17</f>
        <v>0.0</v>
      </c>
      <c r="BR20" s="271">
        <f> BR$17</f>
        <v>0.0</v>
      </c>
      <c r="BS20" s="271">
        <f> BS$17</f>
        <v>0.0</v>
      </c>
      <c r="BT20" s="271">
        <f> BT$17</f>
        <v>0.0</v>
      </c>
      <c r="BU20" s="271">
        <f> BU$17</f>
        <v>0.0</v>
      </c>
      <c r="BV20" s="271">
        <f> BV$17</f>
        <v>0.0</v>
      </c>
      <c r="BW20" s="271">
        <f> BW$17</f>
        <v>0.0</v>
      </c>
      <c r="BX20" s="271">
        <f> BX$17</f>
        <v>0.0</v>
      </c>
      <c r="BY20" s="271">
        <f> BY$17</f>
        <v>0.0</v>
      </c>
      <c r="BZ20" s="271">
        <f> BZ$17</f>
        <v>0.0</v>
      </c>
      <c r="CA20" s="271">
        <f> CA$17</f>
        <v>0.0</v>
      </c>
      <c r="CB20" s="271">
        <f> CB$17</f>
        <v>0.0</v>
      </c>
      <c r="CC20" s="271">
        <f> CC$17</f>
        <v>0.0</v>
      </c>
      <c r="CD20" s="271">
        <f> CD$17</f>
        <v>0.0</v>
      </c>
      <c r="CE20" s="271">
        <f> CE$17</f>
        <v>0.0</v>
      </c>
      <c r="CF20" s="271">
        <f> CF$17</f>
        <v>0.0</v>
      </c>
      <c r="CG20" s="271">
        <f> CG$17</f>
        <v>0.0</v>
      </c>
      <c r="CH20" s="271">
        <f> CH$17</f>
        <v>0.0</v>
      </c>
      <c r="CI20" s="271">
        <f> CI$17</f>
        <v>0.0</v>
      </c>
      <c r="CJ20" s="271">
        <f> CJ$17</f>
        <v>0.0</v>
      </c>
      <c r="CK20" s="271">
        <f> CK$17</f>
        <v>0.0</v>
      </c>
      <c r="CL20" s="271">
        <f> CL$17</f>
        <v>0.0</v>
      </c>
      <c r="CM20" s="271">
        <f> CM$17</f>
        <v>0.0</v>
      </c>
      <c r="CN20" s="271">
        <f> CN$17</f>
        <v>0.0</v>
      </c>
      <c r="CO20" s="271">
        <f> CO$17</f>
        <v>0.0</v>
      </c>
    </row>
    <row r="21" customFormat="1" s="386">
      <c r="A21" s="383" t="n"/>
      <c r="B21" s="383" t="n"/>
      <c r="C21" s="384" t="n"/>
      <c r="D21" s="386" t="n"/>
      <c r="E21" s="386" t="inlineStr">
        <is>
          <t>Senior debt principal repayment POS</t>
        </is>
      </c>
      <c r="G21" s="386" t="str">
        <f>SMU</f>
        <v>$ 000s</v>
      </c>
      <c r="H21" s="386">
        <f> SUM(J21:CO21)</f>
        <v>59999.9999999994</v>
      </c>
      <c r="J21" s="386">
        <f> $F19 * J20</f>
        <v>0.0</v>
      </c>
      <c r="K21" s="386">
        <f> $F19 * K20</f>
        <v>0.0</v>
      </c>
      <c r="L21" s="386">
        <f> $F19 * L20</f>
        <v>0.0</v>
      </c>
      <c r="M21" s="386">
        <f> $F19 * M20</f>
        <v>0.0</v>
      </c>
      <c r="N21" s="386">
        <f> $F19 * N20</f>
        <v>0.0</v>
      </c>
      <c r="O21" s="386">
        <f> $F19 * O20</f>
        <v>1999.99999999998</v>
      </c>
      <c r="P21" s="386">
        <f> $F19 * P20</f>
        <v>1999.99999999998</v>
      </c>
      <c r="Q21" s="386">
        <f> $F19 * Q20</f>
        <v>1999.99999999998</v>
      </c>
      <c r="R21" s="386">
        <f> $F19 * R20</f>
        <v>1999.99999999998</v>
      </c>
      <c r="S21" s="386">
        <f> $F19 * S20</f>
        <v>1999.99999999998</v>
      </c>
      <c r="T21" s="386">
        <f> $F19 * T20</f>
        <v>1999.99999999998</v>
      </c>
      <c r="U21" s="386">
        <f> $F19 * U20</f>
        <v>1999.99999999998</v>
      </c>
      <c r="V21" s="386">
        <f> $F19 * V20</f>
        <v>1999.99999999998</v>
      </c>
      <c r="W21" s="386">
        <f> $F19 * W20</f>
        <v>1999.99999999998</v>
      </c>
      <c r="X21" s="386">
        <f> $F19 * X20</f>
        <v>1999.99999999998</v>
      </c>
      <c r="Y21" s="386">
        <f> $F19 * Y20</f>
        <v>1999.99999999998</v>
      </c>
      <c r="Z21" s="386">
        <f> $F19 * Z20</f>
        <v>1999.99999999998</v>
      </c>
      <c r="AA21" s="386">
        <f> $F19 * AA20</f>
        <v>1999.99999999998</v>
      </c>
      <c r="AB21" s="386">
        <f> $F19 * AB20</f>
        <v>1999.99999999998</v>
      </c>
      <c r="AC21" s="386">
        <f> $F19 * AC20</f>
        <v>1999.99999999998</v>
      </c>
      <c r="AD21" s="386">
        <f> $F19 * AD20</f>
        <v>1999.99999999998</v>
      </c>
      <c r="AE21" s="386">
        <f> $F19 * AE20</f>
        <v>1999.99999999998</v>
      </c>
      <c r="AF21" s="386">
        <f> $F19 * AF20</f>
        <v>1999.99999999998</v>
      </c>
      <c r="AG21" s="386">
        <f> $F19 * AG20</f>
        <v>1999.99999999998</v>
      </c>
      <c r="AH21" s="386">
        <f> $F19 * AH20</f>
        <v>1999.99999999998</v>
      </c>
      <c r="AI21" s="386">
        <f> $F19 * AI20</f>
        <v>1999.99999999998</v>
      </c>
      <c r="AJ21" s="386">
        <f> $F19 * AJ20</f>
        <v>1999.99999999998</v>
      </c>
      <c r="AK21" s="386">
        <f> $F19 * AK20</f>
        <v>1999.99999999998</v>
      </c>
      <c r="AL21" s="386">
        <f> $F19 * AL20</f>
        <v>1999.99999999998</v>
      </c>
      <c r="AM21" s="386">
        <f> $F19 * AM20</f>
        <v>1999.99999999998</v>
      </c>
      <c r="AN21" s="386">
        <f> $F19 * AN20</f>
        <v>1999.99999999998</v>
      </c>
      <c r="AO21" s="386">
        <f> $F19 * AO20</f>
        <v>1999.99999999998</v>
      </c>
      <c r="AP21" s="386">
        <f> $F19 * AP20</f>
        <v>1999.99999999998</v>
      </c>
      <c r="AQ21" s="386">
        <f> $F19 * AQ20</f>
        <v>1999.99999999998</v>
      </c>
      <c r="AR21" s="386">
        <f> $F19 * AR20</f>
        <v>1999.99999999998</v>
      </c>
      <c r="AS21" s="386">
        <f> $F19 * AS20</f>
        <v>0.0</v>
      </c>
      <c r="AT21" s="386">
        <f> $F19 * AT20</f>
        <v>0.0</v>
      </c>
      <c r="AU21" s="386">
        <f> $F19 * AU20</f>
        <v>0.0</v>
      </c>
      <c r="AV21" s="386">
        <f> $F19 * AV20</f>
        <v>0.0</v>
      </c>
      <c r="AW21" s="386">
        <f> $F19 * AW20</f>
        <v>0.0</v>
      </c>
      <c r="AX21" s="386">
        <f> $F19 * AX20</f>
        <v>0.0</v>
      </c>
      <c r="AY21" s="386">
        <f> $F19 * AY20</f>
        <v>0.0</v>
      </c>
      <c r="AZ21" s="386">
        <f> $F19 * AZ20</f>
        <v>0.0</v>
      </c>
      <c r="BA21" s="386">
        <f> $F19 * BA20</f>
        <v>0.0</v>
      </c>
      <c r="BB21" s="386">
        <f> $F19 * BB20</f>
        <v>0.0</v>
      </c>
      <c r="BC21" s="386">
        <f> $F19 * BC20</f>
        <v>0.0</v>
      </c>
      <c r="BD21" s="386">
        <f> $F19 * BD20</f>
        <v>0.0</v>
      </c>
      <c r="BE21" s="386">
        <f> $F19 * BE20</f>
        <v>0.0</v>
      </c>
      <c r="BF21" s="386">
        <f> $F19 * BF20</f>
        <v>0.0</v>
      </c>
      <c r="BG21" s="386">
        <f> $F19 * BG20</f>
        <v>0.0</v>
      </c>
      <c r="BH21" s="386">
        <f> $F19 * BH20</f>
        <v>0.0</v>
      </c>
      <c r="BI21" s="386">
        <f> $F19 * BI20</f>
        <v>0.0</v>
      </c>
      <c r="BJ21" s="386">
        <f> $F19 * BJ20</f>
        <v>0.0</v>
      </c>
      <c r="BK21" s="386">
        <f> $F19 * BK20</f>
        <v>0.0</v>
      </c>
      <c r="BL21" s="386">
        <f> $F19 * BL20</f>
        <v>0.0</v>
      </c>
      <c r="BM21" s="386">
        <f> $F19 * BM20</f>
        <v>0.0</v>
      </c>
      <c r="BN21" s="386">
        <f> $F19 * BN20</f>
        <v>0.0</v>
      </c>
      <c r="BO21" s="386">
        <f> $F19 * BO20</f>
        <v>0.0</v>
      </c>
      <c r="BP21" s="386">
        <f> $F19 * BP20</f>
        <v>0.0</v>
      </c>
      <c r="BQ21" s="386">
        <f> $F19 * BQ20</f>
        <v>0.0</v>
      </c>
      <c r="BR21" s="386">
        <f> $F19 * BR20</f>
        <v>0.0</v>
      </c>
      <c r="BS21" s="386">
        <f> $F19 * BS20</f>
        <v>0.0</v>
      </c>
      <c r="BT21" s="386">
        <f> $F19 * BT20</f>
        <v>0.0</v>
      </c>
      <c r="BU21" s="386">
        <f> $F19 * BU20</f>
        <v>0.0</v>
      </c>
      <c r="BV21" s="386">
        <f> $F19 * BV20</f>
        <v>0.0</v>
      </c>
      <c r="BW21" s="386">
        <f> $F19 * BW20</f>
        <v>0.0</v>
      </c>
      <c r="BX21" s="386">
        <f> $F19 * BX20</f>
        <v>0.0</v>
      </c>
      <c r="BY21" s="386">
        <f> $F19 * BY20</f>
        <v>0.0</v>
      </c>
      <c r="BZ21" s="386">
        <f> $F19 * BZ20</f>
        <v>0.0</v>
      </c>
      <c r="CA21" s="386">
        <f> $F19 * CA20</f>
        <v>0.0</v>
      </c>
      <c r="CB21" s="386">
        <f> $F19 * CB20</f>
        <v>0.0</v>
      </c>
      <c r="CC21" s="386">
        <f> $F19 * CC20</f>
        <v>0.0</v>
      </c>
      <c r="CD21" s="386">
        <f> $F19 * CD20</f>
        <v>0.0</v>
      </c>
      <c r="CE21" s="386">
        <f> $F19 * CE20</f>
        <v>0.0</v>
      </c>
      <c r="CF21" s="386">
        <f> $F19 * CF20</f>
        <v>0.0</v>
      </c>
      <c r="CG21" s="386">
        <f> $F19 * CG20</f>
        <v>0.0</v>
      </c>
      <c r="CH21" s="386">
        <f> $F19 * CH20</f>
        <v>0.0</v>
      </c>
      <c r="CI21" s="386">
        <f> $F19 * CI20</f>
        <v>0.0</v>
      </c>
      <c r="CJ21" s="386">
        <f> $F19 * CJ20</f>
        <v>0.0</v>
      </c>
      <c r="CK21" s="386">
        <f> $F19 * CK20</f>
        <v>0.0</v>
      </c>
      <c r="CL21" s="386">
        <f> $F19 * CL20</f>
        <v>0.0</v>
      </c>
      <c r="CM21" s="386">
        <f> $F19 * CM20</f>
        <v>0.0</v>
      </c>
      <c r="CN21" s="386">
        <f> $F19 * CN20</f>
        <v>0.0</v>
      </c>
      <c r="CO21" s="386">
        <f> $F19 * CO20</f>
        <v>0.0</v>
      </c>
    </row>
    <row r="22" customFormat="1" s="150">
      <c r="A22" s="348" t="n"/>
      <c r="B22" s="348" t="n"/>
      <c r="C22" s="349" t="n"/>
      <c r="D22" s="193" t="n"/>
      <c r="E22" s="150" t="str">
        <f> LEFT(E21, LEN(E21) - 4)</f>
        <v>Senior debt principal repayment</v>
      </c>
      <c r="F22" s="150" t="inlineStr">
        <is>
          <t>CF</t>
        </is>
      </c>
      <c r="G22" s="150" t="str">
        <f> G21</f>
        <v>$ 000s</v>
      </c>
      <c r="H22" s="150">
        <f> SUM(J22:CO22)</f>
        <v>-59999.9999999994</v>
      </c>
      <c r="I22" s="150" t="n"/>
      <c r="J22" s="150">
        <f> -1 * J21</f>
        <v>-0.0</v>
      </c>
      <c r="K22" s="150">
        <f> -1 * K21</f>
        <v>-0.0</v>
      </c>
      <c r="L22" s="150">
        <f> -1 * L21</f>
        <v>-0.0</v>
      </c>
      <c r="M22" s="150">
        <f> -1 * M21</f>
        <v>-0.0</v>
      </c>
      <c r="N22" s="150">
        <f> -1 * N21</f>
        <v>-0.0</v>
      </c>
      <c r="O22" s="150">
        <f> -1 * O21</f>
        <v>-1999.99999999998</v>
      </c>
      <c r="P22" s="150">
        <f> -1 * P21</f>
        <v>-1999.99999999998</v>
      </c>
      <c r="Q22" s="150">
        <f> -1 * Q21</f>
        <v>-1999.99999999998</v>
      </c>
      <c r="R22" s="150">
        <f> -1 * R21</f>
        <v>-1999.99999999998</v>
      </c>
      <c r="S22" s="150">
        <f> -1 * S21</f>
        <v>-1999.99999999998</v>
      </c>
      <c r="T22" s="150">
        <f> -1 * T21</f>
        <v>-1999.99999999998</v>
      </c>
      <c r="U22" s="150">
        <f> -1 * U21</f>
        <v>-1999.99999999998</v>
      </c>
      <c r="V22" s="150">
        <f> -1 * V21</f>
        <v>-1999.99999999998</v>
      </c>
      <c r="W22" s="150">
        <f> -1 * W21</f>
        <v>-1999.99999999998</v>
      </c>
      <c r="X22" s="150">
        <f> -1 * X21</f>
        <v>-1999.99999999998</v>
      </c>
      <c r="Y22" s="150">
        <f> -1 * Y21</f>
        <v>-1999.99999999998</v>
      </c>
      <c r="Z22" s="150">
        <f> -1 * Z21</f>
        <v>-1999.99999999998</v>
      </c>
      <c r="AA22" s="150">
        <f> -1 * AA21</f>
        <v>-1999.99999999998</v>
      </c>
      <c r="AB22" s="150">
        <f> -1 * AB21</f>
        <v>-1999.99999999998</v>
      </c>
      <c r="AC22" s="150">
        <f> -1 * AC21</f>
        <v>-1999.99999999998</v>
      </c>
      <c r="AD22" s="150">
        <f> -1 * AD21</f>
        <v>-1999.99999999998</v>
      </c>
      <c r="AE22" s="150">
        <f> -1 * AE21</f>
        <v>-1999.99999999998</v>
      </c>
      <c r="AF22" s="150">
        <f> -1 * AF21</f>
        <v>-1999.99999999998</v>
      </c>
      <c r="AG22" s="150">
        <f> -1 * AG21</f>
        <v>-1999.99999999998</v>
      </c>
      <c r="AH22" s="150">
        <f> -1 * AH21</f>
        <v>-1999.99999999998</v>
      </c>
      <c r="AI22" s="150">
        <f> -1 * AI21</f>
        <v>-1999.99999999998</v>
      </c>
      <c r="AJ22" s="150">
        <f> -1 * AJ21</f>
        <v>-1999.99999999998</v>
      </c>
      <c r="AK22" s="150">
        <f> -1 * AK21</f>
        <v>-1999.99999999998</v>
      </c>
      <c r="AL22" s="150">
        <f> -1 * AL21</f>
        <v>-1999.99999999998</v>
      </c>
      <c r="AM22" s="150">
        <f> -1 * AM21</f>
        <v>-1999.99999999998</v>
      </c>
      <c r="AN22" s="150">
        <f> -1 * AN21</f>
        <v>-1999.99999999998</v>
      </c>
      <c r="AO22" s="150">
        <f> -1 * AO21</f>
        <v>-1999.99999999998</v>
      </c>
      <c r="AP22" s="150">
        <f> -1 * AP21</f>
        <v>-1999.99999999998</v>
      </c>
      <c r="AQ22" s="150">
        <f> -1 * AQ21</f>
        <v>-1999.99999999998</v>
      </c>
      <c r="AR22" s="150">
        <f> -1 * AR21</f>
        <v>-1999.99999999998</v>
      </c>
      <c r="AS22" s="150">
        <f> -1 * AS21</f>
        <v>-0.0</v>
      </c>
      <c r="AT22" s="150">
        <f> -1 * AT21</f>
        <v>-0.0</v>
      </c>
      <c r="AU22" s="150">
        <f> -1 * AU21</f>
        <v>-0.0</v>
      </c>
      <c r="AV22" s="150">
        <f> -1 * AV21</f>
        <v>-0.0</v>
      </c>
      <c r="AW22" s="150">
        <f> -1 * AW21</f>
        <v>-0.0</v>
      </c>
      <c r="AX22" s="150">
        <f> -1 * AX21</f>
        <v>-0.0</v>
      </c>
      <c r="AY22" s="150">
        <f> -1 * AY21</f>
        <v>-0.0</v>
      </c>
      <c r="AZ22" s="150">
        <f> -1 * AZ21</f>
        <v>-0.0</v>
      </c>
      <c r="BA22" s="150">
        <f> -1 * BA21</f>
        <v>-0.0</v>
      </c>
      <c r="BB22" s="150">
        <f> -1 * BB21</f>
        <v>-0.0</v>
      </c>
      <c r="BC22" s="150">
        <f> -1 * BC21</f>
        <v>-0.0</v>
      </c>
      <c r="BD22" s="150">
        <f> -1 * BD21</f>
        <v>-0.0</v>
      </c>
      <c r="BE22" s="150">
        <f> -1 * BE21</f>
        <v>-0.0</v>
      </c>
      <c r="BF22" s="150">
        <f> -1 * BF21</f>
        <v>-0.0</v>
      </c>
      <c r="BG22" s="150">
        <f> -1 * BG21</f>
        <v>-0.0</v>
      </c>
      <c r="BH22" s="150">
        <f> -1 * BH21</f>
        <v>-0.0</v>
      </c>
      <c r="BI22" s="150">
        <f> -1 * BI21</f>
        <v>-0.0</v>
      </c>
      <c r="BJ22" s="150">
        <f> -1 * BJ21</f>
        <v>-0.0</v>
      </c>
      <c r="BK22" s="150">
        <f> -1 * BK21</f>
        <v>-0.0</v>
      </c>
      <c r="BL22" s="150">
        <f> -1 * BL21</f>
        <v>-0.0</v>
      </c>
      <c r="BM22" s="150">
        <f> -1 * BM21</f>
        <v>-0.0</v>
      </c>
      <c r="BN22" s="150">
        <f> -1 * BN21</f>
        <v>-0.0</v>
      </c>
      <c r="BO22" s="150">
        <f> -1 * BO21</f>
        <v>-0.0</v>
      </c>
      <c r="BP22" s="150">
        <f> -1 * BP21</f>
        <v>-0.0</v>
      </c>
      <c r="BQ22" s="150">
        <f> -1 * BQ21</f>
        <v>-0.0</v>
      </c>
      <c r="BR22" s="150">
        <f> -1 * BR21</f>
        <v>-0.0</v>
      </c>
      <c r="BS22" s="150">
        <f> -1 * BS21</f>
        <v>-0.0</v>
      </c>
      <c r="BT22" s="150">
        <f> -1 * BT21</f>
        <v>-0.0</v>
      </c>
      <c r="BU22" s="150">
        <f> -1 * BU21</f>
        <v>-0.0</v>
      </c>
      <c r="BV22" s="150">
        <f> -1 * BV21</f>
        <v>-0.0</v>
      </c>
      <c r="BW22" s="150">
        <f> -1 * BW21</f>
        <v>-0.0</v>
      </c>
      <c r="BX22" s="150">
        <f> -1 * BX21</f>
        <v>-0.0</v>
      </c>
      <c r="BY22" s="150">
        <f> -1 * BY21</f>
        <v>-0.0</v>
      </c>
      <c r="BZ22" s="150">
        <f> -1 * BZ21</f>
        <v>-0.0</v>
      </c>
      <c r="CA22" s="150">
        <f> -1 * CA21</f>
        <v>-0.0</v>
      </c>
      <c r="CB22" s="150">
        <f> -1 * CB21</f>
        <v>-0.0</v>
      </c>
      <c r="CC22" s="150">
        <f> -1 * CC21</f>
        <v>-0.0</v>
      </c>
      <c r="CD22" s="150">
        <f> -1 * CD21</f>
        <v>-0.0</v>
      </c>
      <c r="CE22" s="150">
        <f> -1 * CE21</f>
        <v>-0.0</v>
      </c>
      <c r="CF22" s="150">
        <f> -1 * CF21</f>
        <v>-0.0</v>
      </c>
      <c r="CG22" s="150">
        <f> -1 * CG21</f>
        <v>-0.0</v>
      </c>
      <c r="CH22" s="150">
        <f> -1 * CH21</f>
        <v>-0.0</v>
      </c>
      <c r="CI22" s="150">
        <f> -1 * CI21</f>
        <v>-0.0</v>
      </c>
      <c r="CJ22" s="150">
        <f> -1 * CJ21</f>
        <v>-0.0</v>
      </c>
      <c r="CK22" s="150">
        <f> -1 * CK21</f>
        <v>-0.0</v>
      </c>
      <c r="CL22" s="150">
        <f> -1 * CL21</f>
        <v>-0.0</v>
      </c>
      <c r="CM22" s="150">
        <f> -1 * CM21</f>
        <v>-0.0</v>
      </c>
      <c r="CN22" s="150">
        <f> -1 * CN21</f>
        <v>-0.0</v>
      </c>
      <c r="CO22" s="150">
        <f> -1 * CO21</f>
        <v>-0.0</v>
      </c>
    </row>
    <row r="24">
      <c r="A24" s="294" t="inlineStr">
        <is>
          <t>SENIOR DEBT INTEREST PAYMENT</t>
        </is>
      </c>
    </row>
    <row r="25">
      <c r="E25" s="336" t="str">
        <f> InpC!E$77</f>
        <v>All in annual senior debt interest rate </v>
      </c>
      <c r="F25" s="336">
        <f> InpC!F$77</f>
        <v>0.065</v>
      </c>
      <c r="G25" s="336" t="str">
        <f> InpC!G$77</f>
        <v>%</v>
      </c>
    </row>
    <row r="26">
      <c r="E26" s="325" t="str">
        <f> InpC!E$79</f>
        <v>Day count convention </v>
      </c>
      <c r="F26" s="325">
        <f> InpC!F$79</f>
        <v>360.0</v>
      </c>
      <c r="G26" s="325" t="str">
        <f> InpC!G$79</f>
        <v>days</v>
      </c>
    </row>
    <row r="27">
      <c r="E27" s="324" t="str">
        <f> Time!E$30</f>
        <v>Days in model period</v>
      </c>
      <c r="F27" s="324">
        <f> Time!F$30</f>
        <v>0.0</v>
      </c>
      <c r="G27" s="324" t="str">
        <f> Time!G$30</f>
        <v>days</v>
      </c>
      <c r="H27" s="324">
        <f> Time!H$30</f>
        <v>0.0</v>
      </c>
      <c r="I27" s="324">
        <f> Time!I$30</f>
        <v>0.0</v>
      </c>
      <c r="J27" s="324">
        <f> Time!J$30</f>
        <v>92.0</v>
      </c>
      <c r="K27" s="324">
        <f> Time!K$30</f>
        <v>92.0</v>
      </c>
      <c r="L27" s="324">
        <f> Time!L$30</f>
        <v>90.0</v>
      </c>
      <c r="M27" s="324">
        <f> Time!M$30</f>
        <v>91.0</v>
      </c>
      <c r="N27" s="324">
        <f> Time!N$30</f>
        <v>92.0</v>
      </c>
      <c r="O27" s="324">
        <f> Time!O$30</f>
        <v>92.0</v>
      </c>
      <c r="P27" s="324">
        <f> Time!P$30</f>
        <v>90.0</v>
      </c>
      <c r="Q27" s="324">
        <f> Time!Q$30</f>
        <v>91.0</v>
      </c>
      <c r="R27" s="324">
        <f> Time!R$30</f>
        <v>92.0</v>
      </c>
      <c r="S27" s="324">
        <f> Time!S$30</f>
        <v>92.0</v>
      </c>
      <c r="T27" s="324">
        <f> Time!T$30</f>
        <v>91.0</v>
      </c>
      <c r="U27" s="324">
        <f> Time!U$30</f>
        <v>91.0</v>
      </c>
      <c r="V27" s="324">
        <f> Time!V$30</f>
        <v>92.0</v>
      </c>
      <c r="W27" s="324">
        <f> Time!W$30</f>
        <v>92.0</v>
      </c>
      <c r="X27" s="324">
        <f> Time!X$30</f>
        <v>90.0</v>
      </c>
      <c r="Y27" s="324">
        <f> Time!Y$30</f>
        <v>91.0</v>
      </c>
      <c r="Z27" s="324">
        <f> Time!Z$30</f>
        <v>92.0</v>
      </c>
      <c r="AA27" s="324">
        <f> Time!AA$30</f>
        <v>92.0</v>
      </c>
      <c r="AB27" s="324">
        <f> Time!AB$30</f>
        <v>90.0</v>
      </c>
      <c r="AC27" s="324">
        <f> Time!AC$30</f>
        <v>91.0</v>
      </c>
      <c r="AD27" s="324">
        <f> Time!AD$30</f>
        <v>92.0</v>
      </c>
      <c r="AE27" s="324">
        <f> Time!AE$30</f>
        <v>92.0</v>
      </c>
      <c r="AF27" s="324">
        <f> Time!AF$30</f>
        <v>90.0</v>
      </c>
      <c r="AG27" s="324">
        <f> Time!AG$30</f>
        <v>91.0</v>
      </c>
      <c r="AH27" s="324">
        <f> Time!AH$30</f>
        <v>92.0</v>
      </c>
      <c r="AI27" s="324">
        <f> Time!AI$30</f>
        <v>92.0</v>
      </c>
      <c r="AJ27" s="324">
        <f> Time!AJ$30</f>
        <v>91.0</v>
      </c>
      <c r="AK27" s="324">
        <f> Time!AK$30</f>
        <v>91.0</v>
      </c>
      <c r="AL27" s="324">
        <f> Time!AL$30</f>
        <v>92.0</v>
      </c>
      <c r="AM27" s="324">
        <f> Time!AM$30</f>
        <v>92.0</v>
      </c>
      <c r="AN27" s="324">
        <f> Time!AN$30</f>
        <v>90.0</v>
      </c>
      <c r="AO27" s="324">
        <f> Time!AO$30</f>
        <v>91.0</v>
      </c>
      <c r="AP27" s="324">
        <f> Time!AP$30</f>
        <v>92.0</v>
      </c>
      <c r="AQ27" s="324">
        <f> Time!AQ$30</f>
        <v>92.0</v>
      </c>
      <c r="AR27" s="324">
        <f> Time!AR$30</f>
        <v>90.0</v>
      </c>
      <c r="AS27" s="324">
        <f> Time!AS$30</f>
        <v>91.0</v>
      </c>
      <c r="AT27" s="324">
        <f> Time!AT$30</f>
        <v>92.0</v>
      </c>
      <c r="AU27" s="324">
        <f> Time!AU$30</f>
        <v>92.0</v>
      </c>
      <c r="AV27" s="324">
        <f> Time!AV$30</f>
        <v>90.0</v>
      </c>
      <c r="AW27" s="324">
        <f> Time!AW$30</f>
        <v>91.0</v>
      </c>
      <c r="AX27" s="324">
        <f> Time!AX$30</f>
        <v>92.0</v>
      </c>
      <c r="AY27" s="324">
        <f> Time!AY$30</f>
        <v>92.0</v>
      </c>
      <c r="AZ27" s="324">
        <f> Time!AZ$30</f>
        <v>91.0</v>
      </c>
      <c r="BA27" s="324">
        <f> Time!BA$30</f>
        <v>91.0</v>
      </c>
      <c r="BB27" s="324">
        <f> Time!BB$30</f>
        <v>92.0</v>
      </c>
      <c r="BC27" s="324">
        <f> Time!BC$30</f>
        <v>92.0</v>
      </c>
      <c r="BD27" s="324">
        <f> Time!BD$30</f>
        <v>90.0</v>
      </c>
      <c r="BE27" s="324">
        <f> Time!BE$30</f>
        <v>91.0</v>
      </c>
      <c r="BF27" s="324">
        <f> Time!BF$30</f>
        <v>92.0</v>
      </c>
      <c r="BG27" s="324">
        <f> Time!BG$30</f>
        <v>92.0</v>
      </c>
      <c r="BH27" s="324">
        <f> Time!BH$30</f>
        <v>90.0</v>
      </c>
      <c r="BI27" s="324">
        <f> Time!BI$30</f>
        <v>91.0</v>
      </c>
      <c r="BJ27" s="324">
        <f> Time!BJ$30</f>
        <v>92.0</v>
      </c>
      <c r="BK27" s="324">
        <f> Time!BK$30</f>
        <v>92.0</v>
      </c>
      <c r="BL27" s="324">
        <f> Time!BL$30</f>
        <v>90.0</v>
      </c>
      <c r="BM27" s="324">
        <f> Time!BM$30</f>
        <v>91.0</v>
      </c>
      <c r="BN27" s="324">
        <f> Time!BN$30</f>
        <v>92.0</v>
      </c>
      <c r="BO27" s="324">
        <f> Time!BO$30</f>
        <v>92.0</v>
      </c>
      <c r="BP27" s="324">
        <f> Time!BP$30</f>
        <v>91.0</v>
      </c>
      <c r="BQ27" s="324">
        <f> Time!BQ$30</f>
        <v>91.0</v>
      </c>
      <c r="BR27" s="324">
        <f> Time!BR$30</f>
        <v>92.0</v>
      </c>
      <c r="BS27" s="324">
        <f> Time!BS$30</f>
        <v>92.0</v>
      </c>
      <c r="BT27" s="324">
        <f> Time!BT$30</f>
        <v>90.0</v>
      </c>
      <c r="BU27" s="324">
        <f> Time!BU$30</f>
        <v>91.0</v>
      </c>
      <c r="BV27" s="324">
        <f> Time!BV$30</f>
        <v>92.0</v>
      </c>
      <c r="BW27" s="324">
        <f> Time!BW$30</f>
        <v>92.0</v>
      </c>
      <c r="BX27" s="324">
        <f> Time!BX$30</f>
        <v>90.0</v>
      </c>
      <c r="BY27" s="324">
        <f> Time!BY$30</f>
        <v>91.0</v>
      </c>
      <c r="BZ27" s="324">
        <f> Time!BZ$30</f>
        <v>92.0</v>
      </c>
      <c r="CA27" s="324">
        <f> Time!CA$30</f>
        <v>92.0</v>
      </c>
      <c r="CB27" s="324">
        <f> Time!CB$30</f>
        <v>90.0</v>
      </c>
      <c r="CC27" s="324">
        <f> Time!CC$30</f>
        <v>91.0</v>
      </c>
      <c r="CD27" s="324">
        <f> Time!CD$30</f>
        <v>92.0</v>
      </c>
      <c r="CE27" s="324">
        <f> Time!CE$30</f>
        <v>92.0</v>
      </c>
      <c r="CF27" s="324">
        <f> Time!CF$30</f>
        <v>91.0</v>
      </c>
      <c r="CG27" s="324">
        <f> Time!CG$30</f>
        <v>91.0</v>
      </c>
      <c r="CH27" s="324">
        <f> Time!CH$30</f>
        <v>92.0</v>
      </c>
      <c r="CI27" s="324">
        <f> Time!CI$30</f>
        <v>92.0</v>
      </c>
      <c r="CJ27" s="324">
        <f> Time!CJ$30</f>
        <v>90.0</v>
      </c>
      <c r="CK27" s="324">
        <f> Time!CK$30</f>
        <v>91.0</v>
      </c>
      <c r="CL27" s="324">
        <f> Time!CL$30</f>
        <v>92.0</v>
      </c>
      <c r="CM27" s="324">
        <f> Time!CM$30</f>
        <v>92.0</v>
      </c>
      <c r="CN27" s="324">
        <f> Time!CN$30</f>
        <v>90.0</v>
      </c>
      <c r="CO27" s="324">
        <f> Time!CO$30</f>
        <v>91.0</v>
      </c>
    </row>
    <row r="28">
      <c r="E28" s="61" t="inlineStr">
        <is>
          <t>Periodic interest rate</t>
        </is>
      </c>
      <c r="G28" s="61" t="inlineStr">
        <is>
          <t>%</t>
        </is>
      </c>
      <c r="J28" s="271">
        <f> $F25 / $F26 * J27</f>
        <v>0.01661111111111111</v>
      </c>
      <c r="K28" s="271">
        <f> $F25 / $F26 * K27</f>
        <v>0.01661111111111111</v>
      </c>
      <c r="L28" s="271">
        <f> $F25 / $F26 * L27</f>
        <v>0.01625</v>
      </c>
      <c r="M28" s="271">
        <f> $F25 / $F26 * M27</f>
        <v>0.016430555555555556</v>
      </c>
      <c r="N28" s="271">
        <f> $F25 / $F26 * N27</f>
        <v>0.01661111111111111</v>
      </c>
      <c r="O28" s="271">
        <f> $F25 / $F26 * O27</f>
        <v>0.01661111111111111</v>
      </c>
      <c r="P28" s="271">
        <f> $F25 / $F26 * P27</f>
        <v>0.01625</v>
      </c>
      <c r="Q28" s="271">
        <f> $F25 / $F26 * Q27</f>
        <v>0.016430555555555556</v>
      </c>
      <c r="R28" s="271">
        <f> $F25 / $F26 * R27</f>
        <v>0.01661111111111111</v>
      </c>
      <c r="S28" s="271">
        <f> $F25 / $F26 * S27</f>
        <v>0.01661111111111111</v>
      </c>
      <c r="T28" s="271">
        <f> $F25 / $F26 * T27</f>
        <v>0.016430555555555556</v>
      </c>
      <c r="U28" s="271">
        <f> $F25 / $F26 * U27</f>
        <v>0.016430555555555556</v>
      </c>
      <c r="V28" s="271">
        <f> $F25 / $F26 * V27</f>
        <v>0.01661111111111111</v>
      </c>
      <c r="W28" s="271">
        <f> $F25 / $F26 * W27</f>
        <v>0.01661111111111111</v>
      </c>
      <c r="X28" s="271">
        <f> $F25 / $F26 * X27</f>
        <v>0.01625</v>
      </c>
      <c r="Y28" s="271">
        <f> $F25 / $F26 * Y27</f>
        <v>0.016430555555555556</v>
      </c>
      <c r="Z28" s="271">
        <f> $F25 / $F26 * Z27</f>
        <v>0.01661111111111111</v>
      </c>
      <c r="AA28" s="271">
        <f> $F25 / $F26 * AA27</f>
        <v>0.01661111111111111</v>
      </c>
      <c r="AB28" s="271">
        <f> $F25 / $F26 * AB27</f>
        <v>0.01625</v>
      </c>
      <c r="AC28" s="271">
        <f> $F25 / $F26 * AC27</f>
        <v>0.016430555555555556</v>
      </c>
      <c r="AD28" s="271">
        <f> $F25 / $F26 * AD27</f>
        <v>0.01661111111111111</v>
      </c>
      <c r="AE28" s="271">
        <f> $F25 / $F26 * AE27</f>
        <v>0.01661111111111111</v>
      </c>
      <c r="AF28" s="271">
        <f> $F25 / $F26 * AF27</f>
        <v>0.01625</v>
      </c>
      <c r="AG28" s="271">
        <f> $F25 / $F26 * AG27</f>
        <v>0.016430555555555556</v>
      </c>
      <c r="AH28" s="271">
        <f> $F25 / $F26 * AH27</f>
        <v>0.01661111111111111</v>
      </c>
      <c r="AI28" s="271">
        <f> $F25 / $F26 * AI27</f>
        <v>0.01661111111111111</v>
      </c>
      <c r="AJ28" s="271">
        <f> $F25 / $F26 * AJ27</f>
        <v>0.016430555555555556</v>
      </c>
      <c r="AK28" s="271">
        <f> $F25 / $F26 * AK27</f>
        <v>0.016430555555555556</v>
      </c>
      <c r="AL28" s="271">
        <f> $F25 / $F26 * AL27</f>
        <v>0.01661111111111111</v>
      </c>
      <c r="AM28" s="271">
        <f> $F25 / $F26 * AM27</f>
        <v>0.01661111111111111</v>
      </c>
      <c r="AN28" s="271">
        <f> $F25 / $F26 * AN27</f>
        <v>0.01625</v>
      </c>
      <c r="AO28" s="271">
        <f> $F25 / $F26 * AO27</f>
        <v>0.016430555555555556</v>
      </c>
      <c r="AP28" s="271">
        <f> $F25 / $F26 * AP27</f>
        <v>0.01661111111111111</v>
      </c>
      <c r="AQ28" s="271">
        <f> $F25 / $F26 * AQ27</f>
        <v>0.01661111111111111</v>
      </c>
      <c r="AR28" s="271">
        <f> $F25 / $F26 * AR27</f>
        <v>0.01625</v>
      </c>
      <c r="AS28" s="271">
        <f> $F25 / $F26 * AS27</f>
        <v>0.016430555555555556</v>
      </c>
      <c r="AT28" s="271">
        <f> $F25 / $F26 * AT27</f>
        <v>0.01661111111111111</v>
      </c>
      <c r="AU28" s="271">
        <f> $F25 / $F26 * AU27</f>
        <v>0.01661111111111111</v>
      </c>
      <c r="AV28" s="271">
        <f> $F25 / $F26 * AV27</f>
        <v>0.01625</v>
      </c>
      <c r="AW28" s="271">
        <f> $F25 / $F26 * AW27</f>
        <v>0.016430555555555556</v>
      </c>
      <c r="AX28" s="271">
        <f> $F25 / $F26 * AX27</f>
        <v>0.01661111111111111</v>
      </c>
      <c r="AY28" s="271">
        <f> $F25 / $F26 * AY27</f>
        <v>0.01661111111111111</v>
      </c>
      <c r="AZ28" s="271">
        <f> $F25 / $F26 * AZ27</f>
        <v>0.016430555555555556</v>
      </c>
      <c r="BA28" s="271">
        <f> $F25 / $F26 * BA27</f>
        <v>0.016430555555555556</v>
      </c>
      <c r="BB28" s="271">
        <f> $F25 / $F26 * BB27</f>
        <v>0.01661111111111111</v>
      </c>
      <c r="BC28" s="271">
        <f> $F25 / $F26 * BC27</f>
        <v>0.01661111111111111</v>
      </c>
      <c r="BD28" s="271">
        <f> $F25 / $F26 * BD27</f>
        <v>0.01625</v>
      </c>
      <c r="BE28" s="271">
        <f> $F25 / $F26 * BE27</f>
        <v>0.016430555555555556</v>
      </c>
      <c r="BF28" s="271">
        <f> $F25 / $F26 * BF27</f>
        <v>0.01661111111111111</v>
      </c>
      <c r="BG28" s="271">
        <f> $F25 / $F26 * BG27</f>
        <v>0.01661111111111111</v>
      </c>
      <c r="BH28" s="271">
        <f> $F25 / $F26 * BH27</f>
        <v>0.01625</v>
      </c>
      <c r="BI28" s="271">
        <f> $F25 / $F26 * BI27</f>
        <v>0.016430555555555556</v>
      </c>
      <c r="BJ28" s="271">
        <f> $F25 / $F26 * BJ27</f>
        <v>0.01661111111111111</v>
      </c>
      <c r="BK28" s="271">
        <f> $F25 / $F26 * BK27</f>
        <v>0.01661111111111111</v>
      </c>
      <c r="BL28" s="271">
        <f> $F25 / $F26 * BL27</f>
        <v>0.01625</v>
      </c>
      <c r="BM28" s="271">
        <f> $F25 / $F26 * BM27</f>
        <v>0.016430555555555556</v>
      </c>
      <c r="BN28" s="271">
        <f> $F25 / $F26 * BN27</f>
        <v>0.01661111111111111</v>
      </c>
      <c r="BO28" s="271">
        <f> $F25 / $F26 * BO27</f>
        <v>0.01661111111111111</v>
      </c>
      <c r="BP28" s="271">
        <f> $F25 / $F26 * BP27</f>
        <v>0.016430555555555556</v>
      </c>
      <c r="BQ28" s="271">
        <f> $F25 / $F26 * BQ27</f>
        <v>0.016430555555555556</v>
      </c>
      <c r="BR28" s="271">
        <f> $F25 / $F26 * BR27</f>
        <v>0.01661111111111111</v>
      </c>
      <c r="BS28" s="271">
        <f> $F25 / $F26 * BS27</f>
        <v>0.01661111111111111</v>
      </c>
      <c r="BT28" s="271">
        <f> $F25 / $F26 * BT27</f>
        <v>0.01625</v>
      </c>
      <c r="BU28" s="271">
        <f> $F25 / $F26 * BU27</f>
        <v>0.016430555555555556</v>
      </c>
      <c r="BV28" s="271">
        <f> $F25 / $F26 * BV27</f>
        <v>0.01661111111111111</v>
      </c>
      <c r="BW28" s="271">
        <f> $F25 / $F26 * BW27</f>
        <v>0.01661111111111111</v>
      </c>
      <c r="BX28" s="271">
        <f> $F25 / $F26 * BX27</f>
        <v>0.01625</v>
      </c>
      <c r="BY28" s="271">
        <f> $F25 / $F26 * BY27</f>
        <v>0.016430555555555556</v>
      </c>
      <c r="BZ28" s="271">
        <f> $F25 / $F26 * BZ27</f>
        <v>0.01661111111111111</v>
      </c>
      <c r="CA28" s="271">
        <f> $F25 / $F26 * CA27</f>
        <v>0.01661111111111111</v>
      </c>
      <c r="CB28" s="271">
        <f> $F25 / $F26 * CB27</f>
        <v>0.01625</v>
      </c>
      <c r="CC28" s="271">
        <f> $F25 / $F26 * CC27</f>
        <v>0.016430555555555556</v>
      </c>
      <c r="CD28" s="271">
        <f> $F25 / $F26 * CD27</f>
        <v>0.01661111111111111</v>
      </c>
      <c r="CE28" s="271">
        <f> $F25 / $F26 * CE27</f>
        <v>0.01661111111111111</v>
      </c>
      <c r="CF28" s="271">
        <f> $F25 / $F26 * CF27</f>
        <v>0.016430555555555556</v>
      </c>
      <c r="CG28" s="271">
        <f> $F25 / $F26 * CG27</f>
        <v>0.016430555555555556</v>
      </c>
      <c r="CH28" s="271">
        <f> $F25 / $F26 * CH27</f>
        <v>0.01661111111111111</v>
      </c>
      <c r="CI28" s="271">
        <f> $F25 / $F26 * CI27</f>
        <v>0.01661111111111111</v>
      </c>
      <c r="CJ28" s="271">
        <f> $F25 / $F26 * CJ27</f>
        <v>0.01625</v>
      </c>
      <c r="CK28" s="271">
        <f> $F25 / $F26 * CK27</f>
        <v>0.016430555555555556</v>
      </c>
      <c r="CL28" s="271">
        <f> $F25 / $F26 * CL27</f>
        <v>0.01661111111111111</v>
      </c>
      <c r="CM28" s="271">
        <f> $F25 / $F26 * CM27</f>
        <v>0.01661111111111111</v>
      </c>
      <c r="CN28" s="271">
        <f> $F25 / $F26 * CN27</f>
        <v>0.01625</v>
      </c>
      <c r="CO28" s="271">
        <f> $F25 / $F26 * CO27</f>
        <v>0.016430555555555556</v>
      </c>
    </row>
    <row r="30">
      <c r="E30" s="29" t="str">
        <f> E$41</f>
        <v>Senior debt balance BEG</v>
      </c>
      <c r="F30" s="29">
        <f> F$41</f>
        <v>0.0</v>
      </c>
      <c r="G30" s="29" t="str">
        <f> G$41</f>
        <v>$ 000s</v>
      </c>
      <c r="H30" s="29">
        <f> H$41</f>
        <v>0.0</v>
      </c>
      <c r="I30" s="29">
        <f> I$41</f>
        <v>0.0</v>
      </c>
      <c r="J30" s="29">
        <f> J$41</f>
        <v>0.0</v>
      </c>
      <c r="K30" s="29">
        <f> K$41</f>
        <v>0.0</v>
      </c>
      <c r="L30" s="29">
        <f> L$41</f>
        <v>60000.0</v>
      </c>
      <c r="M30" s="29">
        <f> M$41</f>
        <v>60000.0</v>
      </c>
      <c r="N30" s="29">
        <f> N$41</f>
        <v>60000.0</v>
      </c>
      <c r="O30" s="29">
        <f> O$41</f>
        <v>60000.0</v>
      </c>
      <c r="P30" s="29">
        <f> P$41</f>
        <v>58000.00000000002</v>
      </c>
      <c r="Q30" s="29">
        <f> Q$41</f>
        <v>56000.000000000044</v>
      </c>
      <c r="R30" s="29">
        <f> R$41</f>
        <v>54000.000000000065</v>
      </c>
      <c r="S30" s="29">
        <f> S$41</f>
        <v>52000.00000000009</v>
      </c>
      <c r="T30" s="29">
        <f> T$41</f>
        <v>50000.00000000011</v>
      </c>
      <c r="U30" s="29">
        <f> U$41</f>
        <v>48000.00000000013</v>
      </c>
      <c r="V30" s="29">
        <f> V$41</f>
        <v>46000.00000000015</v>
      </c>
      <c r="W30" s="29">
        <f> W$41</f>
        <v>44000.000000000175</v>
      </c>
      <c r="X30" s="29">
        <f> X$41</f>
        <v>42000.0000000002</v>
      </c>
      <c r="Y30" s="29">
        <f> Y$41</f>
        <v>40000.00000000022</v>
      </c>
      <c r="Z30" s="29">
        <f> Z$41</f>
        <v>38000.00000000024</v>
      </c>
      <c r="AA30" s="29">
        <f> AA$41</f>
        <v>36000.00000000026</v>
      </c>
      <c r="AB30" s="29">
        <f> AB$41</f>
        <v>34000.000000000284</v>
      </c>
      <c r="AC30" s="29">
        <f> AC$41</f>
        <v>32000.000000000306</v>
      </c>
      <c r="AD30" s="29">
        <f> AD$41</f>
        <v>30000.000000000327</v>
      </c>
      <c r="AE30" s="29">
        <f> AE$41</f>
        <v>28000.00000000035</v>
      </c>
      <c r="AF30" s="29">
        <f> AF$41</f>
        <v>26000.00000000037</v>
      </c>
      <c r="AG30" s="29">
        <f> AG$41</f>
        <v>24000.000000000393</v>
      </c>
      <c r="AH30" s="29">
        <f> AH$41</f>
        <v>22000.000000000415</v>
      </c>
      <c r="AI30" s="29">
        <f> AI$41</f>
        <v>20000.000000000437</v>
      </c>
      <c r="AJ30" s="29">
        <f> AJ$41</f>
        <v>18000.00000000046</v>
      </c>
      <c r="AK30" s="29">
        <f> AK$41</f>
        <v>16000.000000000478</v>
      </c>
      <c r="AL30" s="29">
        <f> AL$41</f>
        <v>14000.000000000498</v>
      </c>
      <c r="AM30" s="29">
        <f> AM$41</f>
        <v>12000.000000000518</v>
      </c>
      <c r="AN30" s="29">
        <f> AN$41</f>
        <v>10000.000000000538</v>
      </c>
      <c r="AO30" s="29">
        <f> AO$41</f>
        <v>8000.000000000558</v>
      </c>
      <c r="AP30" s="29">
        <f> AP$41</f>
        <v>6000.000000000578</v>
      </c>
      <c r="AQ30" s="29">
        <f> AQ$41</f>
        <v>4000.0000000005984</v>
      </c>
      <c r="AR30" s="29">
        <f> AR$41</f>
        <v>2000.0000000006185</v>
      </c>
      <c r="AS30" s="29">
        <f> AS$41</f>
        <v>6.384652806445956e-10</v>
      </c>
      <c r="AT30" s="29">
        <f> AT$41</f>
        <v>6.384652806445956e-10</v>
      </c>
      <c r="AU30" s="29">
        <f> AU$41</f>
        <v>6.384652806445956e-10</v>
      </c>
      <c r="AV30" s="29">
        <f> AV$41</f>
        <v>6.384652806445956e-10</v>
      </c>
      <c r="AW30" s="29">
        <f> AW$41</f>
        <v>6.384652806445956e-10</v>
      </c>
      <c r="AX30" s="29">
        <f> AX$41</f>
        <v>6.384652806445956e-10</v>
      </c>
      <c r="AY30" s="29">
        <f> AY$41</f>
        <v>6.384652806445956e-10</v>
      </c>
      <c r="AZ30" s="29">
        <f> AZ$41</f>
        <v>6.384652806445956e-10</v>
      </c>
      <c r="BA30" s="29">
        <f> BA$41</f>
        <v>6.384652806445956e-10</v>
      </c>
      <c r="BB30" s="29">
        <f> BB$41</f>
        <v>6.384652806445956e-10</v>
      </c>
      <c r="BC30" s="29">
        <f> BC$41</f>
        <v>6.384652806445956e-10</v>
      </c>
      <c r="BD30" s="29">
        <f> BD$41</f>
        <v>6.384652806445956e-10</v>
      </c>
      <c r="BE30" s="29">
        <f> BE$41</f>
        <v>6.384652806445956e-10</v>
      </c>
      <c r="BF30" s="29">
        <f> BF$41</f>
        <v>6.384652806445956e-10</v>
      </c>
      <c r="BG30" s="29">
        <f> BG$41</f>
        <v>6.384652806445956e-10</v>
      </c>
      <c r="BH30" s="29">
        <f> BH$41</f>
        <v>6.384652806445956e-10</v>
      </c>
      <c r="BI30" s="29">
        <f> BI$41</f>
        <v>6.384652806445956e-10</v>
      </c>
      <c r="BJ30" s="29">
        <f> BJ$41</f>
        <v>6.384652806445956e-10</v>
      </c>
      <c r="BK30" s="29">
        <f> BK$41</f>
        <v>6.384652806445956e-10</v>
      </c>
      <c r="BL30" s="29">
        <f> BL$41</f>
        <v>6.384652806445956e-10</v>
      </c>
      <c r="BM30" s="29">
        <f> BM$41</f>
        <v>6.384652806445956e-10</v>
      </c>
      <c r="BN30" s="29">
        <f> BN$41</f>
        <v>6.384652806445956e-10</v>
      </c>
      <c r="BO30" s="29">
        <f> BO$41</f>
        <v>6.384652806445956e-10</v>
      </c>
      <c r="BP30" s="29">
        <f> BP$41</f>
        <v>6.384652806445956e-10</v>
      </c>
      <c r="BQ30" s="29">
        <f> BQ$41</f>
        <v>6.384652806445956e-10</v>
      </c>
      <c r="BR30" s="29">
        <f> BR$41</f>
        <v>6.384652806445956e-10</v>
      </c>
      <c r="BS30" s="29">
        <f> BS$41</f>
        <v>6.384652806445956e-10</v>
      </c>
      <c r="BT30" s="29">
        <f> BT$41</f>
        <v>6.384652806445956e-10</v>
      </c>
      <c r="BU30" s="29">
        <f> BU$41</f>
        <v>6.384652806445956e-10</v>
      </c>
      <c r="BV30" s="29">
        <f> BV$41</f>
        <v>6.384652806445956e-10</v>
      </c>
      <c r="BW30" s="29">
        <f> BW$41</f>
        <v>6.384652806445956e-10</v>
      </c>
      <c r="BX30" s="29">
        <f> BX$41</f>
        <v>6.384652806445956e-10</v>
      </c>
      <c r="BY30" s="29">
        <f> BY$41</f>
        <v>6.384652806445956e-10</v>
      </c>
      <c r="BZ30" s="29">
        <f> BZ$41</f>
        <v>6.384652806445956e-10</v>
      </c>
      <c r="CA30" s="29">
        <f> CA$41</f>
        <v>6.384652806445956e-10</v>
      </c>
      <c r="CB30" s="29">
        <f> CB$41</f>
        <v>6.384652806445956e-10</v>
      </c>
      <c r="CC30" s="29">
        <f> CC$41</f>
        <v>6.384652806445956e-10</v>
      </c>
      <c r="CD30" s="29">
        <f> CD$41</f>
        <v>6.384652806445956e-10</v>
      </c>
      <c r="CE30" s="29">
        <f> CE$41</f>
        <v>6.384652806445956e-10</v>
      </c>
      <c r="CF30" s="29">
        <f> CF$41</f>
        <v>6.384652806445956e-10</v>
      </c>
      <c r="CG30" s="29">
        <f> CG$41</f>
        <v>6.384652806445956e-10</v>
      </c>
      <c r="CH30" s="29">
        <f> CH$41</f>
        <v>6.384652806445956e-10</v>
      </c>
      <c r="CI30" s="29">
        <f> CI$41</f>
        <v>6.384652806445956e-10</v>
      </c>
      <c r="CJ30" s="29">
        <f> CJ$41</f>
        <v>6.384652806445956e-10</v>
      </c>
      <c r="CK30" s="29">
        <f> CK$41</f>
        <v>6.384652806445956e-10</v>
      </c>
      <c r="CL30" s="29">
        <f> CL$41</f>
        <v>6.384652806445956e-10</v>
      </c>
      <c r="CM30" s="29">
        <f> CM$41</f>
        <v>6.384652806445956e-10</v>
      </c>
      <c r="CN30" s="29">
        <f> CN$41</f>
        <v>6.384652806445956e-10</v>
      </c>
      <c r="CO30" s="29">
        <f> CO$41</f>
        <v>6.384652806445956e-10</v>
      </c>
    </row>
    <row r="31" customFormat="1" s="271">
      <c r="A31" s="387" t="n"/>
      <c r="B31" s="387" t="n"/>
      <c r="C31" s="388" t="n"/>
      <c r="D31" s="271" t="n"/>
      <c r="E31" s="271" t="str">
        <f> E$28</f>
        <v>Periodic interest rate</v>
      </c>
      <c r="F31" s="271">
        <f> F$28</f>
        <v>0.0</v>
      </c>
      <c r="G31" s="271" t="str">
        <f> G$28</f>
        <v>%</v>
      </c>
      <c r="H31" s="271">
        <f> H$28</f>
        <v>0.0</v>
      </c>
      <c r="I31" s="271">
        <f> I$28</f>
        <v>0.0</v>
      </c>
      <c r="J31" s="271">
        <f> J$28</f>
        <v>0.01661111111111111</v>
      </c>
      <c r="K31" s="271">
        <f> K$28</f>
        <v>0.01661111111111111</v>
      </c>
      <c r="L31" s="271">
        <f> L$28</f>
        <v>0.01625</v>
      </c>
      <c r="M31" s="271">
        <f> M$28</f>
        <v>0.016430555555555556</v>
      </c>
      <c r="N31" s="271">
        <f> N$28</f>
        <v>0.01661111111111111</v>
      </c>
      <c r="O31" s="271">
        <f> O$28</f>
        <v>0.01661111111111111</v>
      </c>
      <c r="P31" s="271">
        <f> P$28</f>
        <v>0.01625</v>
      </c>
      <c r="Q31" s="271">
        <f> Q$28</f>
        <v>0.016430555555555556</v>
      </c>
      <c r="R31" s="271">
        <f> R$28</f>
        <v>0.01661111111111111</v>
      </c>
      <c r="S31" s="271">
        <f> S$28</f>
        <v>0.01661111111111111</v>
      </c>
      <c r="T31" s="271">
        <f> T$28</f>
        <v>0.016430555555555556</v>
      </c>
      <c r="U31" s="271">
        <f> U$28</f>
        <v>0.016430555555555556</v>
      </c>
      <c r="V31" s="271">
        <f> V$28</f>
        <v>0.01661111111111111</v>
      </c>
      <c r="W31" s="271">
        <f> W$28</f>
        <v>0.01661111111111111</v>
      </c>
      <c r="X31" s="271">
        <f> X$28</f>
        <v>0.01625</v>
      </c>
      <c r="Y31" s="271">
        <f> Y$28</f>
        <v>0.016430555555555556</v>
      </c>
      <c r="Z31" s="271">
        <f> Z$28</f>
        <v>0.01661111111111111</v>
      </c>
      <c r="AA31" s="271">
        <f> AA$28</f>
        <v>0.01661111111111111</v>
      </c>
      <c r="AB31" s="271">
        <f> AB$28</f>
        <v>0.01625</v>
      </c>
      <c r="AC31" s="271">
        <f> AC$28</f>
        <v>0.016430555555555556</v>
      </c>
      <c r="AD31" s="271">
        <f> AD$28</f>
        <v>0.01661111111111111</v>
      </c>
      <c r="AE31" s="271">
        <f> AE$28</f>
        <v>0.01661111111111111</v>
      </c>
      <c r="AF31" s="271">
        <f> AF$28</f>
        <v>0.01625</v>
      </c>
      <c r="AG31" s="271">
        <f> AG$28</f>
        <v>0.016430555555555556</v>
      </c>
      <c r="AH31" s="271">
        <f> AH$28</f>
        <v>0.01661111111111111</v>
      </c>
      <c r="AI31" s="271">
        <f> AI$28</f>
        <v>0.01661111111111111</v>
      </c>
      <c r="AJ31" s="271">
        <f> AJ$28</f>
        <v>0.016430555555555556</v>
      </c>
      <c r="AK31" s="271">
        <f> AK$28</f>
        <v>0.016430555555555556</v>
      </c>
      <c r="AL31" s="271">
        <f> AL$28</f>
        <v>0.01661111111111111</v>
      </c>
      <c r="AM31" s="271">
        <f> AM$28</f>
        <v>0.01661111111111111</v>
      </c>
      <c r="AN31" s="271">
        <f> AN$28</f>
        <v>0.01625</v>
      </c>
      <c r="AO31" s="271">
        <f> AO$28</f>
        <v>0.016430555555555556</v>
      </c>
      <c r="AP31" s="271">
        <f> AP$28</f>
        <v>0.01661111111111111</v>
      </c>
      <c r="AQ31" s="271">
        <f> AQ$28</f>
        <v>0.01661111111111111</v>
      </c>
      <c r="AR31" s="271">
        <f> AR$28</f>
        <v>0.01625</v>
      </c>
      <c r="AS31" s="271">
        <f> AS$28</f>
        <v>0.016430555555555556</v>
      </c>
      <c r="AT31" s="271">
        <f> AT$28</f>
        <v>0.01661111111111111</v>
      </c>
      <c r="AU31" s="271">
        <f> AU$28</f>
        <v>0.01661111111111111</v>
      </c>
      <c r="AV31" s="271">
        <f> AV$28</f>
        <v>0.01625</v>
      </c>
      <c r="AW31" s="271">
        <f> AW$28</f>
        <v>0.016430555555555556</v>
      </c>
      <c r="AX31" s="271">
        <f> AX$28</f>
        <v>0.01661111111111111</v>
      </c>
      <c r="AY31" s="271">
        <f> AY$28</f>
        <v>0.01661111111111111</v>
      </c>
      <c r="AZ31" s="271">
        <f> AZ$28</f>
        <v>0.016430555555555556</v>
      </c>
      <c r="BA31" s="271">
        <f> BA$28</f>
        <v>0.016430555555555556</v>
      </c>
      <c r="BB31" s="271">
        <f> BB$28</f>
        <v>0.01661111111111111</v>
      </c>
      <c r="BC31" s="271">
        <f> BC$28</f>
        <v>0.01661111111111111</v>
      </c>
      <c r="BD31" s="271">
        <f> BD$28</f>
        <v>0.01625</v>
      </c>
      <c r="BE31" s="271">
        <f> BE$28</f>
        <v>0.016430555555555556</v>
      </c>
      <c r="BF31" s="271">
        <f> BF$28</f>
        <v>0.01661111111111111</v>
      </c>
      <c r="BG31" s="271">
        <f> BG$28</f>
        <v>0.01661111111111111</v>
      </c>
      <c r="BH31" s="271">
        <f> BH$28</f>
        <v>0.01625</v>
      </c>
      <c r="BI31" s="271">
        <f> BI$28</f>
        <v>0.016430555555555556</v>
      </c>
      <c r="BJ31" s="271">
        <f> BJ$28</f>
        <v>0.01661111111111111</v>
      </c>
      <c r="BK31" s="271">
        <f> BK$28</f>
        <v>0.01661111111111111</v>
      </c>
      <c r="BL31" s="271">
        <f> BL$28</f>
        <v>0.01625</v>
      </c>
      <c r="BM31" s="271">
        <f> BM$28</f>
        <v>0.016430555555555556</v>
      </c>
      <c r="BN31" s="271">
        <f> BN$28</f>
        <v>0.01661111111111111</v>
      </c>
      <c r="BO31" s="271">
        <f> BO$28</f>
        <v>0.01661111111111111</v>
      </c>
      <c r="BP31" s="271">
        <f> BP$28</f>
        <v>0.016430555555555556</v>
      </c>
      <c r="BQ31" s="271">
        <f> BQ$28</f>
        <v>0.016430555555555556</v>
      </c>
      <c r="BR31" s="271">
        <f> BR$28</f>
        <v>0.01661111111111111</v>
      </c>
      <c r="BS31" s="271">
        <f> BS$28</f>
        <v>0.01661111111111111</v>
      </c>
      <c r="BT31" s="271">
        <f> BT$28</f>
        <v>0.01625</v>
      </c>
      <c r="BU31" s="271">
        <f> BU$28</f>
        <v>0.016430555555555556</v>
      </c>
      <c r="BV31" s="271">
        <f> BV$28</f>
        <v>0.01661111111111111</v>
      </c>
      <c r="BW31" s="271">
        <f> BW$28</f>
        <v>0.01661111111111111</v>
      </c>
      <c r="BX31" s="271">
        <f> BX$28</f>
        <v>0.01625</v>
      </c>
      <c r="BY31" s="271">
        <f> BY$28</f>
        <v>0.016430555555555556</v>
      </c>
      <c r="BZ31" s="271">
        <f> BZ$28</f>
        <v>0.01661111111111111</v>
      </c>
      <c r="CA31" s="271">
        <f> CA$28</f>
        <v>0.01661111111111111</v>
      </c>
      <c r="CB31" s="271">
        <f> CB$28</f>
        <v>0.01625</v>
      </c>
      <c r="CC31" s="271">
        <f> CC$28</f>
        <v>0.016430555555555556</v>
      </c>
      <c r="CD31" s="271">
        <f> CD$28</f>
        <v>0.01661111111111111</v>
      </c>
      <c r="CE31" s="271">
        <f> CE$28</f>
        <v>0.01661111111111111</v>
      </c>
      <c r="CF31" s="271">
        <f> CF$28</f>
        <v>0.016430555555555556</v>
      </c>
      <c r="CG31" s="271">
        <f> CG$28</f>
        <v>0.016430555555555556</v>
      </c>
      <c r="CH31" s="271">
        <f> CH$28</f>
        <v>0.01661111111111111</v>
      </c>
      <c r="CI31" s="271">
        <f> CI$28</f>
        <v>0.01661111111111111</v>
      </c>
      <c r="CJ31" s="271">
        <f> CJ$28</f>
        <v>0.01625</v>
      </c>
      <c r="CK31" s="271">
        <f> CK$28</f>
        <v>0.016430555555555556</v>
      </c>
      <c r="CL31" s="271">
        <f> CL$28</f>
        <v>0.01661111111111111</v>
      </c>
      <c r="CM31" s="271">
        <f> CM$28</f>
        <v>0.01661111111111111</v>
      </c>
      <c r="CN31" s="271">
        <f> CN$28</f>
        <v>0.01625</v>
      </c>
      <c r="CO31" s="271">
        <f> CO$28</f>
        <v>0.016430555555555556</v>
      </c>
    </row>
    <row r="32" customFormat="1" s="386">
      <c r="A32" s="383" t="n"/>
      <c r="B32" s="383" t="n"/>
      <c r="C32" s="384" t="n"/>
      <c r="D32" s="386" t="n"/>
      <c r="E32" s="386" t="inlineStr">
        <is>
          <t>Senior debt interest payment POS</t>
        </is>
      </c>
      <c r="G32" s="386" t="str">
        <f>SMU</f>
        <v>$ 000s</v>
      </c>
      <c r="H32" s="386">
        <f> SUM(J32:CO32)</f>
        <v>18291.000000000673</v>
      </c>
      <c r="J32" s="386">
        <f> J30 * J31</f>
        <v>0.0</v>
      </c>
      <c r="K32" s="386">
        <f> K30 * K31</f>
        <v>0.0</v>
      </c>
      <c r="L32" s="386">
        <f> L30 * L31</f>
        <v>975.0</v>
      </c>
      <c r="M32" s="386">
        <f> M30 * M31</f>
        <v>985.8333333333334</v>
      </c>
      <c r="N32" s="386">
        <f> N30 * N31</f>
        <v>996.6666666666666</v>
      </c>
      <c r="O32" s="386">
        <f> O30 * O31</f>
        <v>996.6666666666666</v>
      </c>
      <c r="P32" s="386">
        <f> P30 * P31</f>
        <v>942.5000000000003</v>
      </c>
      <c r="Q32" s="386">
        <f> Q30 * Q31</f>
        <v>920.1111111111119</v>
      </c>
      <c r="R32" s="386">
        <f> R30 * R31</f>
        <v>897.0000000000011</v>
      </c>
      <c r="S32" s="386">
        <f> S30 * S31</f>
        <v>863.7777777777792</v>
      </c>
      <c r="T32" s="386">
        <f> T30 * T31</f>
        <v>821.5277777777795</v>
      </c>
      <c r="U32" s="386">
        <f> U30 * U31</f>
        <v>788.6666666666688</v>
      </c>
      <c r="V32" s="386">
        <f> V30 * V31</f>
        <v>764.1111111111137</v>
      </c>
      <c r="W32" s="386">
        <f> W30 * W31</f>
        <v>730.8888888888918</v>
      </c>
      <c r="X32" s="386">
        <f> X30 * X31</f>
        <v>682.5000000000032</v>
      </c>
      <c r="Y32" s="386">
        <f> Y30 * Y31</f>
        <v>657.2222222222258</v>
      </c>
      <c r="Z32" s="386">
        <f> Z30 * Z31</f>
        <v>631.2222222222263</v>
      </c>
      <c r="AA32" s="386">
        <f> AA30 * AA31</f>
        <v>598.0000000000043</v>
      </c>
      <c r="AB32" s="386">
        <f> AB30 * AB31</f>
        <v>552.5000000000047</v>
      </c>
      <c r="AC32" s="386">
        <f> AC30 * AC31</f>
        <v>525.7777777777828</v>
      </c>
      <c r="AD32" s="386">
        <f> AD30 * AD31</f>
        <v>498.33333333333877</v>
      </c>
      <c r="AE32" s="386">
        <f> AE30 * AE31</f>
        <v>465.11111111111694</v>
      </c>
      <c r="AF32" s="386">
        <f> AF30 * AF31</f>
        <v>422.500000000006</v>
      </c>
      <c r="AG32" s="386">
        <f> AG30 * AG31</f>
        <v>394.3333333333398</v>
      </c>
      <c r="AH32" s="386">
        <f> AH30 * AH31</f>
        <v>365.44444444445134</v>
      </c>
      <c r="AI32" s="386">
        <f> AI30 * AI31</f>
        <v>332.22222222222945</v>
      </c>
      <c r="AJ32" s="386">
        <f> AJ30 * AJ31</f>
        <v>295.75000000000756</v>
      </c>
      <c r="AK32" s="386">
        <f> AK30 * AK31</f>
        <v>262.88888888889676</v>
      </c>
      <c r="AL32" s="386">
        <f> AL30 * AL31</f>
        <v>232.55555555556384</v>
      </c>
      <c r="AM32" s="386">
        <f> AM30 * AM31</f>
        <v>199.33333333334195</v>
      </c>
      <c r="AN32" s="386">
        <f> AN30 * AN31</f>
        <v>162.50000000000875</v>
      </c>
      <c r="AO32" s="386">
        <f> AO30 * AO31</f>
        <v>131.4444444444536</v>
      </c>
      <c r="AP32" s="386">
        <f> AP30 * AP31</f>
        <v>99.66666666667628</v>
      </c>
      <c r="AQ32" s="386">
        <f> AQ30 * AQ31</f>
        <v>66.44444444445439</v>
      </c>
      <c r="AR32" s="386">
        <f> AR30 * AR31</f>
        <v>32.500000000010054</v>
      </c>
      <c r="AS32" s="386">
        <f> AS30 * AS31</f>
        <v>1.0490339263924398e-11</v>
      </c>
      <c r="AT32" s="386">
        <f> AT30 * AT31</f>
        <v>1.0605617717374116e-11</v>
      </c>
      <c r="AU32" s="386">
        <f> AU30 * AU31</f>
        <v>1.0605617717374116e-11</v>
      </c>
      <c r="AV32" s="386">
        <f> AV30 * AV31</f>
        <v>1.037506081047468e-11</v>
      </c>
      <c r="AW32" s="386">
        <f> AW30 * AW31</f>
        <v>1.0490339263924398e-11</v>
      </c>
      <c r="AX32" s="386">
        <f> AX30 * AX31</f>
        <v>1.0605617717374116e-11</v>
      </c>
      <c r="AY32" s="386">
        <f> AY30 * AY31</f>
        <v>1.0605617717374116e-11</v>
      </c>
      <c r="AZ32" s="386">
        <f> AZ30 * AZ31</f>
        <v>1.0490339263924398e-11</v>
      </c>
      <c r="BA32" s="386">
        <f> BA30 * BA31</f>
        <v>1.0490339263924398e-11</v>
      </c>
      <c r="BB32" s="386">
        <f> BB30 * BB31</f>
        <v>1.0605617717374116e-11</v>
      </c>
      <c r="BC32" s="386">
        <f> BC30 * BC31</f>
        <v>1.0605617717374116e-11</v>
      </c>
      <c r="BD32" s="386">
        <f> BD30 * BD31</f>
        <v>1.037506081047468e-11</v>
      </c>
      <c r="BE32" s="386">
        <f> BE30 * BE31</f>
        <v>1.0490339263924398e-11</v>
      </c>
      <c r="BF32" s="386">
        <f> BF30 * BF31</f>
        <v>1.0605617717374116e-11</v>
      </c>
      <c r="BG32" s="386">
        <f> BG30 * BG31</f>
        <v>1.0605617717374116e-11</v>
      </c>
      <c r="BH32" s="386">
        <f> BH30 * BH31</f>
        <v>1.037506081047468e-11</v>
      </c>
      <c r="BI32" s="386">
        <f> BI30 * BI31</f>
        <v>1.0490339263924398e-11</v>
      </c>
      <c r="BJ32" s="386">
        <f> BJ30 * BJ31</f>
        <v>1.0605617717374116e-11</v>
      </c>
      <c r="BK32" s="386">
        <f> BK30 * BK31</f>
        <v>1.0605617717374116e-11</v>
      </c>
      <c r="BL32" s="386">
        <f> BL30 * BL31</f>
        <v>1.037506081047468e-11</v>
      </c>
      <c r="BM32" s="386">
        <f> BM30 * BM31</f>
        <v>1.0490339263924398e-11</v>
      </c>
      <c r="BN32" s="386">
        <f> BN30 * BN31</f>
        <v>1.0605617717374116e-11</v>
      </c>
      <c r="BO32" s="386">
        <f> BO30 * BO31</f>
        <v>1.0605617717374116e-11</v>
      </c>
      <c r="BP32" s="386">
        <f> BP30 * BP31</f>
        <v>1.0490339263924398e-11</v>
      </c>
      <c r="BQ32" s="386">
        <f> BQ30 * BQ31</f>
        <v>1.0490339263924398e-11</v>
      </c>
      <c r="BR32" s="386">
        <f> BR30 * BR31</f>
        <v>1.0605617717374116e-11</v>
      </c>
      <c r="BS32" s="386">
        <f> BS30 * BS31</f>
        <v>1.0605617717374116e-11</v>
      </c>
      <c r="BT32" s="386">
        <f> BT30 * BT31</f>
        <v>1.037506081047468e-11</v>
      </c>
      <c r="BU32" s="386">
        <f> BU30 * BU31</f>
        <v>1.0490339263924398e-11</v>
      </c>
      <c r="BV32" s="386">
        <f> BV30 * BV31</f>
        <v>1.0605617717374116e-11</v>
      </c>
      <c r="BW32" s="386">
        <f> BW30 * BW31</f>
        <v>1.0605617717374116e-11</v>
      </c>
      <c r="BX32" s="386">
        <f> BX30 * BX31</f>
        <v>1.037506081047468e-11</v>
      </c>
      <c r="BY32" s="386">
        <f> BY30 * BY31</f>
        <v>1.0490339263924398e-11</v>
      </c>
      <c r="BZ32" s="386">
        <f> BZ30 * BZ31</f>
        <v>1.0605617717374116e-11</v>
      </c>
      <c r="CA32" s="386">
        <f> CA30 * CA31</f>
        <v>1.0605617717374116e-11</v>
      </c>
      <c r="CB32" s="386">
        <f> CB30 * CB31</f>
        <v>1.037506081047468e-11</v>
      </c>
      <c r="CC32" s="386">
        <f> CC30 * CC31</f>
        <v>1.0490339263924398e-11</v>
      </c>
      <c r="CD32" s="386">
        <f> CD30 * CD31</f>
        <v>1.0605617717374116e-11</v>
      </c>
      <c r="CE32" s="386">
        <f> CE30 * CE31</f>
        <v>1.0605617717374116e-11</v>
      </c>
      <c r="CF32" s="386">
        <f> CF30 * CF31</f>
        <v>1.0490339263924398e-11</v>
      </c>
      <c r="CG32" s="386">
        <f> CG30 * CG31</f>
        <v>1.0490339263924398e-11</v>
      </c>
      <c r="CH32" s="386">
        <f> CH30 * CH31</f>
        <v>1.0605617717374116e-11</v>
      </c>
      <c r="CI32" s="386">
        <f> CI30 * CI31</f>
        <v>1.0605617717374116e-11</v>
      </c>
      <c r="CJ32" s="386">
        <f> CJ30 * CJ31</f>
        <v>1.037506081047468e-11</v>
      </c>
      <c r="CK32" s="386">
        <f> CK30 * CK31</f>
        <v>1.0490339263924398e-11</v>
      </c>
      <c r="CL32" s="386">
        <f> CL30 * CL31</f>
        <v>1.0605617717374116e-11</v>
      </c>
      <c r="CM32" s="386">
        <f> CM30 * CM31</f>
        <v>1.0605617717374116e-11</v>
      </c>
      <c r="CN32" s="386">
        <f> CN30 * CN31</f>
        <v>1.037506081047468e-11</v>
      </c>
      <c r="CO32" s="386">
        <f> CO30 * CO31</f>
        <v>1.0490339263924398e-11</v>
      </c>
    </row>
    <row r="33" customFormat="1" s="150">
      <c r="A33" s="348" t="n"/>
      <c r="B33" s="348" t="n"/>
      <c r="C33" s="349" t="n"/>
      <c r="D33" s="193" t="n"/>
      <c r="E33" s="150" t="str">
        <f> LEFT(E32, LEN(E32) - 4)</f>
        <v>Senior debt interest payment</v>
      </c>
      <c r="F33" s="150" t="inlineStr">
        <is>
          <t>IS&amp;CF</t>
        </is>
      </c>
      <c r="G33" s="150" t="str">
        <f> G32</f>
        <v>$ 000s</v>
      </c>
      <c r="H33" s="150">
        <f> SUM(J33:CO33)</f>
        <v>-18291.000000000673</v>
      </c>
      <c r="I33" s="150" t="n"/>
      <c r="J33" s="150">
        <f> -1 * J32</f>
        <v>-0.0</v>
      </c>
      <c r="K33" s="150">
        <f> -1 * K32</f>
        <v>-0.0</v>
      </c>
      <c r="L33" s="150">
        <f> -1 * L32</f>
        <v>-975.0</v>
      </c>
      <c r="M33" s="150">
        <f> -1 * M32</f>
        <v>-985.8333333333334</v>
      </c>
      <c r="N33" s="150">
        <f> -1 * N32</f>
        <v>-996.6666666666666</v>
      </c>
      <c r="O33" s="150">
        <f> -1 * O32</f>
        <v>-996.6666666666666</v>
      </c>
      <c r="P33" s="150">
        <f> -1 * P32</f>
        <v>-942.5000000000003</v>
      </c>
      <c r="Q33" s="150">
        <f> -1 * Q32</f>
        <v>-920.1111111111119</v>
      </c>
      <c r="R33" s="150">
        <f> -1 * R32</f>
        <v>-897.0000000000011</v>
      </c>
      <c r="S33" s="150">
        <f> -1 * S32</f>
        <v>-863.7777777777792</v>
      </c>
      <c r="T33" s="150">
        <f> -1 * T32</f>
        <v>-821.5277777777795</v>
      </c>
      <c r="U33" s="150">
        <f> -1 * U32</f>
        <v>-788.6666666666688</v>
      </c>
      <c r="V33" s="150">
        <f> -1 * V32</f>
        <v>-764.1111111111137</v>
      </c>
      <c r="W33" s="150">
        <f> -1 * W32</f>
        <v>-730.8888888888918</v>
      </c>
      <c r="X33" s="150">
        <f> -1 * X32</f>
        <v>-682.5000000000032</v>
      </c>
      <c r="Y33" s="150">
        <f> -1 * Y32</f>
        <v>-657.2222222222258</v>
      </c>
      <c r="Z33" s="150">
        <f> -1 * Z32</f>
        <v>-631.2222222222263</v>
      </c>
      <c r="AA33" s="150">
        <f> -1 * AA32</f>
        <v>-598.0000000000043</v>
      </c>
      <c r="AB33" s="150">
        <f> -1 * AB32</f>
        <v>-552.5000000000047</v>
      </c>
      <c r="AC33" s="150">
        <f> -1 * AC32</f>
        <v>-525.7777777777828</v>
      </c>
      <c r="AD33" s="150">
        <f> -1 * AD32</f>
        <v>-498.33333333333877</v>
      </c>
      <c r="AE33" s="150">
        <f> -1 * AE32</f>
        <v>-465.11111111111694</v>
      </c>
      <c r="AF33" s="150">
        <f> -1 * AF32</f>
        <v>-422.500000000006</v>
      </c>
      <c r="AG33" s="150">
        <f> -1 * AG32</f>
        <v>-394.3333333333398</v>
      </c>
      <c r="AH33" s="150">
        <f> -1 * AH32</f>
        <v>-365.44444444445134</v>
      </c>
      <c r="AI33" s="150">
        <f> -1 * AI32</f>
        <v>-332.22222222222945</v>
      </c>
      <c r="AJ33" s="150">
        <f> -1 * AJ32</f>
        <v>-295.75000000000756</v>
      </c>
      <c r="AK33" s="150">
        <f> -1 * AK32</f>
        <v>-262.88888888889676</v>
      </c>
      <c r="AL33" s="150">
        <f> -1 * AL32</f>
        <v>-232.55555555556384</v>
      </c>
      <c r="AM33" s="150">
        <f> -1 * AM32</f>
        <v>-199.33333333334195</v>
      </c>
      <c r="AN33" s="150">
        <f> -1 * AN32</f>
        <v>-162.50000000000875</v>
      </c>
      <c r="AO33" s="150">
        <f> -1 * AO32</f>
        <v>-131.4444444444536</v>
      </c>
      <c r="AP33" s="150">
        <f> -1 * AP32</f>
        <v>-99.66666666667628</v>
      </c>
      <c r="AQ33" s="150">
        <f> -1 * AQ32</f>
        <v>-66.44444444445439</v>
      </c>
      <c r="AR33" s="150">
        <f> -1 * AR32</f>
        <v>-32.500000000010054</v>
      </c>
      <c r="AS33" s="150">
        <f> -1 * AS32</f>
        <v>-1.0490339263924398e-11</v>
      </c>
      <c r="AT33" s="150">
        <f> -1 * AT32</f>
        <v>-1.0605617717374116e-11</v>
      </c>
      <c r="AU33" s="150">
        <f> -1 * AU32</f>
        <v>-1.0605617717374116e-11</v>
      </c>
      <c r="AV33" s="150">
        <f> -1 * AV32</f>
        <v>-1.037506081047468e-11</v>
      </c>
      <c r="AW33" s="150">
        <f> -1 * AW32</f>
        <v>-1.0490339263924398e-11</v>
      </c>
      <c r="AX33" s="150">
        <f> -1 * AX32</f>
        <v>-1.0605617717374116e-11</v>
      </c>
      <c r="AY33" s="150">
        <f> -1 * AY32</f>
        <v>-1.0605617717374116e-11</v>
      </c>
      <c r="AZ33" s="150">
        <f> -1 * AZ32</f>
        <v>-1.0490339263924398e-11</v>
      </c>
      <c r="BA33" s="150">
        <f> -1 * BA32</f>
        <v>-1.0490339263924398e-11</v>
      </c>
      <c r="BB33" s="150">
        <f> -1 * BB32</f>
        <v>-1.0605617717374116e-11</v>
      </c>
      <c r="BC33" s="150">
        <f> -1 * BC32</f>
        <v>-1.0605617717374116e-11</v>
      </c>
      <c r="BD33" s="150">
        <f> -1 * BD32</f>
        <v>-1.037506081047468e-11</v>
      </c>
      <c r="BE33" s="150">
        <f> -1 * BE32</f>
        <v>-1.0490339263924398e-11</v>
      </c>
      <c r="BF33" s="150">
        <f> -1 * BF32</f>
        <v>-1.0605617717374116e-11</v>
      </c>
      <c r="BG33" s="150">
        <f> -1 * BG32</f>
        <v>-1.0605617717374116e-11</v>
      </c>
      <c r="BH33" s="150">
        <f> -1 * BH32</f>
        <v>-1.037506081047468e-11</v>
      </c>
      <c r="BI33" s="150">
        <f> -1 * BI32</f>
        <v>-1.0490339263924398e-11</v>
      </c>
      <c r="BJ33" s="150">
        <f> -1 * BJ32</f>
        <v>-1.0605617717374116e-11</v>
      </c>
      <c r="BK33" s="150">
        <f> -1 * BK32</f>
        <v>-1.0605617717374116e-11</v>
      </c>
      <c r="BL33" s="150">
        <f> -1 * BL32</f>
        <v>-1.037506081047468e-11</v>
      </c>
      <c r="BM33" s="150">
        <f> -1 * BM32</f>
        <v>-1.0490339263924398e-11</v>
      </c>
      <c r="BN33" s="150">
        <f> -1 * BN32</f>
        <v>-1.0605617717374116e-11</v>
      </c>
      <c r="BO33" s="150">
        <f> -1 * BO32</f>
        <v>-1.0605617717374116e-11</v>
      </c>
      <c r="BP33" s="150">
        <f> -1 * BP32</f>
        <v>-1.0490339263924398e-11</v>
      </c>
      <c r="BQ33" s="150">
        <f> -1 * BQ32</f>
        <v>-1.0490339263924398e-11</v>
      </c>
      <c r="BR33" s="150">
        <f> -1 * BR32</f>
        <v>-1.0605617717374116e-11</v>
      </c>
      <c r="BS33" s="150">
        <f> -1 * BS32</f>
        <v>-1.0605617717374116e-11</v>
      </c>
      <c r="BT33" s="150">
        <f> -1 * BT32</f>
        <v>-1.037506081047468e-11</v>
      </c>
      <c r="BU33" s="150">
        <f> -1 * BU32</f>
        <v>-1.0490339263924398e-11</v>
      </c>
      <c r="BV33" s="150">
        <f> -1 * BV32</f>
        <v>-1.0605617717374116e-11</v>
      </c>
      <c r="BW33" s="150">
        <f> -1 * BW32</f>
        <v>-1.0605617717374116e-11</v>
      </c>
      <c r="BX33" s="150">
        <f> -1 * BX32</f>
        <v>-1.037506081047468e-11</v>
      </c>
      <c r="BY33" s="150">
        <f> -1 * BY32</f>
        <v>-1.0490339263924398e-11</v>
      </c>
      <c r="BZ33" s="150">
        <f> -1 * BZ32</f>
        <v>-1.0605617717374116e-11</v>
      </c>
      <c r="CA33" s="150">
        <f> -1 * CA32</f>
        <v>-1.0605617717374116e-11</v>
      </c>
      <c r="CB33" s="150">
        <f> -1 * CB32</f>
        <v>-1.037506081047468e-11</v>
      </c>
      <c r="CC33" s="150">
        <f> -1 * CC32</f>
        <v>-1.0490339263924398e-11</v>
      </c>
      <c r="CD33" s="150">
        <f> -1 * CD32</f>
        <v>-1.0605617717374116e-11</v>
      </c>
      <c r="CE33" s="150">
        <f> -1 * CE32</f>
        <v>-1.0605617717374116e-11</v>
      </c>
      <c r="CF33" s="150">
        <f> -1 * CF32</f>
        <v>-1.0490339263924398e-11</v>
      </c>
      <c r="CG33" s="150">
        <f> -1 * CG32</f>
        <v>-1.0490339263924398e-11</v>
      </c>
      <c r="CH33" s="150">
        <f> -1 * CH32</f>
        <v>-1.0605617717374116e-11</v>
      </c>
      <c r="CI33" s="150">
        <f> -1 * CI32</f>
        <v>-1.0605617717374116e-11</v>
      </c>
      <c r="CJ33" s="150">
        <f> -1 * CJ32</f>
        <v>-1.037506081047468e-11</v>
      </c>
      <c r="CK33" s="150">
        <f> -1 * CK32</f>
        <v>-1.0490339263924398e-11</v>
      </c>
      <c r="CL33" s="150">
        <f> -1 * CL32</f>
        <v>-1.0605617717374116e-11</v>
      </c>
      <c r="CM33" s="150">
        <f> -1 * CM32</f>
        <v>-1.0605617717374116e-11</v>
      </c>
      <c r="CN33" s="150">
        <f> -1 * CN32</f>
        <v>-1.037506081047468e-11</v>
      </c>
      <c r="CO33" s="150">
        <f> -1 * CO32</f>
        <v>-1.0490339263924398e-11</v>
      </c>
    </row>
    <row r="36">
      <c r="A36" s="294" t="inlineStr">
        <is>
          <t>SENIOR DEBT BALANCE</t>
        </is>
      </c>
    </row>
    <row r="38" customFormat="1" s="182">
      <c r="A38" s="177" t="n"/>
      <c r="B38" s="177" t="n"/>
      <c r="C38" s="178" t="n"/>
      <c r="D38" s="179" t="n"/>
      <c r="E38" s="182" t="str">
        <f> E$11</f>
        <v>Senior debt - Initial balance</v>
      </c>
      <c r="F38" s="182">
        <f> F$11</f>
        <v>60000.0</v>
      </c>
      <c r="G38" s="182" t="str">
        <f> G$11</f>
        <v>$ 000s</v>
      </c>
    </row>
    <row r="39" customFormat="1" s="100">
      <c r="A39" s="294" t="n"/>
      <c r="B39" s="294" t="n"/>
      <c r="C39" s="212" t="n"/>
      <c r="D39" s="244" t="n"/>
      <c r="E39" s="325" t="str">
        <f> Time!E$45</f>
        <v>Acquisition / initial balance date flag</v>
      </c>
      <c r="F39" s="325">
        <f> Time!F$45</f>
        <v>0.0</v>
      </c>
      <c r="G39" s="325" t="str">
        <f> Time!G$45</f>
        <v>flag</v>
      </c>
      <c r="H39" s="325">
        <f> Time!H$45</f>
        <v>1.0</v>
      </c>
      <c r="I39" s="325">
        <f> Time!I$45</f>
        <v>0.0</v>
      </c>
      <c r="J39" s="325">
        <f> Time!J$45</f>
        <v>0.0</v>
      </c>
      <c r="K39" s="325">
        <f> Time!K$45</f>
        <v>1.0</v>
      </c>
      <c r="L39" s="325">
        <f> Time!L$45</f>
        <v>0.0</v>
      </c>
      <c r="M39" s="325">
        <f> Time!M$45</f>
        <v>0.0</v>
      </c>
      <c r="N39" s="325">
        <f> Time!N$45</f>
        <v>0.0</v>
      </c>
      <c r="O39" s="325">
        <f> Time!O$45</f>
        <v>0.0</v>
      </c>
      <c r="P39" s="325">
        <f> Time!P$45</f>
        <v>0.0</v>
      </c>
      <c r="Q39" s="325">
        <f> Time!Q$45</f>
        <v>0.0</v>
      </c>
      <c r="R39" s="325">
        <f> Time!R$45</f>
        <v>0.0</v>
      </c>
      <c r="S39" s="325">
        <f> Time!S$45</f>
        <v>0.0</v>
      </c>
      <c r="T39" s="325">
        <f> Time!T$45</f>
        <v>0.0</v>
      </c>
      <c r="U39" s="325">
        <f> Time!U$45</f>
        <v>0.0</v>
      </c>
      <c r="V39" s="325">
        <f> Time!V$45</f>
        <v>0.0</v>
      </c>
      <c r="W39" s="325">
        <f> Time!W$45</f>
        <v>0.0</v>
      </c>
      <c r="X39" s="325">
        <f> Time!X$45</f>
        <v>0.0</v>
      </c>
      <c r="Y39" s="325">
        <f> Time!Y$45</f>
        <v>0.0</v>
      </c>
      <c r="Z39" s="325">
        <f> Time!Z$45</f>
        <v>0.0</v>
      </c>
      <c r="AA39" s="325">
        <f> Time!AA$45</f>
        <v>0.0</v>
      </c>
      <c r="AB39" s="325">
        <f> Time!AB$45</f>
        <v>0.0</v>
      </c>
      <c r="AC39" s="325">
        <f> Time!AC$45</f>
        <v>0.0</v>
      </c>
      <c r="AD39" s="325">
        <f> Time!AD$45</f>
        <v>0.0</v>
      </c>
      <c r="AE39" s="325">
        <f> Time!AE$45</f>
        <v>0.0</v>
      </c>
      <c r="AF39" s="325">
        <f> Time!AF$45</f>
        <v>0.0</v>
      </c>
      <c r="AG39" s="325">
        <f> Time!AG$45</f>
        <v>0.0</v>
      </c>
      <c r="AH39" s="325">
        <f> Time!AH$45</f>
        <v>0.0</v>
      </c>
      <c r="AI39" s="325">
        <f> Time!AI$45</f>
        <v>0.0</v>
      </c>
      <c r="AJ39" s="325">
        <f> Time!AJ$45</f>
        <v>0.0</v>
      </c>
      <c r="AK39" s="325">
        <f> Time!AK$45</f>
        <v>0.0</v>
      </c>
      <c r="AL39" s="325">
        <f> Time!AL$45</f>
        <v>0.0</v>
      </c>
      <c r="AM39" s="325">
        <f> Time!AM$45</f>
        <v>0.0</v>
      </c>
      <c r="AN39" s="325">
        <f> Time!AN$45</f>
        <v>0.0</v>
      </c>
      <c r="AO39" s="325">
        <f> Time!AO$45</f>
        <v>0.0</v>
      </c>
      <c r="AP39" s="325">
        <f> Time!AP$45</f>
        <v>0.0</v>
      </c>
      <c r="AQ39" s="325">
        <f> Time!AQ$45</f>
        <v>0.0</v>
      </c>
      <c r="AR39" s="325">
        <f> Time!AR$45</f>
        <v>0.0</v>
      </c>
      <c r="AS39" s="325">
        <f> Time!AS$45</f>
        <v>0.0</v>
      </c>
      <c r="AT39" s="325">
        <f> Time!AT$45</f>
        <v>0.0</v>
      </c>
      <c r="AU39" s="325">
        <f> Time!AU$45</f>
        <v>0.0</v>
      </c>
      <c r="AV39" s="325">
        <f> Time!AV$45</f>
        <v>0.0</v>
      </c>
      <c r="AW39" s="325">
        <f> Time!AW$45</f>
        <v>0.0</v>
      </c>
      <c r="AX39" s="325">
        <f> Time!AX$45</f>
        <v>0.0</v>
      </c>
      <c r="AY39" s="325">
        <f> Time!AY$45</f>
        <v>0.0</v>
      </c>
      <c r="AZ39" s="325">
        <f> Time!AZ$45</f>
        <v>0.0</v>
      </c>
      <c r="BA39" s="325">
        <f> Time!BA$45</f>
        <v>0.0</v>
      </c>
      <c r="BB39" s="325">
        <f> Time!BB$45</f>
        <v>0.0</v>
      </c>
      <c r="BC39" s="325">
        <f> Time!BC$45</f>
        <v>0.0</v>
      </c>
      <c r="BD39" s="325">
        <f> Time!BD$45</f>
        <v>0.0</v>
      </c>
      <c r="BE39" s="325">
        <f> Time!BE$45</f>
        <v>0.0</v>
      </c>
      <c r="BF39" s="325">
        <f> Time!BF$45</f>
        <v>0.0</v>
      </c>
      <c r="BG39" s="325">
        <f> Time!BG$45</f>
        <v>0.0</v>
      </c>
      <c r="BH39" s="325">
        <f> Time!BH$45</f>
        <v>0.0</v>
      </c>
      <c r="BI39" s="325">
        <f> Time!BI$45</f>
        <v>0.0</v>
      </c>
      <c r="BJ39" s="325">
        <f> Time!BJ$45</f>
        <v>0.0</v>
      </c>
      <c r="BK39" s="325">
        <f> Time!BK$45</f>
        <v>0.0</v>
      </c>
      <c r="BL39" s="325">
        <f> Time!BL$45</f>
        <v>0.0</v>
      </c>
      <c r="BM39" s="325">
        <f> Time!BM$45</f>
        <v>0.0</v>
      </c>
      <c r="BN39" s="325">
        <f> Time!BN$45</f>
        <v>0.0</v>
      </c>
      <c r="BO39" s="325">
        <f> Time!BO$45</f>
        <v>0.0</v>
      </c>
      <c r="BP39" s="325">
        <f> Time!BP$45</f>
        <v>0.0</v>
      </c>
      <c r="BQ39" s="325">
        <f> Time!BQ$45</f>
        <v>0.0</v>
      </c>
      <c r="BR39" s="325">
        <f> Time!BR$45</f>
        <v>0.0</v>
      </c>
      <c r="BS39" s="325">
        <f> Time!BS$45</f>
        <v>0.0</v>
      </c>
      <c r="BT39" s="325">
        <f> Time!BT$45</f>
        <v>0.0</v>
      </c>
      <c r="BU39" s="325">
        <f> Time!BU$45</f>
        <v>0.0</v>
      </c>
      <c r="BV39" s="325">
        <f> Time!BV$45</f>
        <v>0.0</v>
      </c>
      <c r="BW39" s="325">
        <f> Time!BW$45</f>
        <v>0.0</v>
      </c>
      <c r="BX39" s="325">
        <f> Time!BX$45</f>
        <v>0.0</v>
      </c>
      <c r="BY39" s="325">
        <f> Time!BY$45</f>
        <v>0.0</v>
      </c>
      <c r="BZ39" s="325">
        <f> Time!BZ$45</f>
        <v>0.0</v>
      </c>
      <c r="CA39" s="325">
        <f> Time!CA$45</f>
        <v>0.0</v>
      </c>
      <c r="CB39" s="325">
        <f> Time!CB$45</f>
        <v>0.0</v>
      </c>
      <c r="CC39" s="325">
        <f> Time!CC$45</f>
        <v>0.0</v>
      </c>
      <c r="CD39" s="325">
        <f> Time!CD$45</f>
        <v>0.0</v>
      </c>
      <c r="CE39" s="325">
        <f> Time!CE$45</f>
        <v>0.0</v>
      </c>
      <c r="CF39" s="325">
        <f> Time!CF$45</f>
        <v>0.0</v>
      </c>
      <c r="CG39" s="325">
        <f> Time!CG$45</f>
        <v>0.0</v>
      </c>
      <c r="CH39" s="325">
        <f> Time!CH$45</f>
        <v>0.0</v>
      </c>
      <c r="CI39" s="325">
        <f> Time!CI$45</f>
        <v>0.0</v>
      </c>
      <c r="CJ39" s="325">
        <f> Time!CJ$45</f>
        <v>0.0</v>
      </c>
      <c r="CK39" s="325">
        <f> Time!CK$45</f>
        <v>0.0</v>
      </c>
      <c r="CL39" s="325">
        <f> Time!CL$45</f>
        <v>0.0</v>
      </c>
      <c r="CM39" s="325">
        <f> Time!CM$45</f>
        <v>0.0</v>
      </c>
      <c r="CN39" s="325">
        <f> Time!CN$45</f>
        <v>0.0</v>
      </c>
      <c r="CO39" s="325">
        <f> Time!CO$45</f>
        <v>0.0</v>
      </c>
    </row>
    <row r="40" customFormat="1" s="61">
      <c r="A40" s="294" t="n"/>
      <c r="B40" s="294" t="n"/>
      <c r="C40" s="212" t="n"/>
      <c r="D40" s="244" t="n"/>
    </row>
    <row r="41" customFormat="1" s="61">
      <c r="A41" s="294" t="n"/>
      <c r="B41" s="294" t="n"/>
      <c r="C41" s="212" t="n"/>
      <c r="D41" s="244" t="n"/>
      <c r="E41" s="61" t="inlineStr">
        <is>
          <t>Senior debt balance BEG</t>
        </is>
      </c>
      <c r="G41" s="61" t="inlineStr">
        <is>
          <t>$ 000s</t>
        </is>
      </c>
      <c r="J41" s="61">
        <f> I44</f>
        <v>0.0</v>
      </c>
      <c r="K41" s="61">
        <f> J44</f>
        <v>0.0</v>
      </c>
      <c r="L41" s="61">
        <f> K44</f>
        <v>60000.0</v>
      </c>
      <c r="M41" s="61">
        <f> L44</f>
        <v>60000.0</v>
      </c>
      <c r="N41" s="61">
        <f> M44</f>
        <v>60000.0</v>
      </c>
      <c r="O41" s="61">
        <f> N44</f>
        <v>60000.0</v>
      </c>
      <c r="P41" s="61">
        <f> O44</f>
        <v>58000.00000000002</v>
      </c>
      <c r="Q41" s="61">
        <f> P44</f>
        <v>56000.000000000044</v>
      </c>
      <c r="R41" s="61">
        <f> Q44</f>
        <v>54000.000000000065</v>
      </c>
      <c r="S41" s="61">
        <f> R44</f>
        <v>52000.00000000009</v>
      </c>
      <c r="T41" s="61">
        <f> S44</f>
        <v>50000.00000000011</v>
      </c>
      <c r="U41" s="61">
        <f> T44</f>
        <v>48000.00000000013</v>
      </c>
      <c r="V41" s="61">
        <f> U44</f>
        <v>46000.00000000015</v>
      </c>
      <c r="W41" s="61">
        <f> V44</f>
        <v>44000.000000000175</v>
      </c>
      <c r="X41" s="61">
        <f> W44</f>
        <v>42000.0000000002</v>
      </c>
      <c r="Y41" s="61">
        <f> X44</f>
        <v>40000.00000000022</v>
      </c>
      <c r="Z41" s="61">
        <f> Y44</f>
        <v>38000.00000000024</v>
      </c>
      <c r="AA41" s="61">
        <f> Z44</f>
        <v>36000.00000000026</v>
      </c>
      <c r="AB41" s="61">
        <f> AA44</f>
        <v>34000.000000000284</v>
      </c>
      <c r="AC41" s="61">
        <f> AB44</f>
        <v>32000.000000000306</v>
      </c>
      <c r="AD41" s="61">
        <f> AC44</f>
        <v>30000.000000000327</v>
      </c>
      <c r="AE41" s="61">
        <f> AD44</f>
        <v>28000.00000000035</v>
      </c>
      <c r="AF41" s="61">
        <f> AE44</f>
        <v>26000.00000000037</v>
      </c>
      <c r="AG41" s="61">
        <f> AF44</f>
        <v>24000.000000000393</v>
      </c>
      <c r="AH41" s="61">
        <f> AG44</f>
        <v>22000.000000000415</v>
      </c>
      <c r="AI41" s="61">
        <f> AH44</f>
        <v>20000.000000000437</v>
      </c>
      <c r="AJ41" s="61">
        <f> AI44</f>
        <v>18000.00000000046</v>
      </c>
      <c r="AK41" s="61">
        <f> AJ44</f>
        <v>16000.000000000478</v>
      </c>
      <c r="AL41" s="61">
        <f> AK44</f>
        <v>14000.000000000498</v>
      </c>
      <c r="AM41" s="61">
        <f> AL44</f>
        <v>12000.000000000518</v>
      </c>
      <c r="AN41" s="61">
        <f> AM44</f>
        <v>10000.000000000538</v>
      </c>
      <c r="AO41" s="61">
        <f> AN44</f>
        <v>8000.000000000558</v>
      </c>
      <c r="AP41" s="61">
        <f> AO44</f>
        <v>6000.000000000578</v>
      </c>
      <c r="AQ41" s="61">
        <f> AP44</f>
        <v>4000.0000000005984</v>
      </c>
      <c r="AR41" s="61">
        <f> AQ44</f>
        <v>2000.0000000006185</v>
      </c>
      <c r="AS41" s="61">
        <f> AR44</f>
        <v>6.384652806445956e-10</v>
      </c>
      <c r="AT41" s="61">
        <f> AS44</f>
        <v>6.384652806445956e-10</v>
      </c>
      <c r="AU41" s="61">
        <f> AT44</f>
        <v>6.384652806445956e-10</v>
      </c>
      <c r="AV41" s="61">
        <f> AU44</f>
        <v>6.384652806445956e-10</v>
      </c>
      <c r="AW41" s="61">
        <f> AV44</f>
        <v>6.384652806445956e-10</v>
      </c>
      <c r="AX41" s="61">
        <f> AW44</f>
        <v>6.384652806445956e-10</v>
      </c>
      <c r="AY41" s="61">
        <f> AX44</f>
        <v>6.384652806445956e-10</v>
      </c>
      <c r="AZ41" s="61">
        <f> AY44</f>
        <v>6.384652806445956e-10</v>
      </c>
      <c r="BA41" s="61">
        <f> AZ44</f>
        <v>6.384652806445956e-10</v>
      </c>
      <c r="BB41" s="61">
        <f> BA44</f>
        <v>6.384652806445956e-10</v>
      </c>
      <c r="BC41" s="61">
        <f> BB44</f>
        <v>6.384652806445956e-10</v>
      </c>
      <c r="BD41" s="61">
        <f> BC44</f>
        <v>6.384652806445956e-10</v>
      </c>
      <c r="BE41" s="61">
        <f> BD44</f>
        <v>6.384652806445956e-10</v>
      </c>
      <c r="BF41" s="61">
        <f> BE44</f>
        <v>6.384652806445956e-10</v>
      </c>
      <c r="BG41" s="61">
        <f> BF44</f>
        <v>6.384652806445956e-10</v>
      </c>
      <c r="BH41" s="61">
        <f> BG44</f>
        <v>6.384652806445956e-10</v>
      </c>
      <c r="BI41" s="61">
        <f> BH44</f>
        <v>6.384652806445956e-10</v>
      </c>
      <c r="BJ41" s="61">
        <f> BI44</f>
        <v>6.384652806445956e-10</v>
      </c>
      <c r="BK41" s="61">
        <f> BJ44</f>
        <v>6.384652806445956e-10</v>
      </c>
      <c r="BL41" s="61">
        <f> BK44</f>
        <v>6.384652806445956e-10</v>
      </c>
      <c r="BM41" s="61">
        <f> BL44</f>
        <v>6.384652806445956e-10</v>
      </c>
      <c r="BN41" s="61">
        <f> BM44</f>
        <v>6.384652806445956e-10</v>
      </c>
      <c r="BO41" s="61">
        <f> BN44</f>
        <v>6.384652806445956e-10</v>
      </c>
      <c r="BP41" s="61">
        <f> BO44</f>
        <v>6.384652806445956e-10</v>
      </c>
      <c r="BQ41" s="61">
        <f> BP44</f>
        <v>6.384652806445956e-10</v>
      </c>
      <c r="BR41" s="61">
        <f> BQ44</f>
        <v>6.384652806445956e-10</v>
      </c>
      <c r="BS41" s="61">
        <f> BR44</f>
        <v>6.384652806445956e-10</v>
      </c>
      <c r="BT41" s="61">
        <f> BS44</f>
        <v>6.384652806445956e-10</v>
      </c>
      <c r="BU41" s="61">
        <f> BT44</f>
        <v>6.384652806445956e-10</v>
      </c>
      <c r="BV41" s="61">
        <f> BU44</f>
        <v>6.384652806445956e-10</v>
      </c>
      <c r="BW41" s="61">
        <f> BV44</f>
        <v>6.384652806445956e-10</v>
      </c>
      <c r="BX41" s="61">
        <f> BW44</f>
        <v>6.384652806445956e-10</v>
      </c>
      <c r="BY41" s="61">
        <f> BX44</f>
        <v>6.384652806445956e-10</v>
      </c>
      <c r="BZ41" s="61">
        <f> BY44</f>
        <v>6.384652806445956e-10</v>
      </c>
      <c r="CA41" s="61">
        <f> BZ44</f>
        <v>6.384652806445956e-10</v>
      </c>
      <c r="CB41" s="61">
        <f> CA44</f>
        <v>6.384652806445956e-10</v>
      </c>
      <c r="CC41" s="61">
        <f> CB44</f>
        <v>6.384652806445956e-10</v>
      </c>
      <c r="CD41" s="61">
        <f> CC44</f>
        <v>6.384652806445956e-10</v>
      </c>
      <c r="CE41" s="61">
        <f> CD44</f>
        <v>6.384652806445956e-10</v>
      </c>
      <c r="CF41" s="61">
        <f> CE44</f>
        <v>6.384652806445956e-10</v>
      </c>
      <c r="CG41" s="61">
        <f> CF44</f>
        <v>6.384652806445956e-10</v>
      </c>
      <c r="CH41" s="61">
        <f> CG44</f>
        <v>6.384652806445956e-10</v>
      </c>
      <c r="CI41" s="61">
        <f> CH44</f>
        <v>6.384652806445956e-10</v>
      </c>
      <c r="CJ41" s="61">
        <f> CI44</f>
        <v>6.384652806445956e-10</v>
      </c>
      <c r="CK41" s="61">
        <f> CJ44</f>
        <v>6.384652806445956e-10</v>
      </c>
      <c r="CL41" s="61">
        <f> CK44</f>
        <v>6.384652806445956e-10</v>
      </c>
      <c r="CM41" s="61">
        <f> CL44</f>
        <v>6.384652806445956e-10</v>
      </c>
      <c r="CN41" s="61">
        <f> CM44</f>
        <v>6.384652806445956e-10</v>
      </c>
      <c r="CO41" s="61">
        <f> CN44</f>
        <v>6.384652806445956e-10</v>
      </c>
    </row>
    <row r="42" customFormat="1" s="183">
      <c r="A42" s="294" t="n"/>
      <c r="B42" s="294" t="n"/>
      <c r="C42" s="212" t="n"/>
      <c r="D42" s="244" t="inlineStr">
        <is>
          <t>plus</t>
        </is>
      </c>
      <c r="E42" s="183" t="str">
        <f>InpS!E$22</f>
        <v>Senior debt - additional drawdown</v>
      </c>
      <c r="F42" s="0">
        <f>InpS!F$22</f>
        <v>0.0</v>
      </c>
      <c r="G42" s="0" t="str">
        <f>InpS!G$22</f>
        <v>$ 000s</v>
      </c>
      <c r="H42" s="0">
        <f>SUM(J42:CO42)</f>
        <v>0.0</v>
      </c>
      <c r="J42" s="0">
        <f>InpS!J$22</f>
        <v>0.0</v>
      </c>
      <c r="K42" s="0">
        <f>InpS!K$22</f>
        <v>0.0</v>
      </c>
      <c r="L42" s="0">
        <f>InpS!L$22</f>
        <v>0.0</v>
      </c>
      <c r="M42" s="0">
        <f>InpS!M$22</f>
        <v>0.0</v>
      </c>
      <c r="N42" s="0">
        <f>InpS!N$22</f>
        <v>0.0</v>
      </c>
      <c r="O42" s="0">
        <f>InpS!O$22</f>
        <v>0.0</v>
      </c>
      <c r="P42" s="0">
        <f>InpS!P$22</f>
        <v>0.0</v>
      </c>
      <c r="Q42" s="0">
        <f>InpS!Q$22</f>
        <v>0.0</v>
      </c>
      <c r="R42" s="0">
        <f>InpS!R$22</f>
        <v>0.0</v>
      </c>
      <c r="S42" s="0">
        <f>InpS!S$22</f>
        <v>0.0</v>
      </c>
      <c r="T42" s="0">
        <f>InpS!T$22</f>
        <v>0.0</v>
      </c>
      <c r="U42" s="0">
        <f>InpS!U$22</f>
        <v>0.0</v>
      </c>
      <c r="V42" s="0">
        <f>InpS!V$22</f>
        <v>0.0</v>
      </c>
      <c r="W42" s="0">
        <f>InpS!W$22</f>
        <v>0.0</v>
      </c>
      <c r="X42" s="0">
        <f>InpS!X$22</f>
        <v>0.0</v>
      </c>
      <c r="Y42" s="0">
        <f>InpS!Y$22</f>
        <v>0.0</v>
      </c>
      <c r="Z42" s="0">
        <f>InpS!Z$22</f>
        <v>0.0</v>
      </c>
      <c r="AA42" s="0">
        <f>InpS!AA$22</f>
        <v>0.0</v>
      </c>
      <c r="AB42" s="0">
        <f>InpS!AB$22</f>
        <v>0.0</v>
      </c>
      <c r="AC42" s="0">
        <f>InpS!AC$22</f>
        <v>0.0</v>
      </c>
      <c r="AD42" s="0">
        <f>InpS!AD$22</f>
        <v>0.0</v>
      </c>
      <c r="AE42" s="0">
        <f>InpS!AE$22</f>
        <v>0.0</v>
      </c>
      <c r="AF42" s="0">
        <f>InpS!AF$22</f>
        <v>0.0</v>
      </c>
      <c r="AG42" s="0">
        <f>InpS!AG$22</f>
        <v>0.0</v>
      </c>
      <c r="AH42" s="0">
        <f>InpS!AH$22</f>
        <v>0.0</v>
      </c>
      <c r="AI42" s="0">
        <f>InpS!AI$22</f>
        <v>0.0</v>
      </c>
      <c r="AJ42" s="0">
        <f>InpS!AJ$22</f>
        <v>0.0</v>
      </c>
      <c r="AK42" s="0">
        <f>InpS!AK$22</f>
        <v>0.0</v>
      </c>
      <c r="AL42" s="0">
        <f>InpS!AL$22</f>
        <v>0.0</v>
      </c>
      <c r="AM42" s="0">
        <f>InpS!AM$22</f>
        <v>0.0</v>
      </c>
      <c r="AN42" s="0">
        <f>InpS!AN$22</f>
        <v>0.0</v>
      </c>
      <c r="AO42" s="0">
        <f>InpS!AO$22</f>
        <v>0.0</v>
      </c>
      <c r="AP42" s="0">
        <f>InpS!AP$22</f>
        <v>0.0</v>
      </c>
      <c r="AQ42" s="0">
        <f>InpS!AQ$22</f>
        <v>0.0</v>
      </c>
      <c r="AR42" s="0">
        <f>InpS!AR$22</f>
        <v>0.0</v>
      </c>
      <c r="AS42" s="0">
        <f>InpS!AS$22</f>
        <v>0.0</v>
      </c>
      <c r="AT42" s="0">
        <f>InpS!AT$22</f>
        <v>0.0</v>
      </c>
      <c r="AU42" s="0">
        <f>InpS!AU$22</f>
        <v>0.0</v>
      </c>
      <c r="AV42" s="0">
        <f>InpS!AV$22</f>
        <v>0.0</v>
      </c>
      <c r="AW42" s="0">
        <f>InpS!AW$22</f>
        <v>0.0</v>
      </c>
      <c r="AX42" s="0">
        <f>InpS!AX$22</f>
        <v>0.0</v>
      </c>
      <c r="AY42" s="0">
        <f>InpS!AY$22</f>
        <v>0.0</v>
      </c>
      <c r="AZ42" s="0">
        <f>InpS!AZ$22</f>
        <v>0.0</v>
      </c>
      <c r="BA42" s="0">
        <f>InpS!BA$22</f>
        <v>0.0</v>
      </c>
      <c r="BB42" s="0">
        <f>InpS!BB$22</f>
        <v>0.0</v>
      </c>
      <c r="BC42" s="0">
        <f>InpS!BC$22</f>
        <v>0.0</v>
      </c>
      <c r="BD42" s="0">
        <f>InpS!BD$22</f>
        <v>0.0</v>
      </c>
      <c r="BE42" s="0">
        <f>InpS!BE$22</f>
        <v>0.0</v>
      </c>
      <c r="BF42" s="0">
        <f>InpS!BF$22</f>
        <v>0.0</v>
      </c>
      <c r="BG42" s="0">
        <f>InpS!BG$22</f>
        <v>0.0</v>
      </c>
      <c r="BH42" s="0">
        <f>InpS!BH$22</f>
        <v>0.0</v>
      </c>
      <c r="BI42" s="0">
        <f>InpS!BI$22</f>
        <v>0.0</v>
      </c>
      <c r="BJ42" s="0">
        <f>InpS!BJ$22</f>
        <v>0.0</v>
      </c>
      <c r="BK42" s="0">
        <f>InpS!BK$22</f>
        <v>0.0</v>
      </c>
      <c r="BL42" s="0">
        <f>InpS!BL$22</f>
        <v>0.0</v>
      </c>
      <c r="BM42" s="0">
        <f>InpS!BM$22</f>
        <v>0.0</v>
      </c>
      <c r="BN42" s="0">
        <f>InpS!BN$22</f>
        <v>0.0</v>
      </c>
      <c r="BO42" s="0">
        <f>InpS!BO$22</f>
        <v>0.0</v>
      </c>
      <c r="BP42" s="0">
        <f>InpS!BP$22</f>
        <v>0.0</v>
      </c>
      <c r="BQ42" s="0">
        <f>InpS!BQ$22</f>
        <v>0.0</v>
      </c>
      <c r="BR42" s="0">
        <f>InpS!BR$22</f>
        <v>0.0</v>
      </c>
      <c r="BS42" s="0">
        <f>InpS!BS$22</f>
        <v>0.0</v>
      </c>
      <c r="BT42" s="0">
        <f>InpS!BT$22</f>
        <v>0.0</v>
      </c>
      <c r="BU42" s="0">
        <f>InpS!BU$22</f>
        <v>0.0</v>
      </c>
      <c r="BV42" s="0">
        <f>InpS!BV$22</f>
        <v>0.0</v>
      </c>
      <c r="BW42" s="0">
        <f>InpS!BW$22</f>
        <v>0.0</v>
      </c>
      <c r="BX42" s="0">
        <f>InpS!BX$22</f>
        <v>0.0</v>
      </c>
      <c r="BY42" s="0">
        <f>InpS!BY$22</f>
        <v>0.0</v>
      </c>
      <c r="BZ42" s="0">
        <f>InpS!BZ$22</f>
        <v>0.0</v>
      </c>
      <c r="CA42" s="0">
        <f>InpS!CA$22</f>
        <v>0.0</v>
      </c>
      <c r="CB42" s="0">
        <f>InpS!CB$22</f>
        <v>0.0</v>
      </c>
      <c r="CC42" s="0">
        <f>InpS!CC$22</f>
        <v>0.0</v>
      </c>
      <c r="CD42" s="0">
        <f>InpS!CD$22</f>
        <v>0.0</v>
      </c>
      <c r="CE42" s="0">
        <f>InpS!CE$22</f>
        <v>0.0</v>
      </c>
      <c r="CF42" s="0">
        <f>InpS!CF$22</f>
        <v>0.0</v>
      </c>
      <c r="CG42" s="0">
        <f>InpS!CG$22</f>
        <v>0.0</v>
      </c>
      <c r="CH42" s="0">
        <f>InpS!CH$22</f>
        <v>0.0</v>
      </c>
      <c r="CI42" s="0">
        <f>InpS!CI$22</f>
        <v>0.0</v>
      </c>
      <c r="CJ42" s="0">
        <f>InpS!CJ$22</f>
        <v>0.0</v>
      </c>
      <c r="CK42" s="0">
        <f>InpS!CK$22</f>
        <v>0.0</v>
      </c>
      <c r="CL42" s="0">
        <f>InpS!CL$22</f>
        <v>0.0</v>
      </c>
      <c r="CM42" s="0">
        <f>InpS!CM$22</f>
        <v>0.0</v>
      </c>
      <c r="CN42" s="0">
        <f>InpS!CN$22</f>
        <v>0.0</v>
      </c>
      <c r="CO42" s="0">
        <f>InpS!CO$22</f>
        <v>0.0</v>
      </c>
    </row>
    <row r="43" customFormat="1" s="183">
      <c r="A43" s="294" t="n"/>
      <c r="B43" s="294" t="n"/>
      <c r="C43" s="212" t="n"/>
      <c r="D43" s="244" t="inlineStr">
        <is>
          <t>less</t>
        </is>
      </c>
      <c r="E43" s="61" t="str">
        <f> E$21</f>
        <v>Senior debt principal repayment POS</v>
      </c>
      <c r="F43" s="61">
        <f> F$21</f>
        <v>0.0</v>
      </c>
      <c r="G43" s="61" t="str">
        <f> G$21</f>
        <v>$ 000s</v>
      </c>
      <c r="H43" s="61">
        <f> H$21</f>
        <v>59999.9999999994</v>
      </c>
      <c r="I43" s="61">
        <f> I$21</f>
        <v>0.0</v>
      </c>
      <c r="J43" s="61">
        <f> J$21</f>
        <v>0.0</v>
      </c>
      <c r="K43" s="61">
        <f> K$21</f>
        <v>0.0</v>
      </c>
      <c r="L43" s="61">
        <f> L$21</f>
        <v>0.0</v>
      </c>
      <c r="M43" s="61">
        <f> M$21</f>
        <v>0.0</v>
      </c>
      <c r="N43" s="61">
        <f> N$21</f>
        <v>0.0</v>
      </c>
      <c r="O43" s="61">
        <f> O$21</f>
        <v>1999.99999999998</v>
      </c>
      <c r="P43" s="61">
        <f> P$21</f>
        <v>1999.99999999998</v>
      </c>
      <c r="Q43" s="61">
        <f> Q$21</f>
        <v>1999.99999999998</v>
      </c>
      <c r="R43" s="61">
        <f> R$21</f>
        <v>1999.99999999998</v>
      </c>
      <c r="S43" s="61">
        <f> S$21</f>
        <v>1999.99999999998</v>
      </c>
      <c r="T43" s="61">
        <f> T$21</f>
        <v>1999.99999999998</v>
      </c>
      <c r="U43" s="61">
        <f> U$21</f>
        <v>1999.99999999998</v>
      </c>
      <c r="V43" s="61">
        <f> V$21</f>
        <v>1999.99999999998</v>
      </c>
      <c r="W43" s="61">
        <f> W$21</f>
        <v>1999.99999999998</v>
      </c>
      <c r="X43" s="61">
        <f> X$21</f>
        <v>1999.99999999998</v>
      </c>
      <c r="Y43" s="61">
        <f> Y$21</f>
        <v>1999.99999999998</v>
      </c>
      <c r="Z43" s="61">
        <f> Z$21</f>
        <v>1999.99999999998</v>
      </c>
      <c r="AA43" s="61">
        <f> AA$21</f>
        <v>1999.99999999998</v>
      </c>
      <c r="AB43" s="61">
        <f> AB$21</f>
        <v>1999.99999999998</v>
      </c>
      <c r="AC43" s="61">
        <f> AC$21</f>
        <v>1999.99999999998</v>
      </c>
      <c r="AD43" s="61">
        <f> AD$21</f>
        <v>1999.99999999998</v>
      </c>
      <c r="AE43" s="61">
        <f> AE$21</f>
        <v>1999.99999999998</v>
      </c>
      <c r="AF43" s="61">
        <f> AF$21</f>
        <v>1999.99999999998</v>
      </c>
      <c r="AG43" s="61">
        <f> AG$21</f>
        <v>1999.99999999998</v>
      </c>
      <c r="AH43" s="61">
        <f> AH$21</f>
        <v>1999.99999999998</v>
      </c>
      <c r="AI43" s="61">
        <f> AI$21</f>
        <v>1999.99999999998</v>
      </c>
      <c r="AJ43" s="61">
        <f> AJ$21</f>
        <v>1999.99999999998</v>
      </c>
      <c r="AK43" s="61">
        <f> AK$21</f>
        <v>1999.99999999998</v>
      </c>
      <c r="AL43" s="61">
        <f> AL$21</f>
        <v>1999.99999999998</v>
      </c>
      <c r="AM43" s="61">
        <f> AM$21</f>
        <v>1999.99999999998</v>
      </c>
      <c r="AN43" s="61">
        <f> AN$21</f>
        <v>1999.99999999998</v>
      </c>
      <c r="AO43" s="61">
        <f> AO$21</f>
        <v>1999.99999999998</v>
      </c>
      <c r="AP43" s="61">
        <f> AP$21</f>
        <v>1999.99999999998</v>
      </c>
      <c r="AQ43" s="61">
        <f> AQ$21</f>
        <v>1999.99999999998</v>
      </c>
      <c r="AR43" s="61">
        <f> AR$21</f>
        <v>1999.99999999998</v>
      </c>
      <c r="AS43" s="61">
        <f> AS$21</f>
        <v>0.0</v>
      </c>
      <c r="AT43" s="61">
        <f> AT$21</f>
        <v>0.0</v>
      </c>
      <c r="AU43" s="61">
        <f> AU$21</f>
        <v>0.0</v>
      </c>
      <c r="AV43" s="61">
        <f> AV$21</f>
        <v>0.0</v>
      </c>
      <c r="AW43" s="61">
        <f> AW$21</f>
        <v>0.0</v>
      </c>
      <c r="AX43" s="61">
        <f> AX$21</f>
        <v>0.0</v>
      </c>
      <c r="AY43" s="61">
        <f> AY$21</f>
        <v>0.0</v>
      </c>
      <c r="AZ43" s="61">
        <f> AZ$21</f>
        <v>0.0</v>
      </c>
      <c r="BA43" s="61">
        <f> BA$21</f>
        <v>0.0</v>
      </c>
      <c r="BB43" s="61">
        <f> BB$21</f>
        <v>0.0</v>
      </c>
      <c r="BC43" s="61">
        <f> BC$21</f>
        <v>0.0</v>
      </c>
      <c r="BD43" s="61">
        <f> BD$21</f>
        <v>0.0</v>
      </c>
      <c r="BE43" s="61">
        <f> BE$21</f>
        <v>0.0</v>
      </c>
      <c r="BF43" s="61">
        <f> BF$21</f>
        <v>0.0</v>
      </c>
      <c r="BG43" s="61">
        <f> BG$21</f>
        <v>0.0</v>
      </c>
      <c r="BH43" s="61">
        <f> BH$21</f>
        <v>0.0</v>
      </c>
      <c r="BI43" s="61">
        <f> BI$21</f>
        <v>0.0</v>
      </c>
      <c r="BJ43" s="61">
        <f> BJ$21</f>
        <v>0.0</v>
      </c>
      <c r="BK43" s="61">
        <f> BK$21</f>
        <v>0.0</v>
      </c>
      <c r="BL43" s="61">
        <f> BL$21</f>
        <v>0.0</v>
      </c>
      <c r="BM43" s="61">
        <f> BM$21</f>
        <v>0.0</v>
      </c>
      <c r="BN43" s="61">
        <f> BN$21</f>
        <v>0.0</v>
      </c>
      <c r="BO43" s="61">
        <f> BO$21</f>
        <v>0.0</v>
      </c>
      <c r="BP43" s="61">
        <f> BP$21</f>
        <v>0.0</v>
      </c>
      <c r="BQ43" s="61">
        <f> BQ$21</f>
        <v>0.0</v>
      </c>
      <c r="BR43" s="61">
        <f> BR$21</f>
        <v>0.0</v>
      </c>
      <c r="BS43" s="61">
        <f> BS$21</f>
        <v>0.0</v>
      </c>
      <c r="BT43" s="61">
        <f> BT$21</f>
        <v>0.0</v>
      </c>
      <c r="BU43" s="61">
        <f> BU$21</f>
        <v>0.0</v>
      </c>
      <c r="BV43" s="61">
        <f> BV$21</f>
        <v>0.0</v>
      </c>
      <c r="BW43" s="61">
        <f> BW$21</f>
        <v>0.0</v>
      </c>
      <c r="BX43" s="61">
        <f> BX$21</f>
        <v>0.0</v>
      </c>
      <c r="BY43" s="61">
        <f> BY$21</f>
        <v>0.0</v>
      </c>
      <c r="BZ43" s="61">
        <f> BZ$21</f>
        <v>0.0</v>
      </c>
      <c r="CA43" s="61">
        <f> CA$21</f>
        <v>0.0</v>
      </c>
      <c r="CB43" s="61">
        <f> CB$21</f>
        <v>0.0</v>
      </c>
      <c r="CC43" s="61">
        <f> CC$21</f>
        <v>0.0</v>
      </c>
      <c r="CD43" s="61">
        <f> CD$21</f>
        <v>0.0</v>
      </c>
      <c r="CE43" s="61">
        <f> CE$21</f>
        <v>0.0</v>
      </c>
      <c r="CF43" s="61">
        <f> CF$21</f>
        <v>0.0</v>
      </c>
      <c r="CG43" s="61">
        <f> CG$21</f>
        <v>0.0</v>
      </c>
      <c r="CH43" s="61">
        <f> CH$21</f>
        <v>0.0</v>
      </c>
      <c r="CI43" s="61">
        <f> CI$21</f>
        <v>0.0</v>
      </c>
      <c r="CJ43" s="61">
        <f> CJ$21</f>
        <v>0.0</v>
      </c>
      <c r="CK43" s="61">
        <f> CK$21</f>
        <v>0.0</v>
      </c>
      <c r="CL43" s="61">
        <f> CL$21</f>
        <v>0.0</v>
      </c>
      <c r="CM43" s="61">
        <f> CM$21</f>
        <v>0.0</v>
      </c>
      <c r="CN43" s="61">
        <f> CN$21</f>
        <v>0.0</v>
      </c>
      <c r="CO43" s="61">
        <f> CO$21</f>
        <v>0.0</v>
      </c>
    </row>
    <row r="44" customFormat="1" s="322">
      <c r="A44" s="318" t="n"/>
      <c r="B44" s="318" t="n"/>
      <c r="C44" s="319" t="n"/>
      <c r="D44" s="320" t="n"/>
      <c r="E44" s="322" t="inlineStr">
        <is>
          <t>Senior debt balance</t>
        </is>
      </c>
      <c r="F44" s="322" t="inlineStr">
        <is>
          <t>BS</t>
        </is>
      </c>
      <c r="G44" s="322" t="inlineStr">
        <is>
          <t>$ 000s</t>
        </is>
      </c>
      <c r="I44" s="323" t="n"/>
      <c r="J44" s="322">
        <f> IF(J39 = 1, $F38, J41 + J42 - J43)</f>
        <v>0.0</v>
      </c>
      <c r="K44" s="322">
        <f> IF(K39 = 1, $F38, K41 + K42 - K43)</f>
        <v>60000.0</v>
      </c>
      <c r="L44" s="322">
        <f> IF(L39 = 1, $F38, L41 + L42 - L43)</f>
        <v>60000.0</v>
      </c>
      <c r="M44" s="322">
        <f> IF(M39 = 1, $F38, M41 + M42 - M43)</f>
        <v>60000.0</v>
      </c>
      <c r="N44" s="322">
        <f> IF(N39 = 1, $F38, N41 + N42 - N43)</f>
        <v>60000.0</v>
      </c>
      <c r="O44" s="322">
        <f> IF(O39 = 1, $F38, O41 + O42 - O43)</f>
        <v>58000.00000000002</v>
      </c>
      <c r="P44" s="322">
        <f> IF(P39 = 1, $F38, P41 + P42 - P43)</f>
        <v>56000.000000000044</v>
      </c>
      <c r="Q44" s="322">
        <f> IF(Q39 = 1, $F38, Q41 + Q42 - Q43)</f>
        <v>54000.000000000065</v>
      </c>
      <c r="R44" s="322">
        <f> IF(R39 = 1, $F38, R41 + R42 - R43)</f>
        <v>52000.00000000009</v>
      </c>
      <c r="S44" s="322">
        <f> IF(S39 = 1, $F38, S41 + S42 - S43)</f>
        <v>50000.00000000011</v>
      </c>
      <c r="T44" s="322">
        <f> IF(T39 = 1, $F38, T41 + T42 - T43)</f>
        <v>48000.00000000013</v>
      </c>
      <c r="U44" s="322">
        <f> IF(U39 = 1, $F38, U41 + U42 - U43)</f>
        <v>46000.00000000015</v>
      </c>
      <c r="V44" s="322">
        <f> IF(V39 = 1, $F38, V41 + V42 - V43)</f>
        <v>44000.000000000175</v>
      </c>
      <c r="W44" s="322">
        <f> IF(W39 = 1, $F38, W41 + W42 - W43)</f>
        <v>42000.0000000002</v>
      </c>
      <c r="X44" s="322">
        <f> IF(X39 = 1, $F38, X41 + X42 - X43)</f>
        <v>40000.00000000022</v>
      </c>
      <c r="Y44" s="322">
        <f> IF(Y39 = 1, $F38, Y41 + Y42 - Y43)</f>
        <v>38000.00000000024</v>
      </c>
      <c r="Z44" s="322">
        <f> IF(Z39 = 1, $F38, Z41 + Z42 - Z43)</f>
        <v>36000.00000000026</v>
      </c>
      <c r="AA44" s="322">
        <f> IF(AA39 = 1, $F38, AA41 + AA42 - AA43)</f>
        <v>34000.000000000284</v>
      </c>
      <c r="AB44" s="322">
        <f> IF(AB39 = 1, $F38, AB41 + AB42 - AB43)</f>
        <v>32000.000000000306</v>
      </c>
      <c r="AC44" s="322">
        <f> IF(AC39 = 1, $F38, AC41 + AC42 - AC43)</f>
        <v>30000.000000000327</v>
      </c>
      <c r="AD44" s="322">
        <f> IF(AD39 = 1, $F38, AD41 + AD42 - AD43)</f>
        <v>28000.00000000035</v>
      </c>
      <c r="AE44" s="322">
        <f> IF(AE39 = 1, $F38, AE41 + AE42 - AE43)</f>
        <v>26000.00000000037</v>
      </c>
      <c r="AF44" s="322">
        <f> IF(AF39 = 1, $F38, AF41 + AF42 - AF43)</f>
        <v>24000.000000000393</v>
      </c>
      <c r="AG44" s="322">
        <f> IF(AG39 = 1, $F38, AG41 + AG42 - AG43)</f>
        <v>22000.000000000415</v>
      </c>
      <c r="AH44" s="322">
        <f> IF(AH39 = 1, $F38, AH41 + AH42 - AH43)</f>
        <v>20000.000000000437</v>
      </c>
      <c r="AI44" s="322">
        <f> IF(AI39 = 1, $F38, AI41 + AI42 - AI43)</f>
        <v>18000.00000000046</v>
      </c>
      <c r="AJ44" s="322">
        <f> IF(AJ39 = 1, $F38, AJ41 + AJ42 - AJ43)</f>
        <v>16000.000000000478</v>
      </c>
      <c r="AK44" s="322">
        <f> IF(AK39 = 1, $F38, AK41 + AK42 - AK43)</f>
        <v>14000.000000000498</v>
      </c>
      <c r="AL44" s="322">
        <f> IF(AL39 = 1, $F38, AL41 + AL42 - AL43)</f>
        <v>12000.000000000518</v>
      </c>
      <c r="AM44" s="322">
        <f> IF(AM39 = 1, $F38, AM41 + AM42 - AM43)</f>
        <v>10000.000000000538</v>
      </c>
      <c r="AN44" s="322">
        <f> IF(AN39 = 1, $F38, AN41 + AN42 - AN43)</f>
        <v>8000.000000000558</v>
      </c>
      <c r="AO44" s="322">
        <f> IF(AO39 = 1, $F38, AO41 + AO42 - AO43)</f>
        <v>6000.000000000578</v>
      </c>
      <c r="AP44" s="322">
        <f> IF(AP39 = 1, $F38, AP41 + AP42 - AP43)</f>
        <v>4000.0000000005984</v>
      </c>
      <c r="AQ44" s="322">
        <f> IF(AQ39 = 1, $F38, AQ41 + AQ42 - AQ43)</f>
        <v>2000.0000000006185</v>
      </c>
      <c r="AR44" s="322">
        <f> IF(AR39 = 1, $F38, AR41 + AR42 - AR43)</f>
        <v>6.384652806445956e-10</v>
      </c>
      <c r="AS44" s="322">
        <f> IF(AS39 = 1, $F38, AS41 + AS42 - AS43)</f>
        <v>6.384652806445956e-10</v>
      </c>
      <c r="AT44" s="322">
        <f> IF(AT39 = 1, $F38, AT41 + AT42 - AT43)</f>
        <v>6.384652806445956e-10</v>
      </c>
      <c r="AU44" s="322">
        <f> IF(AU39 = 1, $F38, AU41 + AU42 - AU43)</f>
        <v>6.384652806445956e-10</v>
      </c>
      <c r="AV44" s="322">
        <f> IF(AV39 = 1, $F38, AV41 + AV42 - AV43)</f>
        <v>6.384652806445956e-10</v>
      </c>
      <c r="AW44" s="322">
        <f> IF(AW39 = 1, $F38, AW41 + AW42 - AW43)</f>
        <v>6.384652806445956e-10</v>
      </c>
      <c r="AX44" s="322">
        <f> IF(AX39 = 1, $F38, AX41 + AX42 - AX43)</f>
        <v>6.384652806445956e-10</v>
      </c>
      <c r="AY44" s="322">
        <f> IF(AY39 = 1, $F38, AY41 + AY42 - AY43)</f>
        <v>6.384652806445956e-10</v>
      </c>
      <c r="AZ44" s="322">
        <f> IF(AZ39 = 1, $F38, AZ41 + AZ42 - AZ43)</f>
        <v>6.384652806445956e-10</v>
      </c>
      <c r="BA44" s="322">
        <f> IF(BA39 = 1, $F38, BA41 + BA42 - BA43)</f>
        <v>6.384652806445956e-10</v>
      </c>
      <c r="BB44" s="322">
        <f> IF(BB39 = 1, $F38, BB41 + BB42 - BB43)</f>
        <v>6.384652806445956e-10</v>
      </c>
      <c r="BC44" s="322">
        <f> IF(BC39 = 1, $F38, BC41 + BC42 - BC43)</f>
        <v>6.384652806445956e-10</v>
      </c>
      <c r="BD44" s="322">
        <f> IF(BD39 = 1, $F38, BD41 + BD42 - BD43)</f>
        <v>6.384652806445956e-10</v>
      </c>
      <c r="BE44" s="322">
        <f> IF(BE39 = 1, $F38, BE41 + BE42 - BE43)</f>
        <v>6.384652806445956e-10</v>
      </c>
      <c r="BF44" s="322">
        <f> IF(BF39 = 1, $F38, BF41 + BF42 - BF43)</f>
        <v>6.384652806445956e-10</v>
      </c>
      <c r="BG44" s="322">
        <f> IF(BG39 = 1, $F38, BG41 + BG42 - BG43)</f>
        <v>6.384652806445956e-10</v>
      </c>
      <c r="BH44" s="322">
        <f> IF(BH39 = 1, $F38, BH41 + BH42 - BH43)</f>
        <v>6.384652806445956e-10</v>
      </c>
      <c r="BI44" s="322">
        <f> IF(BI39 = 1, $F38, BI41 + BI42 - BI43)</f>
        <v>6.384652806445956e-10</v>
      </c>
      <c r="BJ44" s="322">
        <f> IF(BJ39 = 1, $F38, BJ41 + BJ42 - BJ43)</f>
        <v>6.384652806445956e-10</v>
      </c>
      <c r="BK44" s="322">
        <f> IF(BK39 = 1, $F38, BK41 + BK42 - BK43)</f>
        <v>6.384652806445956e-10</v>
      </c>
      <c r="BL44" s="322">
        <f> IF(BL39 = 1, $F38, BL41 + BL42 - BL43)</f>
        <v>6.384652806445956e-10</v>
      </c>
      <c r="BM44" s="322">
        <f> IF(BM39 = 1, $F38, BM41 + BM42 - BM43)</f>
        <v>6.384652806445956e-10</v>
      </c>
      <c r="BN44" s="322">
        <f> IF(BN39 = 1, $F38, BN41 + BN42 - BN43)</f>
        <v>6.384652806445956e-10</v>
      </c>
      <c r="BO44" s="322">
        <f> IF(BO39 = 1, $F38, BO41 + BO42 - BO43)</f>
        <v>6.384652806445956e-10</v>
      </c>
      <c r="BP44" s="322">
        <f> IF(BP39 = 1, $F38, BP41 + BP42 - BP43)</f>
        <v>6.384652806445956e-10</v>
      </c>
      <c r="BQ44" s="322">
        <f> IF(BQ39 = 1, $F38, BQ41 + BQ42 - BQ43)</f>
        <v>6.384652806445956e-10</v>
      </c>
      <c r="BR44" s="322">
        <f> IF(BR39 = 1, $F38, BR41 + BR42 - BR43)</f>
        <v>6.384652806445956e-10</v>
      </c>
      <c r="BS44" s="322">
        <f> IF(BS39 = 1, $F38, BS41 + BS42 - BS43)</f>
        <v>6.384652806445956e-10</v>
      </c>
      <c r="BT44" s="322">
        <f> IF(BT39 = 1, $F38, BT41 + BT42 - BT43)</f>
        <v>6.384652806445956e-10</v>
      </c>
      <c r="BU44" s="322">
        <f> IF(BU39 = 1, $F38, BU41 + BU42 - BU43)</f>
        <v>6.384652806445956e-10</v>
      </c>
      <c r="BV44" s="322">
        <f> IF(BV39 = 1, $F38, BV41 + BV42 - BV43)</f>
        <v>6.384652806445956e-10</v>
      </c>
      <c r="BW44" s="322">
        <f> IF(BW39 = 1, $F38, BW41 + BW42 - BW43)</f>
        <v>6.384652806445956e-10</v>
      </c>
      <c r="BX44" s="322">
        <f> IF(BX39 = 1, $F38, BX41 + BX42 - BX43)</f>
        <v>6.384652806445956e-10</v>
      </c>
      <c r="BY44" s="322">
        <f> IF(BY39 = 1, $F38, BY41 + BY42 - BY43)</f>
        <v>6.384652806445956e-10</v>
      </c>
      <c r="BZ44" s="322">
        <f> IF(BZ39 = 1, $F38, BZ41 + BZ42 - BZ43)</f>
        <v>6.384652806445956e-10</v>
      </c>
      <c r="CA44" s="322">
        <f> IF(CA39 = 1, $F38, CA41 + CA42 - CA43)</f>
        <v>6.384652806445956e-10</v>
      </c>
      <c r="CB44" s="322">
        <f> IF(CB39 = 1, $F38, CB41 + CB42 - CB43)</f>
        <v>6.384652806445956e-10</v>
      </c>
      <c r="CC44" s="322">
        <f> IF(CC39 = 1, $F38, CC41 + CC42 - CC43)</f>
        <v>6.384652806445956e-10</v>
      </c>
      <c r="CD44" s="322">
        <f> IF(CD39 = 1, $F38, CD41 + CD42 - CD43)</f>
        <v>6.384652806445956e-10</v>
      </c>
      <c r="CE44" s="322">
        <f> IF(CE39 = 1, $F38, CE41 + CE42 - CE43)</f>
        <v>6.384652806445956e-10</v>
      </c>
      <c r="CF44" s="322">
        <f> IF(CF39 = 1, $F38, CF41 + CF42 - CF43)</f>
        <v>6.384652806445956e-10</v>
      </c>
      <c r="CG44" s="322">
        <f> IF(CG39 = 1, $F38, CG41 + CG42 - CG43)</f>
        <v>6.384652806445956e-10</v>
      </c>
      <c r="CH44" s="322">
        <f> IF(CH39 = 1, $F38, CH41 + CH42 - CH43)</f>
        <v>6.384652806445956e-10</v>
      </c>
      <c r="CI44" s="322">
        <f> IF(CI39 = 1, $F38, CI41 + CI42 - CI43)</f>
        <v>6.384652806445956e-10</v>
      </c>
      <c r="CJ44" s="322">
        <f> IF(CJ39 = 1, $F38, CJ41 + CJ42 - CJ43)</f>
        <v>6.384652806445956e-10</v>
      </c>
      <c r="CK44" s="322">
        <f> IF(CK39 = 1, $F38, CK41 + CK42 - CK43)</f>
        <v>6.384652806445956e-10</v>
      </c>
      <c r="CL44" s="322">
        <f> IF(CL39 = 1, $F38, CL41 + CL42 - CL43)</f>
        <v>6.384652806445956e-10</v>
      </c>
      <c r="CM44" s="322">
        <f> IF(CM39 = 1, $F38, CM41 + CM42 - CM43)</f>
        <v>6.384652806445956e-10</v>
      </c>
      <c r="CN44" s="322">
        <f> IF(CN39 = 1, $F38, CN41 + CN42 - CN43)</f>
        <v>6.384652806445956e-10</v>
      </c>
      <c r="CO44" s="322">
        <f> IF(CO39 = 1, $F38, CO41 + CO42 - CO43)</f>
        <v>6.384652806445956e-10</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2.xml><?xml version="1.0" encoding="utf-8"?>
<worksheet xmlns="http://schemas.openxmlformats.org/spreadsheetml/2006/main">
  <sheetPr>
    <tabColor rgb="000B5E82"/>
    <outlinePr summaryBelow="0" summaryRight="0"/>
    <pageSetUpPr/>
  </sheetPr>
  <dimension ref="A1:CO61"/>
  <sheetViews>
    <sheetView showGridLines="0" defaultGridColor="0" colorId="22" zoomScaleNormal="100" workbookViewId="0">
      <pane xSplit="9" ySplit="5" topLeftCell="J30" activePane="bottomRight" state="frozen"/>
      <selection activeCell="I34" sqref="I34"/>
      <selection pane="topRight" activeCell="I34" sqref="I34"/>
      <selection pane="bottomLeft" activeCell="I34" sqref="I34"/>
      <selection pane="bottomRight" activeCell="K45" sqref="A45:XFD45"/>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294" t="inlineStr">
        <is>
          <t>SHARE CAPITAL REDEMPTION</t>
        </is>
      </c>
    </row>
    <row r="8">
      <c r="E8" s="29" t="str">
        <f> E$21</f>
        <v>Share capital balance BEG</v>
      </c>
      <c r="F8" s="29">
        <f> F$21</f>
        <v>0.0</v>
      </c>
      <c r="G8" s="29" t="str">
        <f> G$21</f>
        <v>$ 000s</v>
      </c>
      <c r="H8" s="29">
        <f> H$21</f>
        <v>0.0</v>
      </c>
      <c r="I8" s="29">
        <f> I$21</f>
        <v>0.0</v>
      </c>
      <c r="J8" s="29">
        <f> J$21</f>
        <v>0.0</v>
      </c>
      <c r="K8" s="29">
        <f> K$21</f>
        <v>0.0</v>
      </c>
      <c r="L8" s="29">
        <f> L$21</f>
        <v>40000.0</v>
      </c>
      <c r="M8" s="29">
        <f> M$21</f>
        <v>40000.0</v>
      </c>
      <c r="N8" s="29">
        <f> N$21</f>
        <v>40000.0</v>
      </c>
      <c r="O8" s="29">
        <f> O$21</f>
        <v>40000.0</v>
      </c>
      <c r="P8" s="29">
        <f> P$21</f>
        <v>40000.0</v>
      </c>
      <c r="Q8" s="29">
        <f> Q$21</f>
        <v>40000.0</v>
      </c>
      <c r="R8" s="29">
        <f> R$21</f>
        <v>40000.0</v>
      </c>
      <c r="S8" s="29">
        <f> S$21</f>
        <v>40000.0</v>
      </c>
      <c r="T8" s="29">
        <f> T$21</f>
        <v>40000.0</v>
      </c>
      <c r="U8" s="29">
        <f> U$21</f>
        <v>40000.0</v>
      </c>
      <c r="V8" s="29">
        <f> V$21</f>
        <v>40000.0</v>
      </c>
      <c r="W8" s="29">
        <f> W$21</f>
        <v>40000.0</v>
      </c>
      <c r="X8" s="29">
        <f> X$21</f>
        <v>40000.0</v>
      </c>
      <c r="Y8" s="29">
        <f> Y$21</f>
        <v>40000.0</v>
      </c>
      <c r="Z8" s="29">
        <f> Z$21</f>
        <v>40000.0</v>
      </c>
      <c r="AA8" s="29">
        <f> AA$21</f>
        <v>40000.0</v>
      </c>
      <c r="AB8" s="29">
        <f> AB$21</f>
        <v>40000.0</v>
      </c>
      <c r="AC8" s="29">
        <f> AC$21</f>
        <v>40000.0</v>
      </c>
      <c r="AD8" s="29">
        <f> AD$21</f>
        <v>40000.0</v>
      </c>
      <c r="AE8" s="29">
        <f> AE$21</f>
        <v>40000.0</v>
      </c>
      <c r="AF8" s="29">
        <f> AF$21</f>
        <v>40000.0</v>
      </c>
      <c r="AG8" s="29">
        <f> AG$21</f>
        <v>40000.0</v>
      </c>
      <c r="AH8" s="29">
        <f> AH$21</f>
        <v>40000.0</v>
      </c>
      <c r="AI8" s="29">
        <f> AI$21</f>
        <v>40000.0</v>
      </c>
      <c r="AJ8" s="29">
        <f> AJ$21</f>
        <v>40000.0</v>
      </c>
      <c r="AK8" s="29">
        <f> AK$21</f>
        <v>40000.0</v>
      </c>
      <c r="AL8" s="29">
        <f> AL$21</f>
        <v>40000.0</v>
      </c>
      <c r="AM8" s="29">
        <f> AM$21</f>
        <v>40000.0</v>
      </c>
      <c r="AN8" s="29">
        <f> AN$21</f>
        <v>40000.0</v>
      </c>
      <c r="AO8" s="29">
        <f> AO$21</f>
        <v>40000.0</v>
      </c>
      <c r="AP8" s="29">
        <f> AP$21</f>
        <v>40000.0</v>
      </c>
      <c r="AQ8" s="29">
        <f> AQ$21</f>
        <v>40000.0</v>
      </c>
      <c r="AR8" s="29">
        <f> AR$21</f>
        <v>40000.0</v>
      </c>
      <c r="AS8" s="29">
        <f> AS$21</f>
        <v>40000.0</v>
      </c>
      <c r="AT8" s="29">
        <f> AT$21</f>
        <v>40000.0</v>
      </c>
      <c r="AU8" s="29">
        <f> AU$21</f>
        <v>40000.0</v>
      </c>
      <c r="AV8" s="29">
        <f> AV$21</f>
        <v>40000.0</v>
      </c>
      <c r="AW8" s="29">
        <f> AW$21</f>
        <v>40000.0</v>
      </c>
      <c r="AX8" s="29">
        <f> AX$21</f>
        <v>40000.0</v>
      </c>
      <c r="AY8" s="29">
        <f> AY$21</f>
        <v>40000.0</v>
      </c>
      <c r="AZ8" s="29">
        <f> AZ$21</f>
        <v>40000.0</v>
      </c>
      <c r="BA8" s="29">
        <f> BA$21</f>
        <v>40000.0</v>
      </c>
      <c r="BB8" s="29">
        <f> BB$21</f>
        <v>40000.0</v>
      </c>
      <c r="BC8" s="29">
        <f> BC$21</f>
        <v>40000.0</v>
      </c>
      <c r="BD8" s="29">
        <f> BD$21</f>
        <v>40000.0</v>
      </c>
      <c r="BE8" s="29">
        <f> BE$21</f>
        <v>40000.0</v>
      </c>
      <c r="BF8" s="29">
        <f> BF$21</f>
        <v>40000.0</v>
      </c>
      <c r="BG8" s="29">
        <f> BG$21</f>
        <v>40000.0</v>
      </c>
      <c r="BH8" s="29">
        <f> BH$21</f>
        <v>40000.0</v>
      </c>
      <c r="BI8" s="29">
        <f> BI$21</f>
        <v>40000.0</v>
      </c>
      <c r="BJ8" s="29">
        <f> BJ$21</f>
        <v>40000.0</v>
      </c>
      <c r="BK8" s="29">
        <f> BK$21</f>
        <v>40000.0</v>
      </c>
      <c r="BL8" s="29">
        <f> BL$21</f>
        <v>40000.0</v>
      </c>
      <c r="BM8" s="29">
        <f> BM$21</f>
        <v>40000.0</v>
      </c>
      <c r="BN8" s="29">
        <f> BN$21</f>
        <v>40000.0</v>
      </c>
      <c r="BO8" s="29">
        <f> BO$21</f>
        <v>40000.0</v>
      </c>
      <c r="BP8" s="29">
        <f> BP$21</f>
        <v>40000.0</v>
      </c>
      <c r="BQ8" s="29">
        <f> BQ$21</f>
        <v>40000.0</v>
      </c>
      <c r="BR8" s="29">
        <f> BR$21</f>
        <v>40000.0</v>
      </c>
      <c r="BS8" s="29">
        <f> BS$21</f>
        <v>40000.0</v>
      </c>
      <c r="BT8" s="29">
        <f> BT$21</f>
        <v>40000.0</v>
      </c>
      <c r="BU8" s="29">
        <f> BU$21</f>
        <v>40000.0</v>
      </c>
      <c r="BV8" s="29">
        <f> BV$21</f>
        <v>40000.0</v>
      </c>
      <c r="BW8" s="29">
        <f> BW$21</f>
        <v>40000.0</v>
      </c>
      <c r="BX8" s="29">
        <f> BX$21</f>
        <v>40000.0</v>
      </c>
      <c r="BY8" s="29">
        <f> BY$21</f>
        <v>40000.0</v>
      </c>
      <c r="BZ8" s="29">
        <f> BZ$21</f>
        <v>40000.0</v>
      </c>
      <c r="CA8" s="29">
        <f> CA$21</f>
        <v>40000.0</v>
      </c>
      <c r="CB8" s="29">
        <f> CB$21</f>
        <v>40000.0</v>
      </c>
      <c r="CC8" s="29">
        <f> CC$21</f>
        <v>40000.0</v>
      </c>
      <c r="CD8" s="29">
        <f> CD$21</f>
        <v>40000.0</v>
      </c>
      <c r="CE8" s="29">
        <f> CE$21</f>
        <v>40000.0</v>
      </c>
      <c r="CF8" s="29">
        <f> CF$21</f>
        <v>40000.0</v>
      </c>
      <c r="CG8" s="29">
        <f> CG$21</f>
        <v>40000.0</v>
      </c>
      <c r="CH8" s="29">
        <f> CH$21</f>
        <v>40000.0</v>
      </c>
      <c r="CI8" s="29">
        <f> CI$21</f>
        <v>40000.0</v>
      </c>
      <c r="CJ8" s="29">
        <f> CJ$21</f>
        <v>40000.0</v>
      </c>
      <c r="CK8" s="29">
        <f> CK$21</f>
        <v>40000.0</v>
      </c>
      <c r="CL8" s="29">
        <f> CL$21</f>
        <v>40000.0</v>
      </c>
      <c r="CM8" s="29">
        <f> CM$21</f>
        <v>40000.0</v>
      </c>
      <c r="CN8" s="29">
        <f> CN$21</f>
        <v>0.0</v>
      </c>
      <c r="CO8" s="29">
        <f> CO$21</f>
        <v>0.0</v>
      </c>
    </row>
    <row r="9">
      <c r="E9" s="325" t="str">
        <f> Time!E$75</f>
        <v>Last forecast period flag</v>
      </c>
      <c r="F9" s="325">
        <f> Time!F$75</f>
        <v>0.0</v>
      </c>
      <c r="G9" s="325" t="str">
        <f> Time!G$75</f>
        <v>flag</v>
      </c>
      <c r="H9" s="325">
        <f> Time!H$75</f>
        <v>1.0</v>
      </c>
      <c r="I9" s="325">
        <f> Time!I$75</f>
        <v>0.0</v>
      </c>
      <c r="J9" s="325">
        <f> Time!J$75</f>
        <v>0.0</v>
      </c>
      <c r="K9" s="325">
        <f> Time!K$75</f>
        <v>0.0</v>
      </c>
      <c r="L9" s="325">
        <f> Time!L$75</f>
        <v>0.0</v>
      </c>
      <c r="M9" s="325">
        <f> Time!M$75</f>
        <v>0.0</v>
      </c>
      <c r="N9" s="325">
        <f> Time!N$75</f>
        <v>0.0</v>
      </c>
      <c r="O9" s="325">
        <f> Time!O$75</f>
        <v>0.0</v>
      </c>
      <c r="P9" s="325">
        <f> Time!P$75</f>
        <v>0.0</v>
      </c>
      <c r="Q9" s="325">
        <f> Time!Q$75</f>
        <v>0.0</v>
      </c>
      <c r="R9" s="325">
        <f> Time!R$75</f>
        <v>0.0</v>
      </c>
      <c r="S9" s="325">
        <f> Time!S$75</f>
        <v>0.0</v>
      </c>
      <c r="T9" s="325">
        <f> Time!T$75</f>
        <v>0.0</v>
      </c>
      <c r="U9" s="325">
        <f> Time!U$75</f>
        <v>0.0</v>
      </c>
      <c r="V9" s="325">
        <f> Time!V$75</f>
        <v>0.0</v>
      </c>
      <c r="W9" s="325">
        <f> Time!W$75</f>
        <v>0.0</v>
      </c>
      <c r="X9" s="325">
        <f> Time!X$75</f>
        <v>0.0</v>
      </c>
      <c r="Y9" s="325">
        <f> Time!Y$75</f>
        <v>0.0</v>
      </c>
      <c r="Z9" s="325">
        <f> Time!Z$75</f>
        <v>0.0</v>
      </c>
      <c r="AA9" s="325">
        <f> Time!AA$75</f>
        <v>0.0</v>
      </c>
      <c r="AB9" s="325">
        <f> Time!AB$75</f>
        <v>0.0</v>
      </c>
      <c r="AC9" s="325">
        <f> Time!AC$75</f>
        <v>0.0</v>
      </c>
      <c r="AD9" s="325">
        <f> Time!AD$75</f>
        <v>0.0</v>
      </c>
      <c r="AE9" s="325">
        <f> Time!AE$75</f>
        <v>0.0</v>
      </c>
      <c r="AF9" s="325">
        <f> Time!AF$75</f>
        <v>0.0</v>
      </c>
      <c r="AG9" s="325">
        <f> Time!AG$75</f>
        <v>0.0</v>
      </c>
      <c r="AH9" s="325">
        <f> Time!AH$75</f>
        <v>0.0</v>
      </c>
      <c r="AI9" s="325">
        <f> Time!AI$75</f>
        <v>0.0</v>
      </c>
      <c r="AJ9" s="325">
        <f> Time!AJ$75</f>
        <v>0.0</v>
      </c>
      <c r="AK9" s="325">
        <f> Time!AK$75</f>
        <v>0.0</v>
      </c>
      <c r="AL9" s="325">
        <f> Time!AL$75</f>
        <v>0.0</v>
      </c>
      <c r="AM9" s="325">
        <f> Time!AM$75</f>
        <v>0.0</v>
      </c>
      <c r="AN9" s="325">
        <f> Time!AN$75</f>
        <v>0.0</v>
      </c>
      <c r="AO9" s="325">
        <f> Time!AO$75</f>
        <v>0.0</v>
      </c>
      <c r="AP9" s="325">
        <f> Time!AP$75</f>
        <v>0.0</v>
      </c>
      <c r="AQ9" s="325">
        <f> Time!AQ$75</f>
        <v>0.0</v>
      </c>
      <c r="AR9" s="325">
        <f> Time!AR$75</f>
        <v>0.0</v>
      </c>
      <c r="AS9" s="325">
        <f> Time!AS$75</f>
        <v>0.0</v>
      </c>
      <c r="AT9" s="325">
        <f> Time!AT$75</f>
        <v>0.0</v>
      </c>
      <c r="AU9" s="325">
        <f> Time!AU$75</f>
        <v>0.0</v>
      </c>
      <c r="AV9" s="325">
        <f> Time!AV$75</f>
        <v>0.0</v>
      </c>
      <c r="AW9" s="325">
        <f> Time!AW$75</f>
        <v>0.0</v>
      </c>
      <c r="AX9" s="325">
        <f> Time!AX$75</f>
        <v>0.0</v>
      </c>
      <c r="AY9" s="325">
        <f> Time!AY$75</f>
        <v>0.0</v>
      </c>
      <c r="AZ9" s="325">
        <f> Time!AZ$75</f>
        <v>0.0</v>
      </c>
      <c r="BA9" s="325">
        <f> Time!BA$75</f>
        <v>0.0</v>
      </c>
      <c r="BB9" s="325">
        <f> Time!BB$75</f>
        <v>0.0</v>
      </c>
      <c r="BC9" s="325">
        <f> Time!BC$75</f>
        <v>0.0</v>
      </c>
      <c r="BD9" s="325">
        <f> Time!BD$75</f>
        <v>0.0</v>
      </c>
      <c r="BE9" s="325">
        <f> Time!BE$75</f>
        <v>0.0</v>
      </c>
      <c r="BF9" s="325">
        <f> Time!BF$75</f>
        <v>0.0</v>
      </c>
      <c r="BG9" s="325">
        <f> Time!BG$75</f>
        <v>0.0</v>
      </c>
      <c r="BH9" s="325">
        <f> Time!BH$75</f>
        <v>0.0</v>
      </c>
      <c r="BI9" s="325">
        <f> Time!BI$75</f>
        <v>0.0</v>
      </c>
      <c r="BJ9" s="325">
        <f> Time!BJ$75</f>
        <v>0.0</v>
      </c>
      <c r="BK9" s="325">
        <f> Time!BK$75</f>
        <v>0.0</v>
      </c>
      <c r="BL9" s="325">
        <f> Time!BL$75</f>
        <v>0.0</v>
      </c>
      <c r="BM9" s="325">
        <f> Time!BM$75</f>
        <v>0.0</v>
      </c>
      <c r="BN9" s="325">
        <f> Time!BN$75</f>
        <v>0.0</v>
      </c>
      <c r="BO9" s="325">
        <f> Time!BO$75</f>
        <v>0.0</v>
      </c>
      <c r="BP9" s="325">
        <f> Time!BP$75</f>
        <v>0.0</v>
      </c>
      <c r="BQ9" s="325">
        <f> Time!BQ$75</f>
        <v>0.0</v>
      </c>
      <c r="BR9" s="325">
        <f> Time!BR$75</f>
        <v>0.0</v>
      </c>
      <c r="BS9" s="325">
        <f> Time!BS$75</f>
        <v>0.0</v>
      </c>
      <c r="BT9" s="325">
        <f> Time!BT$75</f>
        <v>0.0</v>
      </c>
      <c r="BU9" s="325">
        <f> Time!BU$75</f>
        <v>0.0</v>
      </c>
      <c r="BV9" s="325">
        <f> Time!BV$75</f>
        <v>0.0</v>
      </c>
      <c r="BW9" s="325">
        <f> Time!BW$75</f>
        <v>0.0</v>
      </c>
      <c r="BX9" s="325">
        <f> Time!BX$75</f>
        <v>0.0</v>
      </c>
      <c r="BY9" s="325">
        <f> Time!BY$75</f>
        <v>0.0</v>
      </c>
      <c r="BZ9" s="325">
        <f> Time!BZ$75</f>
        <v>0.0</v>
      </c>
      <c r="CA9" s="325">
        <f> Time!CA$75</f>
        <v>0.0</v>
      </c>
      <c r="CB9" s="325">
        <f> Time!CB$75</f>
        <v>0.0</v>
      </c>
      <c r="CC9" s="325">
        <f> Time!CC$75</f>
        <v>0.0</v>
      </c>
      <c r="CD9" s="325">
        <f> Time!CD$75</f>
        <v>0.0</v>
      </c>
      <c r="CE9" s="325">
        <f> Time!CE$75</f>
        <v>0.0</v>
      </c>
      <c r="CF9" s="325">
        <f> Time!CF$75</f>
        <v>0.0</v>
      </c>
      <c r="CG9" s="325">
        <f> Time!CG$75</f>
        <v>0.0</v>
      </c>
      <c r="CH9" s="325">
        <f> Time!CH$75</f>
        <v>0.0</v>
      </c>
      <c r="CI9" s="325">
        <f> Time!CI$75</f>
        <v>0.0</v>
      </c>
      <c r="CJ9" s="325">
        <f> Time!CJ$75</f>
        <v>0.0</v>
      </c>
      <c r="CK9" s="325">
        <f> Time!CK$75</f>
        <v>0.0</v>
      </c>
      <c r="CL9" s="325">
        <f> Time!CL$75</f>
        <v>0.0</v>
      </c>
      <c r="CM9" s="325">
        <f> Time!CM$75</f>
        <v>1.0</v>
      </c>
      <c r="CN9" s="325">
        <f> Time!CN$75</f>
        <v>0.0</v>
      </c>
      <c r="CO9" s="325">
        <f> Time!CO$75</f>
        <v>0.0</v>
      </c>
    </row>
    <row r="10" customFormat="1" s="390">
      <c r="A10" s="358" t="n"/>
      <c r="B10" s="358" t="n"/>
      <c r="C10" s="359" t="n"/>
      <c r="D10" s="360" t="n"/>
      <c r="E10" s="390" t="inlineStr">
        <is>
          <t>Share capital redemption POS</t>
        </is>
      </c>
      <c r="G10" s="390" t="str">
        <f>SMU</f>
        <v>$ 000s</v>
      </c>
      <c r="H10" s="390">
        <f> SUM(J10:CO10)</f>
        <v>40000.0</v>
      </c>
      <c r="J10" s="390">
        <f> J8 * J9</f>
        <v>0.0</v>
      </c>
      <c r="K10" s="390">
        <f> K8 * K9</f>
        <v>0.0</v>
      </c>
      <c r="L10" s="390">
        <f> L8 * L9</f>
        <v>0.0</v>
      </c>
      <c r="M10" s="390">
        <f> M8 * M9</f>
        <v>0.0</v>
      </c>
      <c r="N10" s="390">
        <f> N8 * N9</f>
        <v>0.0</v>
      </c>
      <c r="O10" s="390">
        <f> O8 * O9</f>
        <v>0.0</v>
      </c>
      <c r="P10" s="390">
        <f> P8 * P9</f>
        <v>0.0</v>
      </c>
      <c r="Q10" s="390">
        <f> Q8 * Q9</f>
        <v>0.0</v>
      </c>
      <c r="R10" s="390">
        <f> R8 * R9</f>
        <v>0.0</v>
      </c>
      <c r="S10" s="390">
        <f> S8 * S9</f>
        <v>0.0</v>
      </c>
      <c r="T10" s="390">
        <f> T8 * T9</f>
        <v>0.0</v>
      </c>
      <c r="U10" s="390">
        <f> U8 * U9</f>
        <v>0.0</v>
      </c>
      <c r="V10" s="390">
        <f> V8 * V9</f>
        <v>0.0</v>
      </c>
      <c r="W10" s="390">
        <f> W8 * W9</f>
        <v>0.0</v>
      </c>
      <c r="X10" s="390">
        <f> X8 * X9</f>
        <v>0.0</v>
      </c>
      <c r="Y10" s="390">
        <f> Y8 * Y9</f>
        <v>0.0</v>
      </c>
      <c r="Z10" s="390">
        <f> Z8 * Z9</f>
        <v>0.0</v>
      </c>
      <c r="AA10" s="390">
        <f> AA8 * AA9</f>
        <v>0.0</v>
      </c>
      <c r="AB10" s="390">
        <f> AB8 * AB9</f>
        <v>0.0</v>
      </c>
      <c r="AC10" s="390">
        <f> AC8 * AC9</f>
        <v>0.0</v>
      </c>
      <c r="AD10" s="390">
        <f> AD8 * AD9</f>
        <v>0.0</v>
      </c>
      <c r="AE10" s="390">
        <f> AE8 * AE9</f>
        <v>0.0</v>
      </c>
      <c r="AF10" s="390">
        <f> AF8 * AF9</f>
        <v>0.0</v>
      </c>
      <c r="AG10" s="390">
        <f> AG8 * AG9</f>
        <v>0.0</v>
      </c>
      <c r="AH10" s="390">
        <f> AH8 * AH9</f>
        <v>0.0</v>
      </c>
      <c r="AI10" s="390">
        <f> AI8 * AI9</f>
        <v>0.0</v>
      </c>
      <c r="AJ10" s="390">
        <f> AJ8 * AJ9</f>
        <v>0.0</v>
      </c>
      <c r="AK10" s="390">
        <f> AK8 * AK9</f>
        <v>0.0</v>
      </c>
      <c r="AL10" s="390">
        <f> AL8 * AL9</f>
        <v>0.0</v>
      </c>
      <c r="AM10" s="390">
        <f> AM8 * AM9</f>
        <v>0.0</v>
      </c>
      <c r="AN10" s="390">
        <f> AN8 * AN9</f>
        <v>0.0</v>
      </c>
      <c r="AO10" s="390">
        <f> AO8 * AO9</f>
        <v>0.0</v>
      </c>
      <c r="AP10" s="390">
        <f> AP8 * AP9</f>
        <v>0.0</v>
      </c>
      <c r="AQ10" s="390">
        <f> AQ8 * AQ9</f>
        <v>0.0</v>
      </c>
      <c r="AR10" s="390">
        <f> AR8 * AR9</f>
        <v>0.0</v>
      </c>
      <c r="AS10" s="390">
        <f> AS8 * AS9</f>
        <v>0.0</v>
      </c>
      <c r="AT10" s="390">
        <f> AT8 * AT9</f>
        <v>0.0</v>
      </c>
      <c r="AU10" s="390">
        <f> AU8 * AU9</f>
        <v>0.0</v>
      </c>
      <c r="AV10" s="390">
        <f> AV8 * AV9</f>
        <v>0.0</v>
      </c>
      <c r="AW10" s="390">
        <f> AW8 * AW9</f>
        <v>0.0</v>
      </c>
      <c r="AX10" s="390">
        <f> AX8 * AX9</f>
        <v>0.0</v>
      </c>
      <c r="AY10" s="390">
        <f> AY8 * AY9</f>
        <v>0.0</v>
      </c>
      <c r="AZ10" s="390">
        <f> AZ8 * AZ9</f>
        <v>0.0</v>
      </c>
      <c r="BA10" s="390">
        <f> BA8 * BA9</f>
        <v>0.0</v>
      </c>
      <c r="BB10" s="390">
        <f> BB8 * BB9</f>
        <v>0.0</v>
      </c>
      <c r="BC10" s="390">
        <f> BC8 * BC9</f>
        <v>0.0</v>
      </c>
      <c r="BD10" s="390">
        <f> BD8 * BD9</f>
        <v>0.0</v>
      </c>
      <c r="BE10" s="390">
        <f> BE8 * BE9</f>
        <v>0.0</v>
      </c>
      <c r="BF10" s="390">
        <f> BF8 * BF9</f>
        <v>0.0</v>
      </c>
      <c r="BG10" s="390">
        <f> BG8 * BG9</f>
        <v>0.0</v>
      </c>
      <c r="BH10" s="390">
        <f> BH8 * BH9</f>
        <v>0.0</v>
      </c>
      <c r="BI10" s="390">
        <f> BI8 * BI9</f>
        <v>0.0</v>
      </c>
      <c r="BJ10" s="390">
        <f> BJ8 * BJ9</f>
        <v>0.0</v>
      </c>
      <c r="BK10" s="390">
        <f> BK8 * BK9</f>
        <v>0.0</v>
      </c>
      <c r="BL10" s="390">
        <f> BL8 * BL9</f>
        <v>0.0</v>
      </c>
      <c r="BM10" s="390">
        <f> BM8 * BM9</f>
        <v>0.0</v>
      </c>
      <c r="BN10" s="390">
        <f> BN8 * BN9</f>
        <v>0.0</v>
      </c>
      <c r="BO10" s="390">
        <f> BO8 * BO9</f>
        <v>0.0</v>
      </c>
      <c r="BP10" s="390">
        <f> BP8 * BP9</f>
        <v>0.0</v>
      </c>
      <c r="BQ10" s="390">
        <f> BQ8 * BQ9</f>
        <v>0.0</v>
      </c>
      <c r="BR10" s="390">
        <f> BR8 * BR9</f>
        <v>0.0</v>
      </c>
      <c r="BS10" s="390">
        <f> BS8 * BS9</f>
        <v>0.0</v>
      </c>
      <c r="BT10" s="390">
        <f> BT8 * BT9</f>
        <v>0.0</v>
      </c>
      <c r="BU10" s="390">
        <f> BU8 * BU9</f>
        <v>0.0</v>
      </c>
      <c r="BV10" s="390">
        <f> BV8 * BV9</f>
        <v>0.0</v>
      </c>
      <c r="BW10" s="390">
        <f> BW8 * BW9</f>
        <v>0.0</v>
      </c>
      <c r="BX10" s="390">
        <f> BX8 * BX9</f>
        <v>0.0</v>
      </c>
      <c r="BY10" s="390">
        <f> BY8 * BY9</f>
        <v>0.0</v>
      </c>
      <c r="BZ10" s="390">
        <f> BZ8 * BZ9</f>
        <v>0.0</v>
      </c>
      <c r="CA10" s="390">
        <f> CA8 * CA9</f>
        <v>0.0</v>
      </c>
      <c r="CB10" s="390">
        <f> CB8 * CB9</f>
        <v>0.0</v>
      </c>
      <c r="CC10" s="390">
        <f> CC8 * CC9</f>
        <v>0.0</v>
      </c>
      <c r="CD10" s="390">
        <f> CD8 * CD9</f>
        <v>0.0</v>
      </c>
      <c r="CE10" s="390">
        <f> CE8 * CE9</f>
        <v>0.0</v>
      </c>
      <c r="CF10" s="390">
        <f> CF8 * CF9</f>
        <v>0.0</v>
      </c>
      <c r="CG10" s="390">
        <f> CG8 * CG9</f>
        <v>0.0</v>
      </c>
      <c r="CH10" s="390">
        <f> CH8 * CH9</f>
        <v>0.0</v>
      </c>
      <c r="CI10" s="390">
        <f> CI8 * CI9</f>
        <v>0.0</v>
      </c>
      <c r="CJ10" s="390">
        <f> CJ8 * CJ9</f>
        <v>0.0</v>
      </c>
      <c r="CK10" s="390">
        <f> CK8 * CK9</f>
        <v>0.0</v>
      </c>
      <c r="CL10" s="390">
        <f> CL8 * CL9</f>
        <v>0.0</v>
      </c>
      <c r="CM10" s="390">
        <f> CM8 * CM9</f>
        <v>40000.0</v>
      </c>
      <c r="CN10" s="390">
        <f> CN8 * CN9</f>
        <v>0.0</v>
      </c>
      <c r="CO10" s="390">
        <f> CO8 * CO9</f>
        <v>0.0</v>
      </c>
    </row>
    <row r="11" customFormat="1" s="150">
      <c r="A11" s="348" t="n"/>
      <c r="B11" s="348" t="n"/>
      <c r="C11" s="349" t="n"/>
      <c r="D11" s="193" t="n"/>
      <c r="E11" s="150" t="str">
        <f> LEFT(E10, LEN(E10) - 4)</f>
        <v>Share capital redemption</v>
      </c>
      <c r="F11" s="150" t="inlineStr">
        <is>
          <t>CF</t>
        </is>
      </c>
      <c r="G11" s="150" t="str">
        <f> G10</f>
        <v>$ 000s</v>
      </c>
      <c r="H11" s="150">
        <f> SUM(J11:CO11)</f>
        <v>-40000.0</v>
      </c>
      <c r="I11" s="150" t="n"/>
      <c r="J11" s="150">
        <f> -1 * J10</f>
        <v>-0.0</v>
      </c>
      <c r="K11" s="150">
        <f> -1 * K10</f>
        <v>-0.0</v>
      </c>
      <c r="L11" s="150">
        <f> -1 * L10</f>
        <v>-0.0</v>
      </c>
      <c r="M11" s="150">
        <f> -1 * M10</f>
        <v>-0.0</v>
      </c>
      <c r="N11" s="150">
        <f> -1 * N10</f>
        <v>-0.0</v>
      </c>
      <c r="O11" s="150">
        <f> -1 * O10</f>
        <v>-0.0</v>
      </c>
      <c r="P11" s="150">
        <f> -1 * P10</f>
        <v>-0.0</v>
      </c>
      <c r="Q11" s="150">
        <f> -1 * Q10</f>
        <v>-0.0</v>
      </c>
      <c r="R11" s="150">
        <f> -1 * R10</f>
        <v>-0.0</v>
      </c>
      <c r="S11" s="150">
        <f> -1 * S10</f>
        <v>-0.0</v>
      </c>
      <c r="T11" s="150">
        <f> -1 * T10</f>
        <v>-0.0</v>
      </c>
      <c r="U11" s="150">
        <f> -1 * U10</f>
        <v>-0.0</v>
      </c>
      <c r="V11" s="150">
        <f> -1 * V10</f>
        <v>-0.0</v>
      </c>
      <c r="W11" s="150">
        <f> -1 * W10</f>
        <v>-0.0</v>
      </c>
      <c r="X11" s="150">
        <f> -1 * X10</f>
        <v>-0.0</v>
      </c>
      <c r="Y11" s="150">
        <f> -1 * Y10</f>
        <v>-0.0</v>
      </c>
      <c r="Z11" s="150">
        <f> -1 * Z10</f>
        <v>-0.0</v>
      </c>
      <c r="AA11" s="150">
        <f> -1 * AA10</f>
        <v>-0.0</v>
      </c>
      <c r="AB11" s="150">
        <f> -1 * AB10</f>
        <v>-0.0</v>
      </c>
      <c r="AC11" s="150">
        <f> -1 * AC10</f>
        <v>-0.0</v>
      </c>
      <c r="AD11" s="150">
        <f> -1 * AD10</f>
        <v>-0.0</v>
      </c>
      <c r="AE11" s="150">
        <f> -1 * AE10</f>
        <v>-0.0</v>
      </c>
      <c r="AF11" s="150">
        <f> -1 * AF10</f>
        <v>-0.0</v>
      </c>
      <c r="AG11" s="150">
        <f> -1 * AG10</f>
        <v>-0.0</v>
      </c>
      <c r="AH11" s="150">
        <f> -1 * AH10</f>
        <v>-0.0</v>
      </c>
      <c r="AI11" s="150">
        <f> -1 * AI10</f>
        <v>-0.0</v>
      </c>
      <c r="AJ11" s="150">
        <f> -1 * AJ10</f>
        <v>-0.0</v>
      </c>
      <c r="AK11" s="150">
        <f> -1 * AK10</f>
        <v>-0.0</v>
      </c>
      <c r="AL11" s="150">
        <f> -1 * AL10</f>
        <v>-0.0</v>
      </c>
      <c r="AM11" s="150">
        <f> -1 * AM10</f>
        <v>-0.0</v>
      </c>
      <c r="AN11" s="150">
        <f> -1 * AN10</f>
        <v>-0.0</v>
      </c>
      <c r="AO11" s="150">
        <f> -1 * AO10</f>
        <v>-0.0</v>
      </c>
      <c r="AP11" s="150">
        <f> -1 * AP10</f>
        <v>-0.0</v>
      </c>
      <c r="AQ11" s="150">
        <f> -1 * AQ10</f>
        <v>-0.0</v>
      </c>
      <c r="AR11" s="150">
        <f> -1 * AR10</f>
        <v>-0.0</v>
      </c>
      <c r="AS11" s="150">
        <f> -1 * AS10</f>
        <v>-0.0</v>
      </c>
      <c r="AT11" s="150">
        <f> -1 * AT10</f>
        <v>-0.0</v>
      </c>
      <c r="AU11" s="150">
        <f> -1 * AU10</f>
        <v>-0.0</v>
      </c>
      <c r="AV11" s="150">
        <f> -1 * AV10</f>
        <v>-0.0</v>
      </c>
      <c r="AW11" s="150">
        <f> -1 * AW10</f>
        <v>-0.0</v>
      </c>
      <c r="AX11" s="150">
        <f> -1 * AX10</f>
        <v>-0.0</v>
      </c>
      <c r="AY11" s="150">
        <f> -1 * AY10</f>
        <v>-0.0</v>
      </c>
      <c r="AZ11" s="150">
        <f> -1 * AZ10</f>
        <v>-0.0</v>
      </c>
      <c r="BA11" s="150">
        <f> -1 * BA10</f>
        <v>-0.0</v>
      </c>
      <c r="BB11" s="150">
        <f> -1 * BB10</f>
        <v>-0.0</v>
      </c>
      <c r="BC11" s="150">
        <f> -1 * BC10</f>
        <v>-0.0</v>
      </c>
      <c r="BD11" s="150">
        <f> -1 * BD10</f>
        <v>-0.0</v>
      </c>
      <c r="BE11" s="150">
        <f> -1 * BE10</f>
        <v>-0.0</v>
      </c>
      <c r="BF11" s="150">
        <f> -1 * BF10</f>
        <v>-0.0</v>
      </c>
      <c r="BG11" s="150">
        <f> -1 * BG10</f>
        <v>-0.0</v>
      </c>
      <c r="BH11" s="150">
        <f> -1 * BH10</f>
        <v>-0.0</v>
      </c>
      <c r="BI11" s="150">
        <f> -1 * BI10</f>
        <v>-0.0</v>
      </c>
      <c r="BJ11" s="150">
        <f> -1 * BJ10</f>
        <v>-0.0</v>
      </c>
      <c r="BK11" s="150">
        <f> -1 * BK10</f>
        <v>-0.0</v>
      </c>
      <c r="BL11" s="150">
        <f> -1 * BL10</f>
        <v>-0.0</v>
      </c>
      <c r="BM11" s="150">
        <f> -1 * BM10</f>
        <v>-0.0</v>
      </c>
      <c r="BN11" s="150">
        <f> -1 * BN10</f>
        <v>-0.0</v>
      </c>
      <c r="BO11" s="150">
        <f> -1 * BO10</f>
        <v>-0.0</v>
      </c>
      <c r="BP11" s="150">
        <f> -1 * BP10</f>
        <v>-0.0</v>
      </c>
      <c r="BQ11" s="150">
        <f> -1 * BQ10</f>
        <v>-0.0</v>
      </c>
      <c r="BR11" s="150">
        <f> -1 * BR10</f>
        <v>-0.0</v>
      </c>
      <c r="BS11" s="150">
        <f> -1 * BS10</f>
        <v>-0.0</v>
      </c>
      <c r="BT11" s="150">
        <f> -1 * BT10</f>
        <v>-0.0</v>
      </c>
      <c r="BU11" s="150">
        <f> -1 * BU10</f>
        <v>-0.0</v>
      </c>
      <c r="BV11" s="150">
        <f> -1 * BV10</f>
        <v>-0.0</v>
      </c>
      <c r="BW11" s="150">
        <f> -1 * BW10</f>
        <v>-0.0</v>
      </c>
      <c r="BX11" s="150">
        <f> -1 * BX10</f>
        <v>-0.0</v>
      </c>
      <c r="BY11" s="150">
        <f> -1 * BY10</f>
        <v>-0.0</v>
      </c>
      <c r="BZ11" s="150">
        <f> -1 * BZ10</f>
        <v>-0.0</v>
      </c>
      <c r="CA11" s="150">
        <f> -1 * CA10</f>
        <v>-0.0</v>
      </c>
      <c r="CB11" s="150">
        <f> -1 * CB10</f>
        <v>-0.0</v>
      </c>
      <c r="CC11" s="150">
        <f> -1 * CC10</f>
        <v>-0.0</v>
      </c>
      <c r="CD11" s="150">
        <f> -1 * CD10</f>
        <v>-0.0</v>
      </c>
      <c r="CE11" s="150">
        <f> -1 * CE10</f>
        <v>-0.0</v>
      </c>
      <c r="CF11" s="150">
        <f> -1 * CF10</f>
        <v>-0.0</v>
      </c>
      <c r="CG11" s="150">
        <f> -1 * CG10</f>
        <v>-0.0</v>
      </c>
      <c r="CH11" s="150">
        <f> -1 * CH10</f>
        <v>-0.0</v>
      </c>
      <c r="CI11" s="150">
        <f> -1 * CI10</f>
        <v>-0.0</v>
      </c>
      <c r="CJ11" s="150">
        <f> -1 * CJ10</f>
        <v>-0.0</v>
      </c>
      <c r="CK11" s="150">
        <f> -1 * CK10</f>
        <v>-0.0</v>
      </c>
      <c r="CL11" s="150">
        <f> -1 * CL10</f>
        <v>-0.0</v>
      </c>
      <c r="CM11" s="150">
        <f> -1 * CM10</f>
        <v>-40000.0</v>
      </c>
      <c r="CN11" s="150">
        <f> -1 * CN10</f>
        <v>-0.0</v>
      </c>
      <c r="CO11" s="150">
        <f> -1 * CO10</f>
        <v>-0.0</v>
      </c>
    </row>
    <row r="13">
      <c r="A13" s="294" t="inlineStr">
        <is>
          <t>SHARE CAPITAL BALANCE</t>
        </is>
      </c>
    </row>
    <row r="14">
      <c r="E14" s="325" t="str">
        <f> InpC!E$64</f>
        <v>Non current asset - initial balance</v>
      </c>
      <c r="F14" s="325">
        <f> InpC!F$64</f>
        <v>100000.0</v>
      </c>
      <c r="G14" s="325" t="str">
        <f> InpC!G$64</f>
        <v>$ 000s</v>
      </c>
    </row>
    <row r="15">
      <c r="E15" s="336" t="str">
        <f> InpC!E$72</f>
        <v>% of NCA financed with debt</v>
      </c>
      <c r="F15" s="336">
        <f> InpC!F$72</f>
        <v>0.6</v>
      </c>
      <c r="G15" s="336" t="str">
        <f> InpC!G$72</f>
        <v>%</v>
      </c>
    </row>
    <row r="16">
      <c r="E16" s="345" t="inlineStr">
        <is>
          <t>Share capital - Initial balance</t>
        </is>
      </c>
      <c r="F16" s="345">
        <f> F14 * ( 1- F15)</f>
        <v>40000.0</v>
      </c>
      <c r="G16" s="345" t="str">
        <f>SMU</f>
        <v>$ 000s</v>
      </c>
    </row>
    <row r="18" customFormat="1" s="182">
      <c r="A18" s="177" t="n"/>
      <c r="B18" s="177" t="n"/>
      <c r="C18" s="178" t="n"/>
      <c r="D18" s="179" t="n"/>
      <c r="E18" s="182" t="str">
        <f> E$16</f>
        <v>Share capital - Initial balance</v>
      </c>
      <c r="F18" s="182">
        <f> F$16</f>
        <v>40000.0</v>
      </c>
      <c r="G18" s="182" t="str">
        <f> G$16</f>
        <v>$ 000s</v>
      </c>
    </row>
    <row r="19" customFormat="1" s="100">
      <c r="A19" s="294" t="n"/>
      <c r="B19" s="294" t="n"/>
      <c r="C19" s="212" t="n"/>
      <c r="D19" s="244" t="n"/>
      <c r="E19" s="325" t="str">
        <f> Time!E$45</f>
        <v>Acquisition / initial balance date flag</v>
      </c>
      <c r="F19" s="325">
        <f> Time!F$45</f>
        <v>0.0</v>
      </c>
      <c r="G19" s="325" t="str">
        <f> Time!G$45</f>
        <v>flag</v>
      </c>
      <c r="H19" s="325">
        <f> Time!H$45</f>
        <v>1.0</v>
      </c>
      <c r="I19" s="325">
        <f> Time!I$45</f>
        <v>0.0</v>
      </c>
      <c r="J19" s="325">
        <f> Time!J$45</f>
        <v>0.0</v>
      </c>
      <c r="K19" s="325">
        <f> Time!K$45</f>
        <v>1.0</v>
      </c>
      <c r="L19" s="325">
        <f> Time!L$45</f>
        <v>0.0</v>
      </c>
      <c r="M19" s="325">
        <f> Time!M$45</f>
        <v>0.0</v>
      </c>
      <c r="N19" s="325">
        <f> Time!N$45</f>
        <v>0.0</v>
      </c>
      <c r="O19" s="325">
        <f> Time!O$45</f>
        <v>0.0</v>
      </c>
      <c r="P19" s="325">
        <f> Time!P$45</f>
        <v>0.0</v>
      </c>
      <c r="Q19" s="325">
        <f> Time!Q$45</f>
        <v>0.0</v>
      </c>
      <c r="R19" s="325">
        <f> Time!R$45</f>
        <v>0.0</v>
      </c>
      <c r="S19" s="325">
        <f> Time!S$45</f>
        <v>0.0</v>
      </c>
      <c r="T19" s="325">
        <f> Time!T$45</f>
        <v>0.0</v>
      </c>
      <c r="U19" s="325">
        <f> Time!U$45</f>
        <v>0.0</v>
      </c>
      <c r="V19" s="325">
        <f> Time!V$45</f>
        <v>0.0</v>
      </c>
      <c r="W19" s="325">
        <f> Time!W$45</f>
        <v>0.0</v>
      </c>
      <c r="X19" s="325">
        <f> Time!X$45</f>
        <v>0.0</v>
      </c>
      <c r="Y19" s="325">
        <f> Time!Y$45</f>
        <v>0.0</v>
      </c>
      <c r="Z19" s="325">
        <f> Time!Z$45</f>
        <v>0.0</v>
      </c>
      <c r="AA19" s="325">
        <f> Time!AA$45</f>
        <v>0.0</v>
      </c>
      <c r="AB19" s="325">
        <f> Time!AB$45</f>
        <v>0.0</v>
      </c>
      <c r="AC19" s="325">
        <f> Time!AC$45</f>
        <v>0.0</v>
      </c>
      <c r="AD19" s="325">
        <f> Time!AD$45</f>
        <v>0.0</v>
      </c>
      <c r="AE19" s="325">
        <f> Time!AE$45</f>
        <v>0.0</v>
      </c>
      <c r="AF19" s="325">
        <f> Time!AF$45</f>
        <v>0.0</v>
      </c>
      <c r="AG19" s="325">
        <f> Time!AG$45</f>
        <v>0.0</v>
      </c>
      <c r="AH19" s="325">
        <f> Time!AH$45</f>
        <v>0.0</v>
      </c>
      <c r="AI19" s="325">
        <f> Time!AI$45</f>
        <v>0.0</v>
      </c>
      <c r="AJ19" s="325">
        <f> Time!AJ$45</f>
        <v>0.0</v>
      </c>
      <c r="AK19" s="325">
        <f> Time!AK$45</f>
        <v>0.0</v>
      </c>
      <c r="AL19" s="325">
        <f> Time!AL$45</f>
        <v>0.0</v>
      </c>
      <c r="AM19" s="325">
        <f> Time!AM$45</f>
        <v>0.0</v>
      </c>
      <c r="AN19" s="325">
        <f> Time!AN$45</f>
        <v>0.0</v>
      </c>
      <c r="AO19" s="325">
        <f> Time!AO$45</f>
        <v>0.0</v>
      </c>
      <c r="AP19" s="325">
        <f> Time!AP$45</f>
        <v>0.0</v>
      </c>
      <c r="AQ19" s="325">
        <f> Time!AQ$45</f>
        <v>0.0</v>
      </c>
      <c r="AR19" s="325">
        <f> Time!AR$45</f>
        <v>0.0</v>
      </c>
      <c r="AS19" s="325">
        <f> Time!AS$45</f>
        <v>0.0</v>
      </c>
      <c r="AT19" s="325">
        <f> Time!AT$45</f>
        <v>0.0</v>
      </c>
      <c r="AU19" s="325">
        <f> Time!AU$45</f>
        <v>0.0</v>
      </c>
      <c r="AV19" s="325">
        <f> Time!AV$45</f>
        <v>0.0</v>
      </c>
      <c r="AW19" s="325">
        <f> Time!AW$45</f>
        <v>0.0</v>
      </c>
      <c r="AX19" s="325">
        <f> Time!AX$45</f>
        <v>0.0</v>
      </c>
      <c r="AY19" s="325">
        <f> Time!AY$45</f>
        <v>0.0</v>
      </c>
      <c r="AZ19" s="325">
        <f> Time!AZ$45</f>
        <v>0.0</v>
      </c>
      <c r="BA19" s="325">
        <f> Time!BA$45</f>
        <v>0.0</v>
      </c>
      <c r="BB19" s="325">
        <f> Time!BB$45</f>
        <v>0.0</v>
      </c>
      <c r="BC19" s="325">
        <f> Time!BC$45</f>
        <v>0.0</v>
      </c>
      <c r="BD19" s="325">
        <f> Time!BD$45</f>
        <v>0.0</v>
      </c>
      <c r="BE19" s="325">
        <f> Time!BE$45</f>
        <v>0.0</v>
      </c>
      <c r="BF19" s="325">
        <f> Time!BF$45</f>
        <v>0.0</v>
      </c>
      <c r="BG19" s="325">
        <f> Time!BG$45</f>
        <v>0.0</v>
      </c>
      <c r="BH19" s="325">
        <f> Time!BH$45</f>
        <v>0.0</v>
      </c>
      <c r="BI19" s="325">
        <f> Time!BI$45</f>
        <v>0.0</v>
      </c>
      <c r="BJ19" s="325">
        <f> Time!BJ$45</f>
        <v>0.0</v>
      </c>
      <c r="BK19" s="325">
        <f> Time!BK$45</f>
        <v>0.0</v>
      </c>
      <c r="BL19" s="325">
        <f> Time!BL$45</f>
        <v>0.0</v>
      </c>
      <c r="BM19" s="325">
        <f> Time!BM$45</f>
        <v>0.0</v>
      </c>
      <c r="BN19" s="325">
        <f> Time!BN$45</f>
        <v>0.0</v>
      </c>
      <c r="BO19" s="325">
        <f> Time!BO$45</f>
        <v>0.0</v>
      </c>
      <c r="BP19" s="325">
        <f> Time!BP$45</f>
        <v>0.0</v>
      </c>
      <c r="BQ19" s="325">
        <f> Time!BQ$45</f>
        <v>0.0</v>
      </c>
      <c r="BR19" s="325">
        <f> Time!BR$45</f>
        <v>0.0</v>
      </c>
      <c r="BS19" s="325">
        <f> Time!BS$45</f>
        <v>0.0</v>
      </c>
      <c r="BT19" s="325">
        <f> Time!BT$45</f>
        <v>0.0</v>
      </c>
      <c r="BU19" s="325">
        <f> Time!BU$45</f>
        <v>0.0</v>
      </c>
      <c r="BV19" s="325">
        <f> Time!BV$45</f>
        <v>0.0</v>
      </c>
      <c r="BW19" s="325">
        <f> Time!BW$45</f>
        <v>0.0</v>
      </c>
      <c r="BX19" s="325">
        <f> Time!BX$45</f>
        <v>0.0</v>
      </c>
      <c r="BY19" s="325">
        <f> Time!BY$45</f>
        <v>0.0</v>
      </c>
      <c r="BZ19" s="325">
        <f> Time!BZ$45</f>
        <v>0.0</v>
      </c>
      <c r="CA19" s="325">
        <f> Time!CA$45</f>
        <v>0.0</v>
      </c>
      <c r="CB19" s="325">
        <f> Time!CB$45</f>
        <v>0.0</v>
      </c>
      <c r="CC19" s="325">
        <f> Time!CC$45</f>
        <v>0.0</v>
      </c>
      <c r="CD19" s="325">
        <f> Time!CD$45</f>
        <v>0.0</v>
      </c>
      <c r="CE19" s="325">
        <f> Time!CE$45</f>
        <v>0.0</v>
      </c>
      <c r="CF19" s="325">
        <f> Time!CF$45</f>
        <v>0.0</v>
      </c>
      <c r="CG19" s="325">
        <f> Time!CG$45</f>
        <v>0.0</v>
      </c>
      <c r="CH19" s="325">
        <f> Time!CH$45</f>
        <v>0.0</v>
      </c>
      <c r="CI19" s="325">
        <f> Time!CI$45</f>
        <v>0.0</v>
      </c>
      <c r="CJ19" s="325">
        <f> Time!CJ$45</f>
        <v>0.0</v>
      </c>
      <c r="CK19" s="325">
        <f> Time!CK$45</f>
        <v>0.0</v>
      </c>
      <c r="CL19" s="325">
        <f> Time!CL$45</f>
        <v>0.0</v>
      </c>
      <c r="CM19" s="325">
        <f> Time!CM$45</f>
        <v>0.0</v>
      </c>
      <c r="CN19" s="325">
        <f> Time!CN$45</f>
        <v>0.0</v>
      </c>
      <c r="CO19" s="325">
        <f> Time!CO$45</f>
        <v>0.0</v>
      </c>
    </row>
    <row r="20" customFormat="1" s="61">
      <c r="A20" s="294" t="n"/>
      <c r="B20" s="294" t="n"/>
      <c r="C20" s="212" t="n"/>
      <c r="D20" s="244" t="n"/>
    </row>
    <row r="21" customFormat="1" s="61">
      <c r="A21" s="294" t="n"/>
      <c r="B21" s="294" t="n"/>
      <c r="C21" s="212" t="n"/>
      <c r="D21" s="244" t="n"/>
      <c r="E21" s="61" t="inlineStr">
        <is>
          <t>Share capital balance BEG</t>
        </is>
      </c>
      <c r="G21" s="61" t="inlineStr">
        <is>
          <t>$ 000s</t>
        </is>
      </c>
      <c r="J21" s="61">
        <f> I24</f>
        <v>0.0</v>
      </c>
      <c r="K21" s="61">
        <f> J24</f>
        <v>0.0</v>
      </c>
      <c r="L21" s="61">
        <f> K24</f>
        <v>40000.0</v>
      </c>
      <c r="M21" s="61">
        <f> L24</f>
        <v>40000.0</v>
      </c>
      <c r="N21" s="61">
        <f> M24</f>
        <v>40000.0</v>
      </c>
      <c r="O21" s="61">
        <f> N24</f>
        <v>40000.0</v>
      </c>
      <c r="P21" s="61">
        <f> O24</f>
        <v>40000.0</v>
      </c>
      <c r="Q21" s="61">
        <f> P24</f>
        <v>40000.0</v>
      </c>
      <c r="R21" s="61">
        <f> Q24</f>
        <v>40000.0</v>
      </c>
      <c r="S21" s="61">
        <f> R24</f>
        <v>40000.0</v>
      </c>
      <c r="T21" s="61">
        <f> S24</f>
        <v>40000.0</v>
      </c>
      <c r="U21" s="61">
        <f> T24</f>
        <v>40000.0</v>
      </c>
      <c r="V21" s="61">
        <f> U24</f>
        <v>40000.0</v>
      </c>
      <c r="W21" s="61">
        <f> V24</f>
        <v>40000.0</v>
      </c>
      <c r="X21" s="61">
        <f> W24</f>
        <v>40000.0</v>
      </c>
      <c r="Y21" s="61">
        <f> X24</f>
        <v>40000.0</v>
      </c>
      <c r="Z21" s="61">
        <f> Y24</f>
        <v>40000.0</v>
      </c>
      <c r="AA21" s="61">
        <f> Z24</f>
        <v>40000.0</v>
      </c>
      <c r="AB21" s="61">
        <f> AA24</f>
        <v>40000.0</v>
      </c>
      <c r="AC21" s="61">
        <f> AB24</f>
        <v>40000.0</v>
      </c>
      <c r="AD21" s="61">
        <f> AC24</f>
        <v>40000.0</v>
      </c>
      <c r="AE21" s="61">
        <f> AD24</f>
        <v>40000.0</v>
      </c>
      <c r="AF21" s="61">
        <f> AE24</f>
        <v>40000.0</v>
      </c>
      <c r="AG21" s="61">
        <f> AF24</f>
        <v>40000.0</v>
      </c>
      <c r="AH21" s="61">
        <f> AG24</f>
        <v>40000.0</v>
      </c>
      <c r="AI21" s="61">
        <f> AH24</f>
        <v>40000.0</v>
      </c>
      <c r="AJ21" s="61">
        <f> AI24</f>
        <v>40000.0</v>
      </c>
      <c r="AK21" s="61">
        <f> AJ24</f>
        <v>40000.0</v>
      </c>
      <c r="AL21" s="61">
        <f> AK24</f>
        <v>40000.0</v>
      </c>
      <c r="AM21" s="61">
        <f> AL24</f>
        <v>40000.0</v>
      </c>
      <c r="AN21" s="61">
        <f> AM24</f>
        <v>40000.0</v>
      </c>
      <c r="AO21" s="61">
        <f> AN24</f>
        <v>40000.0</v>
      </c>
      <c r="AP21" s="61">
        <f> AO24</f>
        <v>40000.0</v>
      </c>
      <c r="AQ21" s="61">
        <f> AP24</f>
        <v>40000.0</v>
      </c>
      <c r="AR21" s="61">
        <f> AQ24</f>
        <v>40000.0</v>
      </c>
      <c r="AS21" s="61">
        <f> AR24</f>
        <v>40000.0</v>
      </c>
      <c r="AT21" s="61">
        <f> AS24</f>
        <v>40000.0</v>
      </c>
      <c r="AU21" s="61">
        <f> AT24</f>
        <v>40000.0</v>
      </c>
      <c r="AV21" s="61">
        <f> AU24</f>
        <v>40000.0</v>
      </c>
      <c r="AW21" s="61">
        <f> AV24</f>
        <v>40000.0</v>
      </c>
      <c r="AX21" s="61">
        <f> AW24</f>
        <v>40000.0</v>
      </c>
      <c r="AY21" s="61">
        <f> AX24</f>
        <v>40000.0</v>
      </c>
      <c r="AZ21" s="61">
        <f> AY24</f>
        <v>40000.0</v>
      </c>
      <c r="BA21" s="61">
        <f> AZ24</f>
        <v>40000.0</v>
      </c>
      <c r="BB21" s="61">
        <f> BA24</f>
        <v>40000.0</v>
      </c>
      <c r="BC21" s="61">
        <f> BB24</f>
        <v>40000.0</v>
      </c>
      <c r="BD21" s="61">
        <f> BC24</f>
        <v>40000.0</v>
      </c>
      <c r="BE21" s="61">
        <f> BD24</f>
        <v>40000.0</v>
      </c>
      <c r="BF21" s="61">
        <f> BE24</f>
        <v>40000.0</v>
      </c>
      <c r="BG21" s="61">
        <f> BF24</f>
        <v>40000.0</v>
      </c>
      <c r="BH21" s="61">
        <f> BG24</f>
        <v>40000.0</v>
      </c>
      <c r="BI21" s="61">
        <f> BH24</f>
        <v>40000.0</v>
      </c>
      <c r="BJ21" s="61">
        <f> BI24</f>
        <v>40000.0</v>
      </c>
      <c r="BK21" s="61">
        <f> BJ24</f>
        <v>40000.0</v>
      </c>
      <c r="BL21" s="61">
        <f> BK24</f>
        <v>40000.0</v>
      </c>
      <c r="BM21" s="61">
        <f> BL24</f>
        <v>40000.0</v>
      </c>
      <c r="BN21" s="61">
        <f> BM24</f>
        <v>40000.0</v>
      </c>
      <c r="BO21" s="61">
        <f> BN24</f>
        <v>40000.0</v>
      </c>
      <c r="BP21" s="61">
        <f> BO24</f>
        <v>40000.0</v>
      </c>
      <c r="BQ21" s="61">
        <f> BP24</f>
        <v>40000.0</v>
      </c>
      <c r="BR21" s="61">
        <f> BQ24</f>
        <v>40000.0</v>
      </c>
      <c r="BS21" s="61">
        <f> BR24</f>
        <v>40000.0</v>
      </c>
      <c r="BT21" s="61">
        <f> BS24</f>
        <v>40000.0</v>
      </c>
      <c r="BU21" s="61">
        <f> BT24</f>
        <v>40000.0</v>
      </c>
      <c r="BV21" s="61">
        <f> BU24</f>
        <v>40000.0</v>
      </c>
      <c r="BW21" s="61">
        <f> BV24</f>
        <v>40000.0</v>
      </c>
      <c r="BX21" s="61">
        <f> BW24</f>
        <v>40000.0</v>
      </c>
      <c r="BY21" s="61">
        <f> BX24</f>
        <v>40000.0</v>
      </c>
      <c r="BZ21" s="61">
        <f> BY24</f>
        <v>40000.0</v>
      </c>
      <c r="CA21" s="61">
        <f> BZ24</f>
        <v>40000.0</v>
      </c>
      <c r="CB21" s="61">
        <f> CA24</f>
        <v>40000.0</v>
      </c>
      <c r="CC21" s="61">
        <f> CB24</f>
        <v>40000.0</v>
      </c>
      <c r="CD21" s="61">
        <f> CC24</f>
        <v>40000.0</v>
      </c>
      <c r="CE21" s="61">
        <f> CD24</f>
        <v>40000.0</v>
      </c>
      <c r="CF21" s="61">
        <f> CE24</f>
        <v>40000.0</v>
      </c>
      <c r="CG21" s="61">
        <f> CF24</f>
        <v>40000.0</v>
      </c>
      <c r="CH21" s="61">
        <f> CG24</f>
        <v>40000.0</v>
      </c>
      <c r="CI21" s="61">
        <f> CH24</f>
        <v>40000.0</v>
      </c>
      <c r="CJ21" s="61">
        <f> CI24</f>
        <v>40000.0</v>
      </c>
      <c r="CK21" s="61">
        <f> CJ24</f>
        <v>40000.0</v>
      </c>
      <c r="CL21" s="61">
        <f> CK24</f>
        <v>40000.0</v>
      </c>
      <c r="CM21" s="61">
        <f> CL24</f>
        <v>40000.0</v>
      </c>
      <c r="CN21" s="61">
        <f> CM24</f>
        <v>0.0</v>
      </c>
      <c r="CO21" s="61">
        <f> CN24</f>
        <v>0.0</v>
      </c>
    </row>
    <row r="22" customFormat="1" s="183">
      <c r="A22" s="294" t="n"/>
      <c r="B22" s="294" t="n"/>
      <c r="C22" s="212" t="n"/>
      <c r="D22" s="244" t="inlineStr">
        <is>
          <t>plus</t>
        </is>
      </c>
      <c r="E22" s="183" t="str">
        <f>InpS!E$23</f>
        <v>Share capital - additional injection</v>
      </c>
      <c r="F22" s="0">
        <f>InpS!F$23</f>
        <v>0.0</v>
      </c>
      <c r="G22" s="0" t="str">
        <f>InpS!G$23</f>
        <v>$ 000s</v>
      </c>
      <c r="H22" s="0">
        <f>SUM(J22:CO22)</f>
        <v>0.0</v>
      </c>
      <c r="J22" s="0">
        <f>InpS!J$23</f>
        <v>0.0</v>
      </c>
      <c r="K22" s="0">
        <f>InpS!K$23</f>
        <v>0.0</v>
      </c>
      <c r="L22" s="0">
        <f>InpS!L$23</f>
        <v>0.0</v>
      </c>
      <c r="M22" s="0">
        <f>InpS!M$23</f>
        <v>0.0</v>
      </c>
      <c r="N22" s="0">
        <f>InpS!N$23</f>
        <v>0.0</v>
      </c>
      <c r="O22" s="0">
        <f>InpS!O$23</f>
        <v>0.0</v>
      </c>
      <c r="P22" s="0">
        <f>InpS!P$23</f>
        <v>0.0</v>
      </c>
      <c r="Q22" s="0">
        <f>InpS!Q$23</f>
        <v>0.0</v>
      </c>
      <c r="R22" s="0">
        <f>InpS!R$23</f>
        <v>0.0</v>
      </c>
      <c r="S22" s="0">
        <f>InpS!S$23</f>
        <v>0.0</v>
      </c>
      <c r="T22" s="0">
        <f>InpS!T$23</f>
        <v>0.0</v>
      </c>
      <c r="U22" s="0">
        <f>InpS!U$23</f>
        <v>0.0</v>
      </c>
      <c r="V22" s="0">
        <f>InpS!V$23</f>
        <v>0.0</v>
      </c>
      <c r="W22" s="0">
        <f>InpS!W$23</f>
        <v>0.0</v>
      </c>
      <c r="X22" s="0">
        <f>InpS!X$23</f>
        <v>0.0</v>
      </c>
      <c r="Y22" s="0">
        <f>InpS!Y$23</f>
        <v>0.0</v>
      </c>
      <c r="Z22" s="0">
        <f>InpS!Z$23</f>
        <v>0.0</v>
      </c>
      <c r="AA22" s="0">
        <f>InpS!AA$23</f>
        <v>0.0</v>
      </c>
      <c r="AB22" s="0">
        <f>InpS!AB$23</f>
        <v>0.0</v>
      </c>
      <c r="AC22" s="0">
        <f>InpS!AC$23</f>
        <v>0.0</v>
      </c>
      <c r="AD22" s="0">
        <f>InpS!AD$23</f>
        <v>0.0</v>
      </c>
      <c r="AE22" s="0">
        <f>InpS!AE$23</f>
        <v>0.0</v>
      </c>
      <c r="AF22" s="0">
        <f>InpS!AF$23</f>
        <v>0.0</v>
      </c>
      <c r="AG22" s="0">
        <f>InpS!AG$23</f>
        <v>0.0</v>
      </c>
      <c r="AH22" s="0">
        <f>InpS!AH$23</f>
        <v>0.0</v>
      </c>
      <c r="AI22" s="0">
        <f>InpS!AI$23</f>
        <v>0.0</v>
      </c>
      <c r="AJ22" s="0">
        <f>InpS!AJ$23</f>
        <v>0.0</v>
      </c>
      <c r="AK22" s="0">
        <f>InpS!AK$23</f>
        <v>0.0</v>
      </c>
      <c r="AL22" s="0">
        <f>InpS!AL$23</f>
        <v>0.0</v>
      </c>
      <c r="AM22" s="0">
        <f>InpS!AM$23</f>
        <v>0.0</v>
      </c>
      <c r="AN22" s="0">
        <f>InpS!AN$23</f>
        <v>0.0</v>
      </c>
      <c r="AO22" s="0">
        <f>InpS!AO$23</f>
        <v>0.0</v>
      </c>
      <c r="AP22" s="0">
        <f>InpS!AP$23</f>
        <v>0.0</v>
      </c>
      <c r="AQ22" s="0">
        <f>InpS!AQ$23</f>
        <v>0.0</v>
      </c>
      <c r="AR22" s="0">
        <f>InpS!AR$23</f>
        <v>0.0</v>
      </c>
      <c r="AS22" s="0">
        <f>InpS!AS$23</f>
        <v>0.0</v>
      </c>
      <c r="AT22" s="0">
        <f>InpS!AT$23</f>
        <v>0.0</v>
      </c>
      <c r="AU22" s="0">
        <f>InpS!AU$23</f>
        <v>0.0</v>
      </c>
      <c r="AV22" s="0">
        <f>InpS!AV$23</f>
        <v>0.0</v>
      </c>
      <c r="AW22" s="0">
        <f>InpS!AW$23</f>
        <v>0.0</v>
      </c>
      <c r="AX22" s="0">
        <f>InpS!AX$23</f>
        <v>0.0</v>
      </c>
      <c r="AY22" s="0">
        <f>InpS!AY$23</f>
        <v>0.0</v>
      </c>
      <c r="AZ22" s="0">
        <f>InpS!AZ$23</f>
        <v>0.0</v>
      </c>
      <c r="BA22" s="0">
        <f>InpS!BA$23</f>
        <v>0.0</v>
      </c>
      <c r="BB22" s="0">
        <f>InpS!BB$23</f>
        <v>0.0</v>
      </c>
      <c r="BC22" s="0">
        <f>InpS!BC$23</f>
        <v>0.0</v>
      </c>
      <c r="BD22" s="0">
        <f>InpS!BD$23</f>
        <v>0.0</v>
      </c>
      <c r="BE22" s="0">
        <f>InpS!BE$23</f>
        <v>0.0</v>
      </c>
      <c r="BF22" s="0">
        <f>InpS!BF$23</f>
        <v>0.0</v>
      </c>
      <c r="BG22" s="0">
        <f>InpS!BG$23</f>
        <v>0.0</v>
      </c>
      <c r="BH22" s="0">
        <f>InpS!BH$23</f>
        <v>0.0</v>
      </c>
      <c r="BI22" s="0">
        <f>InpS!BI$23</f>
        <v>0.0</v>
      </c>
      <c r="BJ22" s="0">
        <f>InpS!BJ$23</f>
        <v>0.0</v>
      </c>
      <c r="BK22" s="0">
        <f>InpS!BK$23</f>
        <v>0.0</v>
      </c>
      <c r="BL22" s="0">
        <f>InpS!BL$23</f>
        <v>0.0</v>
      </c>
      <c r="BM22" s="0">
        <f>InpS!BM$23</f>
        <v>0.0</v>
      </c>
      <c r="BN22" s="0">
        <f>InpS!BN$23</f>
        <v>0.0</v>
      </c>
      <c r="BO22" s="0">
        <f>InpS!BO$23</f>
        <v>0.0</v>
      </c>
      <c r="BP22" s="0">
        <f>InpS!BP$23</f>
        <v>0.0</v>
      </c>
      <c r="BQ22" s="0">
        <f>InpS!BQ$23</f>
        <v>0.0</v>
      </c>
      <c r="BR22" s="0">
        <f>InpS!BR$23</f>
        <v>0.0</v>
      </c>
      <c r="BS22" s="0">
        <f>InpS!BS$23</f>
        <v>0.0</v>
      </c>
      <c r="BT22" s="0">
        <f>InpS!BT$23</f>
        <v>0.0</v>
      </c>
      <c r="BU22" s="0">
        <f>InpS!BU$23</f>
        <v>0.0</v>
      </c>
      <c r="BV22" s="0">
        <f>InpS!BV$23</f>
        <v>0.0</v>
      </c>
      <c r="BW22" s="0">
        <f>InpS!BW$23</f>
        <v>0.0</v>
      </c>
      <c r="BX22" s="0">
        <f>InpS!BX$23</f>
        <v>0.0</v>
      </c>
      <c r="BY22" s="0">
        <f>InpS!BY$23</f>
        <v>0.0</v>
      </c>
      <c r="BZ22" s="0">
        <f>InpS!BZ$23</f>
        <v>0.0</v>
      </c>
      <c r="CA22" s="0">
        <f>InpS!CA$23</f>
        <v>0.0</v>
      </c>
      <c r="CB22" s="0">
        <f>InpS!CB$23</f>
        <v>0.0</v>
      </c>
      <c r="CC22" s="0">
        <f>InpS!CC$23</f>
        <v>0.0</v>
      </c>
      <c r="CD22" s="0">
        <f>InpS!CD$23</f>
        <v>0.0</v>
      </c>
      <c r="CE22" s="0">
        <f>InpS!CE$23</f>
        <v>0.0</v>
      </c>
      <c r="CF22" s="0">
        <f>InpS!CF$23</f>
        <v>0.0</v>
      </c>
      <c r="CG22" s="0">
        <f>InpS!CG$23</f>
        <v>0.0</v>
      </c>
      <c r="CH22" s="0">
        <f>InpS!CH$23</f>
        <v>0.0</v>
      </c>
      <c r="CI22" s="0">
        <f>InpS!CI$23</f>
        <v>0.0</v>
      </c>
      <c r="CJ22" s="0">
        <f>InpS!CJ$23</f>
        <v>0.0</v>
      </c>
      <c r="CK22" s="0">
        <f>InpS!CK$23</f>
        <v>0.0</v>
      </c>
      <c r="CL22" s="0">
        <f>InpS!CL$23</f>
        <v>0.0</v>
      </c>
      <c r="CM22" s="0">
        <f>InpS!CM$23</f>
        <v>0.0</v>
      </c>
      <c r="CN22" s="0">
        <f>InpS!CN$23</f>
        <v>0.0</v>
      </c>
      <c r="CO22" s="0">
        <f>InpS!CO$23</f>
        <v>0.0</v>
      </c>
    </row>
    <row r="23" customFormat="1" s="183">
      <c r="A23" s="294" t="n"/>
      <c r="B23" s="294" t="n"/>
      <c r="C23" s="212" t="n"/>
      <c r="D23" s="244" t="inlineStr">
        <is>
          <t>less</t>
        </is>
      </c>
      <c r="E23" s="61" t="str">
        <f> E$10</f>
        <v>Share capital redemption POS</v>
      </c>
      <c r="F23" s="61">
        <f> F$10</f>
        <v>0.0</v>
      </c>
      <c r="G23" s="61" t="str">
        <f> G$10</f>
        <v>$ 000s</v>
      </c>
      <c r="H23" s="61">
        <f> H$10</f>
        <v>40000.0</v>
      </c>
      <c r="I23" s="61">
        <f> I$10</f>
        <v>0.0</v>
      </c>
      <c r="J23" s="61">
        <f> J$10</f>
        <v>0.0</v>
      </c>
      <c r="K23" s="61">
        <f> K$10</f>
        <v>0.0</v>
      </c>
      <c r="L23" s="61">
        <f> L$10</f>
        <v>0.0</v>
      </c>
      <c r="M23" s="61">
        <f> M$10</f>
        <v>0.0</v>
      </c>
      <c r="N23" s="61">
        <f> N$10</f>
        <v>0.0</v>
      </c>
      <c r="O23" s="61">
        <f> O$10</f>
        <v>0.0</v>
      </c>
      <c r="P23" s="61">
        <f> P$10</f>
        <v>0.0</v>
      </c>
      <c r="Q23" s="61">
        <f> Q$10</f>
        <v>0.0</v>
      </c>
      <c r="R23" s="61">
        <f> R$10</f>
        <v>0.0</v>
      </c>
      <c r="S23" s="61">
        <f> S$10</f>
        <v>0.0</v>
      </c>
      <c r="T23" s="61">
        <f> T$10</f>
        <v>0.0</v>
      </c>
      <c r="U23" s="61">
        <f> U$10</f>
        <v>0.0</v>
      </c>
      <c r="V23" s="61">
        <f> V$10</f>
        <v>0.0</v>
      </c>
      <c r="W23" s="61">
        <f> W$10</f>
        <v>0.0</v>
      </c>
      <c r="X23" s="61">
        <f> X$10</f>
        <v>0.0</v>
      </c>
      <c r="Y23" s="61">
        <f> Y$10</f>
        <v>0.0</v>
      </c>
      <c r="Z23" s="61">
        <f> Z$10</f>
        <v>0.0</v>
      </c>
      <c r="AA23" s="61">
        <f> AA$10</f>
        <v>0.0</v>
      </c>
      <c r="AB23" s="61">
        <f> AB$10</f>
        <v>0.0</v>
      </c>
      <c r="AC23" s="61">
        <f> AC$10</f>
        <v>0.0</v>
      </c>
      <c r="AD23" s="61">
        <f> AD$10</f>
        <v>0.0</v>
      </c>
      <c r="AE23" s="61">
        <f> AE$10</f>
        <v>0.0</v>
      </c>
      <c r="AF23" s="61">
        <f> AF$10</f>
        <v>0.0</v>
      </c>
      <c r="AG23" s="61">
        <f> AG$10</f>
        <v>0.0</v>
      </c>
      <c r="AH23" s="61">
        <f> AH$10</f>
        <v>0.0</v>
      </c>
      <c r="AI23" s="61">
        <f> AI$10</f>
        <v>0.0</v>
      </c>
      <c r="AJ23" s="61">
        <f> AJ$10</f>
        <v>0.0</v>
      </c>
      <c r="AK23" s="61">
        <f> AK$10</f>
        <v>0.0</v>
      </c>
      <c r="AL23" s="61">
        <f> AL$10</f>
        <v>0.0</v>
      </c>
      <c r="AM23" s="61">
        <f> AM$10</f>
        <v>0.0</v>
      </c>
      <c r="AN23" s="61">
        <f> AN$10</f>
        <v>0.0</v>
      </c>
      <c r="AO23" s="61">
        <f> AO$10</f>
        <v>0.0</v>
      </c>
      <c r="AP23" s="61">
        <f> AP$10</f>
        <v>0.0</v>
      </c>
      <c r="AQ23" s="61">
        <f> AQ$10</f>
        <v>0.0</v>
      </c>
      <c r="AR23" s="61">
        <f> AR$10</f>
        <v>0.0</v>
      </c>
      <c r="AS23" s="61">
        <f> AS$10</f>
        <v>0.0</v>
      </c>
      <c r="AT23" s="61">
        <f> AT$10</f>
        <v>0.0</v>
      </c>
      <c r="AU23" s="61">
        <f> AU$10</f>
        <v>0.0</v>
      </c>
      <c r="AV23" s="61">
        <f> AV$10</f>
        <v>0.0</v>
      </c>
      <c r="AW23" s="61">
        <f> AW$10</f>
        <v>0.0</v>
      </c>
      <c r="AX23" s="61">
        <f> AX$10</f>
        <v>0.0</v>
      </c>
      <c r="AY23" s="61">
        <f> AY$10</f>
        <v>0.0</v>
      </c>
      <c r="AZ23" s="61">
        <f> AZ$10</f>
        <v>0.0</v>
      </c>
      <c r="BA23" s="61">
        <f> BA$10</f>
        <v>0.0</v>
      </c>
      <c r="BB23" s="61">
        <f> BB$10</f>
        <v>0.0</v>
      </c>
      <c r="BC23" s="61">
        <f> BC$10</f>
        <v>0.0</v>
      </c>
      <c r="BD23" s="61">
        <f> BD$10</f>
        <v>0.0</v>
      </c>
      <c r="BE23" s="61">
        <f> BE$10</f>
        <v>0.0</v>
      </c>
      <c r="BF23" s="61">
        <f> BF$10</f>
        <v>0.0</v>
      </c>
      <c r="BG23" s="61">
        <f> BG$10</f>
        <v>0.0</v>
      </c>
      <c r="BH23" s="61">
        <f> BH$10</f>
        <v>0.0</v>
      </c>
      <c r="BI23" s="61">
        <f> BI$10</f>
        <v>0.0</v>
      </c>
      <c r="BJ23" s="61">
        <f> BJ$10</f>
        <v>0.0</v>
      </c>
      <c r="BK23" s="61">
        <f> BK$10</f>
        <v>0.0</v>
      </c>
      <c r="BL23" s="61">
        <f> BL$10</f>
        <v>0.0</v>
      </c>
      <c r="BM23" s="61">
        <f> BM$10</f>
        <v>0.0</v>
      </c>
      <c r="BN23" s="61">
        <f> BN$10</f>
        <v>0.0</v>
      </c>
      <c r="BO23" s="61">
        <f> BO$10</f>
        <v>0.0</v>
      </c>
      <c r="BP23" s="61">
        <f> BP$10</f>
        <v>0.0</v>
      </c>
      <c r="BQ23" s="61">
        <f> BQ$10</f>
        <v>0.0</v>
      </c>
      <c r="BR23" s="61">
        <f> BR$10</f>
        <v>0.0</v>
      </c>
      <c r="BS23" s="61">
        <f> BS$10</f>
        <v>0.0</v>
      </c>
      <c r="BT23" s="61">
        <f> BT$10</f>
        <v>0.0</v>
      </c>
      <c r="BU23" s="61">
        <f> BU$10</f>
        <v>0.0</v>
      </c>
      <c r="BV23" s="61">
        <f> BV$10</f>
        <v>0.0</v>
      </c>
      <c r="BW23" s="61">
        <f> BW$10</f>
        <v>0.0</v>
      </c>
      <c r="BX23" s="61">
        <f> BX$10</f>
        <v>0.0</v>
      </c>
      <c r="BY23" s="61">
        <f> BY$10</f>
        <v>0.0</v>
      </c>
      <c r="BZ23" s="61">
        <f> BZ$10</f>
        <v>0.0</v>
      </c>
      <c r="CA23" s="61">
        <f> CA$10</f>
        <v>0.0</v>
      </c>
      <c r="CB23" s="61">
        <f> CB$10</f>
        <v>0.0</v>
      </c>
      <c r="CC23" s="61">
        <f> CC$10</f>
        <v>0.0</v>
      </c>
      <c r="CD23" s="61">
        <f> CD$10</f>
        <v>0.0</v>
      </c>
      <c r="CE23" s="61">
        <f> CE$10</f>
        <v>0.0</v>
      </c>
      <c r="CF23" s="61">
        <f> CF$10</f>
        <v>0.0</v>
      </c>
      <c r="CG23" s="61">
        <f> CG$10</f>
        <v>0.0</v>
      </c>
      <c r="CH23" s="61">
        <f> CH$10</f>
        <v>0.0</v>
      </c>
      <c r="CI23" s="61">
        <f> CI$10</f>
        <v>0.0</v>
      </c>
      <c r="CJ23" s="61">
        <f> CJ$10</f>
        <v>0.0</v>
      </c>
      <c r="CK23" s="61">
        <f> CK$10</f>
        <v>0.0</v>
      </c>
      <c r="CL23" s="61">
        <f> CL$10</f>
        <v>0.0</v>
      </c>
      <c r="CM23" s="61">
        <f> CM$10</f>
        <v>40000.0</v>
      </c>
      <c r="CN23" s="61">
        <f> CN$10</f>
        <v>0.0</v>
      </c>
      <c r="CO23" s="61">
        <f> CO$10</f>
        <v>0.0</v>
      </c>
    </row>
    <row r="24" customFormat="1" s="322">
      <c r="A24" s="318" t="n"/>
      <c r="B24" s="318" t="n"/>
      <c r="C24" s="319" t="n"/>
      <c r="D24" s="320" t="n"/>
      <c r="E24" s="322" t="inlineStr">
        <is>
          <t>Share capital balance</t>
        </is>
      </c>
      <c r="F24" s="322" t="inlineStr">
        <is>
          <t>BS</t>
        </is>
      </c>
      <c r="G24" s="322" t="inlineStr">
        <is>
          <t>$ 000s</t>
        </is>
      </c>
      <c r="I24" s="323" t="n"/>
      <c r="J24" s="322">
        <f> IF(J19 = 1, $F18, J21 + J22 - J23)</f>
        <v>0.0</v>
      </c>
      <c r="K24" s="322">
        <f> IF(K19 = 1, $F18, K21 + K22 - K23)</f>
        <v>40000.0</v>
      </c>
      <c r="L24" s="322">
        <f> IF(L19 = 1, $F18, L21 + L22 - L23)</f>
        <v>40000.0</v>
      </c>
      <c r="M24" s="322">
        <f> IF(M19 = 1, $F18, M21 + M22 - M23)</f>
        <v>40000.0</v>
      </c>
      <c r="N24" s="322">
        <f> IF(N19 = 1, $F18, N21 + N22 - N23)</f>
        <v>40000.0</v>
      </c>
      <c r="O24" s="322">
        <f> IF(O19 = 1, $F18, O21 + O22 - O23)</f>
        <v>40000.0</v>
      </c>
      <c r="P24" s="322">
        <f> IF(P19 = 1, $F18, P21 + P22 - P23)</f>
        <v>40000.0</v>
      </c>
      <c r="Q24" s="322">
        <f> IF(Q19 = 1, $F18, Q21 + Q22 - Q23)</f>
        <v>40000.0</v>
      </c>
      <c r="R24" s="322">
        <f> IF(R19 = 1, $F18, R21 + R22 - R23)</f>
        <v>40000.0</v>
      </c>
      <c r="S24" s="322">
        <f> IF(S19 = 1, $F18, S21 + S22 - S23)</f>
        <v>40000.0</v>
      </c>
      <c r="T24" s="322">
        <f> IF(T19 = 1, $F18, T21 + T22 - T23)</f>
        <v>40000.0</v>
      </c>
      <c r="U24" s="322">
        <f> IF(U19 = 1, $F18, U21 + U22 - U23)</f>
        <v>40000.0</v>
      </c>
      <c r="V24" s="322">
        <f> IF(V19 = 1, $F18, V21 + V22 - V23)</f>
        <v>40000.0</v>
      </c>
      <c r="W24" s="322">
        <f> IF(W19 = 1, $F18, W21 + W22 - W23)</f>
        <v>40000.0</v>
      </c>
      <c r="X24" s="322">
        <f> IF(X19 = 1, $F18, X21 + X22 - X23)</f>
        <v>40000.0</v>
      </c>
      <c r="Y24" s="322">
        <f> IF(Y19 = 1, $F18, Y21 + Y22 - Y23)</f>
        <v>40000.0</v>
      </c>
      <c r="Z24" s="322">
        <f> IF(Z19 = 1, $F18, Z21 + Z22 - Z23)</f>
        <v>40000.0</v>
      </c>
      <c r="AA24" s="322">
        <f> IF(AA19 = 1, $F18, AA21 + AA22 - AA23)</f>
        <v>40000.0</v>
      </c>
      <c r="AB24" s="322">
        <f> IF(AB19 = 1, $F18, AB21 + AB22 - AB23)</f>
        <v>40000.0</v>
      </c>
      <c r="AC24" s="322">
        <f> IF(AC19 = 1, $F18, AC21 + AC22 - AC23)</f>
        <v>40000.0</v>
      </c>
      <c r="AD24" s="322">
        <f> IF(AD19 = 1, $F18, AD21 + AD22 - AD23)</f>
        <v>40000.0</v>
      </c>
      <c r="AE24" s="322">
        <f> IF(AE19 = 1, $F18, AE21 + AE22 - AE23)</f>
        <v>40000.0</v>
      </c>
      <c r="AF24" s="322">
        <f> IF(AF19 = 1, $F18, AF21 + AF22 - AF23)</f>
        <v>40000.0</v>
      </c>
      <c r="AG24" s="322">
        <f> IF(AG19 = 1, $F18, AG21 + AG22 - AG23)</f>
        <v>40000.0</v>
      </c>
      <c r="AH24" s="322">
        <f> IF(AH19 = 1, $F18, AH21 + AH22 - AH23)</f>
        <v>40000.0</v>
      </c>
      <c r="AI24" s="322">
        <f> IF(AI19 = 1, $F18, AI21 + AI22 - AI23)</f>
        <v>40000.0</v>
      </c>
      <c r="AJ24" s="322">
        <f> IF(AJ19 = 1, $F18, AJ21 + AJ22 - AJ23)</f>
        <v>40000.0</v>
      </c>
      <c r="AK24" s="322">
        <f> IF(AK19 = 1, $F18, AK21 + AK22 - AK23)</f>
        <v>40000.0</v>
      </c>
      <c r="AL24" s="322">
        <f> IF(AL19 = 1, $F18, AL21 + AL22 - AL23)</f>
        <v>40000.0</v>
      </c>
      <c r="AM24" s="322">
        <f> IF(AM19 = 1, $F18, AM21 + AM22 - AM23)</f>
        <v>40000.0</v>
      </c>
      <c r="AN24" s="322">
        <f> IF(AN19 = 1, $F18, AN21 + AN22 - AN23)</f>
        <v>40000.0</v>
      </c>
      <c r="AO24" s="322">
        <f> IF(AO19 = 1, $F18, AO21 + AO22 - AO23)</f>
        <v>40000.0</v>
      </c>
      <c r="AP24" s="322">
        <f> IF(AP19 = 1, $F18, AP21 + AP22 - AP23)</f>
        <v>40000.0</v>
      </c>
      <c r="AQ24" s="322">
        <f> IF(AQ19 = 1, $F18, AQ21 + AQ22 - AQ23)</f>
        <v>40000.0</v>
      </c>
      <c r="AR24" s="322">
        <f> IF(AR19 = 1, $F18, AR21 + AR22 - AR23)</f>
        <v>40000.0</v>
      </c>
      <c r="AS24" s="322">
        <f> IF(AS19 = 1, $F18, AS21 + AS22 - AS23)</f>
        <v>40000.0</v>
      </c>
      <c r="AT24" s="322">
        <f> IF(AT19 = 1, $F18, AT21 + AT22 - AT23)</f>
        <v>40000.0</v>
      </c>
      <c r="AU24" s="322">
        <f> IF(AU19 = 1, $F18, AU21 + AU22 - AU23)</f>
        <v>40000.0</v>
      </c>
      <c r="AV24" s="322">
        <f> IF(AV19 = 1, $F18, AV21 + AV22 - AV23)</f>
        <v>40000.0</v>
      </c>
      <c r="AW24" s="322">
        <f> IF(AW19 = 1, $F18, AW21 + AW22 - AW23)</f>
        <v>40000.0</v>
      </c>
      <c r="AX24" s="322">
        <f> IF(AX19 = 1, $F18, AX21 + AX22 - AX23)</f>
        <v>40000.0</v>
      </c>
      <c r="AY24" s="322">
        <f> IF(AY19 = 1, $F18, AY21 + AY22 - AY23)</f>
        <v>40000.0</v>
      </c>
      <c r="AZ24" s="322">
        <f> IF(AZ19 = 1, $F18, AZ21 + AZ22 - AZ23)</f>
        <v>40000.0</v>
      </c>
      <c r="BA24" s="322">
        <f> IF(BA19 = 1, $F18, BA21 + BA22 - BA23)</f>
        <v>40000.0</v>
      </c>
      <c r="BB24" s="322">
        <f> IF(BB19 = 1, $F18, BB21 + BB22 - BB23)</f>
        <v>40000.0</v>
      </c>
      <c r="BC24" s="322">
        <f> IF(BC19 = 1, $F18, BC21 + BC22 - BC23)</f>
        <v>40000.0</v>
      </c>
      <c r="BD24" s="322">
        <f> IF(BD19 = 1, $F18, BD21 + BD22 - BD23)</f>
        <v>40000.0</v>
      </c>
      <c r="BE24" s="322">
        <f> IF(BE19 = 1, $F18, BE21 + BE22 - BE23)</f>
        <v>40000.0</v>
      </c>
      <c r="BF24" s="322">
        <f> IF(BF19 = 1, $F18, BF21 + BF22 - BF23)</f>
        <v>40000.0</v>
      </c>
      <c r="BG24" s="322">
        <f> IF(BG19 = 1, $F18, BG21 + BG22 - BG23)</f>
        <v>40000.0</v>
      </c>
      <c r="BH24" s="322">
        <f> IF(BH19 = 1, $F18, BH21 + BH22 - BH23)</f>
        <v>40000.0</v>
      </c>
      <c r="BI24" s="322">
        <f> IF(BI19 = 1, $F18, BI21 + BI22 - BI23)</f>
        <v>40000.0</v>
      </c>
      <c r="BJ24" s="322">
        <f> IF(BJ19 = 1, $F18, BJ21 + BJ22 - BJ23)</f>
        <v>40000.0</v>
      </c>
      <c r="BK24" s="322">
        <f> IF(BK19 = 1, $F18, BK21 + BK22 - BK23)</f>
        <v>40000.0</v>
      </c>
      <c r="BL24" s="322">
        <f> IF(BL19 = 1, $F18, BL21 + BL22 - BL23)</f>
        <v>40000.0</v>
      </c>
      <c r="BM24" s="322">
        <f> IF(BM19 = 1, $F18, BM21 + BM22 - BM23)</f>
        <v>40000.0</v>
      </c>
      <c r="BN24" s="322">
        <f> IF(BN19 = 1, $F18, BN21 + BN22 - BN23)</f>
        <v>40000.0</v>
      </c>
      <c r="BO24" s="322">
        <f> IF(BO19 = 1, $F18, BO21 + BO22 - BO23)</f>
        <v>40000.0</v>
      </c>
      <c r="BP24" s="322">
        <f> IF(BP19 = 1, $F18, BP21 + BP22 - BP23)</f>
        <v>40000.0</v>
      </c>
      <c r="BQ24" s="322">
        <f> IF(BQ19 = 1, $F18, BQ21 + BQ22 - BQ23)</f>
        <v>40000.0</v>
      </c>
      <c r="BR24" s="322">
        <f> IF(BR19 = 1, $F18, BR21 + BR22 - BR23)</f>
        <v>40000.0</v>
      </c>
      <c r="BS24" s="322">
        <f> IF(BS19 = 1, $F18, BS21 + BS22 - BS23)</f>
        <v>40000.0</v>
      </c>
      <c r="BT24" s="322">
        <f> IF(BT19 = 1, $F18, BT21 + BT22 - BT23)</f>
        <v>40000.0</v>
      </c>
      <c r="BU24" s="322">
        <f> IF(BU19 = 1, $F18, BU21 + BU22 - BU23)</f>
        <v>40000.0</v>
      </c>
      <c r="BV24" s="322">
        <f> IF(BV19 = 1, $F18, BV21 + BV22 - BV23)</f>
        <v>40000.0</v>
      </c>
      <c r="BW24" s="322">
        <f> IF(BW19 = 1, $F18, BW21 + BW22 - BW23)</f>
        <v>40000.0</v>
      </c>
      <c r="BX24" s="322">
        <f> IF(BX19 = 1, $F18, BX21 + BX22 - BX23)</f>
        <v>40000.0</v>
      </c>
      <c r="BY24" s="322">
        <f> IF(BY19 = 1, $F18, BY21 + BY22 - BY23)</f>
        <v>40000.0</v>
      </c>
      <c r="BZ24" s="322">
        <f> IF(BZ19 = 1, $F18, BZ21 + BZ22 - BZ23)</f>
        <v>40000.0</v>
      </c>
      <c r="CA24" s="322">
        <f> IF(CA19 = 1, $F18, CA21 + CA22 - CA23)</f>
        <v>40000.0</v>
      </c>
      <c r="CB24" s="322">
        <f> IF(CB19 = 1, $F18, CB21 + CB22 - CB23)</f>
        <v>40000.0</v>
      </c>
      <c r="CC24" s="322">
        <f> IF(CC19 = 1, $F18, CC21 + CC22 - CC23)</f>
        <v>40000.0</v>
      </c>
      <c r="CD24" s="322">
        <f> IF(CD19 = 1, $F18, CD21 + CD22 - CD23)</f>
        <v>40000.0</v>
      </c>
      <c r="CE24" s="322">
        <f> IF(CE19 = 1, $F18, CE21 + CE22 - CE23)</f>
        <v>40000.0</v>
      </c>
      <c r="CF24" s="322">
        <f> IF(CF19 = 1, $F18, CF21 + CF22 - CF23)</f>
        <v>40000.0</v>
      </c>
      <c r="CG24" s="322">
        <f> IF(CG19 = 1, $F18, CG21 + CG22 - CG23)</f>
        <v>40000.0</v>
      </c>
      <c r="CH24" s="322">
        <f> IF(CH19 = 1, $F18, CH21 + CH22 - CH23)</f>
        <v>40000.0</v>
      </c>
      <c r="CI24" s="322">
        <f> IF(CI19 = 1, $F18, CI21 + CI22 - CI23)</f>
        <v>40000.0</v>
      </c>
      <c r="CJ24" s="322">
        <f> IF(CJ19 = 1, $F18, CJ21 + CJ22 - CJ23)</f>
        <v>40000.0</v>
      </c>
      <c r="CK24" s="322">
        <f> IF(CK19 = 1, $F18, CK21 + CK22 - CK23)</f>
        <v>40000.0</v>
      </c>
      <c r="CL24" s="322">
        <f> IF(CL19 = 1, $F18, CL21 + CL22 - CL23)</f>
        <v>40000.0</v>
      </c>
      <c r="CM24" s="322">
        <f> IF(CM19 = 1, $F18, CM21 + CM22 - CM23)</f>
        <v>0.0</v>
      </c>
      <c r="CN24" s="322">
        <f> IF(CN19 = 1, $F18, CN21 + CN22 - CN23)</f>
        <v>0.0</v>
      </c>
      <c r="CO24" s="322">
        <f> IF(CO19 = 1, $F18, CO21 + CO22 - CO23)</f>
        <v>0.0</v>
      </c>
    </row>
    <row r="25" customFormat="1" s="61">
      <c r="A25" s="294" t="n"/>
      <c r="B25" s="294" t="n"/>
      <c r="C25" s="212" t="n"/>
      <c r="D25" s="244" t="n"/>
    </row>
    <row r="26" customFormat="1" s="61">
      <c r="A26" s="294" t="n"/>
      <c r="B26" s="294" t="n"/>
      <c r="C26" s="212" t="n"/>
      <c r="D26" s="244" t="n"/>
    </row>
    <row r="27" customFormat="1" s="61">
      <c r="A27" s="294" t="inlineStr">
        <is>
          <t>DIVIDEND DECLARED AND PAID</t>
        </is>
      </c>
      <c r="B27" s="294" t="n"/>
      <c r="C27" s="212" t="n"/>
      <c r="D27" s="244" t="n"/>
    </row>
    <row r="28" customFormat="1" s="61">
      <c r="A28" s="294" t="n"/>
      <c r="B28" s="294" t="n"/>
      <c r="C28" s="212" t="n"/>
      <c r="D28" s="244" t="n"/>
    </row>
    <row r="29" customFormat="1" s="61">
      <c r="A29" s="294" t="n"/>
      <c r="B29" s="294" t="n"/>
      <c r="C29" s="212" t="n"/>
      <c r="D29" s="244" t="n"/>
      <c r="E29" s="29" t="str">
        <f> E$47</f>
        <v>Retained cash balance BEG</v>
      </c>
      <c r="F29" s="29">
        <f> F$47</f>
        <v>0.0</v>
      </c>
      <c r="G29" s="29" t="str">
        <f> G$47</f>
        <v>$ 000s</v>
      </c>
      <c r="H29" s="29">
        <f> H$47</f>
        <v>0.0</v>
      </c>
      <c r="I29" s="29">
        <f> I$47</f>
        <v>0.0</v>
      </c>
      <c r="J29" s="29">
        <f> J$47</f>
        <v>0.0</v>
      </c>
      <c r="K29" s="29">
        <f> K$47</f>
        <v>0.0</v>
      </c>
      <c r="L29" s="29">
        <f> L$47</f>
        <v>0.0</v>
      </c>
      <c r="M29" s="29">
        <f> M$47</f>
        <v>2216.9509574024078</v>
      </c>
      <c r="N29" s="29">
        <f> N$47</f>
        <v>4909.060350575115</v>
      </c>
      <c r="O29" s="29">
        <f> O$47</f>
        <v>7352.245364677066</v>
      </c>
      <c r="P29" s="29">
        <f> P$47</f>
        <v>7887.13984692031</v>
      </c>
      <c r="Q29" s="29">
        <f> Q$47</f>
        <v>8183.84133175329</v>
      </c>
      <c r="R29" s="29">
        <f> R$47</f>
        <v>8590.523082159165</v>
      </c>
      <c r="S29" s="29">
        <f> S$47</f>
        <v>8779.429026602438</v>
      </c>
      <c r="T29" s="29">
        <f> T$47</f>
        <v>7069.164108927858</v>
      </c>
      <c r="U29" s="29">
        <f> U$47</f>
        <v>7154.991476620562</v>
      </c>
      <c r="V29" s="29">
        <f> V$47</f>
        <v>7448.354322602702</v>
      </c>
      <c r="W29" s="29">
        <f> W$47</f>
        <v>7522.692600424862</v>
      </c>
      <c r="X29" s="29">
        <f> X$47</f>
        <v>6721.824852251504</v>
      </c>
      <c r="Y29" s="29">
        <f> Y$47</f>
        <v>6738.2605844966165</v>
      </c>
      <c r="Z29" s="29">
        <f> Z$47</f>
        <v>6910.6655043662295</v>
      </c>
      <c r="AA29" s="29">
        <f> AA$47</f>
        <v>6860.218239012492</v>
      </c>
      <c r="AB29" s="29">
        <f> AB$47</f>
        <v>5448.033642434864</v>
      </c>
      <c r="AC29" s="29">
        <f> AC$47</f>
        <v>5378.648077749874</v>
      </c>
      <c r="AD29" s="29">
        <f> AD$47</f>
        <v>5477.943994762996</v>
      </c>
      <c r="AE29" s="29">
        <f> AE$47</f>
        <v>5171.3103870063105</v>
      </c>
      <c r="AF29" s="29">
        <f> AF$47</f>
        <v>4207.01671124718</v>
      </c>
      <c r="AG29" s="29">
        <f> AG$47</f>
        <v>4036.241127625582</v>
      </c>
      <c r="AH29" s="29">
        <f> AH$47</f>
        <v>4072.6850891389504</v>
      </c>
      <c r="AI29" s="29">
        <f> AI$47</f>
        <v>3866.58059687237</v>
      </c>
      <c r="AJ29" s="29">
        <f> AJ$47</f>
        <v>3339.426149261013</v>
      </c>
      <c r="AK29" s="29">
        <f> AK$47</f>
        <v>3087.9875796483066</v>
      </c>
      <c r="AL29" s="29">
        <f> AL$47</f>
        <v>3038.1811821635874</v>
      </c>
      <c r="AM29" s="29">
        <f> AM$47</f>
        <v>2753.2386114448236</v>
      </c>
      <c r="AN29" s="29">
        <f> AN$47</f>
        <v>1472.0364582877055</v>
      </c>
      <c r="AO29" s="29">
        <f> AO$47</f>
        <v>1079.6213903162425</v>
      </c>
      <c r="AP29" s="29">
        <f> AP$47</f>
        <v>946.0003646148589</v>
      </c>
      <c r="AQ29" s="29">
        <f> AQ$47</f>
        <v>543.4894183343094</v>
      </c>
      <c r="AR29" s="29">
        <f> AR$47</f>
        <v>0.0</v>
      </c>
      <c r="AS29" s="29">
        <f> AS$47</f>
        <v>0.0</v>
      </c>
      <c r="AT29" s="29">
        <f> AT$47</f>
        <v>711.8114604008133</v>
      </c>
      <c r="AU29" s="29">
        <f> AU$47</f>
        <v>2249.351964822784</v>
      </c>
      <c r="AV29" s="29">
        <f> AV$47</f>
        <v>4016.1127479275983</v>
      </c>
      <c r="AW29" s="29">
        <f> AW$47</f>
        <v>5433.735505516821</v>
      </c>
      <c r="AX29" s="29">
        <f> AX$47</f>
        <v>7133.595692390354</v>
      </c>
      <c r="AY29" s="29">
        <f> AY$47</f>
        <v>8313.162189022682</v>
      </c>
      <c r="AZ29" s="29">
        <f> AZ$47</f>
        <v>9984.423504955159</v>
      </c>
      <c r="BA29" s="29">
        <f> BA$47</f>
        <v>11304.96122811599</v>
      </c>
      <c r="BB29" s="29">
        <f> BB$47</f>
        <v>12920.553895839988</v>
      </c>
      <c r="BC29" s="29">
        <f> BC$47</f>
        <v>14244.174847084958</v>
      </c>
      <c r="BD29" s="29">
        <f> BD$47</f>
        <v>15838.49019620916</v>
      </c>
      <c r="BE29" s="29">
        <f> BE$47</f>
        <v>17077.075586816005</v>
      </c>
      <c r="BF29" s="29">
        <f> BF$47</f>
        <v>18653.514685175258</v>
      </c>
      <c r="BG29" s="29">
        <f> BG$47</f>
        <v>19915.927889667906</v>
      </c>
      <c r="BH29" s="29">
        <f> BH$47</f>
        <v>21459.44589274065</v>
      </c>
      <c r="BI29" s="29">
        <f> BI$47</f>
        <v>22779.271507489073</v>
      </c>
      <c r="BJ29" s="29">
        <f> BJ$47</f>
        <v>23977.20009309519</v>
      </c>
      <c r="BK29" s="29">
        <f> BK$47</f>
        <v>25481.401720318598</v>
      </c>
      <c r="BL29" s="29">
        <f> BL$47</f>
        <v>26649.77396994787</v>
      </c>
      <c r="BM29" s="29">
        <f> BM$47</f>
        <v>28062.02282346445</v>
      </c>
      <c r="BN29" s="29">
        <f> BN$47</f>
        <v>29192.861441434547</v>
      </c>
      <c r="BO29" s="29">
        <f> BO$47</f>
        <v>30640.76018353067</v>
      </c>
      <c r="BP29" s="29">
        <f> BP$47</f>
        <v>31744.273613402023</v>
      </c>
      <c r="BQ29" s="29">
        <f> BQ$47</f>
        <v>33151.79804714928</v>
      </c>
      <c r="BR29" s="29">
        <f> BR$47</f>
        <v>34406.68178548682</v>
      </c>
      <c r="BS29" s="29">
        <f> BS$47</f>
        <v>35505.87948498749</v>
      </c>
      <c r="BT29" s="29">
        <f> BT$47</f>
        <v>36917.02813293644</v>
      </c>
      <c r="BU29" s="29">
        <f> BU$47</f>
        <v>36787.747233978174</v>
      </c>
      <c r="BV29" s="29">
        <f> BV$47</f>
        <v>37045.29568156926</v>
      </c>
      <c r="BW29" s="29">
        <f> BW$47</f>
        <v>36955.64863992906</v>
      </c>
      <c r="BX29" s="29">
        <f> BX$47</f>
        <v>37016.17128621793</v>
      </c>
      <c r="BY29" s="29">
        <f> BY$47</f>
        <v>37036.97045960957</v>
      </c>
      <c r="BZ29" s="29">
        <f> BZ$47</f>
        <v>37108.33530311733</v>
      </c>
      <c r="CA29" s="29">
        <f> CA$47</f>
        <v>37176.2138038993</v>
      </c>
      <c r="CB29" s="29">
        <f> CB$47</f>
        <v>37222.95734433822</v>
      </c>
      <c r="CC29" s="29">
        <f> CC$47</f>
        <v>37229.56544695492</v>
      </c>
      <c r="CD29" s="29">
        <f> CD$47</f>
        <v>37288.996942090074</v>
      </c>
      <c r="CE29" s="29">
        <f> CE$47</f>
        <v>37345.54121890153</v>
      </c>
      <c r="CF29" s="29">
        <f> CF$47</f>
        <v>37380.98501550935</v>
      </c>
      <c r="CG29" s="29">
        <f> CG$47</f>
        <v>37395.03970358717</v>
      </c>
      <c r="CH29" s="29">
        <f> CH$47</f>
        <v>37425.47525348676</v>
      </c>
      <c r="CI29" s="29">
        <f> CI$47</f>
        <v>37472.825438445856</v>
      </c>
      <c r="CJ29" s="29">
        <f> CJ$47</f>
        <v>37498.986649803046</v>
      </c>
      <c r="CK29" s="29">
        <f> CK$47</f>
        <v>37483.73962570938</v>
      </c>
      <c r="CL29" s="29">
        <f> CL$47</f>
        <v>37525.64581674652</v>
      </c>
      <c r="CM29" s="29">
        <f> CM$47</f>
        <v>37565.54619197163</v>
      </c>
      <c r="CN29" s="29">
        <f> CN$47</f>
        <v>0.0</v>
      </c>
      <c r="CO29" s="29">
        <f> CO$47</f>
        <v>5.456968210637569e-10</v>
      </c>
    </row>
    <row r="30" customFormat="1" s="61">
      <c r="A30" s="294" t="n"/>
      <c r="B30" s="294" t="n"/>
      <c r="C30" s="212" t="n"/>
      <c r="D30" s="244" t="n"/>
      <c r="E30" s="367" t="str">
        <f> FinStat!E$45</f>
        <v>Cash flow available for dividends</v>
      </c>
      <c r="F30" s="367">
        <f> FinStat!F$45</f>
        <v>0.0</v>
      </c>
      <c r="G30" s="367" t="str">
        <f> FinStat!G$45</f>
        <v>$ 000s</v>
      </c>
      <c r="H30" s="367">
        <f> FinStat!H$45</f>
        <v>464032.94057809113</v>
      </c>
      <c r="I30" s="367">
        <f> FinStat!I$45</f>
        <v>0.0</v>
      </c>
      <c r="J30" s="367">
        <f> FinStat!J$45</f>
        <v>0.0</v>
      </c>
      <c r="K30" s="367">
        <f> FinStat!K$45</f>
        <v>0.0</v>
      </c>
      <c r="L30" s="367">
        <f> FinStat!L$45</f>
        <v>4317.621863101254</v>
      </c>
      <c r="M30" s="367">
        <f> FinStat!M$45</f>
        <v>4508.089487286373</v>
      </c>
      <c r="N30" s="367">
        <f> FinStat!N$45</f>
        <v>4617.781757798974</v>
      </c>
      <c r="O30" s="367">
        <f> FinStat!O$45</f>
        <v>2439.9870632432453</v>
      </c>
      <c r="P30" s="367">
        <f> FinStat!P$45</f>
        <v>2606.748605056178</v>
      </c>
      <c r="Q30" s="367">
        <f> FinStat!Q$45</f>
        <v>2458.4494819720207</v>
      </c>
      <c r="R30" s="367">
        <f> FinStat!R$45</f>
        <v>2632.9533547201318</v>
      </c>
      <c r="S30" s="367">
        <f> FinStat!S$45</f>
        <v>476.32118126430896</v>
      </c>
      <c r="T30" s="367">
        <f> FinStat!T$45</f>
        <v>2825.548823619684</v>
      </c>
      <c r="U30" s="367">
        <f> FinStat!U$45</f>
        <v>2749.6810183467032</v>
      </c>
      <c r="V30" s="367">
        <f> FinStat!V$45</f>
        <v>2944.388023301069</v>
      </c>
      <c r="W30" s="367">
        <f> FinStat!W$45</f>
        <v>1779.9634556897513</v>
      </c>
      <c r="X30" s="367">
        <f> FinStat!X$45</f>
        <v>2989.1150309547106</v>
      </c>
      <c r="Y30" s="367">
        <f> FinStat!Y$45</f>
        <v>2834.2597370075914</v>
      </c>
      <c r="Z30" s="367">
        <f> FinStat!Z$45</f>
        <v>3028.434503680356</v>
      </c>
      <c r="AA30" s="367">
        <f> FinStat!AA$45</f>
        <v>1356.5424322902604</v>
      </c>
      <c r="AB30" s="367">
        <f> FinStat!AB$45</f>
        <v>3083.456612985892</v>
      </c>
      <c r="AC30" s="367">
        <f> FinStat!AC$45</f>
        <v>2932.469156443015</v>
      </c>
      <c r="AD30" s="367">
        <f> FinStat!AD$45</f>
        <v>3430.5866052132164</v>
      </c>
      <c r="AE30" s="367">
        <f> FinStat!AE$45</f>
        <v>2430.471446702757</v>
      </c>
      <c r="AF30" s="367">
        <f> FinStat!AF$45</f>
        <v>3665.0815781819033</v>
      </c>
      <c r="AG30" s="367">
        <f> FinStat!AG$45</f>
        <v>3520.8620208736334</v>
      </c>
      <c r="AH30" s="367">
        <f> FinStat!AH$45</f>
        <v>3751.44454931464</v>
      </c>
      <c r="AI30" s="367">
        <f> FinStat!AI$45</f>
        <v>3076.96818407994</v>
      </c>
      <c r="AJ30" s="367">
        <f> FinStat!AJ$45</f>
        <v>3820.366807044896</v>
      </c>
      <c r="AK30" s="367">
        <f> FinStat!AK$45</f>
        <v>3662.711314767459</v>
      </c>
      <c r="AL30" s="367">
        <f> FinStat!AL$45</f>
        <v>3915.3044976654464</v>
      </c>
      <c r="AM30" s="367">
        <f> FinStat!AM$45</f>
        <v>3033.575441964341</v>
      </c>
      <c r="AN30" s="367">
        <f> FinStat!AN$45</f>
        <v>4487.73156391343</v>
      </c>
      <c r="AO30" s="367">
        <f> FinStat!AO$45</f>
        <v>4350.497129657825</v>
      </c>
      <c r="AP30" s="367">
        <f> FinStat!AP$45</f>
        <v>4615.950212463894</v>
      </c>
      <c r="AQ30" s="367">
        <f> FinStat!AQ$45</f>
        <v>3434.479478176374</v>
      </c>
      <c r="AR30" s="367">
        <f> FinStat!AR$45</f>
        <v>4701.8472342003215</v>
      </c>
      <c r="AS30" s="367">
        <f> FinStat!AS$45</f>
        <v>6564.601150192993</v>
      </c>
      <c r="AT30" s="367">
        <f> FinStat!AT$45</f>
        <v>6818.6651645954125</v>
      </c>
      <c r="AU30" s="367">
        <f> FinStat!AU$45</f>
        <v>6611.178247102496</v>
      </c>
      <c r="AV30" s="367">
        <f> FinStat!AV$45</f>
        <v>6849.8551943559005</v>
      </c>
      <c r="AW30" s="367">
        <f> FinStat!AW$45</f>
        <v>6688.883225671889</v>
      </c>
      <c r="AX30" s="367">
        <f> FinStat!AX$45</f>
        <v>7336.109407928234</v>
      </c>
      <c r="AY30" s="367">
        <f> FinStat!AY$45</f>
        <v>7352.700236137565</v>
      </c>
      <c r="AZ30" s="367">
        <f> FinStat!AZ$45</f>
        <v>7622.940969685233</v>
      </c>
      <c r="BA30" s="367">
        <f> FinStat!BA$45</f>
        <v>7435.818025476075</v>
      </c>
      <c r="BB30" s="367">
        <f> FinStat!BB$45</f>
        <v>7738.53514987975</v>
      </c>
      <c r="BC30" s="367">
        <f> FinStat!BC$45</f>
        <v>7519.87243693544</v>
      </c>
      <c r="BD30" s="367">
        <f> FinStat!BD$45</f>
        <v>7785.185734526974</v>
      </c>
      <c r="BE30" s="367">
        <f> FinStat!BE$45</f>
        <v>7626.396216843893</v>
      </c>
      <c r="BF30" s="367">
        <f> FinStat!BF$45</f>
        <v>7924.899829086469</v>
      </c>
      <c r="BG30" s="367">
        <f> FinStat!BG$45</f>
        <v>7701.966803518317</v>
      </c>
      <c r="BH30" s="367">
        <f> FinStat!BH$45</f>
        <v>7568.12451741819</v>
      </c>
      <c r="BI30" s="367">
        <f> FinStat!BI$45</f>
        <v>8072.487861429119</v>
      </c>
      <c r="BJ30" s="367">
        <f> FinStat!BJ$45</f>
        <v>7863.424233243337</v>
      </c>
      <c r="BK30" s="367">
        <f> FinStat!BK$45</f>
        <v>8163.179717513836</v>
      </c>
      <c r="BL30" s="367">
        <f> FinStat!BL$45</f>
        <v>7919.046723266435</v>
      </c>
      <c r="BM30" s="367">
        <f> FinStat!BM$45</f>
        <v>8282.684672067786</v>
      </c>
      <c r="BN30" s="367">
        <f> FinStat!BN$45</f>
        <v>8068.948026296649</v>
      </c>
      <c r="BO30" s="367">
        <f> FinStat!BO$45</f>
        <v>8379.215121792457</v>
      </c>
      <c r="BP30" s="367">
        <f> FinStat!BP$45</f>
        <v>8144.526239589604</v>
      </c>
      <c r="BQ30" s="367">
        <f> FinStat!BQ$45</f>
        <v>8050.507620547902</v>
      </c>
      <c r="BR30" s="367">
        <f> FinStat!BR$45</f>
        <v>8564.14911133319</v>
      </c>
      <c r="BS30" s="367">
        <f> FinStat!BS$45</f>
        <v>8325.324320313424</v>
      </c>
      <c r="BT30" s="367">
        <f> FinStat!BT$45</f>
        <v>8630.854692039531</v>
      </c>
      <c r="BU30" s="367">
        <f> FinStat!BU$45</f>
        <v>8458.707712934414</v>
      </c>
      <c r="BV30" s="367">
        <f> FinStat!BV$45</f>
        <v>8800.919579213965</v>
      </c>
      <c r="BW30" s="367">
        <f> FinStat!BW$45</f>
        <v>9017.031237914627</v>
      </c>
      <c r="BX30" s="367">
        <f> FinStat!BX$45</f>
        <v>9043.738832119376</v>
      </c>
      <c r="BY30" s="367">
        <f> FinStat!BY$45</f>
        <v>9161.228293330427</v>
      </c>
      <c r="BZ30" s="367">
        <f> FinStat!BZ$45</f>
        <v>9225.162120261752</v>
      </c>
      <c r="CA30" s="367">
        <f> FinStat!CA$45</f>
        <v>9271.947389813442</v>
      </c>
      <c r="CB30" s="367">
        <f> FinStat!CB$45</f>
        <v>9300.23595110626</v>
      </c>
      <c r="CC30" s="367">
        <f> FinStat!CC$45</f>
        <v>9421.99084845249</v>
      </c>
      <c r="CD30" s="367">
        <f> FinStat!CD$45</f>
        <v>9488.54640487564</v>
      </c>
      <c r="CE30" s="367">
        <f> FinStat!CE$45</f>
        <v>9537.403761463578</v>
      </c>
      <c r="CF30" s="367">
        <f> FinStat!CF$45</f>
        <v>9586.491372022057</v>
      </c>
      <c r="CG30" s="367">
        <f> FinStat!CG$45</f>
        <v>9673.871683816447</v>
      </c>
      <c r="CH30" s="367">
        <f> FinStat!CH$45</f>
        <v>9762.3123768652</v>
      </c>
      <c r="CI30" s="367">
        <f> FinStat!CI$45</f>
        <v>9813.179975158615</v>
      </c>
      <c r="CJ30" s="367">
        <f> FinStat!CJ$45</f>
        <v>9844.362760368896</v>
      </c>
      <c r="CK30" s="367">
        <f> FinStat!CK$45</f>
        <v>9974.6454089715</v>
      </c>
      <c r="CL30" s="367">
        <f> FinStat!CL$45</f>
        <v>10046.3114328884</v>
      </c>
      <c r="CM30" s="367">
        <f> FinStat!CM$45</f>
        <v>-29295.683355809233</v>
      </c>
      <c r="CN30" s="367">
        <f> FinStat!CN$45</f>
        <v>1810.7664905536076</v>
      </c>
      <c r="CO30" s="367">
        <f> FinStat!CO$45</f>
        <v>-7.343237484747079e-12</v>
      </c>
    </row>
    <row r="31" customFormat="1" s="260">
      <c r="A31" s="263" t="n"/>
      <c r="B31" s="263" t="n"/>
      <c r="C31" s="264" t="n"/>
      <c r="D31" s="335" t="n"/>
      <c r="E31" s="260" t="inlineStr">
        <is>
          <t>Aggregate cash available for dividend</t>
        </is>
      </c>
      <c r="G31" s="260" t="str">
        <f>SMU</f>
        <v>$ 000s</v>
      </c>
      <c r="H31" s="260">
        <f> SUM(J31:CO31)</f>
        <v>1858023.7201535867</v>
      </c>
      <c r="J31" s="260">
        <f>MAX(SUM(J29:J30), 0)</f>
        <v>0.0</v>
      </c>
      <c r="K31" s="260">
        <f>MAX(SUM(K29:K30), 0)</f>
        <v>0.0</v>
      </c>
      <c r="L31" s="260">
        <f>MAX(SUM(L29:L30), 0)</f>
        <v>4317.621863101254</v>
      </c>
      <c r="M31" s="260">
        <f>MAX(SUM(M29:M30), 0)</f>
        <v>6725.040444688781</v>
      </c>
      <c r="N31" s="260">
        <f>MAX(SUM(N29:N30), 0)</f>
        <v>9526.842108374089</v>
      </c>
      <c r="O31" s="260">
        <f>MAX(SUM(O29:O30), 0)</f>
        <v>9792.232427920311</v>
      </c>
      <c r="P31" s="260">
        <f>MAX(SUM(P29:P30), 0)</f>
        <v>10493.888451976489</v>
      </c>
      <c r="Q31" s="260">
        <f>MAX(SUM(Q29:Q30), 0)</f>
        <v>10642.29081372531</v>
      </c>
      <c r="R31" s="260">
        <f>MAX(SUM(R29:R30), 0)</f>
        <v>11223.476436879297</v>
      </c>
      <c r="S31" s="260">
        <f>MAX(SUM(S29:S30), 0)</f>
        <v>9255.750207866748</v>
      </c>
      <c r="T31" s="260">
        <f>MAX(SUM(T29:T30), 0)</f>
        <v>9894.712932547542</v>
      </c>
      <c r="U31" s="260">
        <f>MAX(SUM(U29:U30), 0)</f>
        <v>9904.672494967264</v>
      </c>
      <c r="V31" s="260">
        <f>MAX(SUM(V29:V30), 0)</f>
        <v>10392.742345903771</v>
      </c>
      <c r="W31" s="260">
        <f>MAX(SUM(W29:W30), 0)</f>
        <v>9302.656056114613</v>
      </c>
      <c r="X31" s="260">
        <f>MAX(SUM(X29:X30), 0)</f>
        <v>9710.939883206214</v>
      </c>
      <c r="Y31" s="260">
        <f>MAX(SUM(Y29:Y30), 0)</f>
        <v>9572.520321504207</v>
      </c>
      <c r="Z31" s="260">
        <f>MAX(SUM(Z29:Z30), 0)</f>
        <v>9939.100008046586</v>
      </c>
      <c r="AA31" s="260">
        <f>MAX(SUM(AA29:AA30), 0)</f>
        <v>8216.760671302753</v>
      </c>
      <c r="AB31" s="260">
        <f>MAX(SUM(AB29:AB30), 0)</f>
        <v>8531.490255420757</v>
      </c>
      <c r="AC31" s="260">
        <f>MAX(SUM(AC29:AC30), 0)</f>
        <v>8311.117234192889</v>
      </c>
      <c r="AD31" s="260">
        <f>MAX(SUM(AD29:AD30), 0)</f>
        <v>8908.530599976213</v>
      </c>
      <c r="AE31" s="260">
        <f>MAX(SUM(AE29:AE30), 0)</f>
        <v>7601.7818337090675</v>
      </c>
      <c r="AF31" s="260">
        <f>MAX(SUM(AF29:AF30), 0)</f>
        <v>7872.098289429083</v>
      </c>
      <c r="AG31" s="260">
        <f>MAX(SUM(AG29:AG30), 0)</f>
        <v>7557.103148499215</v>
      </c>
      <c r="AH31" s="260">
        <f>MAX(SUM(AH29:AH30), 0)</f>
        <v>7824.129638453591</v>
      </c>
      <c r="AI31" s="260">
        <f>MAX(SUM(AI29:AI30), 0)</f>
        <v>6943.548780952309</v>
      </c>
      <c r="AJ31" s="260">
        <f>MAX(SUM(AJ29:AJ30), 0)</f>
        <v>7159.79295630591</v>
      </c>
      <c r="AK31" s="260">
        <f>MAX(SUM(AK29:AK30), 0)</f>
        <v>6750.698894415766</v>
      </c>
      <c r="AL31" s="260">
        <f>MAX(SUM(AL29:AL30), 0)</f>
        <v>6953.485679829034</v>
      </c>
      <c r="AM31" s="260">
        <f>MAX(SUM(AM29:AM30), 0)</f>
        <v>5786.814053409164</v>
      </c>
      <c r="AN31" s="260">
        <f>MAX(SUM(AN29:AN30), 0)</f>
        <v>5959.768022201136</v>
      </c>
      <c r="AO31" s="260">
        <f>MAX(SUM(AO29:AO30), 0)</f>
        <v>5430.118519974068</v>
      </c>
      <c r="AP31" s="260">
        <f>MAX(SUM(AP29:AP30), 0)</f>
        <v>5561.950577078753</v>
      </c>
      <c r="AQ31" s="260">
        <f>MAX(SUM(AQ29:AQ30), 0)</f>
        <v>3977.9688965106834</v>
      </c>
      <c r="AR31" s="260">
        <f>MAX(SUM(AR29:AR30), 0)</f>
        <v>4701.8472342003215</v>
      </c>
      <c r="AS31" s="260">
        <f>MAX(SUM(AS29:AS30), 0)</f>
        <v>6564.601150192993</v>
      </c>
      <c r="AT31" s="260">
        <f>MAX(SUM(AT29:AT30), 0)</f>
        <v>7530.476624996226</v>
      </c>
      <c r="AU31" s="260">
        <f>MAX(SUM(AU29:AU30), 0)</f>
        <v>8860.530211925281</v>
      </c>
      <c r="AV31" s="260">
        <f>MAX(SUM(AV29:AV30), 0)</f>
        <v>10865.9679422835</v>
      </c>
      <c r="AW31" s="260">
        <f>MAX(SUM(AW29:AW30), 0)</f>
        <v>12122.61873118871</v>
      </c>
      <c r="AX31" s="260">
        <f>MAX(SUM(AX29:AX30), 0)</f>
        <v>14469.705100318588</v>
      </c>
      <c r="AY31" s="260">
        <f>MAX(SUM(AY29:AY30), 0)</f>
        <v>15665.862425160247</v>
      </c>
      <c r="AZ31" s="260">
        <f>MAX(SUM(AZ29:AZ30), 0)</f>
        <v>17607.36447464039</v>
      </c>
      <c r="BA31" s="260">
        <f>MAX(SUM(BA29:BA30), 0)</f>
        <v>18740.779253592063</v>
      </c>
      <c r="BB31" s="260">
        <f>MAX(SUM(BB29:BB30), 0)</f>
        <v>20659.08904571974</v>
      </c>
      <c r="BC31" s="260">
        <f>MAX(SUM(BC29:BC30), 0)</f>
        <v>21764.0472840204</v>
      </c>
      <c r="BD31" s="260">
        <f>MAX(SUM(BD29:BD30), 0)</f>
        <v>23623.675930736135</v>
      </c>
      <c r="BE31" s="260">
        <f>MAX(SUM(BE29:BE30), 0)</f>
        <v>24703.471803659897</v>
      </c>
      <c r="BF31" s="260">
        <f>MAX(SUM(BF29:BF30), 0)</f>
        <v>26578.414514261727</v>
      </c>
      <c r="BG31" s="260">
        <f>MAX(SUM(BG29:BG30), 0)</f>
        <v>27617.894693186223</v>
      </c>
      <c r="BH31" s="260">
        <f>MAX(SUM(BH29:BH30), 0)</f>
        <v>29027.570410158838</v>
      </c>
      <c r="BI31" s="260">
        <f>MAX(SUM(BI29:BI30), 0)</f>
        <v>30851.759368918192</v>
      </c>
      <c r="BJ31" s="260">
        <f>MAX(SUM(BJ29:BJ30), 0)</f>
        <v>31840.624326338526</v>
      </c>
      <c r="BK31" s="260">
        <f>MAX(SUM(BK29:BK30), 0)</f>
        <v>33644.581437832436</v>
      </c>
      <c r="BL31" s="260">
        <f>MAX(SUM(BL29:BL30), 0)</f>
        <v>34568.82069321431</v>
      </c>
      <c r="BM31" s="260">
        <f>MAX(SUM(BM29:BM30), 0)</f>
        <v>36344.70749553223</v>
      </c>
      <c r="BN31" s="260">
        <f>MAX(SUM(BN29:BN30), 0)</f>
        <v>37261.8094677312</v>
      </c>
      <c r="BO31" s="260">
        <f>MAX(SUM(BO29:BO30), 0)</f>
        <v>39019.975305323125</v>
      </c>
      <c r="BP31" s="260">
        <f>MAX(SUM(BP29:BP30), 0)</f>
        <v>39888.79985299163</v>
      </c>
      <c r="BQ31" s="260">
        <f>MAX(SUM(BQ29:BQ30), 0)</f>
        <v>41202.305667697176</v>
      </c>
      <c r="BR31" s="260">
        <f>MAX(SUM(BR29:BR30), 0)</f>
        <v>42970.830896820014</v>
      </c>
      <c r="BS31" s="260">
        <f>MAX(SUM(BS29:BS30), 0)</f>
        <v>43831.20380530092</v>
      </c>
      <c r="BT31" s="260">
        <f>MAX(SUM(BT29:BT30), 0)</f>
        <v>45547.88282497597</v>
      </c>
      <c r="BU31" s="260">
        <f>MAX(SUM(BU29:BU30), 0)</f>
        <v>45246.45494691259</v>
      </c>
      <c r="BV31" s="260">
        <f>MAX(SUM(BV29:BV30), 0)</f>
        <v>45846.215260783225</v>
      </c>
      <c r="BW31" s="260">
        <f>MAX(SUM(BW29:BW30), 0)</f>
        <v>45972.679877843686</v>
      </c>
      <c r="BX31" s="260">
        <f>MAX(SUM(BX29:BX30), 0)</f>
        <v>46059.9101183373</v>
      </c>
      <c r="BY31" s="260">
        <f>MAX(SUM(BY29:BY30), 0)</f>
        <v>46198.19875293999</v>
      </c>
      <c r="BZ31" s="260">
        <f>MAX(SUM(BZ29:BZ30), 0)</f>
        <v>46333.497423379085</v>
      </c>
      <c r="CA31" s="260">
        <f>MAX(SUM(CA29:CA30), 0)</f>
        <v>46448.161193712745</v>
      </c>
      <c r="CB31" s="260">
        <f>MAX(SUM(CB29:CB30), 0)</f>
        <v>46523.19329544448</v>
      </c>
      <c r="CC31" s="260">
        <f>MAX(SUM(CC29:CC30), 0)</f>
        <v>46651.55629540741</v>
      </c>
      <c r="CD31" s="260">
        <f>MAX(SUM(CD29:CD30), 0)</f>
        <v>46777.543346965715</v>
      </c>
      <c r="CE31" s="260">
        <f>MAX(SUM(CE29:CE30), 0)</f>
        <v>46882.94498036511</v>
      </c>
      <c r="CF31" s="260">
        <f>MAX(SUM(CF29:CF30), 0)</f>
        <v>46967.47638753141</v>
      </c>
      <c r="CG31" s="260">
        <f>MAX(SUM(CG29:CG30), 0)</f>
        <v>47068.91138740362</v>
      </c>
      <c r="CH31" s="260">
        <f>MAX(SUM(CH29:CH30), 0)</f>
        <v>47187.78763035196</v>
      </c>
      <c r="CI31" s="260">
        <f>MAX(SUM(CI29:CI30), 0)</f>
        <v>47286.00541360447</v>
      </c>
      <c r="CJ31" s="260">
        <f>MAX(SUM(CJ29:CJ30), 0)</f>
        <v>47343.34941017194</v>
      </c>
      <c r="CK31" s="260">
        <f>MAX(SUM(CK29:CK30), 0)</f>
        <v>47458.385034680876</v>
      </c>
      <c r="CL31" s="260">
        <f>MAX(SUM(CL29:CL30), 0)</f>
        <v>47571.957249634914</v>
      </c>
      <c r="CM31" s="260">
        <f>MAX(SUM(CM29:CM30), 0)</f>
        <v>8269.8628361624</v>
      </c>
      <c r="CN31" s="260">
        <f>MAX(SUM(CN29:CN30), 0)</f>
        <v>1810.7664905536076</v>
      </c>
      <c r="CO31" s="260">
        <f>MAX(SUM(CO29:CO30), 0)</f>
        <v>5.383535835790098e-10</v>
      </c>
    </row>
    <row r="32" customFormat="1" s="61">
      <c r="A32" s="294" t="n"/>
      <c r="B32" s="294" t="n"/>
      <c r="C32" s="212" t="n"/>
      <c r="D32" s="244" t="n"/>
    </row>
    <row r="33" customFormat="1" s="61">
      <c r="A33" s="294" t="n"/>
      <c r="B33" s="294" t="n"/>
      <c r="C33" s="212" t="n"/>
      <c r="D33" s="244" t="n"/>
      <c r="E33" s="29" t="str">
        <f> E$58</f>
        <v>Retained earnings balance BEG</v>
      </c>
      <c r="F33" s="29">
        <f> F$58</f>
        <v>0.0</v>
      </c>
      <c r="G33" s="29" t="str">
        <f> G$58</f>
        <v>$ 000s</v>
      </c>
      <c r="H33" s="29">
        <f> H$58</f>
        <v>0.0</v>
      </c>
      <c r="I33" s="29">
        <f> I$58</f>
        <v>0.0</v>
      </c>
      <c r="J33" s="29">
        <f> J$58</f>
        <v>0.0</v>
      </c>
      <c r="K33" s="29">
        <f> K$58</f>
        <v>0.0</v>
      </c>
      <c r="L33" s="29">
        <f> L$58</f>
        <v>0.0</v>
      </c>
      <c r="M33" s="29">
        <f> M$58</f>
        <v>0.0</v>
      </c>
      <c r="N33" s="29">
        <f> N$58</f>
        <v>0.0</v>
      </c>
      <c r="O33" s="29">
        <f> O$58</f>
        <v>0.0</v>
      </c>
      <c r="P33" s="29">
        <f> P$58</f>
        <v>0.0</v>
      </c>
      <c r="Q33" s="29">
        <f> Q$58</f>
        <v>0.0</v>
      </c>
      <c r="R33" s="29">
        <f> R$58</f>
        <v>0.0</v>
      </c>
      <c r="S33" s="29">
        <f> S$58</f>
        <v>0.0</v>
      </c>
      <c r="T33" s="29">
        <f> T$58</f>
        <v>0.0</v>
      </c>
      <c r="U33" s="29">
        <f> U$58</f>
        <v>0.0</v>
      </c>
      <c r="V33" s="29">
        <f> V$58</f>
        <v>0.0</v>
      </c>
      <c r="W33" s="29">
        <f> W$58</f>
        <v>0.0</v>
      </c>
      <c r="X33" s="29">
        <f> X$58</f>
        <v>0.0</v>
      </c>
      <c r="Y33" s="29">
        <f> Y$58</f>
        <v>0.0</v>
      </c>
      <c r="Z33" s="29">
        <f> Z$58</f>
        <v>0.0</v>
      </c>
      <c r="AA33" s="29">
        <f> AA$58</f>
        <v>0.0</v>
      </c>
      <c r="AB33" s="29">
        <f> AB$58</f>
        <v>0.0</v>
      </c>
      <c r="AC33" s="29">
        <f> AC$58</f>
        <v>0.0</v>
      </c>
      <c r="AD33" s="29">
        <f> AD$58</f>
        <v>0.0</v>
      </c>
      <c r="AE33" s="29">
        <f> AE$58</f>
        <v>0.0</v>
      </c>
      <c r="AF33" s="29">
        <f> AF$58</f>
        <v>0.0</v>
      </c>
      <c r="AG33" s="29">
        <f> AG$58</f>
        <v>0.0</v>
      </c>
      <c r="AH33" s="29">
        <f> AH$58</f>
        <v>0.0</v>
      </c>
      <c r="AI33" s="29">
        <f> AI$58</f>
        <v>0.0</v>
      </c>
      <c r="AJ33" s="29">
        <f> AJ$58</f>
        <v>0.0</v>
      </c>
      <c r="AK33" s="29">
        <f> AK$58</f>
        <v>0.0</v>
      </c>
      <c r="AL33" s="29">
        <f> AL$58</f>
        <v>0.0</v>
      </c>
      <c r="AM33" s="29">
        <f> AM$58</f>
        <v>0.0</v>
      </c>
      <c r="AN33" s="29">
        <f> AN$58</f>
        <v>0.0</v>
      </c>
      <c r="AO33" s="29">
        <f> AO$58</f>
        <v>0.0</v>
      </c>
      <c r="AP33" s="29">
        <f> AP$58</f>
        <v>0.0</v>
      </c>
      <c r="AQ33" s="29">
        <f> AQ$58</f>
        <v>0.0</v>
      </c>
      <c r="AR33" s="29">
        <f> AR$58</f>
        <v>639.7602486866372</v>
      </c>
      <c r="AS33" s="29">
        <f> AS$58</f>
        <v>1099.1265453277538</v>
      </c>
      <c r="AT33" s="29">
        <f> AT$58</f>
        <v>0.0</v>
      </c>
      <c r="AU33" s="29">
        <f> AU$58</f>
        <v>0.0</v>
      </c>
      <c r="AV33" s="29">
        <f> AV$58</f>
        <v>0.0</v>
      </c>
      <c r="AW33" s="29">
        <f> AW$58</f>
        <v>0.0</v>
      </c>
      <c r="AX33" s="29">
        <f> AX$58</f>
        <v>0.0</v>
      </c>
      <c r="AY33" s="29">
        <f> AY$58</f>
        <v>0.0</v>
      </c>
      <c r="AZ33" s="29">
        <f> AZ$58</f>
        <v>0.0</v>
      </c>
      <c r="BA33" s="29">
        <f> BA$58</f>
        <v>0.0</v>
      </c>
      <c r="BB33" s="29">
        <f> BB$58</f>
        <v>0.0</v>
      </c>
      <c r="BC33" s="29">
        <f> BC$58</f>
        <v>0.0</v>
      </c>
      <c r="BD33" s="29">
        <f> BD$58</f>
        <v>0.0</v>
      </c>
      <c r="BE33" s="29">
        <f> BE$58</f>
        <v>0.0</v>
      </c>
      <c r="BF33" s="29">
        <f> BF$58</f>
        <v>0.0</v>
      </c>
      <c r="BG33" s="29">
        <f> BG$58</f>
        <v>0.0</v>
      </c>
      <c r="BH33" s="29">
        <f> BH$58</f>
        <v>0.0</v>
      </c>
      <c r="BI33" s="29">
        <f> BI$58</f>
        <v>0.0</v>
      </c>
      <c r="BJ33" s="29">
        <f> BJ$58</f>
        <v>0.0</v>
      </c>
      <c r="BK33" s="29">
        <f> BK$58</f>
        <v>0.0</v>
      </c>
      <c r="BL33" s="29">
        <f> BL$58</f>
        <v>0.0</v>
      </c>
      <c r="BM33" s="29">
        <f> BM$58</f>
        <v>0.0</v>
      </c>
      <c r="BN33" s="29">
        <f> BN$58</f>
        <v>0.0</v>
      </c>
      <c r="BO33" s="29">
        <f> BO$58</f>
        <v>0.0</v>
      </c>
      <c r="BP33" s="29">
        <f> BP$58</f>
        <v>0.0</v>
      </c>
      <c r="BQ33" s="29">
        <f> BQ$58</f>
        <v>0.0</v>
      </c>
      <c r="BR33" s="29">
        <f> BR$58</f>
        <v>0.0</v>
      </c>
      <c r="BS33" s="29">
        <f> BS$58</f>
        <v>0.0</v>
      </c>
      <c r="BT33" s="29">
        <f> BT$58</f>
        <v>0.0</v>
      </c>
      <c r="BU33" s="29">
        <f> BU$58</f>
        <v>0.0</v>
      </c>
      <c r="BV33" s="29">
        <f> BV$58</f>
        <v>0.0</v>
      </c>
      <c r="BW33" s="29">
        <f> BW$58</f>
        <v>0.0</v>
      </c>
      <c r="BX33" s="29">
        <f> BX$58</f>
        <v>0.0</v>
      </c>
      <c r="BY33" s="29">
        <f> BY$58</f>
        <v>0.0</v>
      </c>
      <c r="BZ33" s="29">
        <f> BZ$58</f>
        <v>0.0</v>
      </c>
      <c r="CA33" s="29">
        <f> CA$58</f>
        <v>0.0</v>
      </c>
      <c r="CB33" s="29">
        <f> CB$58</f>
        <v>0.0</v>
      </c>
      <c r="CC33" s="29">
        <f> CC$58</f>
        <v>0.0</v>
      </c>
      <c r="CD33" s="29">
        <f> CD$58</f>
        <v>0.0</v>
      </c>
      <c r="CE33" s="29">
        <f> CE$58</f>
        <v>0.0</v>
      </c>
      <c r="CF33" s="29">
        <f> CF$58</f>
        <v>0.0</v>
      </c>
      <c r="CG33" s="29">
        <f> CG$58</f>
        <v>0.0</v>
      </c>
      <c r="CH33" s="29">
        <f> CH$58</f>
        <v>0.0</v>
      </c>
      <c r="CI33" s="29">
        <f> CI$58</f>
        <v>0.0</v>
      </c>
      <c r="CJ33" s="29">
        <f> CJ$58</f>
        <v>0.0</v>
      </c>
      <c r="CK33" s="29">
        <f> CK$58</f>
        <v>0.0</v>
      </c>
      <c r="CL33" s="29">
        <f> CL$58</f>
        <v>0.0</v>
      </c>
      <c r="CM33" s="29">
        <f> CM$58</f>
        <v>0.0</v>
      </c>
      <c r="CN33" s="29">
        <f> CN$58</f>
        <v>1810.7664905530692</v>
      </c>
      <c r="CO33" s="29">
        <f> CO$58</f>
        <v>0.0</v>
      </c>
    </row>
    <row r="34" customFormat="1" s="61">
      <c r="A34" s="294" t="n"/>
      <c r="B34" s="294" t="n"/>
      <c r="C34" s="212" t="n"/>
      <c r="D34" s="244" t="n"/>
      <c r="E34" s="367" t="str">
        <f> FinStat!E$18</f>
        <v>Profit after tax</v>
      </c>
      <c r="F34" s="367">
        <f> FinStat!F$18</f>
        <v>0.0</v>
      </c>
      <c r="G34" s="367" t="str">
        <f> FinStat!G$18</f>
        <v>$ 000s</v>
      </c>
      <c r="H34" s="367">
        <f> FinStat!H$18</f>
        <v>464032.9405780906</v>
      </c>
      <c r="I34" s="367">
        <f> FinStat!I$18</f>
        <v>0.0</v>
      </c>
      <c r="J34" s="367">
        <f> FinStat!J$18</f>
        <v>0.0</v>
      </c>
      <c r="K34" s="367">
        <f> FinStat!K$18</f>
        <v>0.0</v>
      </c>
      <c r="L34" s="367">
        <f> FinStat!L$18</f>
        <v>2100.6709056988466</v>
      </c>
      <c r="M34" s="367">
        <f> FinStat!M$18</f>
        <v>1815.9800941136655</v>
      </c>
      <c r="N34" s="367">
        <f> FinStat!N$18</f>
        <v>2174.5967436970222</v>
      </c>
      <c r="O34" s="367">
        <f> FinStat!O$18</f>
        <v>1905.0925810000006</v>
      </c>
      <c r="P34" s="367">
        <f> FinStat!P$18</f>
        <v>2310.0471202231984</v>
      </c>
      <c r="Q34" s="367">
        <f> FinStat!Q$18</f>
        <v>2051.7677315661467</v>
      </c>
      <c r="R34" s="367">
        <f> FinStat!R$18</f>
        <v>2444.047410276859</v>
      </c>
      <c r="S34" s="367">
        <f> FinStat!S$18</f>
        <v>2186.58609893889</v>
      </c>
      <c r="T34" s="367">
        <f> FinStat!T$18</f>
        <v>2739.7214559269796</v>
      </c>
      <c r="U34" s="367">
        <f> FinStat!U$18</f>
        <v>2456.318172364562</v>
      </c>
      <c r="V34" s="367">
        <f> FinStat!V$18</f>
        <v>2870.0497454789092</v>
      </c>
      <c r="W34" s="367">
        <f> FinStat!W$18</f>
        <v>2580.8312038631084</v>
      </c>
      <c r="X34" s="367">
        <f> FinStat!X$18</f>
        <v>2972.679298709598</v>
      </c>
      <c r="Y34" s="367">
        <f> FinStat!Y$18</f>
        <v>2661.854817137978</v>
      </c>
      <c r="Z34" s="367">
        <f> FinStat!Z$18</f>
        <v>3078.881769034094</v>
      </c>
      <c r="AA34" s="367">
        <f> FinStat!AA$18</f>
        <v>2768.7270288678883</v>
      </c>
      <c r="AB34" s="367">
        <f> FinStat!AB$18</f>
        <v>3152.842177670883</v>
      </c>
      <c r="AC34" s="367">
        <f> FinStat!AC$18</f>
        <v>2833.173239429893</v>
      </c>
      <c r="AD34" s="367">
        <f> FinStat!AD$18</f>
        <v>3737.2202129699026</v>
      </c>
      <c r="AE34" s="367">
        <f> FinStat!AE$18</f>
        <v>3394.7651224618876</v>
      </c>
      <c r="AF34" s="367">
        <f> FinStat!AF$18</f>
        <v>3835.8571618035007</v>
      </c>
      <c r="AG34" s="367">
        <f> FinStat!AG$18</f>
        <v>3484.418059360265</v>
      </c>
      <c r="AH34" s="367">
        <f> FinStat!AH$18</f>
        <v>3957.549041581221</v>
      </c>
      <c r="AI34" s="367">
        <f> FinStat!AI$18</f>
        <v>3604.122631691296</v>
      </c>
      <c r="AJ34" s="367">
        <f> FinStat!AJ$18</f>
        <v>4071.805376657603</v>
      </c>
      <c r="AK34" s="367">
        <f> FinStat!AK$18</f>
        <v>3712.517712252178</v>
      </c>
      <c r="AL34" s="367">
        <f> FinStat!AL$18</f>
        <v>4200.24706838421</v>
      </c>
      <c r="AM34" s="367">
        <f> FinStat!AM$18</f>
        <v>4314.777595121459</v>
      </c>
      <c r="AN34" s="367">
        <f> FinStat!AN$18</f>
        <v>4880.146631884893</v>
      </c>
      <c r="AO34" s="367">
        <f> FinStat!AO$18</f>
        <v>4484.118155359209</v>
      </c>
      <c r="AP34" s="367">
        <f> FinStat!AP$18</f>
        <v>5018.461158744443</v>
      </c>
      <c r="AQ34" s="367">
        <f> FinStat!AQ$18</f>
        <v>4617.729145197321</v>
      </c>
      <c r="AR34" s="367">
        <f> FinStat!AR$18</f>
        <v>5161.213530841438</v>
      </c>
      <c r="AS34" s="367">
        <f> FinStat!AS$18</f>
        <v>4753.663144464426</v>
      </c>
      <c r="AT34" s="367">
        <f> FinStat!AT$18</f>
        <v>5281.124660173442</v>
      </c>
      <c r="AU34" s="367">
        <f> FinStat!AU$18</f>
        <v>4844.417463997683</v>
      </c>
      <c r="AV34" s="367">
        <f> FinStat!AV$18</f>
        <v>5432.232436766679</v>
      </c>
      <c r="AW34" s="367">
        <f> FinStat!AW$18</f>
        <v>4989.023038798356</v>
      </c>
      <c r="AX34" s="367">
        <f> FinStat!AX$18</f>
        <v>6156.542911295906</v>
      </c>
      <c r="AY34" s="367">
        <f> FinStat!AY$18</f>
        <v>5681.438920205088</v>
      </c>
      <c r="AZ34" s="367">
        <f> FinStat!AZ$18</f>
        <v>6302.403246524402</v>
      </c>
      <c r="BA34" s="367">
        <f> FinStat!BA$18</f>
        <v>5820.225357752074</v>
      </c>
      <c r="BB34" s="367">
        <f> FinStat!BB$18</f>
        <v>6414.91419863478</v>
      </c>
      <c r="BC34" s="367">
        <f> FinStat!BC$18</f>
        <v>5925.557087811238</v>
      </c>
      <c r="BD34" s="367">
        <f> FinStat!BD$18</f>
        <v>6546.600343920132</v>
      </c>
      <c r="BE34" s="367">
        <f> FinStat!BE$18</f>
        <v>6049.957118484637</v>
      </c>
      <c r="BF34" s="367">
        <f> FinStat!BF$18</f>
        <v>6662.486624593822</v>
      </c>
      <c r="BG34" s="367">
        <f> FinStat!BG$18</f>
        <v>6158.448800445573</v>
      </c>
      <c r="BH34" s="367">
        <f> FinStat!BH$18</f>
        <v>6248.298902669767</v>
      </c>
      <c r="BI34" s="367">
        <f> FinStat!BI$18</f>
        <v>6874.559275823</v>
      </c>
      <c r="BJ34" s="367">
        <f> FinStat!BJ$18</f>
        <v>6359.222606019929</v>
      </c>
      <c r="BK34" s="367">
        <f> FinStat!BK$18</f>
        <v>6994.807467884564</v>
      </c>
      <c r="BL34" s="367">
        <f> FinStat!BL$18</f>
        <v>6506.797869749857</v>
      </c>
      <c r="BM34" s="367">
        <f> FinStat!BM$18</f>
        <v>7151.846054097686</v>
      </c>
      <c r="BN34" s="367">
        <f> FinStat!BN$18</f>
        <v>6621.049284200526</v>
      </c>
      <c r="BO34" s="367">
        <f> FinStat!BO$18</f>
        <v>7275.7016919211</v>
      </c>
      <c r="BP34" s="367">
        <f> FinStat!BP$18</f>
        <v>6737.001805842351</v>
      </c>
      <c r="BQ34" s="367">
        <f> FinStat!BQ$18</f>
        <v>6795.623882210353</v>
      </c>
      <c r="BR34" s="367">
        <f> FinStat!BR$18</f>
        <v>7464.951411832526</v>
      </c>
      <c r="BS34" s="367">
        <f> FinStat!BS$18</f>
        <v>6914.175672364481</v>
      </c>
      <c r="BT34" s="367">
        <f> FinStat!BT$18</f>
        <v>8760.135590997796</v>
      </c>
      <c r="BU34" s="367">
        <f> FinStat!BU$18</f>
        <v>8201.159265343329</v>
      </c>
      <c r="BV34" s="367">
        <f> FinStat!BV$18</f>
        <v>8890.566620854164</v>
      </c>
      <c r="BW34" s="367">
        <f> FinStat!BW$18</f>
        <v>8956.508591625756</v>
      </c>
      <c r="BX34" s="367">
        <f> FinStat!BX$18</f>
        <v>9022.939658727726</v>
      </c>
      <c r="BY34" s="367">
        <f> FinStat!BY$18</f>
        <v>9089.863449822662</v>
      </c>
      <c r="BZ34" s="367">
        <f> FinStat!BZ$18</f>
        <v>9157.283619479786</v>
      </c>
      <c r="CA34" s="367">
        <f> FinStat!CA$18</f>
        <v>9225.20384937453</v>
      </c>
      <c r="CB34" s="367">
        <f> FinStat!CB$18</f>
        <v>9293.627848489556</v>
      </c>
      <c r="CC34" s="367">
        <f> FinStat!CC$18</f>
        <v>9362.559353317338</v>
      </c>
      <c r="CD34" s="367">
        <f> FinStat!CD$18</f>
        <v>9432.002128064178</v>
      </c>
      <c r="CE34" s="367">
        <f> FinStat!CE$18</f>
        <v>9501.959964855758</v>
      </c>
      <c r="CF34" s="367">
        <f> FinStat!CF$18</f>
        <v>9572.436683944241</v>
      </c>
      <c r="CG34" s="367">
        <f> FinStat!CG$18</f>
        <v>9643.436133916857</v>
      </c>
      <c r="CH34" s="367">
        <f> FinStat!CH$18</f>
        <v>9714.962191906101</v>
      </c>
      <c r="CI34" s="367">
        <f> FinStat!CI$18</f>
        <v>9787.018763801429</v>
      </c>
      <c r="CJ34" s="367">
        <f> FinStat!CJ$18</f>
        <v>9859.609784462564</v>
      </c>
      <c r="CK34" s="367">
        <f> FinStat!CK$18</f>
        <v>9932.739217934362</v>
      </c>
      <c r="CL34" s="367">
        <f> FinStat!CL$18</f>
        <v>10006.411057663285</v>
      </c>
      <c r="CM34" s="367">
        <f> FinStat!CM$18</f>
        <v>10080.629326715469</v>
      </c>
      <c r="CN34" s="367">
        <f> FinStat!CN$18</f>
        <v>-7.262542567332276e-12</v>
      </c>
      <c r="CO34" s="367">
        <f> FinStat!CO$18</f>
        <v>-7.343237484747079e-12</v>
      </c>
    </row>
    <row r="35" customFormat="1" s="260">
      <c r="A35" s="263" t="n"/>
      <c r="B35" s="263" t="n"/>
      <c r="C35" s="264" t="n"/>
      <c r="D35" s="335" t="n"/>
      <c r="E35" s="260" t="inlineStr">
        <is>
          <t>Aggregate earnings available for dividend</t>
        </is>
      </c>
      <c r="G35" s="260" t="str">
        <f>SMU</f>
        <v>$ 000s</v>
      </c>
      <c r="H35" s="260">
        <f> SUM(J35:CO35)</f>
        <v>467582.593862658</v>
      </c>
      <c r="J35" s="260">
        <f>MAX(SUM(J33:J34), 0)</f>
        <v>0.0</v>
      </c>
      <c r="K35" s="260">
        <f>MAX(SUM(K33:K34), 0)</f>
        <v>0.0</v>
      </c>
      <c r="L35" s="260">
        <f>MAX(SUM(L33:L34), 0)</f>
        <v>2100.6709056988466</v>
      </c>
      <c r="M35" s="260">
        <f>MAX(SUM(M33:M34), 0)</f>
        <v>1815.9800941136655</v>
      </c>
      <c r="N35" s="260">
        <f>MAX(SUM(N33:N34), 0)</f>
        <v>2174.5967436970222</v>
      </c>
      <c r="O35" s="260">
        <f>MAX(SUM(O33:O34), 0)</f>
        <v>1905.0925810000006</v>
      </c>
      <c r="P35" s="260">
        <f>MAX(SUM(P33:P34), 0)</f>
        <v>2310.0471202231984</v>
      </c>
      <c r="Q35" s="260">
        <f>MAX(SUM(Q33:Q34), 0)</f>
        <v>2051.7677315661467</v>
      </c>
      <c r="R35" s="260">
        <f>MAX(SUM(R33:R34), 0)</f>
        <v>2444.047410276859</v>
      </c>
      <c r="S35" s="260">
        <f>MAX(SUM(S33:S34), 0)</f>
        <v>2186.58609893889</v>
      </c>
      <c r="T35" s="260">
        <f>MAX(SUM(T33:T34), 0)</f>
        <v>2739.7214559269796</v>
      </c>
      <c r="U35" s="260">
        <f>MAX(SUM(U33:U34), 0)</f>
        <v>2456.318172364562</v>
      </c>
      <c r="V35" s="260">
        <f>MAX(SUM(V33:V34), 0)</f>
        <v>2870.0497454789092</v>
      </c>
      <c r="W35" s="260">
        <f>MAX(SUM(W33:W34), 0)</f>
        <v>2580.8312038631084</v>
      </c>
      <c r="X35" s="260">
        <f>MAX(SUM(X33:X34), 0)</f>
        <v>2972.679298709598</v>
      </c>
      <c r="Y35" s="260">
        <f>MAX(SUM(Y33:Y34), 0)</f>
        <v>2661.854817137978</v>
      </c>
      <c r="Z35" s="260">
        <f>MAX(SUM(Z33:Z34), 0)</f>
        <v>3078.881769034094</v>
      </c>
      <c r="AA35" s="260">
        <f>MAX(SUM(AA33:AA34), 0)</f>
        <v>2768.7270288678883</v>
      </c>
      <c r="AB35" s="260">
        <f>MAX(SUM(AB33:AB34), 0)</f>
        <v>3152.842177670883</v>
      </c>
      <c r="AC35" s="260">
        <f>MAX(SUM(AC33:AC34), 0)</f>
        <v>2833.173239429893</v>
      </c>
      <c r="AD35" s="260">
        <f>MAX(SUM(AD33:AD34), 0)</f>
        <v>3737.2202129699026</v>
      </c>
      <c r="AE35" s="260">
        <f>MAX(SUM(AE33:AE34), 0)</f>
        <v>3394.7651224618876</v>
      </c>
      <c r="AF35" s="260">
        <f>MAX(SUM(AF33:AF34), 0)</f>
        <v>3835.8571618035007</v>
      </c>
      <c r="AG35" s="260">
        <f>MAX(SUM(AG33:AG34), 0)</f>
        <v>3484.418059360265</v>
      </c>
      <c r="AH35" s="260">
        <f>MAX(SUM(AH33:AH34), 0)</f>
        <v>3957.549041581221</v>
      </c>
      <c r="AI35" s="260">
        <f>MAX(SUM(AI33:AI34), 0)</f>
        <v>3604.122631691296</v>
      </c>
      <c r="AJ35" s="260">
        <f>MAX(SUM(AJ33:AJ34), 0)</f>
        <v>4071.805376657603</v>
      </c>
      <c r="AK35" s="260">
        <f>MAX(SUM(AK33:AK34), 0)</f>
        <v>3712.517712252178</v>
      </c>
      <c r="AL35" s="260">
        <f>MAX(SUM(AL33:AL34), 0)</f>
        <v>4200.24706838421</v>
      </c>
      <c r="AM35" s="260">
        <f>MAX(SUM(AM33:AM34), 0)</f>
        <v>4314.777595121459</v>
      </c>
      <c r="AN35" s="260">
        <f>MAX(SUM(AN33:AN34), 0)</f>
        <v>4880.146631884893</v>
      </c>
      <c r="AO35" s="260">
        <f>MAX(SUM(AO33:AO34), 0)</f>
        <v>4484.118155359209</v>
      </c>
      <c r="AP35" s="260">
        <f>MAX(SUM(AP33:AP34), 0)</f>
        <v>5018.461158744443</v>
      </c>
      <c r="AQ35" s="260">
        <f>MAX(SUM(AQ33:AQ34), 0)</f>
        <v>4617.729145197321</v>
      </c>
      <c r="AR35" s="260">
        <f>MAX(SUM(AR33:AR34), 0)</f>
        <v>5800.973779528075</v>
      </c>
      <c r="AS35" s="260">
        <f>MAX(SUM(AS33:AS34), 0)</f>
        <v>5852.78968979218</v>
      </c>
      <c r="AT35" s="260">
        <f>MAX(SUM(AT33:AT34), 0)</f>
        <v>5281.124660173442</v>
      </c>
      <c r="AU35" s="260">
        <f>MAX(SUM(AU33:AU34), 0)</f>
        <v>4844.417463997683</v>
      </c>
      <c r="AV35" s="260">
        <f>MAX(SUM(AV33:AV34), 0)</f>
        <v>5432.232436766679</v>
      </c>
      <c r="AW35" s="260">
        <f>MAX(SUM(AW33:AW34), 0)</f>
        <v>4989.023038798356</v>
      </c>
      <c r="AX35" s="260">
        <f>MAX(SUM(AX33:AX34), 0)</f>
        <v>6156.542911295906</v>
      </c>
      <c r="AY35" s="260">
        <f>MAX(SUM(AY33:AY34), 0)</f>
        <v>5681.438920205088</v>
      </c>
      <c r="AZ35" s="260">
        <f>MAX(SUM(AZ33:AZ34), 0)</f>
        <v>6302.403246524402</v>
      </c>
      <c r="BA35" s="260">
        <f>MAX(SUM(BA33:BA34), 0)</f>
        <v>5820.225357752074</v>
      </c>
      <c r="BB35" s="260">
        <f>MAX(SUM(BB33:BB34), 0)</f>
        <v>6414.91419863478</v>
      </c>
      <c r="BC35" s="260">
        <f>MAX(SUM(BC33:BC34), 0)</f>
        <v>5925.557087811238</v>
      </c>
      <c r="BD35" s="260">
        <f>MAX(SUM(BD33:BD34), 0)</f>
        <v>6546.600343920132</v>
      </c>
      <c r="BE35" s="260">
        <f>MAX(SUM(BE33:BE34), 0)</f>
        <v>6049.957118484637</v>
      </c>
      <c r="BF35" s="260">
        <f>MAX(SUM(BF33:BF34), 0)</f>
        <v>6662.486624593822</v>
      </c>
      <c r="BG35" s="260">
        <f>MAX(SUM(BG33:BG34), 0)</f>
        <v>6158.448800445573</v>
      </c>
      <c r="BH35" s="260">
        <f>MAX(SUM(BH33:BH34), 0)</f>
        <v>6248.298902669767</v>
      </c>
      <c r="BI35" s="260">
        <f>MAX(SUM(BI33:BI34), 0)</f>
        <v>6874.559275823</v>
      </c>
      <c r="BJ35" s="260">
        <f>MAX(SUM(BJ33:BJ34), 0)</f>
        <v>6359.222606019929</v>
      </c>
      <c r="BK35" s="260">
        <f>MAX(SUM(BK33:BK34), 0)</f>
        <v>6994.807467884564</v>
      </c>
      <c r="BL35" s="260">
        <f>MAX(SUM(BL33:BL34), 0)</f>
        <v>6506.797869749857</v>
      </c>
      <c r="BM35" s="260">
        <f>MAX(SUM(BM33:BM34), 0)</f>
        <v>7151.846054097686</v>
      </c>
      <c r="BN35" s="260">
        <f>MAX(SUM(BN33:BN34), 0)</f>
        <v>6621.049284200526</v>
      </c>
      <c r="BO35" s="260">
        <f>MAX(SUM(BO33:BO34), 0)</f>
        <v>7275.7016919211</v>
      </c>
      <c r="BP35" s="260">
        <f>MAX(SUM(BP33:BP34), 0)</f>
        <v>6737.001805842351</v>
      </c>
      <c r="BQ35" s="260">
        <f>MAX(SUM(BQ33:BQ34), 0)</f>
        <v>6795.623882210353</v>
      </c>
      <c r="BR35" s="260">
        <f>MAX(SUM(BR33:BR34), 0)</f>
        <v>7464.951411832526</v>
      </c>
      <c r="BS35" s="260">
        <f>MAX(SUM(BS33:BS34), 0)</f>
        <v>6914.175672364481</v>
      </c>
      <c r="BT35" s="260">
        <f>MAX(SUM(BT33:BT34), 0)</f>
        <v>8760.135590997796</v>
      </c>
      <c r="BU35" s="260">
        <f>MAX(SUM(BU33:BU34), 0)</f>
        <v>8201.159265343329</v>
      </c>
      <c r="BV35" s="260">
        <f>MAX(SUM(BV33:BV34), 0)</f>
        <v>8890.566620854164</v>
      </c>
      <c r="BW35" s="260">
        <f>MAX(SUM(BW33:BW34), 0)</f>
        <v>8956.508591625756</v>
      </c>
      <c r="BX35" s="260">
        <f>MAX(SUM(BX33:BX34), 0)</f>
        <v>9022.939658727726</v>
      </c>
      <c r="BY35" s="260">
        <f>MAX(SUM(BY33:BY34), 0)</f>
        <v>9089.863449822662</v>
      </c>
      <c r="BZ35" s="260">
        <f>MAX(SUM(BZ33:BZ34), 0)</f>
        <v>9157.283619479786</v>
      </c>
      <c r="CA35" s="260">
        <f>MAX(SUM(CA33:CA34), 0)</f>
        <v>9225.20384937453</v>
      </c>
      <c r="CB35" s="260">
        <f>MAX(SUM(CB33:CB34), 0)</f>
        <v>9293.627848489556</v>
      </c>
      <c r="CC35" s="260">
        <f>MAX(SUM(CC33:CC34), 0)</f>
        <v>9362.559353317338</v>
      </c>
      <c r="CD35" s="260">
        <f>MAX(SUM(CD33:CD34), 0)</f>
        <v>9432.002128064178</v>
      </c>
      <c r="CE35" s="260">
        <f>MAX(SUM(CE33:CE34), 0)</f>
        <v>9501.959964855758</v>
      </c>
      <c r="CF35" s="260">
        <f>MAX(SUM(CF33:CF34), 0)</f>
        <v>9572.436683944241</v>
      </c>
      <c r="CG35" s="260">
        <f>MAX(SUM(CG33:CG34), 0)</f>
        <v>9643.436133916857</v>
      </c>
      <c r="CH35" s="260">
        <f>MAX(SUM(CH33:CH34), 0)</f>
        <v>9714.962191906101</v>
      </c>
      <c r="CI35" s="260">
        <f>MAX(SUM(CI33:CI34), 0)</f>
        <v>9787.018763801429</v>
      </c>
      <c r="CJ35" s="260">
        <f>MAX(SUM(CJ33:CJ34), 0)</f>
        <v>9859.609784462564</v>
      </c>
      <c r="CK35" s="260">
        <f>MAX(SUM(CK33:CK34), 0)</f>
        <v>9932.739217934362</v>
      </c>
      <c r="CL35" s="260">
        <f>MAX(SUM(CL33:CL34), 0)</f>
        <v>10006.411057663285</v>
      </c>
      <c r="CM35" s="260">
        <f>MAX(SUM(CM33:CM34), 0)</f>
        <v>10080.629326715469</v>
      </c>
      <c r="CN35" s="260">
        <f>MAX(SUM(CN33:CN34), 0)</f>
        <v>1810.7664905530619</v>
      </c>
      <c r="CO35" s="260">
        <f>MAX(SUM(CO33:CO34), 0)</f>
        <v>0.0</v>
      </c>
    </row>
    <row r="36" customFormat="1" s="61">
      <c r="A36" s="294" t="n"/>
      <c r="B36" s="294" t="n"/>
      <c r="C36" s="212" t="n"/>
      <c r="D36" s="244" t="n"/>
    </row>
    <row r="37" customFormat="1" s="61">
      <c r="A37" s="294" t="n"/>
      <c r="B37" s="294" t="n"/>
      <c r="C37" s="212" t="n"/>
      <c r="D37" s="244" t="n"/>
      <c r="E37" s="61" t="str">
        <f> E$31</f>
        <v>Aggregate cash available for dividend</v>
      </c>
      <c r="F37" s="61">
        <f> F$31</f>
        <v>0.0</v>
      </c>
      <c r="G37" s="61" t="str">
        <f> G$31</f>
        <v>$ 000s</v>
      </c>
      <c r="H37" s="61">
        <f> H$31</f>
        <v>1858023.7201535867</v>
      </c>
      <c r="I37" s="61">
        <f> I$31</f>
        <v>0.0</v>
      </c>
      <c r="J37" s="61">
        <f> J$31</f>
        <v>0.0</v>
      </c>
      <c r="K37" s="61">
        <f> K$31</f>
        <v>0.0</v>
      </c>
      <c r="L37" s="61">
        <f> L$31</f>
        <v>4317.621863101254</v>
      </c>
      <c r="M37" s="61">
        <f> M$31</f>
        <v>6725.040444688781</v>
      </c>
      <c r="N37" s="61">
        <f> N$31</f>
        <v>9526.842108374089</v>
      </c>
      <c r="O37" s="61">
        <f> O$31</f>
        <v>9792.232427920311</v>
      </c>
      <c r="P37" s="61">
        <f> P$31</f>
        <v>10493.888451976489</v>
      </c>
      <c r="Q37" s="61">
        <f> Q$31</f>
        <v>10642.29081372531</v>
      </c>
      <c r="R37" s="61">
        <f> R$31</f>
        <v>11223.476436879297</v>
      </c>
      <c r="S37" s="61">
        <f> S$31</f>
        <v>9255.750207866748</v>
      </c>
      <c r="T37" s="61">
        <f> T$31</f>
        <v>9894.712932547542</v>
      </c>
      <c r="U37" s="61">
        <f> U$31</f>
        <v>9904.672494967264</v>
      </c>
      <c r="V37" s="61">
        <f> V$31</f>
        <v>10392.742345903771</v>
      </c>
      <c r="W37" s="61">
        <f> W$31</f>
        <v>9302.656056114613</v>
      </c>
      <c r="X37" s="61">
        <f> X$31</f>
        <v>9710.939883206214</v>
      </c>
      <c r="Y37" s="61">
        <f> Y$31</f>
        <v>9572.520321504207</v>
      </c>
      <c r="Z37" s="61">
        <f> Z$31</f>
        <v>9939.100008046586</v>
      </c>
      <c r="AA37" s="61">
        <f> AA$31</f>
        <v>8216.760671302753</v>
      </c>
      <c r="AB37" s="61">
        <f> AB$31</f>
        <v>8531.490255420757</v>
      </c>
      <c r="AC37" s="61">
        <f> AC$31</f>
        <v>8311.117234192889</v>
      </c>
      <c r="AD37" s="61">
        <f> AD$31</f>
        <v>8908.530599976213</v>
      </c>
      <c r="AE37" s="61">
        <f> AE$31</f>
        <v>7601.7818337090675</v>
      </c>
      <c r="AF37" s="61">
        <f> AF$31</f>
        <v>7872.098289429083</v>
      </c>
      <c r="AG37" s="61">
        <f> AG$31</f>
        <v>7557.103148499215</v>
      </c>
      <c r="AH37" s="61">
        <f> AH$31</f>
        <v>7824.129638453591</v>
      </c>
      <c r="AI37" s="61">
        <f> AI$31</f>
        <v>6943.548780952309</v>
      </c>
      <c r="AJ37" s="61">
        <f> AJ$31</f>
        <v>7159.79295630591</v>
      </c>
      <c r="AK37" s="61">
        <f> AK$31</f>
        <v>6750.698894415766</v>
      </c>
      <c r="AL37" s="61">
        <f> AL$31</f>
        <v>6953.485679829034</v>
      </c>
      <c r="AM37" s="61">
        <f> AM$31</f>
        <v>5786.814053409164</v>
      </c>
      <c r="AN37" s="61">
        <f> AN$31</f>
        <v>5959.768022201136</v>
      </c>
      <c r="AO37" s="61">
        <f> AO$31</f>
        <v>5430.118519974068</v>
      </c>
      <c r="AP37" s="61">
        <f> AP$31</f>
        <v>5561.950577078753</v>
      </c>
      <c r="AQ37" s="61">
        <f> AQ$31</f>
        <v>3977.9688965106834</v>
      </c>
      <c r="AR37" s="61">
        <f> AR$31</f>
        <v>4701.8472342003215</v>
      </c>
      <c r="AS37" s="61">
        <f> AS$31</f>
        <v>6564.601150192993</v>
      </c>
      <c r="AT37" s="61">
        <f> AT$31</f>
        <v>7530.476624996226</v>
      </c>
      <c r="AU37" s="61">
        <f> AU$31</f>
        <v>8860.530211925281</v>
      </c>
      <c r="AV37" s="61">
        <f> AV$31</f>
        <v>10865.9679422835</v>
      </c>
      <c r="AW37" s="61">
        <f> AW$31</f>
        <v>12122.61873118871</v>
      </c>
      <c r="AX37" s="61">
        <f> AX$31</f>
        <v>14469.705100318588</v>
      </c>
      <c r="AY37" s="61">
        <f> AY$31</f>
        <v>15665.862425160247</v>
      </c>
      <c r="AZ37" s="61">
        <f> AZ$31</f>
        <v>17607.36447464039</v>
      </c>
      <c r="BA37" s="61">
        <f> BA$31</f>
        <v>18740.779253592063</v>
      </c>
      <c r="BB37" s="61">
        <f> BB$31</f>
        <v>20659.08904571974</v>
      </c>
      <c r="BC37" s="61">
        <f> BC$31</f>
        <v>21764.0472840204</v>
      </c>
      <c r="BD37" s="61">
        <f> BD$31</f>
        <v>23623.675930736135</v>
      </c>
      <c r="BE37" s="61">
        <f> BE$31</f>
        <v>24703.471803659897</v>
      </c>
      <c r="BF37" s="61">
        <f> BF$31</f>
        <v>26578.414514261727</v>
      </c>
      <c r="BG37" s="61">
        <f> BG$31</f>
        <v>27617.894693186223</v>
      </c>
      <c r="BH37" s="61">
        <f> BH$31</f>
        <v>29027.570410158838</v>
      </c>
      <c r="BI37" s="61">
        <f> BI$31</f>
        <v>30851.759368918192</v>
      </c>
      <c r="BJ37" s="61">
        <f> BJ$31</f>
        <v>31840.624326338526</v>
      </c>
      <c r="BK37" s="61">
        <f> BK$31</f>
        <v>33644.581437832436</v>
      </c>
      <c r="BL37" s="61">
        <f> BL$31</f>
        <v>34568.82069321431</v>
      </c>
      <c r="BM37" s="61">
        <f> BM$31</f>
        <v>36344.70749553223</v>
      </c>
      <c r="BN37" s="61">
        <f> BN$31</f>
        <v>37261.8094677312</v>
      </c>
      <c r="BO37" s="61">
        <f> BO$31</f>
        <v>39019.975305323125</v>
      </c>
      <c r="BP37" s="61">
        <f> BP$31</f>
        <v>39888.79985299163</v>
      </c>
      <c r="BQ37" s="61">
        <f> BQ$31</f>
        <v>41202.305667697176</v>
      </c>
      <c r="BR37" s="61">
        <f> BR$31</f>
        <v>42970.830896820014</v>
      </c>
      <c r="BS37" s="61">
        <f> BS$31</f>
        <v>43831.20380530092</v>
      </c>
      <c r="BT37" s="61">
        <f> BT$31</f>
        <v>45547.88282497597</v>
      </c>
      <c r="BU37" s="61">
        <f> BU$31</f>
        <v>45246.45494691259</v>
      </c>
      <c r="BV37" s="61">
        <f> BV$31</f>
        <v>45846.215260783225</v>
      </c>
      <c r="BW37" s="61">
        <f> BW$31</f>
        <v>45972.679877843686</v>
      </c>
      <c r="BX37" s="61">
        <f> BX$31</f>
        <v>46059.9101183373</v>
      </c>
      <c r="BY37" s="61">
        <f> BY$31</f>
        <v>46198.19875293999</v>
      </c>
      <c r="BZ37" s="61">
        <f> BZ$31</f>
        <v>46333.497423379085</v>
      </c>
      <c r="CA37" s="61">
        <f> CA$31</f>
        <v>46448.161193712745</v>
      </c>
      <c r="CB37" s="61">
        <f> CB$31</f>
        <v>46523.19329544448</v>
      </c>
      <c r="CC37" s="61">
        <f> CC$31</f>
        <v>46651.55629540741</v>
      </c>
      <c r="CD37" s="61">
        <f> CD$31</f>
        <v>46777.543346965715</v>
      </c>
      <c r="CE37" s="61">
        <f> CE$31</f>
        <v>46882.94498036511</v>
      </c>
      <c r="CF37" s="61">
        <f> CF$31</f>
        <v>46967.47638753141</v>
      </c>
      <c r="CG37" s="61">
        <f> CG$31</f>
        <v>47068.91138740362</v>
      </c>
      <c r="CH37" s="61">
        <f> CH$31</f>
        <v>47187.78763035196</v>
      </c>
      <c r="CI37" s="61">
        <f> CI$31</f>
        <v>47286.00541360447</v>
      </c>
      <c r="CJ37" s="61">
        <f> CJ$31</f>
        <v>47343.34941017194</v>
      </c>
      <c r="CK37" s="61">
        <f> CK$31</f>
        <v>47458.385034680876</v>
      </c>
      <c r="CL37" s="61">
        <f> CL$31</f>
        <v>47571.957249634914</v>
      </c>
      <c r="CM37" s="61">
        <f> CM$31</f>
        <v>8269.8628361624</v>
      </c>
      <c r="CN37" s="61">
        <f> CN$31</f>
        <v>1810.7664905536076</v>
      </c>
      <c r="CO37" s="61">
        <f> CO$31</f>
        <v>5.383535835790098e-10</v>
      </c>
    </row>
    <row r="38" customFormat="1" s="61">
      <c r="A38" s="294" t="n"/>
      <c r="B38" s="294" t="n"/>
      <c r="C38" s="212" t="n"/>
      <c r="D38" s="244" t="n"/>
      <c r="E38" s="61" t="str">
        <f> E$35</f>
        <v>Aggregate earnings available for dividend</v>
      </c>
      <c r="F38" s="61">
        <f> F$35</f>
        <v>0.0</v>
      </c>
      <c r="G38" s="61" t="str">
        <f> G$35</f>
        <v>$ 000s</v>
      </c>
      <c r="H38" s="61">
        <f> H$35</f>
        <v>467582.593862658</v>
      </c>
      <c r="I38" s="61">
        <f> I$35</f>
        <v>0.0</v>
      </c>
      <c r="J38" s="61">
        <f> J$35</f>
        <v>0.0</v>
      </c>
      <c r="K38" s="61">
        <f> K$35</f>
        <v>0.0</v>
      </c>
      <c r="L38" s="61">
        <f> L$35</f>
        <v>2100.6709056988466</v>
      </c>
      <c r="M38" s="61">
        <f> M$35</f>
        <v>1815.9800941136655</v>
      </c>
      <c r="N38" s="61">
        <f> N$35</f>
        <v>2174.5967436970222</v>
      </c>
      <c r="O38" s="61">
        <f> O$35</f>
        <v>1905.0925810000006</v>
      </c>
      <c r="P38" s="61">
        <f> P$35</f>
        <v>2310.0471202231984</v>
      </c>
      <c r="Q38" s="61">
        <f> Q$35</f>
        <v>2051.7677315661467</v>
      </c>
      <c r="R38" s="61">
        <f> R$35</f>
        <v>2444.047410276859</v>
      </c>
      <c r="S38" s="61">
        <f> S$35</f>
        <v>2186.58609893889</v>
      </c>
      <c r="T38" s="61">
        <f> T$35</f>
        <v>2739.7214559269796</v>
      </c>
      <c r="U38" s="61">
        <f> U$35</f>
        <v>2456.318172364562</v>
      </c>
      <c r="V38" s="61">
        <f> V$35</f>
        <v>2870.0497454789092</v>
      </c>
      <c r="W38" s="61">
        <f> W$35</f>
        <v>2580.8312038631084</v>
      </c>
      <c r="X38" s="61">
        <f> X$35</f>
        <v>2972.679298709598</v>
      </c>
      <c r="Y38" s="61">
        <f> Y$35</f>
        <v>2661.854817137978</v>
      </c>
      <c r="Z38" s="61">
        <f> Z$35</f>
        <v>3078.881769034094</v>
      </c>
      <c r="AA38" s="61">
        <f> AA$35</f>
        <v>2768.7270288678883</v>
      </c>
      <c r="AB38" s="61">
        <f> AB$35</f>
        <v>3152.842177670883</v>
      </c>
      <c r="AC38" s="61">
        <f> AC$35</f>
        <v>2833.173239429893</v>
      </c>
      <c r="AD38" s="61">
        <f> AD$35</f>
        <v>3737.2202129699026</v>
      </c>
      <c r="AE38" s="61">
        <f> AE$35</f>
        <v>3394.7651224618876</v>
      </c>
      <c r="AF38" s="61">
        <f> AF$35</f>
        <v>3835.8571618035007</v>
      </c>
      <c r="AG38" s="61">
        <f> AG$35</f>
        <v>3484.418059360265</v>
      </c>
      <c r="AH38" s="61">
        <f> AH$35</f>
        <v>3957.549041581221</v>
      </c>
      <c r="AI38" s="61">
        <f> AI$35</f>
        <v>3604.122631691296</v>
      </c>
      <c r="AJ38" s="61">
        <f> AJ$35</f>
        <v>4071.805376657603</v>
      </c>
      <c r="AK38" s="61">
        <f> AK$35</f>
        <v>3712.517712252178</v>
      </c>
      <c r="AL38" s="61">
        <f> AL$35</f>
        <v>4200.24706838421</v>
      </c>
      <c r="AM38" s="61">
        <f> AM$35</f>
        <v>4314.777595121459</v>
      </c>
      <c r="AN38" s="61">
        <f> AN$35</f>
        <v>4880.146631884893</v>
      </c>
      <c r="AO38" s="61">
        <f> AO$35</f>
        <v>4484.118155359209</v>
      </c>
      <c r="AP38" s="61">
        <f> AP$35</f>
        <v>5018.461158744443</v>
      </c>
      <c r="AQ38" s="61">
        <f> AQ$35</f>
        <v>4617.729145197321</v>
      </c>
      <c r="AR38" s="61">
        <f> AR$35</f>
        <v>5800.973779528075</v>
      </c>
      <c r="AS38" s="61">
        <f> AS$35</f>
        <v>5852.78968979218</v>
      </c>
      <c r="AT38" s="61">
        <f> AT$35</f>
        <v>5281.124660173442</v>
      </c>
      <c r="AU38" s="61">
        <f> AU$35</f>
        <v>4844.417463997683</v>
      </c>
      <c r="AV38" s="61">
        <f> AV$35</f>
        <v>5432.232436766679</v>
      </c>
      <c r="AW38" s="61">
        <f> AW$35</f>
        <v>4989.023038798356</v>
      </c>
      <c r="AX38" s="61">
        <f> AX$35</f>
        <v>6156.542911295906</v>
      </c>
      <c r="AY38" s="61">
        <f> AY$35</f>
        <v>5681.438920205088</v>
      </c>
      <c r="AZ38" s="61">
        <f> AZ$35</f>
        <v>6302.403246524402</v>
      </c>
      <c r="BA38" s="61">
        <f> BA$35</f>
        <v>5820.225357752074</v>
      </c>
      <c r="BB38" s="61">
        <f> BB$35</f>
        <v>6414.91419863478</v>
      </c>
      <c r="BC38" s="61">
        <f> BC$35</f>
        <v>5925.557087811238</v>
      </c>
      <c r="BD38" s="61">
        <f> BD$35</f>
        <v>6546.600343920132</v>
      </c>
      <c r="BE38" s="61">
        <f> BE$35</f>
        <v>6049.957118484637</v>
      </c>
      <c r="BF38" s="61">
        <f> BF$35</f>
        <v>6662.486624593822</v>
      </c>
      <c r="BG38" s="61">
        <f> BG$35</f>
        <v>6158.448800445573</v>
      </c>
      <c r="BH38" s="61">
        <f> BH$35</f>
        <v>6248.298902669767</v>
      </c>
      <c r="BI38" s="61">
        <f> BI$35</f>
        <v>6874.559275823</v>
      </c>
      <c r="BJ38" s="61">
        <f> BJ$35</f>
        <v>6359.222606019929</v>
      </c>
      <c r="BK38" s="61">
        <f> BK$35</f>
        <v>6994.807467884564</v>
      </c>
      <c r="BL38" s="61">
        <f> BL$35</f>
        <v>6506.797869749857</v>
      </c>
      <c r="BM38" s="61">
        <f> BM$35</f>
        <v>7151.846054097686</v>
      </c>
      <c r="BN38" s="61">
        <f> BN$35</f>
        <v>6621.049284200526</v>
      </c>
      <c r="BO38" s="61">
        <f> BO$35</f>
        <v>7275.7016919211</v>
      </c>
      <c r="BP38" s="61">
        <f> BP$35</f>
        <v>6737.001805842351</v>
      </c>
      <c r="BQ38" s="61">
        <f> BQ$35</f>
        <v>6795.623882210353</v>
      </c>
      <c r="BR38" s="61">
        <f> BR$35</f>
        <v>7464.951411832526</v>
      </c>
      <c r="BS38" s="61">
        <f> BS$35</f>
        <v>6914.175672364481</v>
      </c>
      <c r="BT38" s="61">
        <f> BT$35</f>
        <v>8760.135590997796</v>
      </c>
      <c r="BU38" s="61">
        <f> BU$35</f>
        <v>8201.159265343329</v>
      </c>
      <c r="BV38" s="61">
        <f> BV$35</f>
        <v>8890.566620854164</v>
      </c>
      <c r="BW38" s="61">
        <f> BW$35</f>
        <v>8956.508591625756</v>
      </c>
      <c r="BX38" s="61">
        <f> BX$35</f>
        <v>9022.939658727726</v>
      </c>
      <c r="BY38" s="61">
        <f> BY$35</f>
        <v>9089.863449822662</v>
      </c>
      <c r="BZ38" s="61">
        <f> BZ$35</f>
        <v>9157.283619479786</v>
      </c>
      <c r="CA38" s="61">
        <f> CA$35</f>
        <v>9225.20384937453</v>
      </c>
      <c r="CB38" s="61">
        <f> CB$35</f>
        <v>9293.627848489556</v>
      </c>
      <c r="CC38" s="61">
        <f> CC$35</f>
        <v>9362.559353317338</v>
      </c>
      <c r="CD38" s="61">
        <f> CD$35</f>
        <v>9432.002128064178</v>
      </c>
      <c r="CE38" s="61">
        <f> CE$35</f>
        <v>9501.959964855758</v>
      </c>
      <c r="CF38" s="61">
        <f> CF$35</f>
        <v>9572.436683944241</v>
      </c>
      <c r="CG38" s="61">
        <f> CG$35</f>
        <v>9643.436133916857</v>
      </c>
      <c r="CH38" s="61">
        <f> CH$35</f>
        <v>9714.962191906101</v>
      </c>
      <c r="CI38" s="61">
        <f> CI$35</f>
        <v>9787.018763801429</v>
      </c>
      <c r="CJ38" s="61">
        <f> CJ$35</f>
        <v>9859.609784462564</v>
      </c>
      <c r="CK38" s="61">
        <f> CK$35</f>
        <v>9932.739217934362</v>
      </c>
      <c r="CL38" s="61">
        <f> CL$35</f>
        <v>10006.411057663285</v>
      </c>
      <c r="CM38" s="61">
        <f> CM$35</f>
        <v>10080.629326715469</v>
      </c>
      <c r="CN38" s="61">
        <f> CN$35</f>
        <v>1810.7664905530619</v>
      </c>
      <c r="CO38" s="61">
        <f> CO$35</f>
        <v>0.0</v>
      </c>
    </row>
    <row r="39" customFormat="1" s="390">
      <c r="A39" s="358" t="n"/>
      <c r="B39" s="358" t="n"/>
      <c r="C39" s="359" t="n"/>
      <c r="D39" s="360" t="n"/>
      <c r="E39" s="390" t="inlineStr">
        <is>
          <t>Dividend declared and paid POS</t>
        </is>
      </c>
      <c r="G39" s="390" t="str">
        <f>SMU</f>
        <v>$ 000s</v>
      </c>
      <c r="H39" s="390">
        <f> SUM(J39:CO39)</f>
        <v>464032.94057809055</v>
      </c>
      <c r="J39" s="390">
        <f>MIN(J37:J38)</f>
        <v>0.0</v>
      </c>
      <c r="K39" s="390">
        <f>MIN(K37:K38)</f>
        <v>0.0</v>
      </c>
      <c r="L39" s="390">
        <f>MIN(L37:L38)</f>
        <v>2100.6709056988466</v>
      </c>
      <c r="M39" s="390">
        <f>MIN(M37:M38)</f>
        <v>1815.9800941136655</v>
      </c>
      <c r="N39" s="390">
        <f>MIN(N37:N38)</f>
        <v>2174.5967436970222</v>
      </c>
      <c r="O39" s="390">
        <f>MIN(O37:O38)</f>
        <v>1905.0925810000006</v>
      </c>
      <c r="P39" s="390">
        <f>MIN(P37:P38)</f>
        <v>2310.0471202231984</v>
      </c>
      <c r="Q39" s="390">
        <f>MIN(Q37:Q38)</f>
        <v>2051.7677315661467</v>
      </c>
      <c r="R39" s="390">
        <f>MIN(R37:R38)</f>
        <v>2444.047410276859</v>
      </c>
      <c r="S39" s="390">
        <f>MIN(S37:S38)</f>
        <v>2186.58609893889</v>
      </c>
      <c r="T39" s="390">
        <f>MIN(T37:T38)</f>
        <v>2739.7214559269796</v>
      </c>
      <c r="U39" s="390">
        <f>MIN(U37:U38)</f>
        <v>2456.318172364562</v>
      </c>
      <c r="V39" s="390">
        <f>MIN(V37:V38)</f>
        <v>2870.0497454789092</v>
      </c>
      <c r="W39" s="390">
        <f>MIN(W37:W38)</f>
        <v>2580.8312038631084</v>
      </c>
      <c r="X39" s="390">
        <f>MIN(X37:X38)</f>
        <v>2972.679298709598</v>
      </c>
      <c r="Y39" s="390">
        <f>MIN(Y37:Y38)</f>
        <v>2661.854817137978</v>
      </c>
      <c r="Z39" s="390">
        <f>MIN(Z37:Z38)</f>
        <v>3078.881769034094</v>
      </c>
      <c r="AA39" s="390">
        <f>MIN(AA37:AA38)</f>
        <v>2768.7270288678883</v>
      </c>
      <c r="AB39" s="390">
        <f>MIN(AB37:AB38)</f>
        <v>3152.842177670883</v>
      </c>
      <c r="AC39" s="390">
        <f>MIN(AC37:AC38)</f>
        <v>2833.173239429893</v>
      </c>
      <c r="AD39" s="390">
        <f>MIN(AD37:AD38)</f>
        <v>3737.2202129699026</v>
      </c>
      <c r="AE39" s="390">
        <f>MIN(AE37:AE38)</f>
        <v>3394.7651224618876</v>
      </c>
      <c r="AF39" s="390">
        <f>MIN(AF37:AF38)</f>
        <v>3835.8571618035007</v>
      </c>
      <c r="AG39" s="390">
        <f>MIN(AG37:AG38)</f>
        <v>3484.418059360265</v>
      </c>
      <c r="AH39" s="390">
        <f>MIN(AH37:AH38)</f>
        <v>3957.549041581221</v>
      </c>
      <c r="AI39" s="390">
        <f>MIN(AI37:AI38)</f>
        <v>3604.122631691296</v>
      </c>
      <c r="AJ39" s="390">
        <f>MIN(AJ37:AJ38)</f>
        <v>4071.805376657603</v>
      </c>
      <c r="AK39" s="390">
        <f>MIN(AK37:AK38)</f>
        <v>3712.517712252178</v>
      </c>
      <c r="AL39" s="390">
        <f>MIN(AL37:AL38)</f>
        <v>4200.24706838421</v>
      </c>
      <c r="AM39" s="390">
        <f>MIN(AM37:AM38)</f>
        <v>4314.777595121459</v>
      </c>
      <c r="AN39" s="390">
        <f>MIN(AN37:AN38)</f>
        <v>4880.146631884893</v>
      </c>
      <c r="AO39" s="390">
        <f>MIN(AO37:AO38)</f>
        <v>4484.118155359209</v>
      </c>
      <c r="AP39" s="390">
        <f>MIN(AP37:AP38)</f>
        <v>5018.461158744443</v>
      </c>
      <c r="AQ39" s="390">
        <f>MIN(AQ37:AQ38)</f>
        <v>3977.9688965106834</v>
      </c>
      <c r="AR39" s="390">
        <f>MIN(AR37:AR38)</f>
        <v>4701.8472342003215</v>
      </c>
      <c r="AS39" s="390">
        <f>MIN(AS37:AS38)</f>
        <v>5852.78968979218</v>
      </c>
      <c r="AT39" s="390">
        <f>MIN(AT37:AT38)</f>
        <v>5281.124660173442</v>
      </c>
      <c r="AU39" s="390">
        <f>MIN(AU37:AU38)</f>
        <v>4844.417463997683</v>
      </c>
      <c r="AV39" s="390">
        <f>MIN(AV37:AV38)</f>
        <v>5432.232436766679</v>
      </c>
      <c r="AW39" s="390">
        <f>MIN(AW37:AW38)</f>
        <v>4989.023038798356</v>
      </c>
      <c r="AX39" s="390">
        <f>MIN(AX37:AX38)</f>
        <v>6156.542911295906</v>
      </c>
      <c r="AY39" s="390">
        <f>MIN(AY37:AY38)</f>
        <v>5681.438920205088</v>
      </c>
      <c r="AZ39" s="390">
        <f>MIN(AZ37:AZ38)</f>
        <v>6302.403246524402</v>
      </c>
      <c r="BA39" s="390">
        <f>MIN(BA37:BA38)</f>
        <v>5820.225357752074</v>
      </c>
      <c r="BB39" s="390">
        <f>MIN(BB37:BB38)</f>
        <v>6414.91419863478</v>
      </c>
      <c r="BC39" s="390">
        <f>MIN(BC37:BC38)</f>
        <v>5925.557087811238</v>
      </c>
      <c r="BD39" s="390">
        <f>MIN(BD37:BD38)</f>
        <v>6546.600343920132</v>
      </c>
      <c r="BE39" s="390">
        <f>MIN(BE37:BE38)</f>
        <v>6049.957118484637</v>
      </c>
      <c r="BF39" s="390">
        <f>MIN(BF37:BF38)</f>
        <v>6662.486624593822</v>
      </c>
      <c r="BG39" s="390">
        <f>MIN(BG37:BG38)</f>
        <v>6158.448800445573</v>
      </c>
      <c r="BH39" s="390">
        <f>MIN(BH37:BH38)</f>
        <v>6248.298902669767</v>
      </c>
      <c r="BI39" s="390">
        <f>MIN(BI37:BI38)</f>
        <v>6874.559275823</v>
      </c>
      <c r="BJ39" s="390">
        <f>MIN(BJ37:BJ38)</f>
        <v>6359.222606019929</v>
      </c>
      <c r="BK39" s="390">
        <f>MIN(BK37:BK38)</f>
        <v>6994.807467884564</v>
      </c>
      <c r="BL39" s="390">
        <f>MIN(BL37:BL38)</f>
        <v>6506.797869749857</v>
      </c>
      <c r="BM39" s="390">
        <f>MIN(BM37:BM38)</f>
        <v>7151.846054097686</v>
      </c>
      <c r="BN39" s="390">
        <f>MIN(BN37:BN38)</f>
        <v>6621.049284200526</v>
      </c>
      <c r="BO39" s="390">
        <f>MIN(BO37:BO38)</f>
        <v>7275.7016919211</v>
      </c>
      <c r="BP39" s="390">
        <f>MIN(BP37:BP38)</f>
        <v>6737.001805842351</v>
      </c>
      <c r="BQ39" s="390">
        <f>MIN(BQ37:BQ38)</f>
        <v>6795.623882210353</v>
      </c>
      <c r="BR39" s="390">
        <f>MIN(BR37:BR38)</f>
        <v>7464.951411832526</v>
      </c>
      <c r="BS39" s="390">
        <f>MIN(BS37:BS38)</f>
        <v>6914.175672364481</v>
      </c>
      <c r="BT39" s="390">
        <f>MIN(BT37:BT38)</f>
        <v>8760.135590997796</v>
      </c>
      <c r="BU39" s="390">
        <f>MIN(BU37:BU38)</f>
        <v>8201.159265343329</v>
      </c>
      <c r="BV39" s="390">
        <f>MIN(BV37:BV38)</f>
        <v>8890.566620854164</v>
      </c>
      <c r="BW39" s="390">
        <f>MIN(BW37:BW38)</f>
        <v>8956.508591625756</v>
      </c>
      <c r="BX39" s="390">
        <f>MIN(BX37:BX38)</f>
        <v>9022.939658727726</v>
      </c>
      <c r="BY39" s="390">
        <f>MIN(BY37:BY38)</f>
        <v>9089.863449822662</v>
      </c>
      <c r="BZ39" s="390">
        <f>MIN(BZ37:BZ38)</f>
        <v>9157.283619479786</v>
      </c>
      <c r="CA39" s="390">
        <f>MIN(CA37:CA38)</f>
        <v>9225.20384937453</v>
      </c>
      <c r="CB39" s="390">
        <f>MIN(CB37:CB38)</f>
        <v>9293.627848489556</v>
      </c>
      <c r="CC39" s="390">
        <f>MIN(CC37:CC38)</f>
        <v>9362.559353317338</v>
      </c>
      <c r="CD39" s="390">
        <f>MIN(CD37:CD38)</f>
        <v>9432.002128064178</v>
      </c>
      <c r="CE39" s="390">
        <f>MIN(CE37:CE38)</f>
        <v>9501.959964855758</v>
      </c>
      <c r="CF39" s="390">
        <f>MIN(CF37:CF38)</f>
        <v>9572.436683944241</v>
      </c>
      <c r="CG39" s="390">
        <f>MIN(CG37:CG38)</f>
        <v>9643.436133916857</v>
      </c>
      <c r="CH39" s="390">
        <f>MIN(CH37:CH38)</f>
        <v>9714.962191906101</v>
      </c>
      <c r="CI39" s="390">
        <f>MIN(CI37:CI38)</f>
        <v>9787.018763801429</v>
      </c>
      <c r="CJ39" s="390">
        <f>MIN(CJ37:CJ38)</f>
        <v>9859.609784462564</v>
      </c>
      <c r="CK39" s="390">
        <f>MIN(CK37:CK38)</f>
        <v>9932.739217934362</v>
      </c>
      <c r="CL39" s="390">
        <f>MIN(CL37:CL38)</f>
        <v>10006.411057663285</v>
      </c>
      <c r="CM39" s="390">
        <f>MIN(CM37:CM38)</f>
        <v>8269.8628361624</v>
      </c>
      <c r="CN39" s="390">
        <f>MIN(CN37:CN38)</f>
        <v>1810.7664905530619</v>
      </c>
      <c r="CO39" s="390">
        <f>MIN(CO37:CO38)</f>
        <v>0.0</v>
      </c>
    </row>
    <row r="40" customFormat="1" s="150">
      <c r="A40" s="348" t="n"/>
      <c r="B40" s="348" t="n"/>
      <c r="C40" s="349" t="n"/>
      <c r="D40" s="193" t="n"/>
      <c r="E40" s="150" t="str">
        <f> LEFT(E39, LEN(E39) - 4)</f>
        <v>Dividend declared and paid</v>
      </c>
      <c r="F40" s="150" t="inlineStr">
        <is>
          <t>IS&amp;CF</t>
        </is>
      </c>
      <c r="G40" s="150" t="str">
        <f> G39</f>
        <v>$ 000s</v>
      </c>
      <c r="H40" s="150">
        <f> SUM(J40:CO40)</f>
        <v>-464032.94057809055</v>
      </c>
      <c r="I40" s="150" t="n"/>
      <c r="J40" s="150">
        <f> -1 * J39</f>
        <v>-0.0</v>
      </c>
      <c r="K40" s="150">
        <f> -1 * K39</f>
        <v>-0.0</v>
      </c>
      <c r="L40" s="150">
        <f> -1 * L39</f>
        <v>-2100.6709056988466</v>
      </c>
      <c r="M40" s="150">
        <f> -1 * M39</f>
        <v>-1815.9800941136655</v>
      </c>
      <c r="N40" s="150">
        <f> -1 * N39</f>
        <v>-2174.5967436970222</v>
      </c>
      <c r="O40" s="150">
        <f> -1 * O39</f>
        <v>-1905.0925810000006</v>
      </c>
      <c r="P40" s="150">
        <f> -1 * P39</f>
        <v>-2310.0471202231984</v>
      </c>
      <c r="Q40" s="150">
        <f> -1 * Q39</f>
        <v>-2051.7677315661467</v>
      </c>
      <c r="R40" s="150">
        <f> -1 * R39</f>
        <v>-2444.047410276859</v>
      </c>
      <c r="S40" s="150">
        <f> -1 * S39</f>
        <v>-2186.58609893889</v>
      </c>
      <c r="T40" s="150">
        <f> -1 * T39</f>
        <v>-2739.7214559269796</v>
      </c>
      <c r="U40" s="150">
        <f> -1 * U39</f>
        <v>-2456.318172364562</v>
      </c>
      <c r="V40" s="150">
        <f> -1 * V39</f>
        <v>-2870.0497454789092</v>
      </c>
      <c r="W40" s="150">
        <f> -1 * W39</f>
        <v>-2580.8312038631084</v>
      </c>
      <c r="X40" s="150">
        <f> -1 * X39</f>
        <v>-2972.679298709598</v>
      </c>
      <c r="Y40" s="150">
        <f> -1 * Y39</f>
        <v>-2661.854817137978</v>
      </c>
      <c r="Z40" s="150">
        <f> -1 * Z39</f>
        <v>-3078.881769034094</v>
      </c>
      <c r="AA40" s="150">
        <f> -1 * AA39</f>
        <v>-2768.7270288678883</v>
      </c>
      <c r="AB40" s="150">
        <f> -1 * AB39</f>
        <v>-3152.842177670883</v>
      </c>
      <c r="AC40" s="150">
        <f> -1 * AC39</f>
        <v>-2833.173239429893</v>
      </c>
      <c r="AD40" s="150">
        <f> -1 * AD39</f>
        <v>-3737.2202129699026</v>
      </c>
      <c r="AE40" s="150">
        <f> -1 * AE39</f>
        <v>-3394.7651224618876</v>
      </c>
      <c r="AF40" s="150">
        <f> -1 * AF39</f>
        <v>-3835.8571618035007</v>
      </c>
      <c r="AG40" s="150">
        <f> -1 * AG39</f>
        <v>-3484.418059360265</v>
      </c>
      <c r="AH40" s="150">
        <f> -1 * AH39</f>
        <v>-3957.549041581221</v>
      </c>
      <c r="AI40" s="150">
        <f> -1 * AI39</f>
        <v>-3604.122631691296</v>
      </c>
      <c r="AJ40" s="150">
        <f> -1 * AJ39</f>
        <v>-4071.805376657603</v>
      </c>
      <c r="AK40" s="150">
        <f> -1 * AK39</f>
        <v>-3712.517712252178</v>
      </c>
      <c r="AL40" s="150">
        <f> -1 * AL39</f>
        <v>-4200.24706838421</v>
      </c>
      <c r="AM40" s="150">
        <f> -1 * AM39</f>
        <v>-4314.777595121459</v>
      </c>
      <c r="AN40" s="150">
        <f> -1 * AN39</f>
        <v>-4880.146631884893</v>
      </c>
      <c r="AO40" s="150">
        <f> -1 * AO39</f>
        <v>-4484.118155359209</v>
      </c>
      <c r="AP40" s="150">
        <f> -1 * AP39</f>
        <v>-5018.461158744443</v>
      </c>
      <c r="AQ40" s="150">
        <f> -1 * AQ39</f>
        <v>-3977.9688965106834</v>
      </c>
      <c r="AR40" s="150">
        <f> -1 * AR39</f>
        <v>-4701.8472342003215</v>
      </c>
      <c r="AS40" s="150">
        <f> -1 * AS39</f>
        <v>-5852.78968979218</v>
      </c>
      <c r="AT40" s="150">
        <f> -1 * AT39</f>
        <v>-5281.124660173442</v>
      </c>
      <c r="AU40" s="150">
        <f> -1 * AU39</f>
        <v>-4844.417463997683</v>
      </c>
      <c r="AV40" s="150">
        <f> -1 * AV39</f>
        <v>-5432.232436766679</v>
      </c>
      <c r="AW40" s="150">
        <f> -1 * AW39</f>
        <v>-4989.023038798356</v>
      </c>
      <c r="AX40" s="150">
        <f> -1 * AX39</f>
        <v>-6156.542911295906</v>
      </c>
      <c r="AY40" s="150">
        <f> -1 * AY39</f>
        <v>-5681.438920205088</v>
      </c>
      <c r="AZ40" s="150">
        <f> -1 * AZ39</f>
        <v>-6302.403246524402</v>
      </c>
      <c r="BA40" s="150">
        <f> -1 * BA39</f>
        <v>-5820.225357752074</v>
      </c>
      <c r="BB40" s="150">
        <f> -1 * BB39</f>
        <v>-6414.91419863478</v>
      </c>
      <c r="BC40" s="150">
        <f> -1 * BC39</f>
        <v>-5925.557087811238</v>
      </c>
      <c r="BD40" s="150">
        <f> -1 * BD39</f>
        <v>-6546.600343920132</v>
      </c>
      <c r="BE40" s="150">
        <f> -1 * BE39</f>
        <v>-6049.957118484637</v>
      </c>
      <c r="BF40" s="150">
        <f> -1 * BF39</f>
        <v>-6662.486624593822</v>
      </c>
      <c r="BG40" s="150">
        <f> -1 * BG39</f>
        <v>-6158.448800445573</v>
      </c>
      <c r="BH40" s="150">
        <f> -1 * BH39</f>
        <v>-6248.298902669767</v>
      </c>
      <c r="BI40" s="150">
        <f> -1 * BI39</f>
        <v>-6874.559275823</v>
      </c>
      <c r="BJ40" s="150">
        <f> -1 * BJ39</f>
        <v>-6359.222606019929</v>
      </c>
      <c r="BK40" s="150">
        <f> -1 * BK39</f>
        <v>-6994.807467884564</v>
      </c>
      <c r="BL40" s="150">
        <f> -1 * BL39</f>
        <v>-6506.797869749857</v>
      </c>
      <c r="BM40" s="150">
        <f> -1 * BM39</f>
        <v>-7151.846054097686</v>
      </c>
      <c r="BN40" s="150">
        <f> -1 * BN39</f>
        <v>-6621.049284200526</v>
      </c>
      <c r="BO40" s="150">
        <f> -1 * BO39</f>
        <v>-7275.7016919211</v>
      </c>
      <c r="BP40" s="150">
        <f> -1 * BP39</f>
        <v>-6737.001805842351</v>
      </c>
      <c r="BQ40" s="150">
        <f> -1 * BQ39</f>
        <v>-6795.623882210353</v>
      </c>
      <c r="BR40" s="150">
        <f> -1 * BR39</f>
        <v>-7464.951411832526</v>
      </c>
      <c r="BS40" s="150">
        <f> -1 * BS39</f>
        <v>-6914.175672364481</v>
      </c>
      <c r="BT40" s="150">
        <f> -1 * BT39</f>
        <v>-8760.135590997796</v>
      </c>
      <c r="BU40" s="150">
        <f> -1 * BU39</f>
        <v>-8201.159265343329</v>
      </c>
      <c r="BV40" s="150">
        <f> -1 * BV39</f>
        <v>-8890.566620854164</v>
      </c>
      <c r="BW40" s="150">
        <f> -1 * BW39</f>
        <v>-8956.508591625756</v>
      </c>
      <c r="BX40" s="150">
        <f> -1 * BX39</f>
        <v>-9022.939658727726</v>
      </c>
      <c r="BY40" s="150">
        <f> -1 * BY39</f>
        <v>-9089.863449822662</v>
      </c>
      <c r="BZ40" s="150">
        <f> -1 * BZ39</f>
        <v>-9157.283619479786</v>
      </c>
      <c r="CA40" s="150">
        <f> -1 * CA39</f>
        <v>-9225.20384937453</v>
      </c>
      <c r="CB40" s="150">
        <f> -1 * CB39</f>
        <v>-9293.627848489556</v>
      </c>
      <c r="CC40" s="150">
        <f> -1 * CC39</f>
        <v>-9362.559353317338</v>
      </c>
      <c r="CD40" s="150">
        <f> -1 * CD39</f>
        <v>-9432.002128064178</v>
      </c>
      <c r="CE40" s="150">
        <f> -1 * CE39</f>
        <v>-9501.959964855758</v>
      </c>
      <c r="CF40" s="150">
        <f> -1 * CF39</f>
        <v>-9572.436683944241</v>
      </c>
      <c r="CG40" s="150">
        <f> -1 * CG39</f>
        <v>-9643.436133916857</v>
      </c>
      <c r="CH40" s="150">
        <f> -1 * CH39</f>
        <v>-9714.962191906101</v>
      </c>
      <c r="CI40" s="150">
        <f> -1 * CI39</f>
        <v>-9787.018763801429</v>
      </c>
      <c r="CJ40" s="150">
        <f> -1 * CJ39</f>
        <v>-9859.609784462564</v>
      </c>
      <c r="CK40" s="150">
        <f> -1 * CK39</f>
        <v>-9932.739217934362</v>
      </c>
      <c r="CL40" s="150">
        <f> -1 * CL39</f>
        <v>-10006.411057663285</v>
      </c>
      <c r="CM40" s="150">
        <f> -1 * CM39</f>
        <v>-8269.8628361624</v>
      </c>
      <c r="CN40" s="150">
        <f> -1 * CN39</f>
        <v>-1810.7664905530619</v>
      </c>
      <c r="CO40" s="150">
        <f> -1 * CO39</f>
        <v>-0.0</v>
      </c>
    </row>
    <row r="41" customFormat="1" s="61">
      <c r="A41" s="294" t="n"/>
      <c r="B41" s="294" t="n"/>
      <c r="C41" s="212" t="n"/>
      <c r="D41" s="244" t="n"/>
    </row>
    <row r="42">
      <c r="A42" s="294" t="inlineStr">
        <is>
          <t>RETAINED CASH BALANCE</t>
        </is>
      </c>
    </row>
    <row r="44" customFormat="1" s="182">
      <c r="A44" s="177" t="n"/>
      <c r="B44" s="177" t="n"/>
      <c r="C44" s="178" t="n"/>
      <c r="D44" s="179" t="n"/>
      <c r="E44" s="182" t="inlineStr">
        <is>
          <t>Retained cash - initial balance</t>
        </is>
      </c>
      <c r="F44" s="182" t="n">
        <v>0</v>
      </c>
      <c r="G44" s="182" t="n"/>
    </row>
    <row r="45" customFormat="1" s="100">
      <c r="A45" s="294" t="n"/>
      <c r="B45" s="294" t="n"/>
      <c r="C45" s="212" t="n"/>
      <c r="D45" s="244" t="n"/>
      <c r="E45" s="325" t="str">
        <f> Time!E$45</f>
        <v>Acquisition / initial balance date flag</v>
      </c>
      <c r="F45" s="325">
        <f> Time!F$45</f>
        <v>0.0</v>
      </c>
      <c r="G45" s="325" t="str">
        <f> Time!G$45</f>
        <v>flag</v>
      </c>
      <c r="H45" s="325">
        <f> Time!H$45</f>
        <v>1.0</v>
      </c>
      <c r="I45" s="325">
        <f> Time!I$45</f>
        <v>0.0</v>
      </c>
      <c r="J45" s="325">
        <f> Time!J$45</f>
        <v>0.0</v>
      </c>
      <c r="K45" s="325">
        <f> Time!K$45</f>
        <v>1.0</v>
      </c>
      <c r="L45" s="325">
        <f> Time!L$45</f>
        <v>0.0</v>
      </c>
      <c r="M45" s="325">
        <f> Time!M$45</f>
        <v>0.0</v>
      </c>
      <c r="N45" s="325">
        <f> Time!N$45</f>
        <v>0.0</v>
      </c>
      <c r="O45" s="325">
        <f> Time!O$45</f>
        <v>0.0</v>
      </c>
      <c r="P45" s="325">
        <f> Time!P$45</f>
        <v>0.0</v>
      </c>
      <c r="Q45" s="325">
        <f> Time!Q$45</f>
        <v>0.0</v>
      </c>
      <c r="R45" s="325">
        <f> Time!R$45</f>
        <v>0.0</v>
      </c>
      <c r="S45" s="325">
        <f> Time!S$45</f>
        <v>0.0</v>
      </c>
      <c r="T45" s="325">
        <f> Time!T$45</f>
        <v>0.0</v>
      </c>
      <c r="U45" s="325">
        <f> Time!U$45</f>
        <v>0.0</v>
      </c>
      <c r="V45" s="325">
        <f> Time!V$45</f>
        <v>0.0</v>
      </c>
      <c r="W45" s="325">
        <f> Time!W$45</f>
        <v>0.0</v>
      </c>
      <c r="X45" s="325">
        <f> Time!X$45</f>
        <v>0.0</v>
      </c>
      <c r="Y45" s="325">
        <f> Time!Y$45</f>
        <v>0.0</v>
      </c>
      <c r="Z45" s="325">
        <f> Time!Z$45</f>
        <v>0.0</v>
      </c>
      <c r="AA45" s="325">
        <f> Time!AA$45</f>
        <v>0.0</v>
      </c>
      <c r="AB45" s="325">
        <f> Time!AB$45</f>
        <v>0.0</v>
      </c>
      <c r="AC45" s="325">
        <f> Time!AC$45</f>
        <v>0.0</v>
      </c>
      <c r="AD45" s="325">
        <f> Time!AD$45</f>
        <v>0.0</v>
      </c>
      <c r="AE45" s="325">
        <f> Time!AE$45</f>
        <v>0.0</v>
      </c>
      <c r="AF45" s="325">
        <f> Time!AF$45</f>
        <v>0.0</v>
      </c>
      <c r="AG45" s="325">
        <f> Time!AG$45</f>
        <v>0.0</v>
      </c>
      <c r="AH45" s="325">
        <f> Time!AH$45</f>
        <v>0.0</v>
      </c>
      <c r="AI45" s="325">
        <f> Time!AI$45</f>
        <v>0.0</v>
      </c>
      <c r="AJ45" s="325">
        <f> Time!AJ$45</f>
        <v>0.0</v>
      </c>
      <c r="AK45" s="325">
        <f> Time!AK$45</f>
        <v>0.0</v>
      </c>
      <c r="AL45" s="325">
        <f> Time!AL$45</f>
        <v>0.0</v>
      </c>
      <c r="AM45" s="325">
        <f> Time!AM$45</f>
        <v>0.0</v>
      </c>
      <c r="AN45" s="325">
        <f> Time!AN$45</f>
        <v>0.0</v>
      </c>
      <c r="AO45" s="325">
        <f> Time!AO$45</f>
        <v>0.0</v>
      </c>
      <c r="AP45" s="325">
        <f> Time!AP$45</f>
        <v>0.0</v>
      </c>
      <c r="AQ45" s="325">
        <f> Time!AQ$45</f>
        <v>0.0</v>
      </c>
      <c r="AR45" s="325">
        <f> Time!AR$45</f>
        <v>0.0</v>
      </c>
      <c r="AS45" s="325">
        <f> Time!AS$45</f>
        <v>0.0</v>
      </c>
      <c r="AT45" s="325">
        <f> Time!AT$45</f>
        <v>0.0</v>
      </c>
      <c r="AU45" s="325">
        <f> Time!AU$45</f>
        <v>0.0</v>
      </c>
      <c r="AV45" s="325">
        <f> Time!AV$45</f>
        <v>0.0</v>
      </c>
      <c r="AW45" s="325">
        <f> Time!AW$45</f>
        <v>0.0</v>
      </c>
      <c r="AX45" s="325">
        <f> Time!AX$45</f>
        <v>0.0</v>
      </c>
      <c r="AY45" s="325">
        <f> Time!AY$45</f>
        <v>0.0</v>
      </c>
      <c r="AZ45" s="325">
        <f> Time!AZ$45</f>
        <v>0.0</v>
      </c>
      <c r="BA45" s="325">
        <f> Time!BA$45</f>
        <v>0.0</v>
      </c>
      <c r="BB45" s="325">
        <f> Time!BB$45</f>
        <v>0.0</v>
      </c>
      <c r="BC45" s="325">
        <f> Time!BC$45</f>
        <v>0.0</v>
      </c>
      <c r="BD45" s="325">
        <f> Time!BD$45</f>
        <v>0.0</v>
      </c>
      <c r="BE45" s="325">
        <f> Time!BE$45</f>
        <v>0.0</v>
      </c>
      <c r="BF45" s="325">
        <f> Time!BF$45</f>
        <v>0.0</v>
      </c>
      <c r="BG45" s="325">
        <f> Time!BG$45</f>
        <v>0.0</v>
      </c>
      <c r="BH45" s="325">
        <f> Time!BH$45</f>
        <v>0.0</v>
      </c>
      <c r="BI45" s="325">
        <f> Time!BI$45</f>
        <v>0.0</v>
      </c>
      <c r="BJ45" s="325">
        <f> Time!BJ$45</f>
        <v>0.0</v>
      </c>
      <c r="BK45" s="325">
        <f> Time!BK$45</f>
        <v>0.0</v>
      </c>
      <c r="BL45" s="325">
        <f> Time!BL$45</f>
        <v>0.0</v>
      </c>
      <c r="BM45" s="325">
        <f> Time!BM$45</f>
        <v>0.0</v>
      </c>
      <c r="BN45" s="325">
        <f> Time!BN$45</f>
        <v>0.0</v>
      </c>
      <c r="BO45" s="325">
        <f> Time!BO$45</f>
        <v>0.0</v>
      </c>
      <c r="BP45" s="325">
        <f> Time!BP$45</f>
        <v>0.0</v>
      </c>
      <c r="BQ45" s="325">
        <f> Time!BQ$45</f>
        <v>0.0</v>
      </c>
      <c r="BR45" s="325">
        <f> Time!BR$45</f>
        <v>0.0</v>
      </c>
      <c r="BS45" s="325">
        <f> Time!BS$45</f>
        <v>0.0</v>
      </c>
      <c r="BT45" s="325">
        <f> Time!BT$45</f>
        <v>0.0</v>
      </c>
      <c r="BU45" s="325">
        <f> Time!BU$45</f>
        <v>0.0</v>
      </c>
      <c r="BV45" s="325">
        <f> Time!BV$45</f>
        <v>0.0</v>
      </c>
      <c r="BW45" s="325">
        <f> Time!BW$45</f>
        <v>0.0</v>
      </c>
      <c r="BX45" s="325">
        <f> Time!BX$45</f>
        <v>0.0</v>
      </c>
      <c r="BY45" s="325">
        <f> Time!BY$45</f>
        <v>0.0</v>
      </c>
      <c r="BZ45" s="325">
        <f> Time!BZ$45</f>
        <v>0.0</v>
      </c>
      <c r="CA45" s="325">
        <f> Time!CA$45</f>
        <v>0.0</v>
      </c>
      <c r="CB45" s="325">
        <f> Time!CB$45</f>
        <v>0.0</v>
      </c>
      <c r="CC45" s="325">
        <f> Time!CC$45</f>
        <v>0.0</v>
      </c>
      <c r="CD45" s="325">
        <f> Time!CD$45</f>
        <v>0.0</v>
      </c>
      <c r="CE45" s="325">
        <f> Time!CE$45</f>
        <v>0.0</v>
      </c>
      <c r="CF45" s="325">
        <f> Time!CF$45</f>
        <v>0.0</v>
      </c>
      <c r="CG45" s="325">
        <f> Time!CG$45</f>
        <v>0.0</v>
      </c>
      <c r="CH45" s="325">
        <f> Time!CH$45</f>
        <v>0.0</v>
      </c>
      <c r="CI45" s="325">
        <f> Time!CI$45</f>
        <v>0.0</v>
      </c>
      <c r="CJ45" s="325">
        <f> Time!CJ$45</f>
        <v>0.0</v>
      </c>
      <c r="CK45" s="325">
        <f> Time!CK$45</f>
        <v>0.0</v>
      </c>
      <c r="CL45" s="325">
        <f> Time!CL$45</f>
        <v>0.0</v>
      </c>
      <c r="CM45" s="325">
        <f> Time!CM$45</f>
        <v>0.0</v>
      </c>
      <c r="CN45" s="325">
        <f> Time!CN$45</f>
        <v>0.0</v>
      </c>
      <c r="CO45" s="325">
        <f> Time!CO$45</f>
        <v>0.0</v>
      </c>
    </row>
    <row r="46" customFormat="1" s="61">
      <c r="A46" s="294" t="n"/>
      <c r="B46" s="294" t="n"/>
      <c r="C46" s="212" t="n"/>
      <c r="D46" s="244" t="n"/>
    </row>
    <row r="47" customFormat="1" s="61">
      <c r="A47" s="294" t="n"/>
      <c r="B47" s="294" t="n"/>
      <c r="C47" s="212" t="n"/>
      <c r="D47" s="244" t="n"/>
      <c r="E47" s="61" t="inlineStr">
        <is>
          <t>Retained cash balance BEG</t>
        </is>
      </c>
      <c r="G47" s="61" t="inlineStr">
        <is>
          <t>$ 000s</t>
        </is>
      </c>
      <c r="J47" s="61">
        <f> I50</f>
        <v>0.0</v>
      </c>
      <c r="K47" s="61">
        <f> J50</f>
        <v>0.0</v>
      </c>
      <c r="L47" s="61">
        <f> K50</f>
        <v>0.0</v>
      </c>
      <c r="M47" s="61">
        <f> L50</f>
        <v>2216.9509574024078</v>
      </c>
      <c r="N47" s="61">
        <f> M50</f>
        <v>4909.060350575115</v>
      </c>
      <c r="O47" s="61">
        <f> N50</f>
        <v>7352.245364677066</v>
      </c>
      <c r="P47" s="61">
        <f> O50</f>
        <v>7887.13984692031</v>
      </c>
      <c r="Q47" s="61">
        <f> P50</f>
        <v>8183.84133175329</v>
      </c>
      <c r="R47" s="61">
        <f> Q50</f>
        <v>8590.523082159165</v>
      </c>
      <c r="S47" s="61">
        <f> R50</f>
        <v>8779.429026602438</v>
      </c>
      <c r="T47" s="61">
        <f> S50</f>
        <v>7069.164108927858</v>
      </c>
      <c r="U47" s="61">
        <f> T50</f>
        <v>7154.991476620562</v>
      </c>
      <c r="V47" s="61">
        <f> U50</f>
        <v>7448.354322602702</v>
      </c>
      <c r="W47" s="61">
        <f> V50</f>
        <v>7522.692600424862</v>
      </c>
      <c r="X47" s="61">
        <f> W50</f>
        <v>6721.824852251504</v>
      </c>
      <c r="Y47" s="61">
        <f> X50</f>
        <v>6738.2605844966165</v>
      </c>
      <c r="Z47" s="61">
        <f> Y50</f>
        <v>6910.6655043662295</v>
      </c>
      <c r="AA47" s="61">
        <f> Z50</f>
        <v>6860.218239012492</v>
      </c>
      <c r="AB47" s="61">
        <f> AA50</f>
        <v>5448.033642434864</v>
      </c>
      <c r="AC47" s="61">
        <f> AB50</f>
        <v>5378.648077749874</v>
      </c>
      <c r="AD47" s="61">
        <f> AC50</f>
        <v>5477.943994762996</v>
      </c>
      <c r="AE47" s="61">
        <f> AD50</f>
        <v>5171.3103870063105</v>
      </c>
      <c r="AF47" s="61">
        <f> AE50</f>
        <v>4207.01671124718</v>
      </c>
      <c r="AG47" s="61">
        <f> AF50</f>
        <v>4036.241127625582</v>
      </c>
      <c r="AH47" s="61">
        <f> AG50</f>
        <v>4072.6850891389504</v>
      </c>
      <c r="AI47" s="61">
        <f> AH50</f>
        <v>3866.58059687237</v>
      </c>
      <c r="AJ47" s="61">
        <f> AI50</f>
        <v>3339.426149261013</v>
      </c>
      <c r="AK47" s="61">
        <f> AJ50</f>
        <v>3087.9875796483066</v>
      </c>
      <c r="AL47" s="61">
        <f> AK50</f>
        <v>3038.1811821635874</v>
      </c>
      <c r="AM47" s="61">
        <f> AL50</f>
        <v>2753.2386114448236</v>
      </c>
      <c r="AN47" s="61">
        <f> AM50</f>
        <v>1472.0364582877055</v>
      </c>
      <c r="AO47" s="61">
        <f> AN50</f>
        <v>1079.6213903162425</v>
      </c>
      <c r="AP47" s="61">
        <f> AO50</f>
        <v>946.0003646148589</v>
      </c>
      <c r="AQ47" s="61">
        <f> AP50</f>
        <v>543.4894183343094</v>
      </c>
      <c r="AR47" s="61">
        <f> AQ50</f>
        <v>0.0</v>
      </c>
      <c r="AS47" s="61">
        <f> AR50</f>
        <v>0.0</v>
      </c>
      <c r="AT47" s="61">
        <f> AS50</f>
        <v>711.8114604008133</v>
      </c>
      <c r="AU47" s="61">
        <f> AT50</f>
        <v>2249.351964822784</v>
      </c>
      <c r="AV47" s="61">
        <f> AU50</f>
        <v>4016.1127479275983</v>
      </c>
      <c r="AW47" s="61">
        <f> AV50</f>
        <v>5433.735505516821</v>
      </c>
      <c r="AX47" s="61">
        <f> AW50</f>
        <v>7133.595692390354</v>
      </c>
      <c r="AY47" s="61">
        <f> AX50</f>
        <v>8313.162189022682</v>
      </c>
      <c r="AZ47" s="61">
        <f> AY50</f>
        <v>9984.423504955159</v>
      </c>
      <c r="BA47" s="61">
        <f> AZ50</f>
        <v>11304.96122811599</v>
      </c>
      <c r="BB47" s="61">
        <f> BA50</f>
        <v>12920.553895839988</v>
      </c>
      <c r="BC47" s="61">
        <f> BB50</f>
        <v>14244.174847084958</v>
      </c>
      <c r="BD47" s="61">
        <f> BC50</f>
        <v>15838.49019620916</v>
      </c>
      <c r="BE47" s="61">
        <f> BD50</f>
        <v>17077.075586816005</v>
      </c>
      <c r="BF47" s="61">
        <f> BE50</f>
        <v>18653.514685175258</v>
      </c>
      <c r="BG47" s="61">
        <f> BF50</f>
        <v>19915.927889667906</v>
      </c>
      <c r="BH47" s="61">
        <f> BG50</f>
        <v>21459.44589274065</v>
      </c>
      <c r="BI47" s="61">
        <f> BH50</f>
        <v>22779.271507489073</v>
      </c>
      <c r="BJ47" s="61">
        <f> BI50</f>
        <v>23977.20009309519</v>
      </c>
      <c r="BK47" s="61">
        <f> BJ50</f>
        <v>25481.401720318598</v>
      </c>
      <c r="BL47" s="61">
        <f> BK50</f>
        <v>26649.77396994787</v>
      </c>
      <c r="BM47" s="61">
        <f> BL50</f>
        <v>28062.02282346445</v>
      </c>
      <c r="BN47" s="61">
        <f> BM50</f>
        <v>29192.861441434547</v>
      </c>
      <c r="BO47" s="61">
        <f> BN50</f>
        <v>30640.76018353067</v>
      </c>
      <c r="BP47" s="61">
        <f> BO50</f>
        <v>31744.273613402023</v>
      </c>
      <c r="BQ47" s="61">
        <f> BP50</f>
        <v>33151.79804714928</v>
      </c>
      <c r="BR47" s="61">
        <f> BQ50</f>
        <v>34406.68178548682</v>
      </c>
      <c r="BS47" s="61">
        <f> BR50</f>
        <v>35505.87948498749</v>
      </c>
      <c r="BT47" s="61">
        <f> BS50</f>
        <v>36917.02813293644</v>
      </c>
      <c r="BU47" s="61">
        <f> BT50</f>
        <v>36787.747233978174</v>
      </c>
      <c r="BV47" s="61">
        <f> BU50</f>
        <v>37045.29568156926</v>
      </c>
      <c r="BW47" s="61">
        <f> BV50</f>
        <v>36955.64863992906</v>
      </c>
      <c r="BX47" s="61">
        <f> BW50</f>
        <v>37016.17128621793</v>
      </c>
      <c r="BY47" s="61">
        <f> BX50</f>
        <v>37036.97045960957</v>
      </c>
      <c r="BZ47" s="61">
        <f> BY50</f>
        <v>37108.33530311733</v>
      </c>
      <c r="CA47" s="61">
        <f> BZ50</f>
        <v>37176.2138038993</v>
      </c>
      <c r="CB47" s="61">
        <f> CA50</f>
        <v>37222.95734433822</v>
      </c>
      <c r="CC47" s="61">
        <f> CB50</f>
        <v>37229.56544695492</v>
      </c>
      <c r="CD47" s="61">
        <f> CC50</f>
        <v>37288.996942090074</v>
      </c>
      <c r="CE47" s="61">
        <f> CD50</f>
        <v>37345.54121890153</v>
      </c>
      <c r="CF47" s="61">
        <f> CE50</f>
        <v>37380.98501550935</v>
      </c>
      <c r="CG47" s="61">
        <f> CF50</f>
        <v>37395.03970358717</v>
      </c>
      <c r="CH47" s="61">
        <f> CG50</f>
        <v>37425.47525348676</v>
      </c>
      <c r="CI47" s="61">
        <f> CH50</f>
        <v>37472.825438445856</v>
      </c>
      <c r="CJ47" s="61">
        <f> CI50</f>
        <v>37498.986649803046</v>
      </c>
      <c r="CK47" s="61">
        <f> CJ50</f>
        <v>37483.73962570938</v>
      </c>
      <c r="CL47" s="61">
        <f> CK50</f>
        <v>37525.64581674652</v>
      </c>
      <c r="CM47" s="61">
        <f> CL50</f>
        <v>37565.54619197163</v>
      </c>
      <c r="CN47" s="61">
        <f> CM50</f>
        <v>0.0</v>
      </c>
      <c r="CO47" s="61">
        <f> CN50</f>
        <v>5.456968210637569e-10</v>
      </c>
    </row>
    <row r="48" customFormat="1" s="61">
      <c r="A48" s="294" t="n"/>
      <c r="B48" s="294" t="n"/>
      <c r="C48" s="212" t="n"/>
      <c r="D48" s="244" t="inlineStr">
        <is>
          <t>plus</t>
        </is>
      </c>
      <c r="E48" s="367" t="str">
        <f> FinStat!E$45</f>
        <v>Cash flow available for dividends</v>
      </c>
      <c r="F48" s="367">
        <f> FinStat!F$45</f>
        <v>0.0</v>
      </c>
      <c r="G48" s="367" t="str">
        <f> FinStat!G$45</f>
        <v>$ 000s</v>
      </c>
      <c r="H48" s="367">
        <f> FinStat!H$45</f>
        <v>464032.94057809113</v>
      </c>
      <c r="I48" s="367">
        <f> FinStat!I$45</f>
        <v>0.0</v>
      </c>
      <c r="J48" s="367">
        <f> FinStat!J$45</f>
        <v>0.0</v>
      </c>
      <c r="K48" s="367">
        <f> FinStat!K$45</f>
        <v>0.0</v>
      </c>
      <c r="L48" s="367">
        <f> FinStat!L$45</f>
        <v>4317.621863101254</v>
      </c>
      <c r="M48" s="367">
        <f> FinStat!M$45</f>
        <v>4508.089487286373</v>
      </c>
      <c r="N48" s="367">
        <f> FinStat!N$45</f>
        <v>4617.781757798974</v>
      </c>
      <c r="O48" s="367">
        <f> FinStat!O$45</f>
        <v>2439.9870632432453</v>
      </c>
      <c r="P48" s="367">
        <f> FinStat!P$45</f>
        <v>2606.748605056178</v>
      </c>
      <c r="Q48" s="367">
        <f> FinStat!Q$45</f>
        <v>2458.4494819720207</v>
      </c>
      <c r="R48" s="367">
        <f> FinStat!R$45</f>
        <v>2632.9533547201318</v>
      </c>
      <c r="S48" s="367">
        <f> FinStat!S$45</f>
        <v>476.32118126430896</v>
      </c>
      <c r="T48" s="367">
        <f> FinStat!T$45</f>
        <v>2825.548823619684</v>
      </c>
      <c r="U48" s="367">
        <f> FinStat!U$45</f>
        <v>2749.6810183467032</v>
      </c>
      <c r="V48" s="367">
        <f> FinStat!V$45</f>
        <v>2944.388023301069</v>
      </c>
      <c r="W48" s="367">
        <f> FinStat!W$45</f>
        <v>1779.9634556897513</v>
      </c>
      <c r="X48" s="367">
        <f> FinStat!X$45</f>
        <v>2989.1150309547106</v>
      </c>
      <c r="Y48" s="367">
        <f> FinStat!Y$45</f>
        <v>2834.2597370075914</v>
      </c>
      <c r="Z48" s="367">
        <f> FinStat!Z$45</f>
        <v>3028.434503680356</v>
      </c>
      <c r="AA48" s="367">
        <f> FinStat!AA$45</f>
        <v>1356.5424322902604</v>
      </c>
      <c r="AB48" s="367">
        <f> FinStat!AB$45</f>
        <v>3083.456612985892</v>
      </c>
      <c r="AC48" s="367">
        <f> FinStat!AC$45</f>
        <v>2932.469156443015</v>
      </c>
      <c r="AD48" s="367">
        <f> FinStat!AD$45</f>
        <v>3430.5866052132164</v>
      </c>
      <c r="AE48" s="367">
        <f> FinStat!AE$45</f>
        <v>2430.471446702757</v>
      </c>
      <c r="AF48" s="367">
        <f> FinStat!AF$45</f>
        <v>3665.0815781819033</v>
      </c>
      <c r="AG48" s="367">
        <f> FinStat!AG$45</f>
        <v>3520.8620208736334</v>
      </c>
      <c r="AH48" s="367">
        <f> FinStat!AH$45</f>
        <v>3751.44454931464</v>
      </c>
      <c r="AI48" s="367">
        <f> FinStat!AI$45</f>
        <v>3076.96818407994</v>
      </c>
      <c r="AJ48" s="367">
        <f> FinStat!AJ$45</f>
        <v>3820.366807044896</v>
      </c>
      <c r="AK48" s="367">
        <f> FinStat!AK$45</f>
        <v>3662.711314767459</v>
      </c>
      <c r="AL48" s="367">
        <f> FinStat!AL$45</f>
        <v>3915.3044976654464</v>
      </c>
      <c r="AM48" s="367">
        <f> FinStat!AM$45</f>
        <v>3033.575441964341</v>
      </c>
      <c r="AN48" s="367">
        <f> FinStat!AN$45</f>
        <v>4487.73156391343</v>
      </c>
      <c r="AO48" s="367">
        <f> FinStat!AO$45</f>
        <v>4350.497129657825</v>
      </c>
      <c r="AP48" s="367">
        <f> FinStat!AP$45</f>
        <v>4615.950212463894</v>
      </c>
      <c r="AQ48" s="367">
        <f> FinStat!AQ$45</f>
        <v>3434.479478176374</v>
      </c>
      <c r="AR48" s="367">
        <f> FinStat!AR$45</f>
        <v>4701.8472342003215</v>
      </c>
      <c r="AS48" s="367">
        <f> FinStat!AS$45</f>
        <v>6564.601150192993</v>
      </c>
      <c r="AT48" s="367">
        <f> FinStat!AT$45</f>
        <v>6818.6651645954125</v>
      </c>
      <c r="AU48" s="367">
        <f> FinStat!AU$45</f>
        <v>6611.178247102496</v>
      </c>
      <c r="AV48" s="367">
        <f> FinStat!AV$45</f>
        <v>6849.8551943559005</v>
      </c>
      <c r="AW48" s="367">
        <f> FinStat!AW$45</f>
        <v>6688.883225671889</v>
      </c>
      <c r="AX48" s="367">
        <f> FinStat!AX$45</f>
        <v>7336.109407928234</v>
      </c>
      <c r="AY48" s="367">
        <f> FinStat!AY$45</f>
        <v>7352.700236137565</v>
      </c>
      <c r="AZ48" s="367">
        <f> FinStat!AZ$45</f>
        <v>7622.940969685233</v>
      </c>
      <c r="BA48" s="367">
        <f> FinStat!BA$45</f>
        <v>7435.818025476075</v>
      </c>
      <c r="BB48" s="367">
        <f> FinStat!BB$45</f>
        <v>7738.53514987975</v>
      </c>
      <c r="BC48" s="367">
        <f> FinStat!BC$45</f>
        <v>7519.87243693544</v>
      </c>
      <c r="BD48" s="367">
        <f> FinStat!BD$45</f>
        <v>7785.185734526974</v>
      </c>
      <c r="BE48" s="367">
        <f> FinStat!BE$45</f>
        <v>7626.396216843893</v>
      </c>
      <c r="BF48" s="367">
        <f> FinStat!BF$45</f>
        <v>7924.899829086469</v>
      </c>
      <c r="BG48" s="367">
        <f> FinStat!BG$45</f>
        <v>7701.966803518317</v>
      </c>
      <c r="BH48" s="367">
        <f> FinStat!BH$45</f>
        <v>7568.12451741819</v>
      </c>
      <c r="BI48" s="367">
        <f> FinStat!BI$45</f>
        <v>8072.487861429119</v>
      </c>
      <c r="BJ48" s="367">
        <f> FinStat!BJ$45</f>
        <v>7863.424233243337</v>
      </c>
      <c r="BK48" s="367">
        <f> FinStat!BK$45</f>
        <v>8163.179717513836</v>
      </c>
      <c r="BL48" s="367">
        <f> FinStat!BL$45</f>
        <v>7919.046723266435</v>
      </c>
      <c r="BM48" s="367">
        <f> FinStat!BM$45</f>
        <v>8282.684672067786</v>
      </c>
      <c r="BN48" s="367">
        <f> FinStat!BN$45</f>
        <v>8068.948026296649</v>
      </c>
      <c r="BO48" s="367">
        <f> FinStat!BO$45</f>
        <v>8379.215121792457</v>
      </c>
      <c r="BP48" s="367">
        <f> FinStat!BP$45</f>
        <v>8144.526239589604</v>
      </c>
      <c r="BQ48" s="367">
        <f> FinStat!BQ$45</f>
        <v>8050.507620547902</v>
      </c>
      <c r="BR48" s="367">
        <f> FinStat!BR$45</f>
        <v>8564.14911133319</v>
      </c>
      <c r="BS48" s="367">
        <f> FinStat!BS$45</f>
        <v>8325.324320313424</v>
      </c>
      <c r="BT48" s="367">
        <f> FinStat!BT$45</f>
        <v>8630.854692039531</v>
      </c>
      <c r="BU48" s="367">
        <f> FinStat!BU$45</f>
        <v>8458.707712934414</v>
      </c>
      <c r="BV48" s="367">
        <f> FinStat!BV$45</f>
        <v>8800.919579213965</v>
      </c>
      <c r="BW48" s="367">
        <f> FinStat!BW$45</f>
        <v>9017.031237914627</v>
      </c>
      <c r="BX48" s="367">
        <f> FinStat!BX$45</f>
        <v>9043.738832119376</v>
      </c>
      <c r="BY48" s="367">
        <f> FinStat!BY$45</f>
        <v>9161.228293330427</v>
      </c>
      <c r="BZ48" s="367">
        <f> FinStat!BZ$45</f>
        <v>9225.162120261752</v>
      </c>
      <c r="CA48" s="367">
        <f> FinStat!CA$45</f>
        <v>9271.947389813442</v>
      </c>
      <c r="CB48" s="367">
        <f> FinStat!CB$45</f>
        <v>9300.23595110626</v>
      </c>
      <c r="CC48" s="367">
        <f> FinStat!CC$45</f>
        <v>9421.99084845249</v>
      </c>
      <c r="CD48" s="367">
        <f> FinStat!CD$45</f>
        <v>9488.54640487564</v>
      </c>
      <c r="CE48" s="367">
        <f> FinStat!CE$45</f>
        <v>9537.403761463578</v>
      </c>
      <c r="CF48" s="367">
        <f> FinStat!CF$45</f>
        <v>9586.491372022057</v>
      </c>
      <c r="CG48" s="367">
        <f> FinStat!CG$45</f>
        <v>9673.871683816447</v>
      </c>
      <c r="CH48" s="367">
        <f> FinStat!CH$45</f>
        <v>9762.3123768652</v>
      </c>
      <c r="CI48" s="367">
        <f> FinStat!CI$45</f>
        <v>9813.179975158615</v>
      </c>
      <c r="CJ48" s="367">
        <f> FinStat!CJ$45</f>
        <v>9844.362760368896</v>
      </c>
      <c r="CK48" s="367">
        <f> FinStat!CK$45</f>
        <v>9974.6454089715</v>
      </c>
      <c r="CL48" s="367">
        <f> FinStat!CL$45</f>
        <v>10046.3114328884</v>
      </c>
      <c r="CM48" s="367">
        <f> FinStat!CM$45</f>
        <v>-29295.683355809233</v>
      </c>
      <c r="CN48" s="367">
        <f> FinStat!CN$45</f>
        <v>1810.7664905536076</v>
      </c>
      <c r="CO48" s="367">
        <f> FinStat!CO$45</f>
        <v>-7.343237484747079e-12</v>
      </c>
    </row>
    <row r="49" customFormat="1" s="183">
      <c r="A49" s="294" t="n"/>
      <c r="B49" s="294" t="n"/>
      <c r="C49" s="212" t="n"/>
      <c r="D49" s="244" t="inlineStr">
        <is>
          <t>less</t>
        </is>
      </c>
      <c r="E49" s="61" t="str">
        <f> E$39</f>
        <v>Dividend declared and paid POS</v>
      </c>
      <c r="F49" s="61">
        <f> F$39</f>
        <v>0.0</v>
      </c>
      <c r="G49" s="61" t="str">
        <f> G$39</f>
        <v>$ 000s</v>
      </c>
      <c r="H49" s="61">
        <f> H$39</f>
        <v>464032.94057809055</v>
      </c>
      <c r="I49" s="61">
        <f> I$39</f>
        <v>0.0</v>
      </c>
      <c r="J49" s="61">
        <f> J$39</f>
        <v>0.0</v>
      </c>
      <c r="K49" s="61">
        <f> K$39</f>
        <v>0.0</v>
      </c>
      <c r="L49" s="61">
        <f> L$39</f>
        <v>2100.6709056988466</v>
      </c>
      <c r="M49" s="61">
        <f> M$39</f>
        <v>1815.9800941136655</v>
      </c>
      <c r="N49" s="61">
        <f> N$39</f>
        <v>2174.5967436970222</v>
      </c>
      <c r="O49" s="61">
        <f> O$39</f>
        <v>1905.0925810000006</v>
      </c>
      <c r="P49" s="61">
        <f> P$39</f>
        <v>2310.0471202231984</v>
      </c>
      <c r="Q49" s="61">
        <f> Q$39</f>
        <v>2051.7677315661467</v>
      </c>
      <c r="R49" s="61">
        <f> R$39</f>
        <v>2444.047410276859</v>
      </c>
      <c r="S49" s="61">
        <f> S$39</f>
        <v>2186.58609893889</v>
      </c>
      <c r="T49" s="61">
        <f> T$39</f>
        <v>2739.7214559269796</v>
      </c>
      <c r="U49" s="61">
        <f> U$39</f>
        <v>2456.318172364562</v>
      </c>
      <c r="V49" s="61">
        <f> V$39</f>
        <v>2870.0497454789092</v>
      </c>
      <c r="W49" s="61">
        <f> W$39</f>
        <v>2580.8312038631084</v>
      </c>
      <c r="X49" s="61">
        <f> X$39</f>
        <v>2972.679298709598</v>
      </c>
      <c r="Y49" s="61">
        <f> Y$39</f>
        <v>2661.854817137978</v>
      </c>
      <c r="Z49" s="61">
        <f> Z$39</f>
        <v>3078.881769034094</v>
      </c>
      <c r="AA49" s="61">
        <f> AA$39</f>
        <v>2768.7270288678883</v>
      </c>
      <c r="AB49" s="61">
        <f> AB$39</f>
        <v>3152.842177670883</v>
      </c>
      <c r="AC49" s="61">
        <f> AC$39</f>
        <v>2833.173239429893</v>
      </c>
      <c r="AD49" s="61">
        <f> AD$39</f>
        <v>3737.2202129699026</v>
      </c>
      <c r="AE49" s="61">
        <f> AE$39</f>
        <v>3394.7651224618876</v>
      </c>
      <c r="AF49" s="61">
        <f> AF$39</f>
        <v>3835.8571618035007</v>
      </c>
      <c r="AG49" s="61">
        <f> AG$39</f>
        <v>3484.418059360265</v>
      </c>
      <c r="AH49" s="61">
        <f> AH$39</f>
        <v>3957.549041581221</v>
      </c>
      <c r="AI49" s="61">
        <f> AI$39</f>
        <v>3604.122631691296</v>
      </c>
      <c r="AJ49" s="61">
        <f> AJ$39</f>
        <v>4071.805376657603</v>
      </c>
      <c r="AK49" s="61">
        <f> AK$39</f>
        <v>3712.517712252178</v>
      </c>
      <c r="AL49" s="61">
        <f> AL$39</f>
        <v>4200.24706838421</v>
      </c>
      <c r="AM49" s="61">
        <f> AM$39</f>
        <v>4314.777595121459</v>
      </c>
      <c r="AN49" s="61">
        <f> AN$39</f>
        <v>4880.146631884893</v>
      </c>
      <c r="AO49" s="61">
        <f> AO$39</f>
        <v>4484.118155359209</v>
      </c>
      <c r="AP49" s="61">
        <f> AP$39</f>
        <v>5018.461158744443</v>
      </c>
      <c r="AQ49" s="61">
        <f> AQ$39</f>
        <v>3977.9688965106834</v>
      </c>
      <c r="AR49" s="61">
        <f> AR$39</f>
        <v>4701.8472342003215</v>
      </c>
      <c r="AS49" s="61">
        <f> AS$39</f>
        <v>5852.78968979218</v>
      </c>
      <c r="AT49" s="61">
        <f> AT$39</f>
        <v>5281.124660173442</v>
      </c>
      <c r="AU49" s="61">
        <f> AU$39</f>
        <v>4844.417463997683</v>
      </c>
      <c r="AV49" s="61">
        <f> AV$39</f>
        <v>5432.232436766679</v>
      </c>
      <c r="AW49" s="61">
        <f> AW$39</f>
        <v>4989.023038798356</v>
      </c>
      <c r="AX49" s="61">
        <f> AX$39</f>
        <v>6156.542911295906</v>
      </c>
      <c r="AY49" s="61">
        <f> AY$39</f>
        <v>5681.438920205088</v>
      </c>
      <c r="AZ49" s="61">
        <f> AZ$39</f>
        <v>6302.403246524402</v>
      </c>
      <c r="BA49" s="61">
        <f> BA$39</f>
        <v>5820.225357752074</v>
      </c>
      <c r="BB49" s="61">
        <f> BB$39</f>
        <v>6414.91419863478</v>
      </c>
      <c r="BC49" s="61">
        <f> BC$39</f>
        <v>5925.557087811238</v>
      </c>
      <c r="BD49" s="61">
        <f> BD$39</f>
        <v>6546.600343920132</v>
      </c>
      <c r="BE49" s="61">
        <f> BE$39</f>
        <v>6049.957118484637</v>
      </c>
      <c r="BF49" s="61">
        <f> BF$39</f>
        <v>6662.486624593822</v>
      </c>
      <c r="BG49" s="61">
        <f> BG$39</f>
        <v>6158.448800445573</v>
      </c>
      <c r="BH49" s="61">
        <f> BH$39</f>
        <v>6248.298902669767</v>
      </c>
      <c r="BI49" s="61">
        <f> BI$39</f>
        <v>6874.559275823</v>
      </c>
      <c r="BJ49" s="61">
        <f> BJ$39</f>
        <v>6359.222606019929</v>
      </c>
      <c r="BK49" s="61">
        <f> BK$39</f>
        <v>6994.807467884564</v>
      </c>
      <c r="BL49" s="61">
        <f> BL$39</f>
        <v>6506.797869749857</v>
      </c>
      <c r="BM49" s="61">
        <f> BM$39</f>
        <v>7151.846054097686</v>
      </c>
      <c r="BN49" s="61">
        <f> BN$39</f>
        <v>6621.049284200526</v>
      </c>
      <c r="BO49" s="61">
        <f> BO$39</f>
        <v>7275.7016919211</v>
      </c>
      <c r="BP49" s="61">
        <f> BP$39</f>
        <v>6737.001805842351</v>
      </c>
      <c r="BQ49" s="61">
        <f> BQ$39</f>
        <v>6795.623882210353</v>
      </c>
      <c r="BR49" s="61">
        <f> BR$39</f>
        <v>7464.951411832526</v>
      </c>
      <c r="BS49" s="61">
        <f> BS$39</f>
        <v>6914.175672364481</v>
      </c>
      <c r="BT49" s="61">
        <f> BT$39</f>
        <v>8760.135590997796</v>
      </c>
      <c r="BU49" s="61">
        <f> BU$39</f>
        <v>8201.159265343329</v>
      </c>
      <c r="BV49" s="61">
        <f> BV$39</f>
        <v>8890.566620854164</v>
      </c>
      <c r="BW49" s="61">
        <f> BW$39</f>
        <v>8956.508591625756</v>
      </c>
      <c r="BX49" s="61">
        <f> BX$39</f>
        <v>9022.939658727726</v>
      </c>
      <c r="BY49" s="61">
        <f> BY$39</f>
        <v>9089.863449822662</v>
      </c>
      <c r="BZ49" s="61">
        <f> BZ$39</f>
        <v>9157.283619479786</v>
      </c>
      <c r="CA49" s="61">
        <f> CA$39</f>
        <v>9225.20384937453</v>
      </c>
      <c r="CB49" s="61">
        <f> CB$39</f>
        <v>9293.627848489556</v>
      </c>
      <c r="CC49" s="61">
        <f> CC$39</f>
        <v>9362.559353317338</v>
      </c>
      <c r="CD49" s="61">
        <f> CD$39</f>
        <v>9432.002128064178</v>
      </c>
      <c r="CE49" s="61">
        <f> CE$39</f>
        <v>9501.959964855758</v>
      </c>
      <c r="CF49" s="61">
        <f> CF$39</f>
        <v>9572.436683944241</v>
      </c>
      <c r="CG49" s="61">
        <f> CG$39</f>
        <v>9643.436133916857</v>
      </c>
      <c r="CH49" s="61">
        <f> CH$39</f>
        <v>9714.962191906101</v>
      </c>
      <c r="CI49" s="61">
        <f> CI$39</f>
        <v>9787.018763801429</v>
      </c>
      <c r="CJ49" s="61">
        <f> CJ$39</f>
        <v>9859.609784462564</v>
      </c>
      <c r="CK49" s="61">
        <f> CK$39</f>
        <v>9932.739217934362</v>
      </c>
      <c r="CL49" s="61">
        <f> CL$39</f>
        <v>10006.411057663285</v>
      </c>
      <c r="CM49" s="61">
        <f> CM$39</f>
        <v>8269.8628361624</v>
      </c>
      <c r="CN49" s="61">
        <f> CN$39</f>
        <v>1810.7664905530619</v>
      </c>
      <c r="CO49" s="61">
        <f> CO$39</f>
        <v>0.0</v>
      </c>
    </row>
    <row r="50" customFormat="1" s="322">
      <c r="A50" s="318" t="n"/>
      <c r="B50" s="318" t="n"/>
      <c r="C50" s="319" t="n"/>
      <c r="D50" s="320" t="n"/>
      <c r="E50" s="322" t="inlineStr">
        <is>
          <t>Retained cash balance</t>
        </is>
      </c>
      <c r="F50" s="322" t="inlineStr">
        <is>
          <t>BS</t>
        </is>
      </c>
      <c r="G50" s="322" t="inlineStr">
        <is>
          <t>$ 000s</t>
        </is>
      </c>
      <c r="I50" s="323" t="n"/>
      <c r="J50" s="322">
        <f> IF(J45 = 1, $F44, J47 + J48 - J49)</f>
        <v>0.0</v>
      </c>
      <c r="K50" s="322">
        <f> IF(K45 = 1, $F44, K47 + K48 - K49)</f>
        <v>0.0</v>
      </c>
      <c r="L50" s="322">
        <f> IF(L45 = 1, $F44, L47 + L48 - L49)</f>
        <v>2216.9509574024078</v>
      </c>
      <c r="M50" s="322">
        <f> IF(M45 = 1, $F44, M47 + M48 - M49)</f>
        <v>4909.060350575115</v>
      </c>
      <c r="N50" s="322">
        <f> IF(N45 = 1, $F44, N47 + N48 - N49)</f>
        <v>7352.245364677066</v>
      </c>
      <c r="O50" s="322">
        <f> IF(O45 = 1, $F44, O47 + O48 - O49)</f>
        <v>7887.13984692031</v>
      </c>
      <c r="P50" s="322">
        <f> IF(P45 = 1, $F44, P47 + P48 - P49)</f>
        <v>8183.84133175329</v>
      </c>
      <c r="Q50" s="322">
        <f> IF(Q45 = 1, $F44, Q47 + Q48 - Q49)</f>
        <v>8590.523082159165</v>
      </c>
      <c r="R50" s="322">
        <f> IF(R45 = 1, $F44, R47 + R48 - R49)</f>
        <v>8779.429026602438</v>
      </c>
      <c r="S50" s="322">
        <f> IF(S45 = 1, $F44, S47 + S48 - S49)</f>
        <v>7069.164108927858</v>
      </c>
      <c r="T50" s="322">
        <f> IF(T45 = 1, $F44, T47 + T48 - T49)</f>
        <v>7154.991476620562</v>
      </c>
      <c r="U50" s="322">
        <f> IF(U45 = 1, $F44, U47 + U48 - U49)</f>
        <v>7448.354322602702</v>
      </c>
      <c r="V50" s="322">
        <f> IF(V45 = 1, $F44, V47 + V48 - V49)</f>
        <v>7522.692600424862</v>
      </c>
      <c r="W50" s="322">
        <f> IF(W45 = 1, $F44, W47 + W48 - W49)</f>
        <v>6721.824852251504</v>
      </c>
      <c r="X50" s="322">
        <f> IF(X45 = 1, $F44, X47 + X48 - X49)</f>
        <v>6738.2605844966165</v>
      </c>
      <c r="Y50" s="322">
        <f> IF(Y45 = 1, $F44, Y47 + Y48 - Y49)</f>
        <v>6910.6655043662295</v>
      </c>
      <c r="Z50" s="322">
        <f> IF(Z45 = 1, $F44, Z47 + Z48 - Z49)</f>
        <v>6860.218239012492</v>
      </c>
      <c r="AA50" s="322">
        <f> IF(AA45 = 1, $F44, AA47 + AA48 - AA49)</f>
        <v>5448.033642434864</v>
      </c>
      <c r="AB50" s="322">
        <f> IF(AB45 = 1, $F44, AB47 + AB48 - AB49)</f>
        <v>5378.648077749874</v>
      </c>
      <c r="AC50" s="322">
        <f> IF(AC45 = 1, $F44, AC47 + AC48 - AC49)</f>
        <v>5477.943994762996</v>
      </c>
      <c r="AD50" s="322">
        <f> IF(AD45 = 1, $F44, AD47 + AD48 - AD49)</f>
        <v>5171.3103870063105</v>
      </c>
      <c r="AE50" s="322">
        <f> IF(AE45 = 1, $F44, AE47 + AE48 - AE49)</f>
        <v>4207.01671124718</v>
      </c>
      <c r="AF50" s="322">
        <f> IF(AF45 = 1, $F44, AF47 + AF48 - AF49)</f>
        <v>4036.241127625582</v>
      </c>
      <c r="AG50" s="322">
        <f> IF(AG45 = 1, $F44, AG47 + AG48 - AG49)</f>
        <v>4072.6850891389504</v>
      </c>
      <c r="AH50" s="322">
        <f> IF(AH45 = 1, $F44, AH47 + AH48 - AH49)</f>
        <v>3866.58059687237</v>
      </c>
      <c r="AI50" s="322">
        <f> IF(AI45 = 1, $F44, AI47 + AI48 - AI49)</f>
        <v>3339.426149261013</v>
      </c>
      <c r="AJ50" s="322">
        <f> IF(AJ45 = 1, $F44, AJ47 + AJ48 - AJ49)</f>
        <v>3087.9875796483066</v>
      </c>
      <c r="AK50" s="322">
        <f> IF(AK45 = 1, $F44, AK47 + AK48 - AK49)</f>
        <v>3038.1811821635874</v>
      </c>
      <c r="AL50" s="322">
        <f> IF(AL45 = 1, $F44, AL47 + AL48 - AL49)</f>
        <v>2753.2386114448236</v>
      </c>
      <c r="AM50" s="322">
        <f> IF(AM45 = 1, $F44, AM47 + AM48 - AM49)</f>
        <v>1472.0364582877055</v>
      </c>
      <c r="AN50" s="322">
        <f> IF(AN45 = 1, $F44, AN47 + AN48 - AN49)</f>
        <v>1079.6213903162425</v>
      </c>
      <c r="AO50" s="322">
        <f> IF(AO45 = 1, $F44, AO47 + AO48 - AO49)</f>
        <v>946.0003646148589</v>
      </c>
      <c r="AP50" s="322">
        <f> IF(AP45 = 1, $F44, AP47 + AP48 - AP49)</f>
        <v>543.4894183343094</v>
      </c>
      <c r="AQ50" s="322">
        <f> IF(AQ45 = 1, $F44, AQ47 + AQ48 - AQ49)</f>
        <v>0.0</v>
      </c>
      <c r="AR50" s="322">
        <f> IF(AR45 = 1, $F44, AR47 + AR48 - AR49)</f>
        <v>0.0</v>
      </c>
      <c r="AS50" s="322">
        <f> IF(AS45 = 1, $F44, AS47 + AS48 - AS49)</f>
        <v>711.8114604008133</v>
      </c>
      <c r="AT50" s="322">
        <f> IF(AT45 = 1, $F44, AT47 + AT48 - AT49)</f>
        <v>2249.351964822784</v>
      </c>
      <c r="AU50" s="322">
        <f> IF(AU45 = 1, $F44, AU47 + AU48 - AU49)</f>
        <v>4016.1127479275983</v>
      </c>
      <c r="AV50" s="322">
        <f> IF(AV45 = 1, $F44, AV47 + AV48 - AV49)</f>
        <v>5433.735505516821</v>
      </c>
      <c r="AW50" s="322">
        <f> IF(AW45 = 1, $F44, AW47 + AW48 - AW49)</f>
        <v>7133.595692390354</v>
      </c>
      <c r="AX50" s="322">
        <f> IF(AX45 = 1, $F44, AX47 + AX48 - AX49)</f>
        <v>8313.162189022682</v>
      </c>
      <c r="AY50" s="322">
        <f> IF(AY45 = 1, $F44, AY47 + AY48 - AY49)</f>
        <v>9984.423504955159</v>
      </c>
      <c r="AZ50" s="322">
        <f> IF(AZ45 = 1, $F44, AZ47 + AZ48 - AZ49)</f>
        <v>11304.96122811599</v>
      </c>
      <c r="BA50" s="322">
        <f> IF(BA45 = 1, $F44, BA47 + BA48 - BA49)</f>
        <v>12920.553895839988</v>
      </c>
      <c r="BB50" s="322">
        <f> IF(BB45 = 1, $F44, BB47 + BB48 - BB49)</f>
        <v>14244.174847084958</v>
      </c>
      <c r="BC50" s="322">
        <f> IF(BC45 = 1, $F44, BC47 + BC48 - BC49)</f>
        <v>15838.49019620916</v>
      </c>
      <c r="BD50" s="322">
        <f> IF(BD45 = 1, $F44, BD47 + BD48 - BD49)</f>
        <v>17077.075586816005</v>
      </c>
      <c r="BE50" s="322">
        <f> IF(BE45 = 1, $F44, BE47 + BE48 - BE49)</f>
        <v>18653.514685175258</v>
      </c>
      <c r="BF50" s="322">
        <f> IF(BF45 = 1, $F44, BF47 + BF48 - BF49)</f>
        <v>19915.927889667906</v>
      </c>
      <c r="BG50" s="322">
        <f> IF(BG45 = 1, $F44, BG47 + BG48 - BG49)</f>
        <v>21459.44589274065</v>
      </c>
      <c r="BH50" s="322">
        <f> IF(BH45 = 1, $F44, BH47 + BH48 - BH49)</f>
        <v>22779.271507489073</v>
      </c>
      <c r="BI50" s="322">
        <f> IF(BI45 = 1, $F44, BI47 + BI48 - BI49)</f>
        <v>23977.20009309519</v>
      </c>
      <c r="BJ50" s="322">
        <f> IF(BJ45 = 1, $F44, BJ47 + BJ48 - BJ49)</f>
        <v>25481.401720318598</v>
      </c>
      <c r="BK50" s="322">
        <f> IF(BK45 = 1, $F44, BK47 + BK48 - BK49)</f>
        <v>26649.77396994787</v>
      </c>
      <c r="BL50" s="322">
        <f> IF(BL45 = 1, $F44, BL47 + BL48 - BL49)</f>
        <v>28062.02282346445</v>
      </c>
      <c r="BM50" s="322">
        <f> IF(BM45 = 1, $F44, BM47 + BM48 - BM49)</f>
        <v>29192.861441434547</v>
      </c>
      <c r="BN50" s="322">
        <f> IF(BN45 = 1, $F44, BN47 + BN48 - BN49)</f>
        <v>30640.76018353067</v>
      </c>
      <c r="BO50" s="322">
        <f> IF(BO45 = 1, $F44, BO47 + BO48 - BO49)</f>
        <v>31744.273613402023</v>
      </c>
      <c r="BP50" s="322">
        <f> IF(BP45 = 1, $F44, BP47 + BP48 - BP49)</f>
        <v>33151.79804714928</v>
      </c>
      <c r="BQ50" s="322">
        <f> IF(BQ45 = 1, $F44, BQ47 + BQ48 - BQ49)</f>
        <v>34406.68178548682</v>
      </c>
      <c r="BR50" s="322">
        <f> IF(BR45 = 1, $F44, BR47 + BR48 - BR49)</f>
        <v>35505.87948498749</v>
      </c>
      <c r="BS50" s="322">
        <f> IF(BS45 = 1, $F44, BS47 + BS48 - BS49)</f>
        <v>36917.02813293644</v>
      </c>
      <c r="BT50" s="322">
        <f> IF(BT45 = 1, $F44, BT47 + BT48 - BT49)</f>
        <v>36787.747233978174</v>
      </c>
      <c r="BU50" s="322">
        <f> IF(BU45 = 1, $F44, BU47 + BU48 - BU49)</f>
        <v>37045.29568156926</v>
      </c>
      <c r="BV50" s="322">
        <f> IF(BV45 = 1, $F44, BV47 + BV48 - BV49)</f>
        <v>36955.64863992906</v>
      </c>
      <c r="BW50" s="322">
        <f> IF(BW45 = 1, $F44, BW47 + BW48 - BW49)</f>
        <v>37016.17128621793</v>
      </c>
      <c r="BX50" s="322">
        <f> IF(BX45 = 1, $F44, BX47 + BX48 - BX49)</f>
        <v>37036.97045960957</v>
      </c>
      <c r="BY50" s="322">
        <f> IF(BY45 = 1, $F44, BY47 + BY48 - BY49)</f>
        <v>37108.33530311733</v>
      </c>
      <c r="BZ50" s="322">
        <f> IF(BZ45 = 1, $F44, BZ47 + BZ48 - BZ49)</f>
        <v>37176.2138038993</v>
      </c>
      <c r="CA50" s="322">
        <f> IF(CA45 = 1, $F44, CA47 + CA48 - CA49)</f>
        <v>37222.95734433822</v>
      </c>
      <c r="CB50" s="322">
        <f> IF(CB45 = 1, $F44, CB47 + CB48 - CB49)</f>
        <v>37229.56544695492</v>
      </c>
      <c r="CC50" s="322">
        <f> IF(CC45 = 1, $F44, CC47 + CC48 - CC49)</f>
        <v>37288.996942090074</v>
      </c>
      <c r="CD50" s="322">
        <f> IF(CD45 = 1, $F44, CD47 + CD48 - CD49)</f>
        <v>37345.54121890153</v>
      </c>
      <c r="CE50" s="322">
        <f> IF(CE45 = 1, $F44, CE47 + CE48 - CE49)</f>
        <v>37380.98501550935</v>
      </c>
      <c r="CF50" s="322">
        <f> IF(CF45 = 1, $F44, CF47 + CF48 - CF49)</f>
        <v>37395.03970358717</v>
      </c>
      <c r="CG50" s="322">
        <f> IF(CG45 = 1, $F44, CG47 + CG48 - CG49)</f>
        <v>37425.47525348676</v>
      </c>
      <c r="CH50" s="322">
        <f> IF(CH45 = 1, $F44, CH47 + CH48 - CH49)</f>
        <v>37472.825438445856</v>
      </c>
      <c r="CI50" s="322">
        <f> IF(CI45 = 1, $F44, CI47 + CI48 - CI49)</f>
        <v>37498.986649803046</v>
      </c>
      <c r="CJ50" s="322">
        <f> IF(CJ45 = 1, $F44, CJ47 + CJ48 - CJ49)</f>
        <v>37483.73962570938</v>
      </c>
      <c r="CK50" s="322">
        <f> IF(CK45 = 1, $F44, CK47 + CK48 - CK49)</f>
        <v>37525.64581674652</v>
      </c>
      <c r="CL50" s="322">
        <f> IF(CL45 = 1, $F44, CL47 + CL48 - CL49)</f>
        <v>37565.54619197163</v>
      </c>
      <c r="CM50" s="322">
        <f> IF(CM45 = 1, $F44, CM47 + CM48 - CM49)</f>
        <v>0.0</v>
      </c>
      <c r="CN50" s="322">
        <f> IF(CN45 = 1, $F44, CN47 + CN48 - CN49)</f>
        <v>5.456968210637569e-10</v>
      </c>
      <c r="CO50" s="322">
        <f> IF(CO45 = 1, $F44, CO47 + CO48 - CO49)</f>
        <v>5.383535835790098e-10</v>
      </c>
    </row>
    <row r="53">
      <c r="A53" s="294" t="inlineStr">
        <is>
          <t>RETAINED EARNINGS BALANCE</t>
        </is>
      </c>
    </row>
    <row r="55" customFormat="1" s="182">
      <c r="A55" s="177" t="n"/>
      <c r="B55" s="177" t="n"/>
      <c r="C55" s="178" t="n"/>
      <c r="D55" s="179" t="n"/>
      <c r="E55" s="182" t="inlineStr">
        <is>
          <t>Retained earnings - initial balance</t>
        </is>
      </c>
      <c r="F55" s="182" t="n">
        <v>0</v>
      </c>
      <c r="G55" s="182" t="n"/>
    </row>
    <row r="56" customFormat="1" s="100">
      <c r="A56" s="294" t="n"/>
      <c r="B56" s="294" t="n"/>
      <c r="C56" s="212" t="n"/>
      <c r="D56" s="244" t="n"/>
      <c r="E56" s="325" t="str">
        <f> Time!E$45</f>
        <v>Acquisition / initial balance date flag</v>
      </c>
      <c r="F56" s="325">
        <f> Time!F$45</f>
        <v>0.0</v>
      </c>
      <c r="G56" s="325" t="str">
        <f> Time!G$45</f>
        <v>flag</v>
      </c>
      <c r="H56" s="325">
        <f> Time!H$45</f>
        <v>1.0</v>
      </c>
      <c r="I56" s="325">
        <f> Time!I$45</f>
        <v>0.0</v>
      </c>
      <c r="J56" s="325">
        <f> Time!J$45</f>
        <v>0.0</v>
      </c>
      <c r="K56" s="325">
        <f> Time!K$45</f>
        <v>1.0</v>
      </c>
      <c r="L56" s="325">
        <f> Time!L$45</f>
        <v>0.0</v>
      </c>
      <c r="M56" s="325">
        <f> Time!M$45</f>
        <v>0.0</v>
      </c>
      <c r="N56" s="325">
        <f> Time!N$45</f>
        <v>0.0</v>
      </c>
      <c r="O56" s="325">
        <f> Time!O$45</f>
        <v>0.0</v>
      </c>
      <c r="P56" s="325">
        <f> Time!P$45</f>
        <v>0.0</v>
      </c>
      <c r="Q56" s="325">
        <f> Time!Q$45</f>
        <v>0.0</v>
      </c>
      <c r="R56" s="325">
        <f> Time!R$45</f>
        <v>0.0</v>
      </c>
      <c r="S56" s="325">
        <f> Time!S$45</f>
        <v>0.0</v>
      </c>
      <c r="T56" s="325">
        <f> Time!T$45</f>
        <v>0.0</v>
      </c>
      <c r="U56" s="325">
        <f> Time!U$45</f>
        <v>0.0</v>
      </c>
      <c r="V56" s="325">
        <f> Time!V$45</f>
        <v>0.0</v>
      </c>
      <c r="W56" s="325">
        <f> Time!W$45</f>
        <v>0.0</v>
      </c>
      <c r="X56" s="325">
        <f> Time!X$45</f>
        <v>0.0</v>
      </c>
      <c r="Y56" s="325">
        <f> Time!Y$45</f>
        <v>0.0</v>
      </c>
      <c r="Z56" s="325">
        <f> Time!Z$45</f>
        <v>0.0</v>
      </c>
      <c r="AA56" s="325">
        <f> Time!AA$45</f>
        <v>0.0</v>
      </c>
      <c r="AB56" s="325">
        <f> Time!AB$45</f>
        <v>0.0</v>
      </c>
      <c r="AC56" s="325">
        <f> Time!AC$45</f>
        <v>0.0</v>
      </c>
      <c r="AD56" s="325">
        <f> Time!AD$45</f>
        <v>0.0</v>
      </c>
      <c r="AE56" s="325">
        <f> Time!AE$45</f>
        <v>0.0</v>
      </c>
      <c r="AF56" s="325">
        <f> Time!AF$45</f>
        <v>0.0</v>
      </c>
      <c r="AG56" s="325">
        <f> Time!AG$45</f>
        <v>0.0</v>
      </c>
      <c r="AH56" s="325">
        <f> Time!AH$45</f>
        <v>0.0</v>
      </c>
      <c r="AI56" s="325">
        <f> Time!AI$45</f>
        <v>0.0</v>
      </c>
      <c r="AJ56" s="325">
        <f> Time!AJ$45</f>
        <v>0.0</v>
      </c>
      <c r="AK56" s="325">
        <f> Time!AK$45</f>
        <v>0.0</v>
      </c>
      <c r="AL56" s="325">
        <f> Time!AL$45</f>
        <v>0.0</v>
      </c>
      <c r="AM56" s="325">
        <f> Time!AM$45</f>
        <v>0.0</v>
      </c>
      <c r="AN56" s="325">
        <f> Time!AN$45</f>
        <v>0.0</v>
      </c>
      <c r="AO56" s="325">
        <f> Time!AO$45</f>
        <v>0.0</v>
      </c>
      <c r="AP56" s="325">
        <f> Time!AP$45</f>
        <v>0.0</v>
      </c>
      <c r="AQ56" s="325">
        <f> Time!AQ$45</f>
        <v>0.0</v>
      </c>
      <c r="AR56" s="325">
        <f> Time!AR$45</f>
        <v>0.0</v>
      </c>
      <c r="AS56" s="325">
        <f> Time!AS$45</f>
        <v>0.0</v>
      </c>
      <c r="AT56" s="325">
        <f> Time!AT$45</f>
        <v>0.0</v>
      </c>
      <c r="AU56" s="325">
        <f> Time!AU$45</f>
        <v>0.0</v>
      </c>
      <c r="AV56" s="325">
        <f> Time!AV$45</f>
        <v>0.0</v>
      </c>
      <c r="AW56" s="325">
        <f> Time!AW$45</f>
        <v>0.0</v>
      </c>
      <c r="AX56" s="325">
        <f> Time!AX$45</f>
        <v>0.0</v>
      </c>
      <c r="AY56" s="325">
        <f> Time!AY$45</f>
        <v>0.0</v>
      </c>
      <c r="AZ56" s="325">
        <f> Time!AZ$45</f>
        <v>0.0</v>
      </c>
      <c r="BA56" s="325">
        <f> Time!BA$45</f>
        <v>0.0</v>
      </c>
      <c r="BB56" s="325">
        <f> Time!BB$45</f>
        <v>0.0</v>
      </c>
      <c r="BC56" s="325">
        <f> Time!BC$45</f>
        <v>0.0</v>
      </c>
      <c r="BD56" s="325">
        <f> Time!BD$45</f>
        <v>0.0</v>
      </c>
      <c r="BE56" s="325">
        <f> Time!BE$45</f>
        <v>0.0</v>
      </c>
      <c r="BF56" s="325">
        <f> Time!BF$45</f>
        <v>0.0</v>
      </c>
      <c r="BG56" s="325">
        <f> Time!BG$45</f>
        <v>0.0</v>
      </c>
      <c r="BH56" s="325">
        <f> Time!BH$45</f>
        <v>0.0</v>
      </c>
      <c r="BI56" s="325">
        <f> Time!BI$45</f>
        <v>0.0</v>
      </c>
      <c r="BJ56" s="325">
        <f> Time!BJ$45</f>
        <v>0.0</v>
      </c>
      <c r="BK56" s="325">
        <f> Time!BK$45</f>
        <v>0.0</v>
      </c>
      <c r="BL56" s="325">
        <f> Time!BL$45</f>
        <v>0.0</v>
      </c>
      <c r="BM56" s="325">
        <f> Time!BM$45</f>
        <v>0.0</v>
      </c>
      <c r="BN56" s="325">
        <f> Time!BN$45</f>
        <v>0.0</v>
      </c>
      <c r="BO56" s="325">
        <f> Time!BO$45</f>
        <v>0.0</v>
      </c>
      <c r="BP56" s="325">
        <f> Time!BP$45</f>
        <v>0.0</v>
      </c>
      <c r="BQ56" s="325">
        <f> Time!BQ$45</f>
        <v>0.0</v>
      </c>
      <c r="BR56" s="325">
        <f> Time!BR$45</f>
        <v>0.0</v>
      </c>
      <c r="BS56" s="325">
        <f> Time!BS$45</f>
        <v>0.0</v>
      </c>
      <c r="BT56" s="325">
        <f> Time!BT$45</f>
        <v>0.0</v>
      </c>
      <c r="BU56" s="325">
        <f> Time!BU$45</f>
        <v>0.0</v>
      </c>
      <c r="BV56" s="325">
        <f> Time!BV$45</f>
        <v>0.0</v>
      </c>
      <c r="BW56" s="325">
        <f> Time!BW$45</f>
        <v>0.0</v>
      </c>
      <c r="BX56" s="325">
        <f> Time!BX$45</f>
        <v>0.0</v>
      </c>
      <c r="BY56" s="325">
        <f> Time!BY$45</f>
        <v>0.0</v>
      </c>
      <c r="BZ56" s="325">
        <f> Time!BZ$45</f>
        <v>0.0</v>
      </c>
      <c r="CA56" s="325">
        <f> Time!CA$45</f>
        <v>0.0</v>
      </c>
      <c r="CB56" s="325">
        <f> Time!CB$45</f>
        <v>0.0</v>
      </c>
      <c r="CC56" s="325">
        <f> Time!CC$45</f>
        <v>0.0</v>
      </c>
      <c r="CD56" s="325">
        <f> Time!CD$45</f>
        <v>0.0</v>
      </c>
      <c r="CE56" s="325">
        <f> Time!CE$45</f>
        <v>0.0</v>
      </c>
      <c r="CF56" s="325">
        <f> Time!CF$45</f>
        <v>0.0</v>
      </c>
      <c r="CG56" s="325">
        <f> Time!CG$45</f>
        <v>0.0</v>
      </c>
      <c r="CH56" s="325">
        <f> Time!CH$45</f>
        <v>0.0</v>
      </c>
      <c r="CI56" s="325">
        <f> Time!CI$45</f>
        <v>0.0</v>
      </c>
      <c r="CJ56" s="325">
        <f> Time!CJ$45</f>
        <v>0.0</v>
      </c>
      <c r="CK56" s="325">
        <f> Time!CK$45</f>
        <v>0.0</v>
      </c>
      <c r="CL56" s="325">
        <f> Time!CL$45</f>
        <v>0.0</v>
      </c>
      <c r="CM56" s="325">
        <f> Time!CM$45</f>
        <v>0.0</v>
      </c>
      <c r="CN56" s="325">
        <f> Time!CN$45</f>
        <v>0.0</v>
      </c>
      <c r="CO56" s="325">
        <f> Time!CO$45</f>
        <v>0.0</v>
      </c>
    </row>
    <row r="57" customFormat="1" s="61">
      <c r="A57" s="294" t="n"/>
      <c r="B57" s="294" t="n"/>
      <c r="C57" s="212" t="n"/>
      <c r="D57" s="244" t="n"/>
    </row>
    <row r="58" customFormat="1" s="61">
      <c r="A58" s="294" t="n"/>
      <c r="B58" s="294" t="n"/>
      <c r="C58" s="212" t="n"/>
      <c r="D58" s="244" t="n"/>
      <c r="E58" s="61" t="inlineStr">
        <is>
          <t>Retained earnings balance BEG</t>
        </is>
      </c>
      <c r="G58" s="61" t="inlineStr">
        <is>
          <t>$ 000s</t>
        </is>
      </c>
      <c r="J58" s="61">
        <f> I61</f>
        <v>0.0</v>
      </c>
      <c r="K58" s="61">
        <f> J61</f>
        <v>0.0</v>
      </c>
      <c r="L58" s="61">
        <f> K61</f>
        <v>0.0</v>
      </c>
      <c r="M58" s="61">
        <f> L61</f>
        <v>0.0</v>
      </c>
      <c r="N58" s="61">
        <f> M61</f>
        <v>0.0</v>
      </c>
      <c r="O58" s="61">
        <f> N61</f>
        <v>0.0</v>
      </c>
      <c r="P58" s="61">
        <f> O61</f>
        <v>0.0</v>
      </c>
      <c r="Q58" s="61">
        <f> P61</f>
        <v>0.0</v>
      </c>
      <c r="R58" s="61">
        <f> Q61</f>
        <v>0.0</v>
      </c>
      <c r="S58" s="61">
        <f> R61</f>
        <v>0.0</v>
      </c>
      <c r="T58" s="61">
        <f> S61</f>
        <v>0.0</v>
      </c>
      <c r="U58" s="61">
        <f> T61</f>
        <v>0.0</v>
      </c>
      <c r="V58" s="61">
        <f> U61</f>
        <v>0.0</v>
      </c>
      <c r="W58" s="61">
        <f> V61</f>
        <v>0.0</v>
      </c>
      <c r="X58" s="61">
        <f> W61</f>
        <v>0.0</v>
      </c>
      <c r="Y58" s="61">
        <f> X61</f>
        <v>0.0</v>
      </c>
      <c r="Z58" s="61">
        <f> Y61</f>
        <v>0.0</v>
      </c>
      <c r="AA58" s="61">
        <f> Z61</f>
        <v>0.0</v>
      </c>
      <c r="AB58" s="61">
        <f> AA61</f>
        <v>0.0</v>
      </c>
      <c r="AC58" s="61">
        <f> AB61</f>
        <v>0.0</v>
      </c>
      <c r="AD58" s="61">
        <f> AC61</f>
        <v>0.0</v>
      </c>
      <c r="AE58" s="61">
        <f> AD61</f>
        <v>0.0</v>
      </c>
      <c r="AF58" s="61">
        <f> AE61</f>
        <v>0.0</v>
      </c>
      <c r="AG58" s="61">
        <f> AF61</f>
        <v>0.0</v>
      </c>
      <c r="AH58" s="61">
        <f> AG61</f>
        <v>0.0</v>
      </c>
      <c r="AI58" s="61">
        <f> AH61</f>
        <v>0.0</v>
      </c>
      <c r="AJ58" s="61">
        <f> AI61</f>
        <v>0.0</v>
      </c>
      <c r="AK58" s="61">
        <f> AJ61</f>
        <v>0.0</v>
      </c>
      <c r="AL58" s="61">
        <f> AK61</f>
        <v>0.0</v>
      </c>
      <c r="AM58" s="61">
        <f> AL61</f>
        <v>0.0</v>
      </c>
      <c r="AN58" s="61">
        <f> AM61</f>
        <v>0.0</v>
      </c>
      <c r="AO58" s="61">
        <f> AN61</f>
        <v>0.0</v>
      </c>
      <c r="AP58" s="61">
        <f> AO61</f>
        <v>0.0</v>
      </c>
      <c r="AQ58" s="61">
        <f> AP61</f>
        <v>0.0</v>
      </c>
      <c r="AR58" s="61">
        <f> AQ61</f>
        <v>639.7602486866372</v>
      </c>
      <c r="AS58" s="61">
        <f> AR61</f>
        <v>1099.1265453277538</v>
      </c>
      <c r="AT58" s="61">
        <f> AS61</f>
        <v>0.0</v>
      </c>
      <c r="AU58" s="61">
        <f> AT61</f>
        <v>0.0</v>
      </c>
      <c r="AV58" s="61">
        <f> AU61</f>
        <v>0.0</v>
      </c>
      <c r="AW58" s="61">
        <f> AV61</f>
        <v>0.0</v>
      </c>
      <c r="AX58" s="61">
        <f> AW61</f>
        <v>0.0</v>
      </c>
      <c r="AY58" s="61">
        <f> AX61</f>
        <v>0.0</v>
      </c>
      <c r="AZ58" s="61">
        <f> AY61</f>
        <v>0.0</v>
      </c>
      <c r="BA58" s="61">
        <f> AZ61</f>
        <v>0.0</v>
      </c>
      <c r="BB58" s="61">
        <f> BA61</f>
        <v>0.0</v>
      </c>
      <c r="BC58" s="61">
        <f> BB61</f>
        <v>0.0</v>
      </c>
      <c r="BD58" s="61">
        <f> BC61</f>
        <v>0.0</v>
      </c>
      <c r="BE58" s="61">
        <f> BD61</f>
        <v>0.0</v>
      </c>
      <c r="BF58" s="61">
        <f> BE61</f>
        <v>0.0</v>
      </c>
      <c r="BG58" s="61">
        <f> BF61</f>
        <v>0.0</v>
      </c>
      <c r="BH58" s="61">
        <f> BG61</f>
        <v>0.0</v>
      </c>
      <c r="BI58" s="61">
        <f> BH61</f>
        <v>0.0</v>
      </c>
      <c r="BJ58" s="61">
        <f> BI61</f>
        <v>0.0</v>
      </c>
      <c r="BK58" s="61">
        <f> BJ61</f>
        <v>0.0</v>
      </c>
      <c r="BL58" s="61">
        <f> BK61</f>
        <v>0.0</v>
      </c>
      <c r="BM58" s="61">
        <f> BL61</f>
        <v>0.0</v>
      </c>
      <c r="BN58" s="61">
        <f> BM61</f>
        <v>0.0</v>
      </c>
      <c r="BO58" s="61">
        <f> BN61</f>
        <v>0.0</v>
      </c>
      <c r="BP58" s="61">
        <f> BO61</f>
        <v>0.0</v>
      </c>
      <c r="BQ58" s="61">
        <f> BP61</f>
        <v>0.0</v>
      </c>
      <c r="BR58" s="61">
        <f> BQ61</f>
        <v>0.0</v>
      </c>
      <c r="BS58" s="61">
        <f> BR61</f>
        <v>0.0</v>
      </c>
      <c r="BT58" s="61">
        <f> BS61</f>
        <v>0.0</v>
      </c>
      <c r="BU58" s="61">
        <f> BT61</f>
        <v>0.0</v>
      </c>
      <c r="BV58" s="61">
        <f> BU61</f>
        <v>0.0</v>
      </c>
      <c r="BW58" s="61">
        <f> BV61</f>
        <v>0.0</v>
      </c>
      <c r="BX58" s="61">
        <f> BW61</f>
        <v>0.0</v>
      </c>
      <c r="BY58" s="61">
        <f> BX61</f>
        <v>0.0</v>
      </c>
      <c r="BZ58" s="61">
        <f> BY61</f>
        <v>0.0</v>
      </c>
      <c r="CA58" s="61">
        <f> BZ61</f>
        <v>0.0</v>
      </c>
      <c r="CB58" s="61">
        <f> CA61</f>
        <v>0.0</v>
      </c>
      <c r="CC58" s="61">
        <f> CB61</f>
        <v>0.0</v>
      </c>
      <c r="CD58" s="61">
        <f> CC61</f>
        <v>0.0</v>
      </c>
      <c r="CE58" s="61">
        <f> CD61</f>
        <v>0.0</v>
      </c>
      <c r="CF58" s="61">
        <f> CE61</f>
        <v>0.0</v>
      </c>
      <c r="CG58" s="61">
        <f> CF61</f>
        <v>0.0</v>
      </c>
      <c r="CH58" s="61">
        <f> CG61</f>
        <v>0.0</v>
      </c>
      <c r="CI58" s="61">
        <f> CH61</f>
        <v>0.0</v>
      </c>
      <c r="CJ58" s="61">
        <f> CI61</f>
        <v>0.0</v>
      </c>
      <c r="CK58" s="61">
        <f> CJ61</f>
        <v>0.0</v>
      </c>
      <c r="CL58" s="61">
        <f> CK61</f>
        <v>0.0</v>
      </c>
      <c r="CM58" s="61">
        <f> CL61</f>
        <v>0.0</v>
      </c>
      <c r="CN58" s="61">
        <f> CM61</f>
        <v>1810.7664905530692</v>
      </c>
      <c r="CO58" s="61">
        <f> CN61</f>
        <v>0.0</v>
      </c>
    </row>
    <row r="59" customFormat="1" s="183">
      <c r="A59" s="294" t="n"/>
      <c r="B59" s="294" t="n"/>
      <c r="C59" s="212" t="n"/>
      <c r="D59" s="244" t="inlineStr">
        <is>
          <t>plus</t>
        </is>
      </c>
      <c r="E59" s="367" t="str">
        <f> FinStat!E$18</f>
        <v>Profit after tax</v>
      </c>
      <c r="F59" s="367">
        <f> FinStat!F$18</f>
        <v>0.0</v>
      </c>
      <c r="G59" s="367" t="str">
        <f> FinStat!G$18</f>
        <v>$ 000s</v>
      </c>
      <c r="H59" s="367">
        <f> FinStat!H$18</f>
        <v>464032.9405780906</v>
      </c>
      <c r="I59" s="367">
        <f> FinStat!I$18</f>
        <v>0.0</v>
      </c>
      <c r="J59" s="367">
        <f> FinStat!J$18</f>
        <v>0.0</v>
      </c>
      <c r="K59" s="367">
        <f> FinStat!K$18</f>
        <v>0.0</v>
      </c>
      <c r="L59" s="367">
        <f> FinStat!L$18</f>
        <v>2100.6709056988466</v>
      </c>
      <c r="M59" s="367">
        <f> FinStat!M$18</f>
        <v>1815.9800941136655</v>
      </c>
      <c r="N59" s="367">
        <f> FinStat!N$18</f>
        <v>2174.5967436970222</v>
      </c>
      <c r="O59" s="367">
        <f> FinStat!O$18</f>
        <v>1905.0925810000006</v>
      </c>
      <c r="P59" s="367">
        <f> FinStat!P$18</f>
        <v>2310.0471202231984</v>
      </c>
      <c r="Q59" s="367">
        <f> FinStat!Q$18</f>
        <v>2051.7677315661467</v>
      </c>
      <c r="R59" s="367">
        <f> FinStat!R$18</f>
        <v>2444.047410276859</v>
      </c>
      <c r="S59" s="367">
        <f> FinStat!S$18</f>
        <v>2186.58609893889</v>
      </c>
      <c r="T59" s="367">
        <f> FinStat!T$18</f>
        <v>2739.7214559269796</v>
      </c>
      <c r="U59" s="367">
        <f> FinStat!U$18</f>
        <v>2456.318172364562</v>
      </c>
      <c r="V59" s="367">
        <f> FinStat!V$18</f>
        <v>2870.0497454789092</v>
      </c>
      <c r="W59" s="367">
        <f> FinStat!W$18</f>
        <v>2580.8312038631084</v>
      </c>
      <c r="X59" s="367">
        <f> FinStat!X$18</f>
        <v>2972.679298709598</v>
      </c>
      <c r="Y59" s="367">
        <f> FinStat!Y$18</f>
        <v>2661.854817137978</v>
      </c>
      <c r="Z59" s="367">
        <f> FinStat!Z$18</f>
        <v>3078.881769034094</v>
      </c>
      <c r="AA59" s="367">
        <f> FinStat!AA$18</f>
        <v>2768.7270288678883</v>
      </c>
      <c r="AB59" s="367">
        <f> FinStat!AB$18</f>
        <v>3152.842177670883</v>
      </c>
      <c r="AC59" s="367">
        <f> FinStat!AC$18</f>
        <v>2833.173239429893</v>
      </c>
      <c r="AD59" s="367">
        <f> FinStat!AD$18</f>
        <v>3737.2202129699026</v>
      </c>
      <c r="AE59" s="367">
        <f> FinStat!AE$18</f>
        <v>3394.7651224618876</v>
      </c>
      <c r="AF59" s="367">
        <f> FinStat!AF$18</f>
        <v>3835.8571618035007</v>
      </c>
      <c r="AG59" s="367">
        <f> FinStat!AG$18</f>
        <v>3484.418059360265</v>
      </c>
      <c r="AH59" s="367">
        <f> FinStat!AH$18</f>
        <v>3957.549041581221</v>
      </c>
      <c r="AI59" s="367">
        <f> FinStat!AI$18</f>
        <v>3604.122631691296</v>
      </c>
      <c r="AJ59" s="367">
        <f> FinStat!AJ$18</f>
        <v>4071.805376657603</v>
      </c>
      <c r="AK59" s="367">
        <f> FinStat!AK$18</f>
        <v>3712.517712252178</v>
      </c>
      <c r="AL59" s="367">
        <f> FinStat!AL$18</f>
        <v>4200.24706838421</v>
      </c>
      <c r="AM59" s="367">
        <f> FinStat!AM$18</f>
        <v>4314.777595121459</v>
      </c>
      <c r="AN59" s="367">
        <f> FinStat!AN$18</f>
        <v>4880.146631884893</v>
      </c>
      <c r="AO59" s="367">
        <f> FinStat!AO$18</f>
        <v>4484.118155359209</v>
      </c>
      <c r="AP59" s="367">
        <f> FinStat!AP$18</f>
        <v>5018.461158744443</v>
      </c>
      <c r="AQ59" s="367">
        <f> FinStat!AQ$18</f>
        <v>4617.729145197321</v>
      </c>
      <c r="AR59" s="367">
        <f> FinStat!AR$18</f>
        <v>5161.213530841438</v>
      </c>
      <c r="AS59" s="367">
        <f> FinStat!AS$18</f>
        <v>4753.663144464426</v>
      </c>
      <c r="AT59" s="367">
        <f> FinStat!AT$18</f>
        <v>5281.124660173442</v>
      </c>
      <c r="AU59" s="367">
        <f> FinStat!AU$18</f>
        <v>4844.417463997683</v>
      </c>
      <c r="AV59" s="367">
        <f> FinStat!AV$18</f>
        <v>5432.232436766679</v>
      </c>
      <c r="AW59" s="367">
        <f> FinStat!AW$18</f>
        <v>4989.023038798356</v>
      </c>
      <c r="AX59" s="367">
        <f> FinStat!AX$18</f>
        <v>6156.542911295906</v>
      </c>
      <c r="AY59" s="367">
        <f> FinStat!AY$18</f>
        <v>5681.438920205088</v>
      </c>
      <c r="AZ59" s="367">
        <f> FinStat!AZ$18</f>
        <v>6302.403246524402</v>
      </c>
      <c r="BA59" s="367">
        <f> FinStat!BA$18</f>
        <v>5820.225357752074</v>
      </c>
      <c r="BB59" s="367">
        <f> FinStat!BB$18</f>
        <v>6414.91419863478</v>
      </c>
      <c r="BC59" s="367">
        <f> FinStat!BC$18</f>
        <v>5925.557087811238</v>
      </c>
      <c r="BD59" s="367">
        <f> FinStat!BD$18</f>
        <v>6546.600343920132</v>
      </c>
      <c r="BE59" s="367">
        <f> FinStat!BE$18</f>
        <v>6049.957118484637</v>
      </c>
      <c r="BF59" s="367">
        <f> FinStat!BF$18</f>
        <v>6662.486624593822</v>
      </c>
      <c r="BG59" s="367">
        <f> FinStat!BG$18</f>
        <v>6158.448800445573</v>
      </c>
      <c r="BH59" s="367">
        <f> FinStat!BH$18</f>
        <v>6248.298902669767</v>
      </c>
      <c r="BI59" s="367">
        <f> FinStat!BI$18</f>
        <v>6874.559275823</v>
      </c>
      <c r="BJ59" s="367">
        <f> FinStat!BJ$18</f>
        <v>6359.222606019929</v>
      </c>
      <c r="BK59" s="367">
        <f> FinStat!BK$18</f>
        <v>6994.807467884564</v>
      </c>
      <c r="BL59" s="367">
        <f> FinStat!BL$18</f>
        <v>6506.797869749857</v>
      </c>
      <c r="BM59" s="367">
        <f> FinStat!BM$18</f>
        <v>7151.846054097686</v>
      </c>
      <c r="BN59" s="367">
        <f> FinStat!BN$18</f>
        <v>6621.049284200526</v>
      </c>
      <c r="BO59" s="367">
        <f> FinStat!BO$18</f>
        <v>7275.7016919211</v>
      </c>
      <c r="BP59" s="367">
        <f> FinStat!BP$18</f>
        <v>6737.001805842351</v>
      </c>
      <c r="BQ59" s="367">
        <f> FinStat!BQ$18</f>
        <v>6795.623882210353</v>
      </c>
      <c r="BR59" s="367">
        <f> FinStat!BR$18</f>
        <v>7464.951411832526</v>
      </c>
      <c r="BS59" s="367">
        <f> FinStat!BS$18</f>
        <v>6914.175672364481</v>
      </c>
      <c r="BT59" s="367">
        <f> FinStat!BT$18</f>
        <v>8760.135590997796</v>
      </c>
      <c r="BU59" s="367">
        <f> FinStat!BU$18</f>
        <v>8201.159265343329</v>
      </c>
      <c r="BV59" s="367">
        <f> FinStat!BV$18</f>
        <v>8890.566620854164</v>
      </c>
      <c r="BW59" s="367">
        <f> FinStat!BW$18</f>
        <v>8956.508591625756</v>
      </c>
      <c r="BX59" s="367">
        <f> FinStat!BX$18</f>
        <v>9022.939658727726</v>
      </c>
      <c r="BY59" s="367">
        <f> FinStat!BY$18</f>
        <v>9089.863449822662</v>
      </c>
      <c r="BZ59" s="367">
        <f> FinStat!BZ$18</f>
        <v>9157.283619479786</v>
      </c>
      <c r="CA59" s="367">
        <f> FinStat!CA$18</f>
        <v>9225.20384937453</v>
      </c>
      <c r="CB59" s="367">
        <f> FinStat!CB$18</f>
        <v>9293.627848489556</v>
      </c>
      <c r="CC59" s="367">
        <f> FinStat!CC$18</f>
        <v>9362.559353317338</v>
      </c>
      <c r="CD59" s="367">
        <f> FinStat!CD$18</f>
        <v>9432.002128064178</v>
      </c>
      <c r="CE59" s="367">
        <f> FinStat!CE$18</f>
        <v>9501.959964855758</v>
      </c>
      <c r="CF59" s="367">
        <f> FinStat!CF$18</f>
        <v>9572.436683944241</v>
      </c>
      <c r="CG59" s="367">
        <f> FinStat!CG$18</f>
        <v>9643.436133916857</v>
      </c>
      <c r="CH59" s="367">
        <f> FinStat!CH$18</f>
        <v>9714.962191906101</v>
      </c>
      <c r="CI59" s="367">
        <f> FinStat!CI$18</f>
        <v>9787.018763801429</v>
      </c>
      <c r="CJ59" s="367">
        <f> FinStat!CJ$18</f>
        <v>9859.609784462564</v>
      </c>
      <c r="CK59" s="367">
        <f> FinStat!CK$18</f>
        <v>9932.739217934362</v>
      </c>
      <c r="CL59" s="367">
        <f> FinStat!CL$18</f>
        <v>10006.411057663285</v>
      </c>
      <c r="CM59" s="367">
        <f> FinStat!CM$18</f>
        <v>10080.629326715469</v>
      </c>
      <c r="CN59" s="367">
        <f> FinStat!CN$18</f>
        <v>-7.262542567332276e-12</v>
      </c>
      <c r="CO59" s="367">
        <f> FinStat!CO$18</f>
        <v>-7.343237484747079e-12</v>
      </c>
    </row>
    <row r="60" customFormat="1" s="183">
      <c r="A60" s="294" t="n"/>
      <c r="B60" s="294" t="n"/>
      <c r="C60" s="212" t="n"/>
      <c r="D60" s="244" t="inlineStr">
        <is>
          <t>less</t>
        </is>
      </c>
      <c r="E60" s="61" t="str">
        <f> E$39</f>
        <v>Dividend declared and paid POS</v>
      </c>
      <c r="F60" s="61">
        <f> F$39</f>
        <v>0.0</v>
      </c>
      <c r="G60" s="61" t="str">
        <f> G$39</f>
        <v>$ 000s</v>
      </c>
      <c r="H60" s="61">
        <f> H$39</f>
        <v>464032.94057809055</v>
      </c>
      <c r="I60" s="61">
        <f> I$39</f>
        <v>0.0</v>
      </c>
      <c r="J60" s="61">
        <f> J$39</f>
        <v>0.0</v>
      </c>
      <c r="K60" s="61">
        <f> K$39</f>
        <v>0.0</v>
      </c>
      <c r="L60" s="61">
        <f> L$39</f>
        <v>2100.6709056988466</v>
      </c>
      <c r="M60" s="61">
        <f> M$39</f>
        <v>1815.9800941136655</v>
      </c>
      <c r="N60" s="61">
        <f> N$39</f>
        <v>2174.5967436970222</v>
      </c>
      <c r="O60" s="61">
        <f> O$39</f>
        <v>1905.0925810000006</v>
      </c>
      <c r="P60" s="61">
        <f> P$39</f>
        <v>2310.0471202231984</v>
      </c>
      <c r="Q60" s="61">
        <f> Q$39</f>
        <v>2051.7677315661467</v>
      </c>
      <c r="R60" s="61">
        <f> R$39</f>
        <v>2444.047410276859</v>
      </c>
      <c r="S60" s="61">
        <f> S$39</f>
        <v>2186.58609893889</v>
      </c>
      <c r="T60" s="61">
        <f> T$39</f>
        <v>2739.7214559269796</v>
      </c>
      <c r="U60" s="61">
        <f> U$39</f>
        <v>2456.318172364562</v>
      </c>
      <c r="V60" s="61">
        <f> V$39</f>
        <v>2870.0497454789092</v>
      </c>
      <c r="W60" s="61">
        <f> W$39</f>
        <v>2580.8312038631084</v>
      </c>
      <c r="X60" s="61">
        <f> X$39</f>
        <v>2972.679298709598</v>
      </c>
      <c r="Y60" s="61">
        <f> Y$39</f>
        <v>2661.854817137978</v>
      </c>
      <c r="Z60" s="61">
        <f> Z$39</f>
        <v>3078.881769034094</v>
      </c>
      <c r="AA60" s="61">
        <f> AA$39</f>
        <v>2768.7270288678883</v>
      </c>
      <c r="AB60" s="61">
        <f> AB$39</f>
        <v>3152.842177670883</v>
      </c>
      <c r="AC60" s="61">
        <f> AC$39</f>
        <v>2833.173239429893</v>
      </c>
      <c r="AD60" s="61">
        <f> AD$39</f>
        <v>3737.2202129699026</v>
      </c>
      <c r="AE60" s="61">
        <f> AE$39</f>
        <v>3394.7651224618876</v>
      </c>
      <c r="AF60" s="61">
        <f> AF$39</f>
        <v>3835.8571618035007</v>
      </c>
      <c r="AG60" s="61">
        <f> AG$39</f>
        <v>3484.418059360265</v>
      </c>
      <c r="AH60" s="61">
        <f> AH$39</f>
        <v>3957.549041581221</v>
      </c>
      <c r="AI60" s="61">
        <f> AI$39</f>
        <v>3604.122631691296</v>
      </c>
      <c r="AJ60" s="61">
        <f> AJ$39</f>
        <v>4071.805376657603</v>
      </c>
      <c r="AK60" s="61">
        <f> AK$39</f>
        <v>3712.517712252178</v>
      </c>
      <c r="AL60" s="61">
        <f> AL$39</f>
        <v>4200.24706838421</v>
      </c>
      <c r="AM60" s="61">
        <f> AM$39</f>
        <v>4314.777595121459</v>
      </c>
      <c r="AN60" s="61">
        <f> AN$39</f>
        <v>4880.146631884893</v>
      </c>
      <c r="AO60" s="61">
        <f> AO$39</f>
        <v>4484.118155359209</v>
      </c>
      <c r="AP60" s="61">
        <f> AP$39</f>
        <v>5018.461158744443</v>
      </c>
      <c r="AQ60" s="61">
        <f> AQ$39</f>
        <v>3977.9688965106834</v>
      </c>
      <c r="AR60" s="61">
        <f> AR$39</f>
        <v>4701.8472342003215</v>
      </c>
      <c r="AS60" s="61">
        <f> AS$39</f>
        <v>5852.78968979218</v>
      </c>
      <c r="AT60" s="61">
        <f> AT$39</f>
        <v>5281.124660173442</v>
      </c>
      <c r="AU60" s="61">
        <f> AU$39</f>
        <v>4844.417463997683</v>
      </c>
      <c r="AV60" s="61">
        <f> AV$39</f>
        <v>5432.232436766679</v>
      </c>
      <c r="AW60" s="61">
        <f> AW$39</f>
        <v>4989.023038798356</v>
      </c>
      <c r="AX60" s="61">
        <f> AX$39</f>
        <v>6156.542911295906</v>
      </c>
      <c r="AY60" s="61">
        <f> AY$39</f>
        <v>5681.438920205088</v>
      </c>
      <c r="AZ60" s="61">
        <f> AZ$39</f>
        <v>6302.403246524402</v>
      </c>
      <c r="BA60" s="61">
        <f> BA$39</f>
        <v>5820.225357752074</v>
      </c>
      <c r="BB60" s="61">
        <f> BB$39</f>
        <v>6414.91419863478</v>
      </c>
      <c r="BC60" s="61">
        <f> BC$39</f>
        <v>5925.557087811238</v>
      </c>
      <c r="BD60" s="61">
        <f> BD$39</f>
        <v>6546.600343920132</v>
      </c>
      <c r="BE60" s="61">
        <f> BE$39</f>
        <v>6049.957118484637</v>
      </c>
      <c r="BF60" s="61">
        <f> BF$39</f>
        <v>6662.486624593822</v>
      </c>
      <c r="BG60" s="61">
        <f> BG$39</f>
        <v>6158.448800445573</v>
      </c>
      <c r="BH60" s="61">
        <f> BH$39</f>
        <v>6248.298902669767</v>
      </c>
      <c r="BI60" s="61">
        <f> BI$39</f>
        <v>6874.559275823</v>
      </c>
      <c r="BJ60" s="61">
        <f> BJ$39</f>
        <v>6359.222606019929</v>
      </c>
      <c r="BK60" s="61">
        <f> BK$39</f>
        <v>6994.807467884564</v>
      </c>
      <c r="BL60" s="61">
        <f> BL$39</f>
        <v>6506.797869749857</v>
      </c>
      <c r="BM60" s="61">
        <f> BM$39</f>
        <v>7151.846054097686</v>
      </c>
      <c r="BN60" s="61">
        <f> BN$39</f>
        <v>6621.049284200526</v>
      </c>
      <c r="BO60" s="61">
        <f> BO$39</f>
        <v>7275.7016919211</v>
      </c>
      <c r="BP60" s="61">
        <f> BP$39</f>
        <v>6737.001805842351</v>
      </c>
      <c r="BQ60" s="61">
        <f> BQ$39</f>
        <v>6795.623882210353</v>
      </c>
      <c r="BR60" s="61">
        <f> BR$39</f>
        <v>7464.951411832526</v>
      </c>
      <c r="BS60" s="61">
        <f> BS$39</f>
        <v>6914.175672364481</v>
      </c>
      <c r="BT60" s="61">
        <f> BT$39</f>
        <v>8760.135590997796</v>
      </c>
      <c r="BU60" s="61">
        <f> BU$39</f>
        <v>8201.159265343329</v>
      </c>
      <c r="BV60" s="61">
        <f> BV$39</f>
        <v>8890.566620854164</v>
      </c>
      <c r="BW60" s="61">
        <f> BW$39</f>
        <v>8956.508591625756</v>
      </c>
      <c r="BX60" s="61">
        <f> BX$39</f>
        <v>9022.939658727726</v>
      </c>
      <c r="BY60" s="61">
        <f> BY$39</f>
        <v>9089.863449822662</v>
      </c>
      <c r="BZ60" s="61">
        <f> BZ$39</f>
        <v>9157.283619479786</v>
      </c>
      <c r="CA60" s="61">
        <f> CA$39</f>
        <v>9225.20384937453</v>
      </c>
      <c r="CB60" s="61">
        <f> CB$39</f>
        <v>9293.627848489556</v>
      </c>
      <c r="CC60" s="61">
        <f> CC$39</f>
        <v>9362.559353317338</v>
      </c>
      <c r="CD60" s="61">
        <f> CD$39</f>
        <v>9432.002128064178</v>
      </c>
      <c r="CE60" s="61">
        <f> CE$39</f>
        <v>9501.959964855758</v>
      </c>
      <c r="CF60" s="61">
        <f> CF$39</f>
        <v>9572.436683944241</v>
      </c>
      <c r="CG60" s="61">
        <f> CG$39</f>
        <v>9643.436133916857</v>
      </c>
      <c r="CH60" s="61">
        <f> CH$39</f>
        <v>9714.962191906101</v>
      </c>
      <c r="CI60" s="61">
        <f> CI$39</f>
        <v>9787.018763801429</v>
      </c>
      <c r="CJ60" s="61">
        <f> CJ$39</f>
        <v>9859.609784462564</v>
      </c>
      <c r="CK60" s="61">
        <f> CK$39</f>
        <v>9932.739217934362</v>
      </c>
      <c r="CL60" s="61">
        <f> CL$39</f>
        <v>10006.411057663285</v>
      </c>
      <c r="CM60" s="61">
        <f> CM$39</f>
        <v>8269.8628361624</v>
      </c>
      <c r="CN60" s="61">
        <f> CN$39</f>
        <v>1810.7664905530619</v>
      </c>
      <c r="CO60" s="61">
        <f> CO$39</f>
        <v>0.0</v>
      </c>
    </row>
    <row r="61" customFormat="1" s="322">
      <c r="A61" s="318" t="n"/>
      <c r="B61" s="318" t="n"/>
      <c r="C61" s="319" t="n"/>
      <c r="D61" s="320" t="n"/>
      <c r="E61" s="322" t="inlineStr">
        <is>
          <t>Retained earnings balance</t>
        </is>
      </c>
      <c r="F61" s="322" t="inlineStr">
        <is>
          <t>BS</t>
        </is>
      </c>
      <c r="G61" s="322" t="inlineStr">
        <is>
          <t>$ 000s</t>
        </is>
      </c>
      <c r="I61" s="323" t="n"/>
      <c r="J61" s="322">
        <f> IF(J56 = 1, $F55, J58 + J59 - J60)</f>
        <v>0.0</v>
      </c>
      <c r="K61" s="322">
        <f> IF(K56 = 1, $F55, K58 + K59 - K60)</f>
        <v>0.0</v>
      </c>
      <c r="L61" s="322">
        <f> IF(L56 = 1, $F55, L58 + L59 - L60)</f>
        <v>0.0</v>
      </c>
      <c r="M61" s="322">
        <f> IF(M56 = 1, $F55, M58 + M59 - M60)</f>
        <v>0.0</v>
      </c>
      <c r="N61" s="322">
        <f> IF(N56 = 1, $F55, N58 + N59 - N60)</f>
        <v>0.0</v>
      </c>
      <c r="O61" s="322">
        <f> IF(O56 = 1, $F55, O58 + O59 - O60)</f>
        <v>0.0</v>
      </c>
      <c r="P61" s="322">
        <f> IF(P56 = 1, $F55, P58 + P59 - P60)</f>
        <v>0.0</v>
      </c>
      <c r="Q61" s="322">
        <f> IF(Q56 = 1, $F55, Q58 + Q59 - Q60)</f>
        <v>0.0</v>
      </c>
      <c r="R61" s="322">
        <f> IF(R56 = 1, $F55, R58 + R59 - R60)</f>
        <v>0.0</v>
      </c>
      <c r="S61" s="322">
        <f> IF(S56 = 1, $F55, S58 + S59 - S60)</f>
        <v>0.0</v>
      </c>
      <c r="T61" s="322">
        <f> IF(T56 = 1, $F55, T58 + T59 - T60)</f>
        <v>0.0</v>
      </c>
      <c r="U61" s="322">
        <f> IF(U56 = 1, $F55, U58 + U59 - U60)</f>
        <v>0.0</v>
      </c>
      <c r="V61" s="322">
        <f> IF(V56 = 1, $F55, V58 + V59 - V60)</f>
        <v>0.0</v>
      </c>
      <c r="W61" s="322">
        <f> IF(W56 = 1, $F55, W58 + W59 - W60)</f>
        <v>0.0</v>
      </c>
      <c r="X61" s="322">
        <f> IF(X56 = 1, $F55, X58 + X59 - X60)</f>
        <v>0.0</v>
      </c>
      <c r="Y61" s="322">
        <f> IF(Y56 = 1, $F55, Y58 + Y59 - Y60)</f>
        <v>0.0</v>
      </c>
      <c r="Z61" s="322">
        <f> IF(Z56 = 1, $F55, Z58 + Z59 - Z60)</f>
        <v>0.0</v>
      </c>
      <c r="AA61" s="322">
        <f> IF(AA56 = 1, $F55, AA58 + AA59 - AA60)</f>
        <v>0.0</v>
      </c>
      <c r="AB61" s="322">
        <f> IF(AB56 = 1, $F55, AB58 + AB59 - AB60)</f>
        <v>0.0</v>
      </c>
      <c r="AC61" s="322">
        <f> IF(AC56 = 1, $F55, AC58 + AC59 - AC60)</f>
        <v>0.0</v>
      </c>
      <c r="AD61" s="322">
        <f> IF(AD56 = 1, $F55, AD58 + AD59 - AD60)</f>
        <v>0.0</v>
      </c>
      <c r="AE61" s="322">
        <f> IF(AE56 = 1, $F55, AE58 + AE59 - AE60)</f>
        <v>0.0</v>
      </c>
      <c r="AF61" s="322">
        <f> IF(AF56 = 1, $F55, AF58 + AF59 - AF60)</f>
        <v>0.0</v>
      </c>
      <c r="AG61" s="322">
        <f> IF(AG56 = 1, $F55, AG58 + AG59 - AG60)</f>
        <v>0.0</v>
      </c>
      <c r="AH61" s="322">
        <f> IF(AH56 = 1, $F55, AH58 + AH59 - AH60)</f>
        <v>0.0</v>
      </c>
      <c r="AI61" s="322">
        <f> IF(AI56 = 1, $F55, AI58 + AI59 - AI60)</f>
        <v>0.0</v>
      </c>
      <c r="AJ61" s="322">
        <f> IF(AJ56 = 1, $F55, AJ58 + AJ59 - AJ60)</f>
        <v>0.0</v>
      </c>
      <c r="AK61" s="322">
        <f> IF(AK56 = 1, $F55, AK58 + AK59 - AK60)</f>
        <v>0.0</v>
      </c>
      <c r="AL61" s="322">
        <f> IF(AL56 = 1, $F55, AL58 + AL59 - AL60)</f>
        <v>0.0</v>
      </c>
      <c r="AM61" s="322">
        <f> IF(AM56 = 1, $F55, AM58 + AM59 - AM60)</f>
        <v>0.0</v>
      </c>
      <c r="AN61" s="322">
        <f> IF(AN56 = 1, $F55, AN58 + AN59 - AN60)</f>
        <v>0.0</v>
      </c>
      <c r="AO61" s="322">
        <f> IF(AO56 = 1, $F55, AO58 + AO59 - AO60)</f>
        <v>0.0</v>
      </c>
      <c r="AP61" s="322">
        <f> IF(AP56 = 1, $F55, AP58 + AP59 - AP60)</f>
        <v>0.0</v>
      </c>
      <c r="AQ61" s="322">
        <f> IF(AQ56 = 1, $F55, AQ58 + AQ59 - AQ60)</f>
        <v>639.7602486866372</v>
      </c>
      <c r="AR61" s="322">
        <f> IF(AR56 = 1, $F55, AR58 + AR59 - AR60)</f>
        <v>1099.1265453277538</v>
      </c>
      <c r="AS61" s="322">
        <f> IF(AS56 = 1, $F55, AS58 + AS59 - AS60)</f>
        <v>0.0</v>
      </c>
      <c r="AT61" s="322">
        <f> IF(AT56 = 1, $F55, AT58 + AT59 - AT60)</f>
        <v>0.0</v>
      </c>
      <c r="AU61" s="322">
        <f> IF(AU56 = 1, $F55, AU58 + AU59 - AU60)</f>
        <v>0.0</v>
      </c>
      <c r="AV61" s="322">
        <f> IF(AV56 = 1, $F55, AV58 + AV59 - AV60)</f>
        <v>0.0</v>
      </c>
      <c r="AW61" s="322">
        <f> IF(AW56 = 1, $F55, AW58 + AW59 - AW60)</f>
        <v>0.0</v>
      </c>
      <c r="AX61" s="322">
        <f> IF(AX56 = 1, $F55, AX58 + AX59 - AX60)</f>
        <v>0.0</v>
      </c>
      <c r="AY61" s="322">
        <f> IF(AY56 = 1, $F55, AY58 + AY59 - AY60)</f>
        <v>0.0</v>
      </c>
      <c r="AZ61" s="322">
        <f> IF(AZ56 = 1, $F55, AZ58 + AZ59 - AZ60)</f>
        <v>0.0</v>
      </c>
      <c r="BA61" s="322">
        <f> IF(BA56 = 1, $F55, BA58 + BA59 - BA60)</f>
        <v>0.0</v>
      </c>
      <c r="BB61" s="322">
        <f> IF(BB56 = 1, $F55, BB58 + BB59 - BB60)</f>
        <v>0.0</v>
      </c>
      <c r="BC61" s="322">
        <f> IF(BC56 = 1, $F55, BC58 + BC59 - BC60)</f>
        <v>0.0</v>
      </c>
      <c r="BD61" s="322">
        <f> IF(BD56 = 1, $F55, BD58 + BD59 - BD60)</f>
        <v>0.0</v>
      </c>
      <c r="BE61" s="322">
        <f> IF(BE56 = 1, $F55, BE58 + BE59 - BE60)</f>
        <v>0.0</v>
      </c>
      <c r="BF61" s="322">
        <f> IF(BF56 = 1, $F55, BF58 + BF59 - BF60)</f>
        <v>0.0</v>
      </c>
      <c r="BG61" s="322">
        <f> IF(BG56 = 1, $F55, BG58 + BG59 - BG60)</f>
        <v>0.0</v>
      </c>
      <c r="BH61" s="322">
        <f> IF(BH56 = 1, $F55, BH58 + BH59 - BH60)</f>
        <v>0.0</v>
      </c>
      <c r="BI61" s="322">
        <f> IF(BI56 = 1, $F55, BI58 + BI59 - BI60)</f>
        <v>0.0</v>
      </c>
      <c r="BJ61" s="322">
        <f> IF(BJ56 = 1, $F55, BJ58 + BJ59 - BJ60)</f>
        <v>0.0</v>
      </c>
      <c r="BK61" s="322">
        <f> IF(BK56 = 1, $F55, BK58 + BK59 - BK60)</f>
        <v>0.0</v>
      </c>
      <c r="BL61" s="322">
        <f> IF(BL56 = 1, $F55, BL58 + BL59 - BL60)</f>
        <v>0.0</v>
      </c>
      <c r="BM61" s="322">
        <f> IF(BM56 = 1, $F55, BM58 + BM59 - BM60)</f>
        <v>0.0</v>
      </c>
      <c r="BN61" s="322">
        <f> IF(BN56 = 1, $F55, BN58 + BN59 - BN60)</f>
        <v>0.0</v>
      </c>
      <c r="BO61" s="322">
        <f> IF(BO56 = 1, $F55, BO58 + BO59 - BO60)</f>
        <v>0.0</v>
      </c>
      <c r="BP61" s="322">
        <f> IF(BP56 = 1, $F55, BP58 + BP59 - BP60)</f>
        <v>0.0</v>
      </c>
      <c r="BQ61" s="322">
        <f> IF(BQ56 = 1, $F55, BQ58 + BQ59 - BQ60)</f>
        <v>0.0</v>
      </c>
      <c r="BR61" s="322">
        <f> IF(BR56 = 1, $F55, BR58 + BR59 - BR60)</f>
        <v>0.0</v>
      </c>
      <c r="BS61" s="322">
        <f> IF(BS56 = 1, $F55, BS58 + BS59 - BS60)</f>
        <v>0.0</v>
      </c>
      <c r="BT61" s="322">
        <f> IF(BT56 = 1, $F55, BT58 + BT59 - BT60)</f>
        <v>0.0</v>
      </c>
      <c r="BU61" s="322">
        <f> IF(BU56 = 1, $F55, BU58 + BU59 - BU60)</f>
        <v>0.0</v>
      </c>
      <c r="BV61" s="322">
        <f> IF(BV56 = 1, $F55, BV58 + BV59 - BV60)</f>
        <v>0.0</v>
      </c>
      <c r="BW61" s="322">
        <f> IF(BW56 = 1, $F55, BW58 + BW59 - BW60)</f>
        <v>0.0</v>
      </c>
      <c r="BX61" s="322">
        <f> IF(BX56 = 1, $F55, BX58 + BX59 - BX60)</f>
        <v>0.0</v>
      </c>
      <c r="BY61" s="322">
        <f> IF(BY56 = 1, $F55, BY58 + BY59 - BY60)</f>
        <v>0.0</v>
      </c>
      <c r="BZ61" s="322">
        <f> IF(BZ56 = 1, $F55, BZ58 + BZ59 - BZ60)</f>
        <v>0.0</v>
      </c>
      <c r="CA61" s="322">
        <f> IF(CA56 = 1, $F55, CA58 + CA59 - CA60)</f>
        <v>0.0</v>
      </c>
      <c r="CB61" s="322">
        <f> IF(CB56 = 1, $F55, CB58 + CB59 - CB60)</f>
        <v>0.0</v>
      </c>
      <c r="CC61" s="322">
        <f> IF(CC56 = 1, $F55, CC58 + CC59 - CC60)</f>
        <v>0.0</v>
      </c>
      <c r="CD61" s="322">
        <f> IF(CD56 = 1, $F55, CD58 + CD59 - CD60)</f>
        <v>0.0</v>
      </c>
      <c r="CE61" s="322">
        <f> IF(CE56 = 1, $F55, CE58 + CE59 - CE60)</f>
        <v>0.0</v>
      </c>
      <c r="CF61" s="322">
        <f> IF(CF56 = 1, $F55, CF58 + CF59 - CF60)</f>
        <v>0.0</v>
      </c>
      <c r="CG61" s="322">
        <f> IF(CG56 = 1, $F55, CG58 + CG59 - CG60)</f>
        <v>0.0</v>
      </c>
      <c r="CH61" s="322">
        <f> IF(CH56 = 1, $F55, CH58 + CH59 - CH60)</f>
        <v>0.0</v>
      </c>
      <c r="CI61" s="322">
        <f> IF(CI56 = 1, $F55, CI58 + CI59 - CI60)</f>
        <v>0.0</v>
      </c>
      <c r="CJ61" s="322">
        <f> IF(CJ56 = 1, $F55, CJ58 + CJ59 - CJ60)</f>
        <v>0.0</v>
      </c>
      <c r="CK61" s="322">
        <f> IF(CK56 = 1, $F55, CK58 + CK59 - CK60)</f>
        <v>0.0</v>
      </c>
      <c r="CL61" s="322">
        <f> IF(CL56 = 1, $F55, CL58 + CL59 - CL60)</f>
        <v>0.0</v>
      </c>
      <c r="CM61" s="322">
        <f> IF(CM56 = 1, $F55, CM58 + CM59 - CM60)</f>
        <v>1810.7664905530692</v>
      </c>
      <c r="CN61" s="322">
        <f> IF(CN56 = 1, $F55, CN58 + CN59 - CN60)</f>
        <v>0.0</v>
      </c>
      <c r="CO61" s="322">
        <f> IF(CO56 = 1, $F55, CO58 + CO59 - CO60)</f>
        <v>-7.343237484747079e-12</v>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3.xml><?xml version="1.0" encoding="utf-8"?>
<worksheet xmlns="http://schemas.openxmlformats.org/spreadsheetml/2006/main">
  <sheetPr>
    <tabColor rgb="00141B4D"/>
    <outlinePr summaryBelow="0" summaryRight="0"/>
    <pageSetUpPr/>
  </sheetPr>
  <dimension ref="A1:CO96"/>
  <sheetViews>
    <sheetView showGridLines="0" defaultGridColor="0" colorId="22" zoomScale="110" zoomScaleNormal="110" workbookViewId="0">
      <pane xSplit="9" ySplit="5" topLeftCell="J20" activePane="bottomRight" state="frozen"/>
      <selection activeCell="F2" sqref="F2:G4"/>
      <selection pane="topRight" activeCell="F2" sqref="F2:G4"/>
      <selection pane="bottomLeft" activeCell="F2" sqref="F2:G4"/>
      <selection pane="bottomRight" activeCell="E20" sqref="E20:CO20"/>
    </sheetView>
  </sheetViews>
  <sheetFormatPr baseColWidth="10" defaultColWidth="0" defaultRowHeight="13"/>
  <cols>
    <col width="1.1640625" customWidth="1" style="163" min="1" max="2"/>
    <col width="1.1640625" customWidth="1" style="172" min="3" max="3"/>
    <col width="1.1640625" customWidth="1" style="88" min="4" max="4"/>
    <col width="40.83203125" customWidth="1" style="169" min="5" max="5"/>
    <col width="12.83203125" customWidth="1" style="169" min="6" max="6"/>
    <col width="11.6640625" customWidth="1" style="169" min="7" max="8"/>
    <col width="2.6640625" customWidth="1" style="169" min="9" max="9"/>
    <col width="11.6640625" customWidth="1" style="169" min="10" max="93"/>
  </cols>
  <sheetData>
    <row r="1" ht="25" customHeight="1" s="396">
      <c r="A1" s="165">
        <f> RIGHT(CELL("filename", A1), LEN(CELL("filename", A1)) - SEARCH("]", CELL("filename", A1)))</f>
        <v/>
      </c>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 r="A7" s="163" t="inlineStr">
        <is>
          <t>INCOME STATEMENT</t>
        </is>
      </c>
    </row>
    <row r="9" customFormat="1" s="169">
      <c r="A9" s="163" t="n"/>
      <c r="B9" s="163" t="n"/>
      <c r="C9" s="172" t="n"/>
      <c r="D9" s="88" t="n"/>
      <c r="E9" s="308" t="str">
        <f> OpRev!E$42</f>
        <v>Operating revenue</v>
      </c>
      <c r="F9" s="308" t="str">
        <f> OpRev!F$42</f>
        <v>IS</v>
      </c>
      <c r="G9" s="308" t="str">
        <f> OpRev!G$42</f>
        <v>$ 000s</v>
      </c>
      <c r="H9" s="308">
        <f> OpRev!H$42</f>
        <v>1941568.6331634293</v>
      </c>
      <c r="I9" s="308">
        <f> OpRev!I$42</f>
        <v>0.0</v>
      </c>
      <c r="J9" s="308">
        <f> OpRev!J$42</f>
        <v>0.0</v>
      </c>
      <c r="K9" s="308">
        <f> OpRev!K$42</f>
        <v>0.0</v>
      </c>
      <c r="L9" s="308">
        <f> OpRev!L$42</f>
        <v>15701.746478449233</v>
      </c>
      <c r="M9" s="308">
        <f> OpRev!M$42</f>
        <v>15185.266327468535</v>
      </c>
      <c r="N9" s="308">
        <f> OpRev!N$42</f>
        <v>16270.807740180759</v>
      </c>
      <c r="O9" s="308">
        <f> OpRev!O$42</f>
        <v>15679.20783</v>
      </c>
      <c r="P9" s="308">
        <f> OpRev!P$42</f>
        <v>16757.744045228592</v>
      </c>
      <c r="Q9" s="308">
        <f> OpRev!Q$42</f>
        <v>16066.407068325823</v>
      </c>
      <c r="R9" s="308">
        <f> OpRev!R$42</f>
        <v>17171.577818001006</v>
      </c>
      <c r="S9" s="308">
        <f> OpRev!S$42</f>
        <v>16463.168221500004</v>
      </c>
      <c r="T9" s="308">
        <f> OpRev!T$42</f>
        <v>17865.79912725487</v>
      </c>
      <c r="U9" s="308">
        <f> OpRev!U$42</f>
        <v>17087.449609583564</v>
      </c>
      <c r="V9" s="308">
        <f> OpRev!V$42</f>
        <v>18219.611675160308</v>
      </c>
      <c r="W9" s="308">
        <f> OpRev!W$42</f>
        <v>17425.84779936</v>
      </c>
      <c r="X9" s="308">
        <f> OpRev!X$42</f>
        <v>18535.604635315492</v>
      </c>
      <c r="Y9" s="308">
        <f> OpRev!Y$42</f>
        <v>17685.30397455055</v>
      </c>
      <c r="Z9" s="308">
        <f> OpRev!Z$42</f>
        <v>18811.584153723765</v>
      </c>
      <c r="AA9" s="308">
        <f> OpRev!AA$42</f>
        <v>17948.623233340793</v>
      </c>
      <c r="AB9" s="308">
        <f> OpRev!AB$42</f>
        <v>19091.672774374954</v>
      </c>
      <c r="AC9" s="308">
        <f> OpRev!AC$42</f>
        <v>18215.863093787062</v>
      </c>
      <c r="AD9" s="308">
        <f> OpRev!AD$42</f>
        <v>20053.137538301045</v>
      </c>
      <c r="AE9" s="308">
        <f> OpRev!AE$42</f>
        <v>19132.433445349216</v>
      </c>
      <c r="AF9" s="308">
        <f> OpRev!AF$42</f>
        <v>20351.71184160976</v>
      </c>
      <c r="AG9" s="308">
        <f> OpRev!AG$42</f>
        <v>19417.299241319288</v>
      </c>
      <c r="AH9" s="308">
        <f> OpRev!AH$42</f>
        <v>20654.73166445007</v>
      </c>
      <c r="AI9" s="308">
        <f> OpRev!AI$42</f>
        <v>19706.406448709684</v>
      </c>
      <c r="AJ9" s="308">
        <f> OpRev!AJ$42</f>
        <v>20962.263196858046</v>
      </c>
      <c r="AK9" s="308">
        <f> OpRev!AK$42</f>
        <v>19999.818218558856</v>
      </c>
      <c r="AL9" s="308">
        <f> OpRev!AL$42</f>
        <v>21274.373614383563</v>
      </c>
      <c r="AM9" s="308">
        <f> OpRev!AM$42</f>
        <v>20982.252064443164</v>
      </c>
      <c r="AN9" s="308">
        <f> OpRev!AN$42</f>
        <v>22320.275869803158</v>
      </c>
      <c r="AO9" s="308">
        <f> OpRev!AO$42</f>
        <v>21294.660099346598</v>
      </c>
      <c r="AP9" s="308">
        <f> OpRev!AP$42</f>
        <v>22652.605950557663</v>
      </c>
      <c r="AQ9" s="308">
        <f> OpRev!AQ$42</f>
        <v>21611.71962637645</v>
      </c>
      <c r="AR9" s="308">
        <f> OpRev!AR$42</f>
        <v>22989.884145897246</v>
      </c>
      <c r="AS9" s="308">
        <f> OpRev!AS$42</f>
        <v>21933.49990232699</v>
      </c>
      <c r="AT9" s="308">
        <f> OpRev!AT$42</f>
        <v>23332.184129074387</v>
      </c>
      <c r="AU9" s="308">
        <f> OpRev!AU$42</f>
        <v>22260.071215167736</v>
      </c>
      <c r="AV9" s="308">
        <f> OpRev!AV$42</f>
        <v>23679.580670274154</v>
      </c>
      <c r="AW9" s="308">
        <f> OpRev!AW$42</f>
        <v>22591.50489939679</v>
      </c>
      <c r="AX9" s="308">
        <f> OpRev!AX$42</f>
        <v>24923.9132405427</v>
      </c>
      <c r="AY9" s="308">
        <f> OpRev!AY$42</f>
        <v>23783.500397747724</v>
      </c>
      <c r="AZ9" s="308">
        <f> OpRev!AZ$42</f>
        <v>25295.009285603406</v>
      </c>
      <c r="BA9" s="308">
        <f> OpRev!BA$42</f>
        <v>24137.616657506926</v>
      </c>
      <c r="BB9" s="308">
        <f> OpRev!BB$42</f>
        <v>25671.63063775897</v>
      </c>
      <c r="BC9" s="308">
        <f> OpRev!BC$42</f>
        <v>24497.005409680147</v>
      </c>
      <c r="BD9" s="308">
        <f> OpRev!BD$42</f>
        <v>26053.8595641715</v>
      </c>
      <c r="BE9" s="308">
        <f> OpRev!BE$42</f>
        <v>24861.74515723213</v>
      </c>
      <c r="BF9" s="308">
        <f> OpRev!BF$42</f>
        <v>26441.779556891735</v>
      </c>
      <c r="BG9" s="308">
        <f> OpRev!BG$42</f>
        <v>25231.915571970545</v>
      </c>
      <c r="BH9" s="308">
        <f> OpRev!BH$42</f>
        <v>25419.062500857544</v>
      </c>
      <c r="BI9" s="308">
        <f> OpRev!BI$42</f>
        <v>27034.5159979653</v>
      </c>
      <c r="BJ9" s="308">
        <f> OpRev!BJ$42</f>
        <v>25797.530900750502</v>
      </c>
      <c r="BK9" s="308">
        <f> OpRev!BK$42</f>
        <v>27437.037137810064</v>
      </c>
      <c r="BL9" s="308">
        <f> OpRev!BL$42</f>
        <v>26181.634375883263</v>
      </c>
      <c r="BM9" s="308">
        <f> OpRev!BM$42</f>
        <v>27845.55147790425</v>
      </c>
      <c r="BN9" s="308">
        <f> OpRev!BN$42</f>
        <v>26571.45682777301</v>
      </c>
      <c r="BO9" s="308">
        <f> OpRev!BO$42</f>
        <v>28260.14825194436</v>
      </c>
      <c r="BP9" s="308">
        <f> OpRev!BP$42</f>
        <v>26967.083407159753</v>
      </c>
      <c r="BQ9" s="308">
        <f> OpRev!BQ$42</f>
        <v>27167.100200426765</v>
      </c>
      <c r="BR9" s="308">
        <f> OpRev!BR$42</f>
        <v>28893.64644986361</v>
      </c>
      <c r="BS9" s="308">
        <f> OpRev!BS$42</f>
        <v>27571.59540721263</v>
      </c>
      <c r="BT9" s="308">
        <f> OpRev!BT$42</f>
        <v>29323.848473977745</v>
      </c>
      <c r="BU9" s="308">
        <f> OpRev!BU$42</f>
        <v>27982.11320643956</v>
      </c>
      <c r="BV9" s="308">
        <f> OpRev!BV$42</f>
        <v>29760.455843359505</v>
      </c>
      <c r="BW9" s="308">
        <f> OpRev!BW$42</f>
        <v>29981.191280487754</v>
      </c>
      <c r="BX9" s="308">
        <f> OpRev!BX$42</f>
        <v>30203.56392819707</v>
      </c>
      <c r="BY9" s="308">
        <f> OpRev!BY$42</f>
        <v>30427.585929795852</v>
      </c>
      <c r="BZ9" s="308">
        <f> OpRev!BZ$42</f>
        <v>30653.269518660283</v>
      </c>
      <c r="CA9" s="308">
        <f> OpRev!CA$42</f>
        <v>30880.627018902378</v>
      </c>
      <c r="CB9" s="308">
        <f> OpRev!CB$42</f>
        <v>31109.670846042973</v>
      </c>
      <c r="CC9" s="308">
        <f> OpRev!CC$42</f>
        <v>31340.41350768972</v>
      </c>
      <c r="CD9" s="308">
        <f> OpRev!CD$42</f>
        <v>31572.867604220082</v>
      </c>
      <c r="CE9" s="308">
        <f> OpRev!CE$42</f>
        <v>31807.045829469436</v>
      </c>
      <c r="CF9" s="308">
        <f> OpRev!CF$42</f>
        <v>32042.960971424254</v>
      </c>
      <c r="CG9" s="308">
        <f> OpRev!CG$42</f>
        <v>32280.6259129204</v>
      </c>
      <c r="CH9" s="308">
        <f> OpRev!CH$42</f>
        <v>32520.053632346677</v>
      </c>
      <c r="CI9" s="308">
        <f> OpRev!CI$42</f>
        <v>32761.25720435351</v>
      </c>
      <c r="CJ9" s="308">
        <f> OpRev!CJ$42</f>
        <v>33004.24980056697</v>
      </c>
      <c r="CK9" s="308">
        <f> OpRev!CK$42</f>
        <v>33249.044690308</v>
      </c>
      <c r="CL9" s="308">
        <f> OpRev!CL$42</f>
        <v>33495.655241317065</v>
      </c>
      <c r="CM9" s="308">
        <f> OpRev!CM$42</f>
        <v>33744.09492048411</v>
      </c>
      <c r="CN9" s="308">
        <f> OpRev!CN$42</f>
        <v>0.0</v>
      </c>
      <c r="CO9" s="308">
        <f> OpRev!CO$42</f>
        <v>0.0</v>
      </c>
    </row>
    <row r="10" customFormat="1" s="169">
      <c r="A10" s="163" t="n"/>
      <c r="B10" s="163" t="n"/>
      <c r="C10" s="172" t="n"/>
      <c r="D10" s="88" t="n"/>
      <c r="E10" s="117" t="str">
        <f> OpCost!E$39</f>
        <v>Operating cost</v>
      </c>
      <c r="F10" s="117" t="str">
        <f> OpCost!F$39</f>
        <v>IS</v>
      </c>
      <c r="G10" s="117" t="str">
        <f> OpCost!G$39</f>
        <v>$ 000s</v>
      </c>
      <c r="H10" s="117">
        <f> OpCost!H$39</f>
        <v>-1152373.432337585</v>
      </c>
      <c r="I10" s="117">
        <f> OpCost!I$39</f>
        <v>0.0</v>
      </c>
      <c r="J10" s="117">
        <f> OpCost!J$39</f>
        <v>-0.0</v>
      </c>
      <c r="K10" s="117">
        <f> OpCost!K$39</f>
        <v>-0.0</v>
      </c>
      <c r="L10" s="117">
        <f> OpCost!L$39</f>
        <v>-10059.121375069928</v>
      </c>
      <c r="M10" s="117">
        <f> OpCost!M$39</f>
        <v>-9938.509050163299</v>
      </c>
      <c r="N10" s="117">
        <f> OpCost!N$39</f>
        <v>-10500.907630137393</v>
      </c>
      <c r="O10" s="117">
        <f> OpCost!O$39</f>
        <v>-10294.313666666665</v>
      </c>
      <c r="P10" s="117">
        <f> OpCost!P$39</f>
        <v>-10848.510063957356</v>
      </c>
      <c r="Q10" s="117">
        <f> OpCost!Q$39</f>
        <v>-10548.532531167835</v>
      </c>
      <c r="R10" s="117">
        <f> OpCost!R$39</f>
        <v>-11116.414850938825</v>
      </c>
      <c r="S10" s="117">
        <f> OpCost!S$39</f>
        <v>-10809.02935</v>
      </c>
      <c r="T10" s="117">
        <f> OpCost!T$39</f>
        <v>-11363.716888629026</v>
      </c>
      <c r="U10" s="117">
        <f> OpCost!U$39</f>
        <v>-11023.090315729425</v>
      </c>
      <c r="V10" s="117">
        <f> OpCost!V$39</f>
        <v>-11588.762832412656</v>
      </c>
      <c r="W10" s="117">
        <f> OpCost!W$39</f>
        <v>-11241.390524</v>
      </c>
      <c r="X10" s="117">
        <f> OpCost!X$39</f>
        <v>-11789.75325620654</v>
      </c>
      <c r="Y10" s="117">
        <f> OpCost!Y$39</f>
        <v>-11408.765346893117</v>
      </c>
      <c r="Z10" s="117">
        <f> OpCost!Z$39</f>
        <v>-11965.292737643309</v>
      </c>
      <c r="AA10" s="117">
        <f> OpCost!AA$39</f>
        <v>-11578.632239719997</v>
      </c>
      <c r="AB10" s="117">
        <f> OpCost!AB$39</f>
        <v>-12143.445853892736</v>
      </c>
      <c r="AC10" s="117">
        <f> OpCost!AC$39</f>
        <v>-11751.028307299908</v>
      </c>
      <c r="AD10" s="117">
        <f> OpCost!AD$39</f>
        <v>-12324.251519772608</v>
      </c>
      <c r="AE10" s="117">
        <f> OpCost!AE$39</f>
        <v>-11925.991206911593</v>
      </c>
      <c r="AF10" s="117">
        <f> OpCost!AF$39</f>
        <v>-12507.749229509513</v>
      </c>
      <c r="AG10" s="117">
        <f> OpCost!AG$39</f>
        <v>-12103.559156518902</v>
      </c>
      <c r="AH10" s="117">
        <f> OpCost!AH$39</f>
        <v>-12693.97906536578</v>
      </c>
      <c r="AI10" s="117">
        <f> OpCost!AI$39</f>
        <v>-12283.770943118936</v>
      </c>
      <c r="AJ10" s="117">
        <f> OpCost!AJ$39</f>
        <v>-12882.981706394796</v>
      </c>
      <c r="AK10" s="117">
        <f> OpCost!AK$39</f>
        <v>-12466.665931214466</v>
      </c>
      <c r="AL10" s="117">
        <f> OpCost!AL$39</f>
        <v>-13074.798437326746</v>
      </c>
      <c r="AM10" s="117">
        <f> OpCost!AM$39</f>
        <v>-12652.2840714125</v>
      </c>
      <c r="AN10" s="117">
        <f> OpCost!AN$39</f>
        <v>-13269.471157586635</v>
      </c>
      <c r="AO10" s="117">
        <f> OpCost!AO$39</f>
        <v>-12840.665909150894</v>
      </c>
      <c r="AP10" s="117">
        <f> OpCost!AP$39</f>
        <v>-13467.042390446544</v>
      </c>
      <c r="AQ10" s="117">
        <f> OpCost!AQ$39</f>
        <v>-13031.85259355487</v>
      </c>
      <c r="AR10" s="117">
        <f> OpCost!AR$39</f>
        <v>-13667.55529231423</v>
      </c>
      <c r="AS10" s="117">
        <f> OpCost!AS$39</f>
        <v>-13225.885886425416</v>
      </c>
      <c r="AT10" s="117">
        <f> OpCost!AT$39</f>
        <v>-13871.053662159937</v>
      </c>
      <c r="AU10" s="117">
        <f> OpCost!AU$39</f>
        <v>-13422.808171361512</v>
      </c>
      <c r="AV10" s="117">
        <f> OpCost!AV$39</f>
        <v>-14077.58195108365</v>
      </c>
      <c r="AW10" s="117">
        <f> OpCost!AW$39</f>
        <v>-13622.662463018176</v>
      </c>
      <c r="AX10" s="117">
        <f> OpCost!AX$39</f>
        <v>-14287.18527202473</v>
      </c>
      <c r="AY10" s="117">
        <f> OpCost!AY$39</f>
        <v>-13825.492416502351</v>
      </c>
      <c r="AZ10" s="117">
        <f> OpCost!AZ$39</f>
        <v>-14499.909409616155</v>
      </c>
      <c r="BA10" s="117">
        <f> OpCost!BA$39</f>
        <v>-14031.342336908714</v>
      </c>
      <c r="BB10" s="117">
        <f> OpCost!BB$39</f>
        <v>-14715.800830185466</v>
      </c>
      <c r="BC10" s="117">
        <f> OpCost!BC$39</f>
        <v>-14240.257188997417</v>
      </c>
      <c r="BD10" s="117">
        <f> OpCost!BD$39</f>
        <v>-14934.906691904634</v>
      </c>
      <c r="BE10" s="117">
        <f> OpCost!BE$39</f>
        <v>-14452.282607015972</v>
      </c>
      <c r="BF10" s="117">
        <f> OpCost!BF$39</f>
        <v>-15157.274855091027</v>
      </c>
      <c r="BG10" s="117">
        <f> OpCost!BG$39</f>
        <v>-14667.464904667335</v>
      </c>
      <c r="BH10" s="117">
        <f> OpCost!BH$39</f>
        <v>-14776.25454466263</v>
      </c>
      <c r="BI10" s="117">
        <f> OpCost!BI$39</f>
        <v>-15497.050365837194</v>
      </c>
      <c r="BJ10" s="117">
        <f> OpCost!BJ$39</f>
        <v>-14996.260511198212</v>
      </c>
      <c r="BK10" s="117">
        <f> OpCost!BK$39</f>
        <v>-15727.788374165439</v>
      </c>
      <c r="BL10" s="117">
        <f> OpCost!BL$39</f>
        <v>-15219.542181002504</v>
      </c>
      <c r="BM10" s="117">
        <f> OpCost!BM$39</f>
        <v>-15961.961876812307</v>
      </c>
      <c r="BN10" s="117">
        <f> OpCost!BN$39</f>
        <v>-15446.148326534154</v>
      </c>
      <c r="BO10" s="117">
        <f> OpCost!BO$39</f>
        <v>-16199.622025390398</v>
      </c>
      <c r="BP10" s="117">
        <f> OpCost!BP$39</f>
        <v>-15676.128446432574</v>
      </c>
      <c r="BQ10" s="117">
        <f> OpCost!BQ$39</f>
        <v>-15792.399416316726</v>
      </c>
      <c r="BR10" s="117">
        <f> OpCost!BR$39</f>
        <v>-16562.763480579037</v>
      </c>
      <c r="BS10" s="117">
        <f> OpCost!BS$39</f>
        <v>-16027.534922882409</v>
      </c>
      <c r="BT10" s="117">
        <f> OpCost!BT$39</f>
        <v>-16809.3690582666</v>
      </c>
      <c r="BU10" s="117">
        <f> OpCost!BU$39</f>
        <v>-16266.171398806224</v>
      </c>
      <c r="BV10" s="117">
        <f> OpCost!BV$39</f>
        <v>-17059.646384996402</v>
      </c>
      <c r="BW10" s="117">
        <f> OpCost!BW$39</f>
        <v>-17186.179006736664</v>
      </c>
      <c r="BX10" s="117">
        <f> OpCost!BX$39</f>
        <v>-17313.650130014594</v>
      </c>
      <c r="BY10" s="117">
        <f> OpCost!BY$39</f>
        <v>-17442.066715763467</v>
      </c>
      <c r="BZ10" s="117">
        <f> OpCost!BZ$39</f>
        <v>-17571.435776546292</v>
      </c>
      <c r="CA10" s="117">
        <f> OpCost!CA$39</f>
        <v>-17701.764376938754</v>
      </c>
      <c r="CB10" s="117">
        <f> OpCost!CB$39</f>
        <v>-17833.059633915025</v>
      </c>
      <c r="CC10" s="117">
        <f> OpCost!CC$39</f>
        <v>-17965.328717236367</v>
      </c>
      <c r="CD10" s="117">
        <f> OpCost!CD$39</f>
        <v>-18098.578849842674</v>
      </c>
      <c r="CE10" s="117">
        <f> OpCost!CE$39</f>
        <v>-18232.817308246915</v>
      </c>
      <c r="CF10" s="117">
        <f> OpCost!CF$39</f>
        <v>-18368.051422932473</v>
      </c>
      <c r="CG10" s="117">
        <f> OpCost!CG$39</f>
        <v>-18504.28857875345</v>
      </c>
      <c r="CH10" s="117">
        <f> OpCost!CH$39</f>
        <v>-18641.53621533795</v>
      </c>
      <c r="CI10" s="117">
        <f> OpCost!CI$39</f>
        <v>-18779.801827494317</v>
      </c>
      <c r="CJ10" s="117">
        <f> OpCost!CJ$39</f>
        <v>-18919.09296562044</v>
      </c>
      <c r="CK10" s="117">
        <f> OpCost!CK$39</f>
        <v>-19059.417236116045</v>
      </c>
      <c r="CL10" s="117">
        <f> OpCost!CL$39</f>
        <v>-19200.782301798077</v>
      </c>
      <c r="CM10" s="117">
        <f> OpCost!CM$39</f>
        <v>-19343.19588231914</v>
      </c>
      <c r="CN10" s="117">
        <f> OpCost!CN$39</f>
        <v>-0.0</v>
      </c>
      <c r="CO10" s="117">
        <f> OpCost!CO$39</f>
        <v>-0.0</v>
      </c>
    </row>
    <row r="11" customFormat="1" s="150">
      <c r="A11" s="348" t="n"/>
      <c r="B11" s="348" t="n"/>
      <c r="C11" s="349" t="n"/>
      <c r="D11" s="193" t="n"/>
      <c r="E11" s="366" t="inlineStr">
        <is>
          <t>EBITDA</t>
        </is>
      </c>
      <c r="F11" s="366" t="n"/>
      <c r="G11" s="366" t="inlineStr">
        <is>
          <t>$ 000s</t>
        </is>
      </c>
      <c r="H11" s="366">
        <f> SUM(J11:CO11)</f>
        <v>789195.2008258444</v>
      </c>
      <c r="I11" s="366" t="n"/>
      <c r="J11" s="366">
        <f>SUM(J9:J10)</f>
        <v>0.0</v>
      </c>
      <c r="K11" s="366">
        <f>SUM(K9:K10)</f>
        <v>0.0</v>
      </c>
      <c r="L11" s="366">
        <f>SUM(L9:L10)</f>
        <v>5642.625103379305</v>
      </c>
      <c r="M11" s="366">
        <f>SUM(M9:M10)</f>
        <v>5246.757277305236</v>
      </c>
      <c r="N11" s="366">
        <f>SUM(N9:N10)</f>
        <v>5769.900110043365</v>
      </c>
      <c r="O11" s="366">
        <f>SUM(O9:O10)</f>
        <v>5384.894163333334</v>
      </c>
      <c r="P11" s="366">
        <f>SUM(P9:P10)</f>
        <v>5909.233981271236</v>
      </c>
      <c r="Q11" s="366">
        <f>SUM(Q9:Q10)</f>
        <v>5517.874537157988</v>
      </c>
      <c r="R11" s="366">
        <f>SUM(R9:R10)</f>
        <v>6055.1629670621805</v>
      </c>
      <c r="S11" s="366">
        <f>SUM(S9:S10)</f>
        <v>5654.138871500003</v>
      </c>
      <c r="T11" s="366">
        <f>SUM(T9:T10)</f>
        <v>6502.082238625846</v>
      </c>
      <c r="U11" s="366">
        <f>SUM(U9:U10)</f>
        <v>6064.359293854139</v>
      </c>
      <c r="V11" s="366">
        <f>SUM(V9:V10)</f>
        <v>6630.848842747651</v>
      </c>
      <c r="W11" s="366">
        <f>SUM(W9:W10)</f>
        <v>6184.457275359999</v>
      </c>
      <c r="X11" s="366">
        <f>SUM(X9:X10)</f>
        <v>6745.851379108952</v>
      </c>
      <c r="Y11" s="366">
        <f>SUM(Y9:Y10)</f>
        <v>6276.538627657432</v>
      </c>
      <c r="Z11" s="366">
        <f>SUM(Z9:Z10)</f>
        <v>6846.291416080456</v>
      </c>
      <c r="AA11" s="366">
        <f>SUM(AA9:AA10)</f>
        <v>6369.990993620797</v>
      </c>
      <c r="AB11" s="366">
        <f>SUM(AB9:AB10)</f>
        <v>6948.226920482219</v>
      </c>
      <c r="AC11" s="366">
        <f>SUM(AC9:AC10)</f>
        <v>6464.834786487154</v>
      </c>
      <c r="AD11" s="366">
        <f>SUM(AD9:AD10)</f>
        <v>7728.8860185284375</v>
      </c>
      <c r="AE11" s="366">
        <f>SUM(AE9:AE10)</f>
        <v>7206.442238437623</v>
      </c>
      <c r="AF11" s="366">
        <f>SUM(AF9:AF10)</f>
        <v>7843.962612100246</v>
      </c>
      <c r="AG11" s="366">
        <f>SUM(AG9:AG10)</f>
        <v>7313.740084800385</v>
      </c>
      <c r="AH11" s="366">
        <f>SUM(AH9:AH10)</f>
        <v>7960.752599084291</v>
      </c>
      <c r="AI11" s="366">
        <f>SUM(AI9:AI10)</f>
        <v>7422.635505590748</v>
      </c>
      <c r="AJ11" s="366">
        <f>SUM(AJ9:AJ10)</f>
        <v>8079.2814904632505</v>
      </c>
      <c r="AK11" s="366">
        <f>SUM(AK9:AK10)</f>
        <v>7533.15228734439</v>
      </c>
      <c r="AL11" s="366">
        <f>SUM(AL9:AL10)</f>
        <v>8199.575177056817</v>
      </c>
      <c r="AM11" s="366">
        <f>SUM(AM9:AM10)</f>
        <v>8329.967993030665</v>
      </c>
      <c r="AN11" s="366">
        <f>SUM(AN9:AN10)</f>
        <v>9050.804712216523</v>
      </c>
      <c r="AO11" s="366">
        <f>SUM(AO9:AO10)</f>
        <v>8453.994190195705</v>
      </c>
      <c r="AP11" s="366">
        <f>SUM(AP9:AP10)</f>
        <v>9185.563560111119</v>
      </c>
      <c r="AQ11" s="366">
        <f>SUM(AQ9:AQ10)</f>
        <v>8579.86703282158</v>
      </c>
      <c r="AR11" s="366">
        <f>SUM(AR9:AR10)</f>
        <v>9322.328853583016</v>
      </c>
      <c r="AS11" s="366">
        <f>SUM(AS9:AS10)</f>
        <v>8707.614015901572</v>
      </c>
      <c r="AT11" s="366">
        <f>SUM(AT9:AT10)</f>
        <v>9461.13046691445</v>
      </c>
      <c r="AU11" s="366">
        <f>SUM(AU9:AU10)</f>
        <v>8837.263043806224</v>
      </c>
      <c r="AV11" s="366">
        <f>SUM(AV9:AV10)</f>
        <v>9601.998719190504</v>
      </c>
      <c r="AW11" s="366">
        <f>SUM(AW9:AW10)</f>
        <v>8968.842436378614</v>
      </c>
      <c r="AX11" s="366">
        <f>SUM(AX9:AX10)</f>
        <v>10636.727968517971</v>
      </c>
      <c r="AY11" s="366">
        <f>SUM(AY9:AY10)</f>
        <v>9958.007981245373</v>
      </c>
      <c r="AZ11" s="366">
        <f>SUM(AZ9:AZ10)</f>
        <v>10795.099875987251</v>
      </c>
      <c r="BA11" s="366">
        <f>SUM(BA9:BA10)</f>
        <v>10106.274320598211</v>
      </c>
      <c r="BB11" s="366">
        <f>SUM(BB9:BB10)</f>
        <v>10955.829807573506</v>
      </c>
      <c r="BC11" s="366">
        <f>SUM(BC9:BC10)</f>
        <v>10256.74822068273</v>
      </c>
      <c r="BD11" s="366">
        <f>SUM(BD9:BD10)</f>
        <v>11118.952872266866</v>
      </c>
      <c r="BE11" s="366">
        <f>SUM(BE9:BE10)</f>
        <v>10409.462550216158</v>
      </c>
      <c r="BF11" s="366">
        <f>SUM(BF9:BF10)</f>
        <v>11284.504701800708</v>
      </c>
      <c r="BG11" s="366">
        <f>SUM(BG9:BG10)</f>
        <v>10564.45066730321</v>
      </c>
      <c r="BH11" s="366">
        <f>SUM(BH9:BH10)</f>
        <v>10642.807956194914</v>
      </c>
      <c r="BI11" s="366">
        <f>SUM(BI9:BI10)</f>
        <v>11537.465632128105</v>
      </c>
      <c r="BJ11" s="366">
        <f>SUM(BJ9:BJ10)</f>
        <v>10801.27038955229</v>
      </c>
      <c r="BK11" s="366">
        <f>SUM(BK9:BK10)</f>
        <v>11709.248763644626</v>
      </c>
      <c r="BL11" s="366">
        <f>SUM(BL9:BL10)</f>
        <v>10962.092194880759</v>
      </c>
      <c r="BM11" s="366">
        <f>SUM(BM9:BM10)</f>
        <v>11883.589601091942</v>
      </c>
      <c r="BN11" s="366">
        <f>SUM(BN9:BN10)</f>
        <v>11125.308501238856</v>
      </c>
      <c r="BO11" s="366">
        <f>SUM(BO9:BO10)</f>
        <v>12060.526226553962</v>
      </c>
      <c r="BP11" s="366">
        <f>SUM(BP9:BP10)</f>
        <v>11290.954960727178</v>
      </c>
      <c r="BQ11" s="366">
        <f>SUM(BQ9:BQ10)</f>
        <v>11374.700784110039</v>
      </c>
      <c r="BR11" s="366">
        <f>SUM(BR9:BR10)</f>
        <v>12330.882969284572</v>
      </c>
      <c r="BS11" s="366">
        <f>SUM(BS9:BS10)</f>
        <v>11544.06048433022</v>
      </c>
      <c r="BT11" s="366">
        <f>SUM(BT9:BT10)</f>
        <v>12514.479415711146</v>
      </c>
      <c r="BU11" s="366">
        <f>SUM(BU9:BU10)</f>
        <v>11715.941807633337</v>
      </c>
      <c r="BV11" s="366">
        <f>SUM(BV9:BV10)</f>
        <v>12700.809458363103</v>
      </c>
      <c r="BW11" s="366">
        <f>SUM(BW9:BW10)</f>
        <v>12795.01227375109</v>
      </c>
      <c r="BX11" s="366">
        <f>SUM(BX9:BX10)</f>
        <v>12889.913798182475</v>
      </c>
      <c r="BY11" s="366">
        <f>SUM(BY9:BY10)</f>
        <v>12985.519214032385</v>
      </c>
      <c r="BZ11" s="366">
        <f>SUM(BZ9:BZ10)</f>
        <v>13081.833742113991</v>
      </c>
      <c r="CA11" s="366">
        <f>SUM(CA9:CA10)</f>
        <v>13178.862641963624</v>
      </c>
      <c r="CB11" s="366">
        <f>SUM(CB9:CB10)</f>
        <v>13276.611212127948</v>
      </c>
      <c r="CC11" s="366">
        <f>SUM(CC9:CC10)</f>
        <v>13375.084790453351</v>
      </c>
      <c r="CD11" s="366">
        <f>SUM(CD9:CD10)</f>
        <v>13474.288754377409</v>
      </c>
      <c r="CE11" s="366">
        <f>SUM(CE9:CE10)</f>
        <v>13574.228521222522</v>
      </c>
      <c r="CF11" s="366">
        <f>SUM(CF9:CF10)</f>
        <v>13674.909548491782</v>
      </c>
      <c r="CG11" s="366">
        <f>SUM(CG9:CG10)</f>
        <v>13776.33733416695</v>
      </c>
      <c r="CH11" s="366">
        <f>SUM(CH9:CH10)</f>
        <v>13878.517417008727</v>
      </c>
      <c r="CI11" s="366">
        <f>SUM(CI9:CI10)</f>
        <v>13981.455376859194</v>
      </c>
      <c r="CJ11" s="366">
        <f>SUM(CJ9:CJ10)</f>
        <v>14085.15683494653</v>
      </c>
      <c r="CK11" s="366">
        <f>SUM(CK9:CK10)</f>
        <v>14189.627454191956</v>
      </c>
      <c r="CL11" s="366">
        <f>SUM(CL9:CL10)</f>
        <v>14294.872939518988</v>
      </c>
      <c r="CM11" s="366">
        <f>SUM(CM9:CM10)</f>
        <v>14400.899038164967</v>
      </c>
      <c r="CN11" s="366">
        <f>SUM(CN9:CN10)</f>
        <v>0.0</v>
      </c>
      <c r="CO11" s="366">
        <f>SUM(CO9:CO10)</f>
        <v>0.0</v>
      </c>
    </row>
    <row r="13">
      <c r="E13" s="117" t="str">
        <f> NCA!E$54</f>
        <v>Accounting depreciation</v>
      </c>
      <c r="F13" s="117" t="str">
        <f> NCA!F$54</f>
        <v>IS</v>
      </c>
      <c r="G13" s="117" t="str">
        <f> NCA!G$54</f>
        <v>$ 000s</v>
      </c>
      <c r="H13" s="117">
        <f> NCA!H$54</f>
        <v>-108000.0</v>
      </c>
      <c r="I13" s="117">
        <f> NCA!I$54</f>
        <v>0.0</v>
      </c>
      <c r="J13" s="117">
        <f> NCA!J$54</f>
        <v>-0.0</v>
      </c>
      <c r="K13" s="117">
        <f> NCA!K$54</f>
        <v>-0.0</v>
      </c>
      <c r="L13" s="117">
        <f> NCA!L$54</f>
        <v>-1666.6666666666667</v>
      </c>
      <c r="M13" s="117">
        <f> NCA!M$54</f>
        <v>-1666.6666666666667</v>
      </c>
      <c r="N13" s="117">
        <f> NCA!N$54</f>
        <v>-1666.6666666666667</v>
      </c>
      <c r="O13" s="117">
        <f> NCA!O$54</f>
        <v>-1666.6666666666667</v>
      </c>
      <c r="P13" s="117">
        <f> NCA!P$54</f>
        <v>-1666.6666666666667</v>
      </c>
      <c r="Q13" s="117">
        <f> NCA!Q$54</f>
        <v>-1666.6666666666667</v>
      </c>
      <c r="R13" s="117">
        <f> NCA!R$54</f>
        <v>-1666.6666666666667</v>
      </c>
      <c r="S13" s="117">
        <f> NCA!S$54</f>
        <v>-1666.6666666666667</v>
      </c>
      <c r="T13" s="117">
        <f> NCA!T$54</f>
        <v>-1766.6666666666667</v>
      </c>
      <c r="U13" s="117">
        <f> NCA!U$54</f>
        <v>-1766.6666666666667</v>
      </c>
      <c r="V13" s="117">
        <f> NCA!V$54</f>
        <v>-1766.6666666666667</v>
      </c>
      <c r="W13" s="117">
        <f> NCA!W$54</f>
        <v>-1766.6666666666667</v>
      </c>
      <c r="X13" s="117">
        <f> NCA!X$54</f>
        <v>-1816.6666666666667</v>
      </c>
      <c r="Y13" s="117">
        <f> NCA!Y$54</f>
        <v>-1816.6666666666667</v>
      </c>
      <c r="Z13" s="117">
        <f> NCA!Z$54</f>
        <v>-1816.6666666666667</v>
      </c>
      <c r="AA13" s="117">
        <f> NCA!AA$54</f>
        <v>-1816.6666666666667</v>
      </c>
      <c r="AB13" s="117">
        <f> NCA!AB$54</f>
        <v>-1891.6666666666667</v>
      </c>
      <c r="AC13" s="117">
        <f> NCA!AC$54</f>
        <v>-1891.6666666666667</v>
      </c>
      <c r="AD13" s="117">
        <f> NCA!AD$54</f>
        <v>-1891.6666666666667</v>
      </c>
      <c r="AE13" s="117">
        <f> NCA!AE$54</f>
        <v>-1891.6666666666667</v>
      </c>
      <c r="AF13" s="117">
        <f> NCA!AF$54</f>
        <v>-1941.6666666666667</v>
      </c>
      <c r="AG13" s="117">
        <f> NCA!AG$54</f>
        <v>-1941.6666666666667</v>
      </c>
      <c r="AH13" s="117">
        <f> NCA!AH$54</f>
        <v>-1941.6666666666667</v>
      </c>
      <c r="AI13" s="117">
        <f> NCA!AI$54</f>
        <v>-1941.6666666666667</v>
      </c>
      <c r="AJ13" s="117">
        <f> NCA!AJ$54</f>
        <v>-1966.6666666666667</v>
      </c>
      <c r="AK13" s="117">
        <f> NCA!AK$54</f>
        <v>-1966.6666666666667</v>
      </c>
      <c r="AL13" s="117">
        <f> NCA!AL$54</f>
        <v>-1966.6666666666667</v>
      </c>
      <c r="AM13" s="117">
        <f> NCA!AM$54</f>
        <v>-1966.6666666666667</v>
      </c>
      <c r="AN13" s="117">
        <f> NCA!AN$54</f>
        <v>-1916.6666666666667</v>
      </c>
      <c r="AO13" s="117">
        <f> NCA!AO$54</f>
        <v>-1916.6666666666667</v>
      </c>
      <c r="AP13" s="117">
        <f> NCA!AP$54</f>
        <v>-1916.6666666666667</v>
      </c>
      <c r="AQ13" s="117">
        <f> NCA!AQ$54</f>
        <v>-1916.6666666666667</v>
      </c>
      <c r="AR13" s="117">
        <f> NCA!AR$54</f>
        <v>-1916.6666666666667</v>
      </c>
      <c r="AS13" s="117">
        <f> NCA!AS$54</f>
        <v>-1916.6666666666667</v>
      </c>
      <c r="AT13" s="117">
        <f> NCA!AT$54</f>
        <v>-1916.6666666666667</v>
      </c>
      <c r="AU13" s="117">
        <f> NCA!AU$54</f>
        <v>-1916.6666666666667</v>
      </c>
      <c r="AV13" s="117">
        <f> NCA!AV$54</f>
        <v>-1841.6666666666667</v>
      </c>
      <c r="AW13" s="117">
        <f> NCA!AW$54</f>
        <v>-1841.6666666666667</v>
      </c>
      <c r="AX13" s="117">
        <f> NCA!AX$54</f>
        <v>-1841.6666666666667</v>
      </c>
      <c r="AY13" s="117">
        <f> NCA!AY$54</f>
        <v>-1841.6666666666667</v>
      </c>
      <c r="AZ13" s="117">
        <f> NCA!AZ$54</f>
        <v>-1791.6666666666667</v>
      </c>
      <c r="BA13" s="117">
        <f> NCA!BA$54</f>
        <v>-1791.6666666666667</v>
      </c>
      <c r="BB13" s="117">
        <f> NCA!BB$54</f>
        <v>-1791.6666666666667</v>
      </c>
      <c r="BC13" s="117">
        <f> NCA!BC$54</f>
        <v>-1791.6666666666667</v>
      </c>
      <c r="BD13" s="117">
        <f> NCA!BD$54</f>
        <v>-1766.6666666666667</v>
      </c>
      <c r="BE13" s="117">
        <f> NCA!BE$54</f>
        <v>-1766.6666666666667</v>
      </c>
      <c r="BF13" s="117">
        <f> NCA!BF$54</f>
        <v>-1766.6666666666667</v>
      </c>
      <c r="BG13" s="117">
        <f> NCA!BG$54</f>
        <v>-1766.6666666666667</v>
      </c>
      <c r="BH13" s="117">
        <f> NCA!BH$54</f>
        <v>-1716.6666666666667</v>
      </c>
      <c r="BI13" s="117">
        <f> NCA!BI$54</f>
        <v>-1716.6666666666667</v>
      </c>
      <c r="BJ13" s="117">
        <f> NCA!BJ$54</f>
        <v>-1716.6666666666667</v>
      </c>
      <c r="BK13" s="117">
        <f> NCA!BK$54</f>
        <v>-1716.6666666666667</v>
      </c>
      <c r="BL13" s="117">
        <f> NCA!BL$54</f>
        <v>-1666.6666666666667</v>
      </c>
      <c r="BM13" s="117">
        <f> NCA!BM$54</f>
        <v>-1666.6666666666667</v>
      </c>
      <c r="BN13" s="117">
        <f> NCA!BN$54</f>
        <v>-1666.6666666666667</v>
      </c>
      <c r="BO13" s="117">
        <f> NCA!BO$54</f>
        <v>-1666.6666666666667</v>
      </c>
      <c r="BP13" s="117">
        <f> NCA!BP$54</f>
        <v>-1666.6666666666667</v>
      </c>
      <c r="BQ13" s="117">
        <f> NCA!BQ$54</f>
        <v>-1666.6666666666667</v>
      </c>
      <c r="BR13" s="117">
        <f> NCA!BR$54</f>
        <v>-1666.6666666666667</v>
      </c>
      <c r="BS13" s="117">
        <f> NCA!BS$54</f>
        <v>-1666.6666666666667</v>
      </c>
      <c r="BT13" s="117">
        <f> NCA!BT$54</f>
        <v>-0.0</v>
      </c>
      <c r="BU13" s="117">
        <f> NCA!BU$54</f>
        <v>-0.0</v>
      </c>
      <c r="BV13" s="117">
        <f> NCA!BV$54</f>
        <v>-0.0</v>
      </c>
      <c r="BW13" s="117">
        <f> NCA!BW$54</f>
        <v>-0.0</v>
      </c>
      <c r="BX13" s="117">
        <f> NCA!BX$54</f>
        <v>-0.0</v>
      </c>
      <c r="BY13" s="117">
        <f> NCA!BY$54</f>
        <v>-0.0</v>
      </c>
      <c r="BZ13" s="117">
        <f> NCA!BZ$54</f>
        <v>-0.0</v>
      </c>
      <c r="CA13" s="117">
        <f> NCA!CA$54</f>
        <v>-0.0</v>
      </c>
      <c r="CB13" s="117">
        <f> NCA!CB$54</f>
        <v>-0.0</v>
      </c>
      <c r="CC13" s="117">
        <f> NCA!CC$54</f>
        <v>-0.0</v>
      </c>
      <c r="CD13" s="117">
        <f> NCA!CD$54</f>
        <v>-0.0</v>
      </c>
      <c r="CE13" s="117">
        <f> NCA!CE$54</f>
        <v>-0.0</v>
      </c>
      <c r="CF13" s="117">
        <f> NCA!CF$54</f>
        <v>-0.0</v>
      </c>
      <c r="CG13" s="117">
        <f> NCA!CG$54</f>
        <v>-0.0</v>
      </c>
      <c r="CH13" s="117">
        <f> NCA!CH$54</f>
        <v>-0.0</v>
      </c>
      <c r="CI13" s="117">
        <f> NCA!CI$54</f>
        <v>-0.0</v>
      </c>
      <c r="CJ13" s="117">
        <f> NCA!CJ$54</f>
        <v>-0.0</v>
      </c>
      <c r="CK13" s="117">
        <f> NCA!CK$54</f>
        <v>-0.0</v>
      </c>
      <c r="CL13" s="117">
        <f> NCA!CL$54</f>
        <v>-0.0</v>
      </c>
      <c r="CM13" s="117">
        <f> NCA!CM$54</f>
        <v>-0.0</v>
      </c>
      <c r="CN13" s="117">
        <f> NCA!CN$54</f>
        <v>-0.0</v>
      </c>
      <c r="CO13" s="117">
        <f> NCA!CO$54</f>
        <v>-0.0</v>
      </c>
    </row>
    <row r="14" customFormat="1" s="169">
      <c r="A14" s="163" t="n"/>
      <c r="B14" s="163" t="n"/>
      <c r="C14" s="172" t="n"/>
      <c r="D14" s="88" t="n"/>
      <c r="E14" s="117" t="str">
        <f> Debt!E$33</f>
        <v>Senior debt interest payment</v>
      </c>
      <c r="F14" s="117" t="str">
        <f> Debt!F$33</f>
        <v>IS&amp;CF</v>
      </c>
      <c r="G14" s="117" t="str">
        <f> Debt!G$33</f>
        <v>$ 000s</v>
      </c>
      <c r="H14" s="117">
        <f> Debt!H$33</f>
        <v>-18291.000000000673</v>
      </c>
      <c r="I14" s="117">
        <f> Debt!I$33</f>
        <v>0.0</v>
      </c>
      <c r="J14" s="117">
        <f> Debt!J$33</f>
        <v>-0.0</v>
      </c>
      <c r="K14" s="117">
        <f> Debt!K$33</f>
        <v>-0.0</v>
      </c>
      <c r="L14" s="117">
        <f> Debt!L$33</f>
        <v>-975.0</v>
      </c>
      <c r="M14" s="117">
        <f> Debt!M$33</f>
        <v>-985.8333333333334</v>
      </c>
      <c r="N14" s="117">
        <f> Debt!N$33</f>
        <v>-996.6666666666666</v>
      </c>
      <c r="O14" s="117">
        <f> Debt!O$33</f>
        <v>-996.6666666666666</v>
      </c>
      <c r="P14" s="117">
        <f> Debt!P$33</f>
        <v>-942.5000000000003</v>
      </c>
      <c r="Q14" s="117">
        <f> Debt!Q$33</f>
        <v>-920.1111111111119</v>
      </c>
      <c r="R14" s="117">
        <f> Debt!R$33</f>
        <v>-897.0000000000011</v>
      </c>
      <c r="S14" s="117">
        <f> Debt!S$33</f>
        <v>-863.7777777777792</v>
      </c>
      <c r="T14" s="117">
        <f> Debt!T$33</f>
        <v>-821.5277777777795</v>
      </c>
      <c r="U14" s="117">
        <f> Debt!U$33</f>
        <v>-788.6666666666688</v>
      </c>
      <c r="V14" s="117">
        <f> Debt!V$33</f>
        <v>-764.1111111111137</v>
      </c>
      <c r="W14" s="117">
        <f> Debt!W$33</f>
        <v>-730.8888888888918</v>
      </c>
      <c r="X14" s="117">
        <f> Debt!X$33</f>
        <v>-682.5000000000032</v>
      </c>
      <c r="Y14" s="117">
        <f> Debt!Y$33</f>
        <v>-657.2222222222258</v>
      </c>
      <c r="Z14" s="117">
        <f> Debt!Z$33</f>
        <v>-631.2222222222263</v>
      </c>
      <c r="AA14" s="117">
        <f> Debt!AA$33</f>
        <v>-598.0000000000043</v>
      </c>
      <c r="AB14" s="117">
        <f> Debt!AB$33</f>
        <v>-552.5000000000047</v>
      </c>
      <c r="AC14" s="117">
        <f> Debt!AC$33</f>
        <v>-525.7777777777828</v>
      </c>
      <c r="AD14" s="117">
        <f> Debt!AD$33</f>
        <v>-498.33333333333877</v>
      </c>
      <c r="AE14" s="117">
        <f> Debt!AE$33</f>
        <v>-465.11111111111694</v>
      </c>
      <c r="AF14" s="117">
        <f> Debt!AF$33</f>
        <v>-422.500000000006</v>
      </c>
      <c r="AG14" s="117">
        <f> Debt!AG$33</f>
        <v>-394.3333333333398</v>
      </c>
      <c r="AH14" s="117">
        <f> Debt!AH$33</f>
        <v>-365.44444444445134</v>
      </c>
      <c r="AI14" s="117">
        <f> Debt!AI$33</f>
        <v>-332.22222222222945</v>
      </c>
      <c r="AJ14" s="117">
        <f> Debt!AJ$33</f>
        <v>-295.75000000000756</v>
      </c>
      <c r="AK14" s="117">
        <f> Debt!AK$33</f>
        <v>-262.88888888889676</v>
      </c>
      <c r="AL14" s="117">
        <f> Debt!AL$33</f>
        <v>-232.55555555556384</v>
      </c>
      <c r="AM14" s="117">
        <f> Debt!AM$33</f>
        <v>-199.33333333334195</v>
      </c>
      <c r="AN14" s="117">
        <f> Debt!AN$33</f>
        <v>-162.50000000000875</v>
      </c>
      <c r="AO14" s="117">
        <f> Debt!AO$33</f>
        <v>-131.4444444444536</v>
      </c>
      <c r="AP14" s="117">
        <f> Debt!AP$33</f>
        <v>-99.66666666667628</v>
      </c>
      <c r="AQ14" s="117">
        <f> Debt!AQ$33</f>
        <v>-66.44444444445439</v>
      </c>
      <c r="AR14" s="117">
        <f> Debt!AR$33</f>
        <v>-32.500000000010054</v>
      </c>
      <c r="AS14" s="117">
        <f> Debt!AS$33</f>
        <v>-1.0490339263924398e-11</v>
      </c>
      <c r="AT14" s="117">
        <f> Debt!AT$33</f>
        <v>-1.0605617717374116e-11</v>
      </c>
      <c r="AU14" s="117">
        <f> Debt!AU$33</f>
        <v>-1.0605617717374116e-11</v>
      </c>
      <c r="AV14" s="117">
        <f> Debt!AV$33</f>
        <v>-1.037506081047468e-11</v>
      </c>
      <c r="AW14" s="117">
        <f> Debt!AW$33</f>
        <v>-1.0490339263924398e-11</v>
      </c>
      <c r="AX14" s="117">
        <f> Debt!AX$33</f>
        <v>-1.0605617717374116e-11</v>
      </c>
      <c r="AY14" s="117">
        <f> Debt!AY$33</f>
        <v>-1.0605617717374116e-11</v>
      </c>
      <c r="AZ14" s="117">
        <f> Debt!AZ$33</f>
        <v>-1.0490339263924398e-11</v>
      </c>
      <c r="BA14" s="117">
        <f> Debt!BA$33</f>
        <v>-1.0490339263924398e-11</v>
      </c>
      <c r="BB14" s="117">
        <f> Debt!BB$33</f>
        <v>-1.0605617717374116e-11</v>
      </c>
      <c r="BC14" s="117">
        <f> Debt!BC$33</f>
        <v>-1.0605617717374116e-11</v>
      </c>
      <c r="BD14" s="117">
        <f> Debt!BD$33</f>
        <v>-1.037506081047468e-11</v>
      </c>
      <c r="BE14" s="117">
        <f> Debt!BE$33</f>
        <v>-1.0490339263924398e-11</v>
      </c>
      <c r="BF14" s="117">
        <f> Debt!BF$33</f>
        <v>-1.0605617717374116e-11</v>
      </c>
      <c r="BG14" s="117">
        <f> Debt!BG$33</f>
        <v>-1.0605617717374116e-11</v>
      </c>
      <c r="BH14" s="117">
        <f> Debt!BH$33</f>
        <v>-1.037506081047468e-11</v>
      </c>
      <c r="BI14" s="117">
        <f> Debt!BI$33</f>
        <v>-1.0490339263924398e-11</v>
      </c>
      <c r="BJ14" s="117">
        <f> Debt!BJ$33</f>
        <v>-1.0605617717374116e-11</v>
      </c>
      <c r="BK14" s="117">
        <f> Debt!BK$33</f>
        <v>-1.0605617717374116e-11</v>
      </c>
      <c r="BL14" s="117">
        <f> Debt!BL$33</f>
        <v>-1.037506081047468e-11</v>
      </c>
      <c r="BM14" s="117">
        <f> Debt!BM$33</f>
        <v>-1.0490339263924398e-11</v>
      </c>
      <c r="BN14" s="117">
        <f> Debt!BN$33</f>
        <v>-1.0605617717374116e-11</v>
      </c>
      <c r="BO14" s="117">
        <f> Debt!BO$33</f>
        <v>-1.0605617717374116e-11</v>
      </c>
      <c r="BP14" s="117">
        <f> Debt!BP$33</f>
        <v>-1.0490339263924398e-11</v>
      </c>
      <c r="BQ14" s="117">
        <f> Debt!BQ$33</f>
        <v>-1.0490339263924398e-11</v>
      </c>
      <c r="BR14" s="117">
        <f> Debt!BR$33</f>
        <v>-1.0605617717374116e-11</v>
      </c>
      <c r="BS14" s="117">
        <f> Debt!BS$33</f>
        <v>-1.0605617717374116e-11</v>
      </c>
      <c r="BT14" s="117">
        <f> Debt!BT$33</f>
        <v>-1.037506081047468e-11</v>
      </c>
      <c r="BU14" s="117">
        <f> Debt!BU$33</f>
        <v>-1.0490339263924398e-11</v>
      </c>
      <c r="BV14" s="117">
        <f> Debt!BV$33</f>
        <v>-1.0605617717374116e-11</v>
      </c>
      <c r="BW14" s="117">
        <f> Debt!BW$33</f>
        <v>-1.0605617717374116e-11</v>
      </c>
      <c r="BX14" s="117">
        <f> Debt!BX$33</f>
        <v>-1.037506081047468e-11</v>
      </c>
      <c r="BY14" s="117">
        <f> Debt!BY$33</f>
        <v>-1.0490339263924398e-11</v>
      </c>
      <c r="BZ14" s="117">
        <f> Debt!BZ$33</f>
        <v>-1.0605617717374116e-11</v>
      </c>
      <c r="CA14" s="117">
        <f> Debt!CA$33</f>
        <v>-1.0605617717374116e-11</v>
      </c>
      <c r="CB14" s="117">
        <f> Debt!CB$33</f>
        <v>-1.037506081047468e-11</v>
      </c>
      <c r="CC14" s="117">
        <f> Debt!CC$33</f>
        <v>-1.0490339263924398e-11</v>
      </c>
      <c r="CD14" s="117">
        <f> Debt!CD$33</f>
        <v>-1.0605617717374116e-11</v>
      </c>
      <c r="CE14" s="117">
        <f> Debt!CE$33</f>
        <v>-1.0605617717374116e-11</v>
      </c>
      <c r="CF14" s="117">
        <f> Debt!CF$33</f>
        <v>-1.0490339263924398e-11</v>
      </c>
      <c r="CG14" s="117">
        <f> Debt!CG$33</f>
        <v>-1.0490339263924398e-11</v>
      </c>
      <c r="CH14" s="117">
        <f> Debt!CH$33</f>
        <v>-1.0605617717374116e-11</v>
      </c>
      <c r="CI14" s="117">
        <f> Debt!CI$33</f>
        <v>-1.0605617717374116e-11</v>
      </c>
      <c r="CJ14" s="117">
        <f> Debt!CJ$33</f>
        <v>-1.037506081047468e-11</v>
      </c>
      <c r="CK14" s="117">
        <f> Debt!CK$33</f>
        <v>-1.0490339263924398e-11</v>
      </c>
      <c r="CL14" s="117">
        <f> Debt!CL$33</f>
        <v>-1.0605617717374116e-11</v>
      </c>
      <c r="CM14" s="117">
        <f> Debt!CM$33</f>
        <v>-1.0605617717374116e-11</v>
      </c>
      <c r="CN14" s="117">
        <f> Debt!CN$33</f>
        <v>-1.037506081047468e-11</v>
      </c>
      <c r="CO14" s="117">
        <f> Debt!CO$33</f>
        <v>-1.0490339263924398e-11</v>
      </c>
    </row>
    <row r="15" customFormat="1" s="150">
      <c r="A15" s="348" t="n"/>
      <c r="B15" s="348" t="n"/>
      <c r="C15" s="349" t="n"/>
      <c r="D15" s="193" t="n"/>
      <c r="E15" s="366" t="inlineStr">
        <is>
          <t>Profit before tax</t>
        </is>
      </c>
      <c r="F15" s="366" t="n"/>
      <c r="G15" s="366" t="inlineStr">
        <is>
          <t>$ 000s</t>
        </is>
      </c>
      <c r="H15" s="366">
        <f> SUM(J15:CO15)</f>
        <v>662904.2008258437</v>
      </c>
      <c r="I15" s="366" t="n"/>
      <c r="J15" s="366">
        <f> J11 + SUM(J13:J14)</f>
        <v>0.0</v>
      </c>
      <c r="K15" s="366">
        <f> K11 + SUM(K13:K14)</f>
        <v>0.0</v>
      </c>
      <c r="L15" s="366">
        <f> L11 + SUM(L13:L14)</f>
        <v>3000.958436712638</v>
      </c>
      <c r="M15" s="366">
        <f> M11 + SUM(M13:M14)</f>
        <v>2594.257277305236</v>
      </c>
      <c r="N15" s="366">
        <f> N11 + SUM(N13:N14)</f>
        <v>3106.5667767100317</v>
      </c>
      <c r="O15" s="366">
        <f> O11 + SUM(O13:O14)</f>
        <v>2721.560830000001</v>
      </c>
      <c r="P15" s="366">
        <f> P11 + SUM(P13:P14)</f>
        <v>3300.067314604569</v>
      </c>
      <c r="Q15" s="366">
        <f> Q11 + SUM(Q13:Q14)</f>
        <v>2931.0967593802093</v>
      </c>
      <c r="R15" s="366">
        <f> R11 + SUM(R13:R14)</f>
        <v>3491.4963003955127</v>
      </c>
      <c r="S15" s="366">
        <f> S11 + SUM(S13:S14)</f>
        <v>3123.694427055557</v>
      </c>
      <c r="T15" s="366">
        <f> T11 + SUM(T13:T14)</f>
        <v>3913.8877941814</v>
      </c>
      <c r="U15" s="366">
        <f> U11 + SUM(U13:U14)</f>
        <v>3509.025960520803</v>
      </c>
      <c r="V15" s="366">
        <f> V11 + SUM(V13:V14)</f>
        <v>4100.07106496987</v>
      </c>
      <c r="W15" s="366">
        <f> W11 + SUM(W13:W14)</f>
        <v>3686.9017198044403</v>
      </c>
      <c r="X15" s="366">
        <f> X11 + SUM(X13:X14)</f>
        <v>4246.684712442282</v>
      </c>
      <c r="Y15" s="366">
        <f> Y11 + SUM(Y13:Y14)</f>
        <v>3802.6497387685395</v>
      </c>
      <c r="Z15" s="366">
        <f> Z11 + SUM(Z13:Z14)</f>
        <v>4398.4025271915625</v>
      </c>
      <c r="AA15" s="366">
        <f> AA11 + SUM(AA13:AA14)</f>
        <v>3955.324326954126</v>
      </c>
      <c r="AB15" s="366">
        <f> AB11 + SUM(AB13:AB14)</f>
        <v>4504.060253815547</v>
      </c>
      <c r="AC15" s="366">
        <f> AC11 + SUM(AC13:AC14)</f>
        <v>4047.390342042704</v>
      </c>
      <c r="AD15" s="366">
        <f> AD11 + SUM(AD13:AD14)</f>
        <v>5338.886018528432</v>
      </c>
      <c r="AE15" s="366">
        <f> AE11 + SUM(AE13:AE14)</f>
        <v>4849.664460659839</v>
      </c>
      <c r="AF15" s="366">
        <f> AF11 + SUM(AF13:AF14)</f>
        <v>5479.795945433572</v>
      </c>
      <c r="AG15" s="366">
        <f> AG11 + SUM(AG13:AG14)</f>
        <v>4977.740084800379</v>
      </c>
      <c r="AH15" s="366">
        <f> AH11 + SUM(AH13:AH14)</f>
        <v>5653.641487973173</v>
      </c>
      <c r="AI15" s="366">
        <f> AI11 + SUM(AI13:AI14)</f>
        <v>5148.746616701852</v>
      </c>
      <c r="AJ15" s="366">
        <f> AJ11 + SUM(AJ13:AJ14)</f>
        <v>5816.864823796576</v>
      </c>
      <c r="AK15" s="366">
        <f> AK11 + SUM(AK13:AK14)</f>
        <v>5303.596731788826</v>
      </c>
      <c r="AL15" s="366">
        <f> AL11 + SUM(AL13:AL14)</f>
        <v>6000.352954834586</v>
      </c>
      <c r="AM15" s="366">
        <f> AM11 + SUM(AM13:AM14)</f>
        <v>6163.967993030656</v>
      </c>
      <c r="AN15" s="366">
        <f> AN11 + SUM(AN13:AN14)</f>
        <v>6971.638045549847</v>
      </c>
      <c r="AO15" s="366">
        <f> AO11 + SUM(AO13:AO14)</f>
        <v>6405.883079084584</v>
      </c>
      <c r="AP15" s="366">
        <f> AP11 + SUM(AP13:AP14)</f>
        <v>7169.230226777776</v>
      </c>
      <c r="AQ15" s="366">
        <f> AQ11 + SUM(AQ13:AQ14)</f>
        <v>6596.755921710458</v>
      </c>
      <c r="AR15" s="366">
        <f> AR11 + SUM(AR13:AR14)</f>
        <v>7373.162186916339</v>
      </c>
      <c r="AS15" s="366">
        <f> AS11 + SUM(AS13:AS14)</f>
        <v>6790.947349234895</v>
      </c>
      <c r="AT15" s="366">
        <f> AT11 + SUM(AT13:AT14)</f>
        <v>7544.463800247773</v>
      </c>
      <c r="AU15" s="366">
        <f> AU11 + SUM(AU13:AU14)</f>
        <v>6920.596377139547</v>
      </c>
      <c r="AV15" s="366">
        <f> AV11 + SUM(AV13:AV14)</f>
        <v>7760.332052523827</v>
      </c>
      <c r="AW15" s="366">
        <f> AW11 + SUM(AW13:AW14)</f>
        <v>7127.175769711937</v>
      </c>
      <c r="AX15" s="366">
        <f> AX11 + SUM(AX13:AX14)</f>
        <v>8795.061301851294</v>
      </c>
      <c r="AY15" s="366">
        <f> AY11 + SUM(AY13:AY14)</f>
        <v>8116.341314578696</v>
      </c>
      <c r="AZ15" s="366">
        <f> AZ11 + SUM(AZ13:AZ14)</f>
        <v>9003.433209320574</v>
      </c>
      <c r="BA15" s="366">
        <f> BA11 + SUM(BA13:BA14)</f>
        <v>8314.607653931535</v>
      </c>
      <c r="BB15" s="366">
        <f> BB11 + SUM(BB13:BB14)</f>
        <v>9164.163140906829</v>
      </c>
      <c r="BC15" s="366">
        <f> BC11 + SUM(BC13:BC14)</f>
        <v>8465.081554016053</v>
      </c>
      <c r="BD15" s="366">
        <f> BD11 + SUM(BD13:BD14)</f>
        <v>9352.286205600189</v>
      </c>
      <c r="BE15" s="366">
        <f> BE11 + SUM(BE13:BE14)</f>
        <v>8642.795883549481</v>
      </c>
      <c r="BF15" s="366">
        <f> BF11 + SUM(BF13:BF14)</f>
        <v>9517.838035134031</v>
      </c>
      <c r="BG15" s="366">
        <f> BG11 + SUM(BG13:BG14)</f>
        <v>8797.784000636533</v>
      </c>
      <c r="BH15" s="366">
        <f> BH11 + SUM(BH13:BH14)</f>
        <v>8926.141289528237</v>
      </c>
      <c r="BI15" s="366">
        <f> BI11 + SUM(BI13:BI14)</f>
        <v>9820.798965461428</v>
      </c>
      <c r="BJ15" s="366">
        <f> BJ11 + SUM(BJ13:BJ14)</f>
        <v>9084.603722885613</v>
      </c>
      <c r="BK15" s="366">
        <f> BK11 + SUM(BK13:BK14)</f>
        <v>9992.582096977949</v>
      </c>
      <c r="BL15" s="366">
        <f> BL11 + SUM(BL13:BL14)</f>
        <v>9295.425528214082</v>
      </c>
      <c r="BM15" s="366">
        <f> BM11 + SUM(BM13:BM14)</f>
        <v>10216.922934425265</v>
      </c>
      <c r="BN15" s="366">
        <f> BN11 + SUM(BN13:BN14)</f>
        <v>9458.64183457218</v>
      </c>
      <c r="BO15" s="366">
        <f> BO11 + SUM(BO13:BO14)</f>
        <v>10393.859559887285</v>
      </c>
      <c r="BP15" s="366">
        <f> BP11 + SUM(BP13:BP14)</f>
        <v>9624.288294060501</v>
      </c>
      <c r="BQ15" s="366">
        <f> BQ11 + SUM(BQ13:BQ14)</f>
        <v>9708.034117443362</v>
      </c>
      <c r="BR15" s="366">
        <f> BR11 + SUM(BR13:BR14)</f>
        <v>10664.216302617895</v>
      </c>
      <c r="BS15" s="366">
        <f> BS11 + SUM(BS13:BS14)</f>
        <v>9877.393817663544</v>
      </c>
      <c r="BT15" s="366">
        <f> BT11 + SUM(BT13:BT14)</f>
        <v>12514.479415711136</v>
      </c>
      <c r="BU15" s="366">
        <f> BU11 + SUM(BU13:BU14)</f>
        <v>11715.941807633326</v>
      </c>
      <c r="BV15" s="366">
        <f> BV11 + SUM(BV13:BV14)</f>
        <v>12700.809458363092</v>
      </c>
      <c r="BW15" s="366">
        <f> BW11 + SUM(BW13:BW14)</f>
        <v>12795.01227375108</v>
      </c>
      <c r="BX15" s="366">
        <f> BX11 + SUM(BX13:BX14)</f>
        <v>12889.913798182464</v>
      </c>
      <c r="BY15" s="366">
        <f> BY11 + SUM(BY13:BY14)</f>
        <v>12985.519214032374</v>
      </c>
      <c r="BZ15" s="366">
        <f> BZ11 + SUM(BZ13:BZ14)</f>
        <v>13081.83374211398</v>
      </c>
      <c r="CA15" s="366">
        <f> CA11 + SUM(CA13:CA14)</f>
        <v>13178.862641963613</v>
      </c>
      <c r="CB15" s="366">
        <f> CB11 + SUM(CB13:CB14)</f>
        <v>13276.611212127937</v>
      </c>
      <c r="CC15" s="366">
        <f> CC11 + SUM(CC13:CC14)</f>
        <v>13375.08479045334</v>
      </c>
      <c r="CD15" s="366">
        <f> CD11 + SUM(CD13:CD14)</f>
        <v>13474.288754377398</v>
      </c>
      <c r="CE15" s="366">
        <f> CE11 + SUM(CE13:CE14)</f>
        <v>13574.22852122251</v>
      </c>
      <c r="CF15" s="366">
        <f> CF11 + SUM(CF13:CF14)</f>
        <v>13674.90954849177</v>
      </c>
      <c r="CG15" s="366">
        <f> CG11 + SUM(CG13:CG14)</f>
        <v>13776.33733416694</v>
      </c>
      <c r="CH15" s="366">
        <f> CH11 + SUM(CH13:CH14)</f>
        <v>13878.517417008716</v>
      </c>
      <c r="CI15" s="366">
        <f> CI11 + SUM(CI13:CI14)</f>
        <v>13981.455376859183</v>
      </c>
      <c r="CJ15" s="366">
        <f> CJ11 + SUM(CJ13:CJ14)</f>
        <v>14085.15683494652</v>
      </c>
      <c r="CK15" s="366">
        <f> CK11 + SUM(CK13:CK14)</f>
        <v>14189.627454191945</v>
      </c>
      <c r="CL15" s="366">
        <f> CL11 + SUM(CL13:CL14)</f>
        <v>14294.872939518977</v>
      </c>
      <c r="CM15" s="366">
        <f> CM11 + SUM(CM13:CM14)</f>
        <v>14400.899038164956</v>
      </c>
      <c r="CN15" s="366">
        <f> CN11 + SUM(CN13:CN14)</f>
        <v>-1.037506081047468e-11</v>
      </c>
      <c r="CO15" s="366">
        <f> CO11 + SUM(CO13:CO14)</f>
        <v>-1.0490339263924398e-11</v>
      </c>
    </row>
    <row r="17" customFormat="1" s="169">
      <c r="A17" s="163" t="n"/>
      <c r="B17" s="163" t="n"/>
      <c r="C17" s="172" t="n"/>
      <c r="D17" s="88" t="n"/>
      <c r="E17" s="117" t="str">
        <f> Tax!E$38</f>
        <v>Tax expense</v>
      </c>
      <c r="F17" s="117" t="str">
        <f> Tax!F$38</f>
        <v>IS</v>
      </c>
      <c r="G17" s="117" t="str">
        <f> Tax!G$38</f>
        <v>$ 000s</v>
      </c>
      <c r="H17" s="117">
        <f> Tax!H$38</f>
        <v>-198871.26024775312</v>
      </c>
      <c r="I17" s="117">
        <f> Tax!I$38</f>
        <v>0.0</v>
      </c>
      <c r="J17" s="117">
        <f> Tax!J$38</f>
        <v>-0.0</v>
      </c>
      <c r="K17" s="117">
        <f> Tax!K$38</f>
        <v>-0.0</v>
      </c>
      <c r="L17" s="117">
        <f> Tax!L$38</f>
        <v>-900.2875310137914</v>
      </c>
      <c r="M17" s="117">
        <f> Tax!M$38</f>
        <v>-778.2771831915708</v>
      </c>
      <c r="N17" s="117">
        <f> Tax!N$38</f>
        <v>-931.9700330130095</v>
      </c>
      <c r="O17" s="117">
        <f> Tax!O$38</f>
        <v>-816.4682490000002</v>
      </c>
      <c r="P17" s="117">
        <f> Tax!P$38</f>
        <v>-990.0201943813707</v>
      </c>
      <c r="Q17" s="117">
        <f> Tax!Q$38</f>
        <v>-879.3290278140628</v>
      </c>
      <c r="R17" s="117">
        <f> Tax!R$38</f>
        <v>-1047.4488901186537</v>
      </c>
      <c r="S17" s="117">
        <f> Tax!S$38</f>
        <v>-937.108328116667</v>
      </c>
      <c r="T17" s="117">
        <f> Tax!T$38</f>
        <v>-1174.16633825442</v>
      </c>
      <c r="U17" s="117">
        <f> Tax!U$38</f>
        <v>-1052.707788156241</v>
      </c>
      <c r="V17" s="117">
        <f> Tax!V$38</f>
        <v>-1230.021319490961</v>
      </c>
      <c r="W17" s="117">
        <f> Tax!W$38</f>
        <v>-1106.0705159413321</v>
      </c>
      <c r="X17" s="117">
        <f> Tax!X$38</f>
        <v>-1274.0054137326845</v>
      </c>
      <c r="Y17" s="117">
        <f> Tax!Y$38</f>
        <v>-1140.7949216305617</v>
      </c>
      <c r="Z17" s="117">
        <f> Tax!Z$38</f>
        <v>-1319.5207581574687</v>
      </c>
      <c r="AA17" s="117">
        <f> Tax!AA$38</f>
        <v>-1186.5972980862377</v>
      </c>
      <c r="AB17" s="117">
        <f> Tax!AB$38</f>
        <v>-1351.218076144664</v>
      </c>
      <c r="AC17" s="117">
        <f> Tax!AC$38</f>
        <v>-1214.2171026128112</v>
      </c>
      <c r="AD17" s="117">
        <f> Tax!AD$38</f>
        <v>-1601.6658055585297</v>
      </c>
      <c r="AE17" s="117">
        <f> Tax!AE$38</f>
        <v>-1454.8993381979517</v>
      </c>
      <c r="AF17" s="117">
        <f> Tax!AF$38</f>
        <v>-1643.9387836300716</v>
      </c>
      <c r="AG17" s="117">
        <f> Tax!AG$38</f>
        <v>-1493.3220254401137</v>
      </c>
      <c r="AH17" s="117">
        <f> Tax!AH$38</f>
        <v>-1696.0924463919519</v>
      </c>
      <c r="AI17" s="117">
        <f> Tax!AI$38</f>
        <v>-1544.6239850105555</v>
      </c>
      <c r="AJ17" s="117">
        <f> Tax!AJ$38</f>
        <v>-1745.059447138973</v>
      </c>
      <c r="AK17" s="117">
        <f> Tax!AK$38</f>
        <v>-1591.0790195366478</v>
      </c>
      <c r="AL17" s="117">
        <f> Tax!AL$38</f>
        <v>-1800.1058864503757</v>
      </c>
      <c r="AM17" s="117">
        <f> Tax!AM$38</f>
        <v>-1849.1903979091967</v>
      </c>
      <c r="AN17" s="117">
        <f> Tax!AN$38</f>
        <v>-2091.491413664954</v>
      </c>
      <c r="AO17" s="117">
        <f> Tax!AO$38</f>
        <v>-1921.7649237253752</v>
      </c>
      <c r="AP17" s="117">
        <f> Tax!AP$38</f>
        <v>-2150.7690680333326</v>
      </c>
      <c r="AQ17" s="117">
        <f> Tax!AQ$38</f>
        <v>-1979.0267765131373</v>
      </c>
      <c r="AR17" s="117">
        <f> Tax!AR$38</f>
        <v>-2211.9486560749015</v>
      </c>
      <c r="AS17" s="117">
        <f> Tax!AS$38</f>
        <v>-2037.2842047704685</v>
      </c>
      <c r="AT17" s="117">
        <f> Tax!AT$38</f>
        <v>-2263.3391400743317</v>
      </c>
      <c r="AU17" s="117">
        <f> Tax!AU$38</f>
        <v>-2076.178913141864</v>
      </c>
      <c r="AV17" s="117">
        <f> Tax!AV$38</f>
        <v>-2328.099615757148</v>
      </c>
      <c r="AW17" s="117">
        <f> Tax!AW$38</f>
        <v>-2138.1527309135813</v>
      </c>
      <c r="AX17" s="117">
        <f> Tax!AX$38</f>
        <v>-2638.518390555388</v>
      </c>
      <c r="AY17" s="117">
        <f> Tax!AY$38</f>
        <v>-2434.902394373609</v>
      </c>
      <c r="AZ17" s="117">
        <f> Tax!AZ$38</f>
        <v>-2701.029962796172</v>
      </c>
      <c r="BA17" s="117">
        <f> Tax!BA$38</f>
        <v>-2494.3822961794604</v>
      </c>
      <c r="BB17" s="117">
        <f> Tax!BB$38</f>
        <v>-2749.2489422720487</v>
      </c>
      <c r="BC17" s="117">
        <f> Tax!BC$38</f>
        <v>-2539.524466204816</v>
      </c>
      <c r="BD17" s="117">
        <f> Tax!BD$38</f>
        <v>-2805.6858616800564</v>
      </c>
      <c r="BE17" s="117">
        <f> Tax!BE$38</f>
        <v>-2592.838765064844</v>
      </c>
      <c r="BF17" s="117">
        <f> Tax!BF$38</f>
        <v>-2855.351410540209</v>
      </c>
      <c r="BG17" s="117">
        <f> Tax!BG$38</f>
        <v>-2639.3352001909598</v>
      </c>
      <c r="BH17" s="117">
        <f> Tax!BH$38</f>
        <v>-2677.842386858471</v>
      </c>
      <c r="BI17" s="117">
        <f> Tax!BI$38</f>
        <v>-2946.2396896384284</v>
      </c>
      <c r="BJ17" s="117">
        <f> Tax!BJ$38</f>
        <v>-2725.381116865684</v>
      </c>
      <c r="BK17" s="117">
        <f> Tax!BK$38</f>
        <v>-2997.7746290933846</v>
      </c>
      <c r="BL17" s="117">
        <f> Tax!BL$38</f>
        <v>-2788.6276584642246</v>
      </c>
      <c r="BM17" s="117">
        <f> Tax!BM$38</f>
        <v>-3065.0768803275796</v>
      </c>
      <c r="BN17" s="117">
        <f> Tax!BN$38</f>
        <v>-2837.592550371654</v>
      </c>
      <c r="BO17" s="117">
        <f> Tax!BO$38</f>
        <v>-3118.1578679661857</v>
      </c>
      <c r="BP17" s="117">
        <f> Tax!BP$38</f>
        <v>-2887.28648821815</v>
      </c>
      <c r="BQ17" s="117">
        <f> Tax!BQ$38</f>
        <v>-2912.4102352330083</v>
      </c>
      <c r="BR17" s="117">
        <f> Tax!BR$38</f>
        <v>-3199.2648907853686</v>
      </c>
      <c r="BS17" s="117">
        <f> Tax!BS$38</f>
        <v>-2963.218145299063</v>
      </c>
      <c r="BT17" s="117">
        <f> Tax!BT$38</f>
        <v>-3754.3438247133404</v>
      </c>
      <c r="BU17" s="117">
        <f> Tax!BU$38</f>
        <v>-3514.7825422899978</v>
      </c>
      <c r="BV17" s="117">
        <f> Tax!BV$38</f>
        <v>-3810.2428375089276</v>
      </c>
      <c r="BW17" s="117">
        <f> Tax!BW$38</f>
        <v>-3838.5036821253234</v>
      </c>
      <c r="BX17" s="117">
        <f> Tax!BX$38</f>
        <v>-3866.974139454739</v>
      </c>
      <c r="BY17" s="117">
        <f> Tax!BY$38</f>
        <v>-3895.6557642097123</v>
      </c>
      <c r="BZ17" s="117">
        <f> Tax!BZ$38</f>
        <v>-3924.550122634194</v>
      </c>
      <c r="CA17" s="117">
        <f> Tax!CA$38</f>
        <v>-3953.6587925890835</v>
      </c>
      <c r="CB17" s="117">
        <f> Tax!CB$38</f>
        <v>-3982.983363638381</v>
      </c>
      <c r="CC17" s="117">
        <f> Tax!CC$38</f>
        <v>-4012.525437136002</v>
      </c>
      <c r="CD17" s="117">
        <f> Tax!CD$38</f>
        <v>-4042.286626313219</v>
      </c>
      <c r="CE17" s="117">
        <f> Tax!CE$38</f>
        <v>-4072.268556366753</v>
      </c>
      <c r="CF17" s="117">
        <f> Tax!CF$38</f>
        <v>-4102.472864547531</v>
      </c>
      <c r="CG17" s="117">
        <f> Tax!CG$38</f>
        <v>-4132.901200250081</v>
      </c>
      <c r="CH17" s="117">
        <f> Tax!CH$38</f>
        <v>-4163.555225102615</v>
      </c>
      <c r="CI17" s="117">
        <f> Tax!CI$38</f>
        <v>-4194.436613057755</v>
      </c>
      <c r="CJ17" s="117">
        <f> Tax!CJ$38</f>
        <v>-4225.547050483956</v>
      </c>
      <c r="CK17" s="117">
        <f> Tax!CK$38</f>
        <v>-4256.888236257583</v>
      </c>
      <c r="CL17" s="117">
        <f> Tax!CL$38</f>
        <v>-4288.461881855693</v>
      </c>
      <c r="CM17" s="117">
        <f> Tax!CM$38</f>
        <v>-4320.269711449487</v>
      </c>
      <c r="CN17" s="117">
        <f> Tax!CN$38</f>
        <v>3.1125182431424037e-12</v>
      </c>
      <c r="CO17" s="117">
        <f> Tax!CO$38</f>
        <v>3.147101779177319e-12</v>
      </c>
    </row>
    <row r="18" customFormat="1" s="150">
      <c r="A18" s="348" t="n"/>
      <c r="B18" s="348" t="n"/>
      <c r="C18" s="349" t="n"/>
      <c r="D18" s="193" t="n"/>
      <c r="E18" s="366" t="inlineStr">
        <is>
          <t>Profit after tax</t>
        </is>
      </c>
      <c r="F18" s="366" t="n"/>
      <c r="G18" s="366" t="inlineStr">
        <is>
          <t>$ 000s</t>
        </is>
      </c>
      <c r="H18" s="366">
        <f> SUM(J18:CO18)</f>
        <v>464032.9405780906</v>
      </c>
      <c r="I18" s="366" t="n"/>
      <c r="J18" s="366">
        <f> J15 + J17</f>
        <v>0.0</v>
      </c>
      <c r="K18" s="366">
        <f> K15 + K17</f>
        <v>0.0</v>
      </c>
      <c r="L18" s="366">
        <f> L15 + L17</f>
        <v>2100.6709056988466</v>
      </c>
      <c r="M18" s="366">
        <f> M15 + M17</f>
        <v>1815.9800941136655</v>
      </c>
      <c r="N18" s="366">
        <f> N15 + N17</f>
        <v>2174.5967436970222</v>
      </c>
      <c r="O18" s="366">
        <f> O15 + O17</f>
        <v>1905.0925810000006</v>
      </c>
      <c r="P18" s="366">
        <f> P15 + P17</f>
        <v>2310.0471202231984</v>
      </c>
      <c r="Q18" s="366">
        <f> Q15 + Q17</f>
        <v>2051.7677315661467</v>
      </c>
      <c r="R18" s="366">
        <f> R15 + R17</f>
        <v>2444.047410276859</v>
      </c>
      <c r="S18" s="366">
        <f> S15 + S17</f>
        <v>2186.58609893889</v>
      </c>
      <c r="T18" s="366">
        <f> T15 + T17</f>
        <v>2739.7214559269796</v>
      </c>
      <c r="U18" s="366">
        <f> U15 + U17</f>
        <v>2456.318172364562</v>
      </c>
      <c r="V18" s="366">
        <f> V15 + V17</f>
        <v>2870.0497454789092</v>
      </c>
      <c r="W18" s="366">
        <f> W15 + W17</f>
        <v>2580.8312038631084</v>
      </c>
      <c r="X18" s="366">
        <f> X15 + X17</f>
        <v>2972.679298709598</v>
      </c>
      <c r="Y18" s="366">
        <f> Y15 + Y17</f>
        <v>2661.854817137978</v>
      </c>
      <c r="Z18" s="366">
        <f> Z15 + Z17</f>
        <v>3078.881769034094</v>
      </c>
      <c r="AA18" s="366">
        <f> AA15 + AA17</f>
        <v>2768.7270288678883</v>
      </c>
      <c r="AB18" s="366">
        <f> AB15 + AB17</f>
        <v>3152.842177670883</v>
      </c>
      <c r="AC18" s="366">
        <f> AC15 + AC17</f>
        <v>2833.173239429893</v>
      </c>
      <c r="AD18" s="366">
        <f> AD15 + AD17</f>
        <v>3737.2202129699026</v>
      </c>
      <c r="AE18" s="366">
        <f> AE15 + AE17</f>
        <v>3394.7651224618876</v>
      </c>
      <c r="AF18" s="366">
        <f> AF15 + AF17</f>
        <v>3835.8571618035007</v>
      </c>
      <c r="AG18" s="366">
        <f> AG15 + AG17</f>
        <v>3484.418059360265</v>
      </c>
      <c r="AH18" s="366">
        <f> AH15 + AH17</f>
        <v>3957.549041581221</v>
      </c>
      <c r="AI18" s="366">
        <f> AI15 + AI17</f>
        <v>3604.122631691296</v>
      </c>
      <c r="AJ18" s="366">
        <f> AJ15 + AJ17</f>
        <v>4071.805376657603</v>
      </c>
      <c r="AK18" s="366">
        <f> AK15 + AK17</f>
        <v>3712.517712252178</v>
      </c>
      <c r="AL18" s="366">
        <f> AL15 + AL17</f>
        <v>4200.24706838421</v>
      </c>
      <c r="AM18" s="366">
        <f> AM15 + AM17</f>
        <v>4314.777595121459</v>
      </c>
      <c r="AN18" s="366">
        <f> AN15 + AN17</f>
        <v>4880.146631884893</v>
      </c>
      <c r="AO18" s="366">
        <f> AO15 + AO17</f>
        <v>4484.118155359209</v>
      </c>
      <c r="AP18" s="366">
        <f> AP15 + AP17</f>
        <v>5018.461158744443</v>
      </c>
      <c r="AQ18" s="366">
        <f> AQ15 + AQ17</f>
        <v>4617.729145197321</v>
      </c>
      <c r="AR18" s="366">
        <f> AR15 + AR17</f>
        <v>5161.213530841438</v>
      </c>
      <c r="AS18" s="366">
        <f> AS15 + AS17</f>
        <v>4753.663144464426</v>
      </c>
      <c r="AT18" s="366">
        <f> AT15 + AT17</f>
        <v>5281.124660173442</v>
      </c>
      <c r="AU18" s="366">
        <f> AU15 + AU17</f>
        <v>4844.417463997683</v>
      </c>
      <c r="AV18" s="366">
        <f> AV15 + AV17</f>
        <v>5432.232436766679</v>
      </c>
      <c r="AW18" s="366">
        <f> AW15 + AW17</f>
        <v>4989.023038798356</v>
      </c>
      <c r="AX18" s="366">
        <f> AX15 + AX17</f>
        <v>6156.542911295906</v>
      </c>
      <c r="AY18" s="366">
        <f> AY15 + AY17</f>
        <v>5681.438920205088</v>
      </c>
      <c r="AZ18" s="366">
        <f> AZ15 + AZ17</f>
        <v>6302.403246524402</v>
      </c>
      <c r="BA18" s="366">
        <f> BA15 + BA17</f>
        <v>5820.225357752074</v>
      </c>
      <c r="BB18" s="366">
        <f> BB15 + BB17</f>
        <v>6414.91419863478</v>
      </c>
      <c r="BC18" s="366">
        <f> BC15 + BC17</f>
        <v>5925.557087811238</v>
      </c>
      <c r="BD18" s="366">
        <f> BD15 + BD17</f>
        <v>6546.600343920132</v>
      </c>
      <c r="BE18" s="366">
        <f> BE15 + BE17</f>
        <v>6049.957118484637</v>
      </c>
      <c r="BF18" s="366">
        <f> BF15 + BF17</f>
        <v>6662.486624593822</v>
      </c>
      <c r="BG18" s="366">
        <f> BG15 + BG17</f>
        <v>6158.448800445573</v>
      </c>
      <c r="BH18" s="366">
        <f> BH15 + BH17</f>
        <v>6248.298902669767</v>
      </c>
      <c r="BI18" s="366">
        <f> BI15 + BI17</f>
        <v>6874.559275823</v>
      </c>
      <c r="BJ18" s="366">
        <f> BJ15 + BJ17</f>
        <v>6359.222606019929</v>
      </c>
      <c r="BK18" s="366">
        <f> BK15 + BK17</f>
        <v>6994.807467884564</v>
      </c>
      <c r="BL18" s="366">
        <f> BL15 + BL17</f>
        <v>6506.797869749857</v>
      </c>
      <c r="BM18" s="366">
        <f> BM15 + BM17</f>
        <v>7151.846054097686</v>
      </c>
      <c r="BN18" s="366">
        <f> BN15 + BN17</f>
        <v>6621.049284200526</v>
      </c>
      <c r="BO18" s="366">
        <f> BO15 + BO17</f>
        <v>7275.7016919211</v>
      </c>
      <c r="BP18" s="366">
        <f> BP15 + BP17</f>
        <v>6737.001805842351</v>
      </c>
      <c r="BQ18" s="366">
        <f> BQ15 + BQ17</f>
        <v>6795.623882210353</v>
      </c>
      <c r="BR18" s="366">
        <f> BR15 + BR17</f>
        <v>7464.951411832526</v>
      </c>
      <c r="BS18" s="366">
        <f> BS15 + BS17</f>
        <v>6914.175672364481</v>
      </c>
      <c r="BT18" s="366">
        <f> BT15 + BT17</f>
        <v>8760.135590997796</v>
      </c>
      <c r="BU18" s="366">
        <f> BU15 + BU17</f>
        <v>8201.159265343329</v>
      </c>
      <c r="BV18" s="366">
        <f> BV15 + BV17</f>
        <v>8890.566620854164</v>
      </c>
      <c r="BW18" s="366">
        <f> BW15 + BW17</f>
        <v>8956.508591625756</v>
      </c>
      <c r="BX18" s="366">
        <f> BX15 + BX17</f>
        <v>9022.939658727726</v>
      </c>
      <c r="BY18" s="366">
        <f> BY15 + BY17</f>
        <v>9089.863449822662</v>
      </c>
      <c r="BZ18" s="366">
        <f> BZ15 + BZ17</f>
        <v>9157.283619479786</v>
      </c>
      <c r="CA18" s="366">
        <f> CA15 + CA17</f>
        <v>9225.20384937453</v>
      </c>
      <c r="CB18" s="366">
        <f> CB15 + CB17</f>
        <v>9293.627848489556</v>
      </c>
      <c r="CC18" s="366">
        <f> CC15 + CC17</f>
        <v>9362.559353317338</v>
      </c>
      <c r="CD18" s="366">
        <f> CD15 + CD17</f>
        <v>9432.002128064178</v>
      </c>
      <c r="CE18" s="366">
        <f> CE15 + CE17</f>
        <v>9501.959964855758</v>
      </c>
      <c r="CF18" s="366">
        <f> CF15 + CF17</f>
        <v>9572.436683944241</v>
      </c>
      <c r="CG18" s="366">
        <f> CG15 + CG17</f>
        <v>9643.436133916857</v>
      </c>
      <c r="CH18" s="366">
        <f> CH15 + CH17</f>
        <v>9714.962191906101</v>
      </c>
      <c r="CI18" s="366">
        <f> CI15 + CI17</f>
        <v>9787.018763801429</v>
      </c>
      <c r="CJ18" s="366">
        <f> CJ15 + CJ17</f>
        <v>9859.609784462564</v>
      </c>
      <c r="CK18" s="366">
        <f> CK15 + CK17</f>
        <v>9932.739217934362</v>
      </c>
      <c r="CL18" s="366">
        <f> CL15 + CL17</f>
        <v>10006.411057663285</v>
      </c>
      <c r="CM18" s="366">
        <f> CM15 + CM17</f>
        <v>10080.629326715469</v>
      </c>
      <c r="CN18" s="366">
        <f> CN15 + CN17</f>
        <v>-7.262542567332276e-12</v>
      </c>
      <c r="CO18" s="366">
        <f> CO15 + CO17</f>
        <v>-7.343237484747079e-12</v>
      </c>
    </row>
    <row r="20" customFormat="1" s="169">
      <c r="A20" s="163" t="n"/>
      <c r="B20" s="163" t="n"/>
      <c r="C20" s="172" t="n"/>
      <c r="D20" s="88" t="n"/>
      <c r="E20" s="117" t="str">
        <f> Equity!E$40</f>
        <v>Dividend declared and paid</v>
      </c>
      <c r="F20" s="117" t="str">
        <f> Equity!F$40</f>
        <v>IS&amp;CF</v>
      </c>
      <c r="G20" s="117" t="str">
        <f> Equity!G$40</f>
        <v>$ 000s</v>
      </c>
      <c r="H20" s="117">
        <f> Equity!H$40</f>
        <v>-464032.94057809055</v>
      </c>
      <c r="I20" s="117">
        <f> Equity!I$40</f>
        <v>0.0</v>
      </c>
      <c r="J20" s="117">
        <f> Equity!J$40</f>
        <v>-0.0</v>
      </c>
      <c r="K20" s="117">
        <f> Equity!K$40</f>
        <v>-0.0</v>
      </c>
      <c r="L20" s="117">
        <f> Equity!L$40</f>
        <v>-2100.6709056988466</v>
      </c>
      <c r="M20" s="117">
        <f> Equity!M$40</f>
        <v>-1815.9800941136655</v>
      </c>
      <c r="N20" s="117">
        <f> Equity!N$40</f>
        <v>-2174.5967436970222</v>
      </c>
      <c r="O20" s="117">
        <f> Equity!O$40</f>
        <v>-1905.0925810000006</v>
      </c>
      <c r="P20" s="117">
        <f> Equity!P$40</f>
        <v>-2310.0471202231984</v>
      </c>
      <c r="Q20" s="117">
        <f> Equity!Q$40</f>
        <v>-2051.7677315661467</v>
      </c>
      <c r="R20" s="117">
        <f> Equity!R$40</f>
        <v>-2444.047410276859</v>
      </c>
      <c r="S20" s="117">
        <f> Equity!S$40</f>
        <v>-2186.58609893889</v>
      </c>
      <c r="T20" s="117">
        <f> Equity!T$40</f>
        <v>-2739.7214559269796</v>
      </c>
      <c r="U20" s="117">
        <f> Equity!U$40</f>
        <v>-2456.318172364562</v>
      </c>
      <c r="V20" s="117">
        <f> Equity!V$40</f>
        <v>-2870.0497454789092</v>
      </c>
      <c r="W20" s="117">
        <f> Equity!W$40</f>
        <v>-2580.8312038631084</v>
      </c>
      <c r="X20" s="117">
        <f> Equity!X$40</f>
        <v>-2972.679298709598</v>
      </c>
      <c r="Y20" s="117">
        <f> Equity!Y$40</f>
        <v>-2661.854817137978</v>
      </c>
      <c r="Z20" s="117">
        <f> Equity!Z$40</f>
        <v>-3078.881769034094</v>
      </c>
      <c r="AA20" s="117">
        <f> Equity!AA$40</f>
        <v>-2768.7270288678883</v>
      </c>
      <c r="AB20" s="117">
        <f> Equity!AB$40</f>
        <v>-3152.842177670883</v>
      </c>
      <c r="AC20" s="117">
        <f> Equity!AC$40</f>
        <v>-2833.173239429893</v>
      </c>
      <c r="AD20" s="117">
        <f> Equity!AD$40</f>
        <v>-3737.2202129699026</v>
      </c>
      <c r="AE20" s="117">
        <f> Equity!AE$40</f>
        <v>-3394.7651224618876</v>
      </c>
      <c r="AF20" s="117">
        <f> Equity!AF$40</f>
        <v>-3835.8571618035007</v>
      </c>
      <c r="AG20" s="117">
        <f> Equity!AG$40</f>
        <v>-3484.418059360265</v>
      </c>
      <c r="AH20" s="117">
        <f> Equity!AH$40</f>
        <v>-3957.549041581221</v>
      </c>
      <c r="AI20" s="117">
        <f> Equity!AI$40</f>
        <v>-3604.122631691296</v>
      </c>
      <c r="AJ20" s="117">
        <f> Equity!AJ$40</f>
        <v>-4071.805376657603</v>
      </c>
      <c r="AK20" s="117">
        <f> Equity!AK$40</f>
        <v>-3712.517712252178</v>
      </c>
      <c r="AL20" s="117">
        <f> Equity!AL$40</f>
        <v>-4200.24706838421</v>
      </c>
      <c r="AM20" s="117">
        <f> Equity!AM$40</f>
        <v>-4314.777595121459</v>
      </c>
      <c r="AN20" s="117">
        <f> Equity!AN$40</f>
        <v>-4880.146631884893</v>
      </c>
      <c r="AO20" s="117">
        <f> Equity!AO$40</f>
        <v>-4484.118155359209</v>
      </c>
      <c r="AP20" s="117">
        <f> Equity!AP$40</f>
        <v>-5018.461158744443</v>
      </c>
      <c r="AQ20" s="117">
        <f> Equity!AQ$40</f>
        <v>-3977.9688965106834</v>
      </c>
      <c r="AR20" s="117">
        <f> Equity!AR$40</f>
        <v>-4701.8472342003215</v>
      </c>
      <c r="AS20" s="117">
        <f> Equity!AS$40</f>
        <v>-5852.78968979218</v>
      </c>
      <c r="AT20" s="117">
        <f> Equity!AT$40</f>
        <v>-5281.124660173442</v>
      </c>
      <c r="AU20" s="117">
        <f> Equity!AU$40</f>
        <v>-4844.417463997683</v>
      </c>
      <c r="AV20" s="117">
        <f> Equity!AV$40</f>
        <v>-5432.232436766679</v>
      </c>
      <c r="AW20" s="117">
        <f> Equity!AW$40</f>
        <v>-4989.023038798356</v>
      </c>
      <c r="AX20" s="117">
        <f> Equity!AX$40</f>
        <v>-6156.542911295906</v>
      </c>
      <c r="AY20" s="117">
        <f> Equity!AY$40</f>
        <v>-5681.438920205088</v>
      </c>
      <c r="AZ20" s="117">
        <f> Equity!AZ$40</f>
        <v>-6302.403246524402</v>
      </c>
      <c r="BA20" s="117">
        <f> Equity!BA$40</f>
        <v>-5820.225357752074</v>
      </c>
      <c r="BB20" s="117">
        <f> Equity!BB$40</f>
        <v>-6414.91419863478</v>
      </c>
      <c r="BC20" s="117">
        <f> Equity!BC$40</f>
        <v>-5925.557087811238</v>
      </c>
      <c r="BD20" s="117">
        <f> Equity!BD$40</f>
        <v>-6546.600343920132</v>
      </c>
      <c r="BE20" s="117">
        <f> Equity!BE$40</f>
        <v>-6049.957118484637</v>
      </c>
      <c r="BF20" s="117">
        <f> Equity!BF$40</f>
        <v>-6662.486624593822</v>
      </c>
      <c r="BG20" s="117">
        <f> Equity!BG$40</f>
        <v>-6158.448800445573</v>
      </c>
      <c r="BH20" s="117">
        <f> Equity!BH$40</f>
        <v>-6248.298902669767</v>
      </c>
      <c r="BI20" s="117">
        <f> Equity!BI$40</f>
        <v>-6874.559275823</v>
      </c>
      <c r="BJ20" s="117">
        <f> Equity!BJ$40</f>
        <v>-6359.222606019929</v>
      </c>
      <c r="BK20" s="117">
        <f> Equity!BK$40</f>
        <v>-6994.807467884564</v>
      </c>
      <c r="BL20" s="117">
        <f> Equity!BL$40</f>
        <v>-6506.797869749857</v>
      </c>
      <c r="BM20" s="117">
        <f> Equity!BM$40</f>
        <v>-7151.846054097686</v>
      </c>
      <c r="BN20" s="117">
        <f> Equity!BN$40</f>
        <v>-6621.049284200526</v>
      </c>
      <c r="BO20" s="117">
        <f> Equity!BO$40</f>
        <v>-7275.7016919211</v>
      </c>
      <c r="BP20" s="117">
        <f> Equity!BP$40</f>
        <v>-6737.001805842351</v>
      </c>
      <c r="BQ20" s="117">
        <f> Equity!BQ$40</f>
        <v>-6795.623882210353</v>
      </c>
      <c r="BR20" s="117">
        <f> Equity!BR$40</f>
        <v>-7464.951411832526</v>
      </c>
      <c r="BS20" s="117">
        <f> Equity!BS$40</f>
        <v>-6914.175672364481</v>
      </c>
      <c r="BT20" s="117">
        <f> Equity!BT$40</f>
        <v>-8760.135590997796</v>
      </c>
      <c r="BU20" s="117">
        <f> Equity!BU$40</f>
        <v>-8201.159265343329</v>
      </c>
      <c r="BV20" s="117">
        <f> Equity!BV$40</f>
        <v>-8890.566620854164</v>
      </c>
      <c r="BW20" s="117">
        <f> Equity!BW$40</f>
        <v>-8956.508591625756</v>
      </c>
      <c r="BX20" s="117">
        <f> Equity!BX$40</f>
        <v>-9022.939658727726</v>
      </c>
      <c r="BY20" s="117">
        <f> Equity!BY$40</f>
        <v>-9089.863449822662</v>
      </c>
      <c r="BZ20" s="117">
        <f> Equity!BZ$40</f>
        <v>-9157.283619479786</v>
      </c>
      <c r="CA20" s="117">
        <f> Equity!CA$40</f>
        <v>-9225.20384937453</v>
      </c>
      <c r="CB20" s="117">
        <f> Equity!CB$40</f>
        <v>-9293.627848489556</v>
      </c>
      <c r="CC20" s="117">
        <f> Equity!CC$40</f>
        <v>-9362.559353317338</v>
      </c>
      <c r="CD20" s="117">
        <f> Equity!CD$40</f>
        <v>-9432.002128064178</v>
      </c>
      <c r="CE20" s="117">
        <f> Equity!CE$40</f>
        <v>-9501.959964855758</v>
      </c>
      <c r="CF20" s="117">
        <f> Equity!CF$40</f>
        <v>-9572.436683944241</v>
      </c>
      <c r="CG20" s="117">
        <f> Equity!CG$40</f>
        <v>-9643.436133916857</v>
      </c>
      <c r="CH20" s="117">
        <f> Equity!CH$40</f>
        <v>-9714.962191906101</v>
      </c>
      <c r="CI20" s="117">
        <f> Equity!CI$40</f>
        <v>-9787.018763801429</v>
      </c>
      <c r="CJ20" s="117">
        <f> Equity!CJ$40</f>
        <v>-9859.609784462564</v>
      </c>
      <c r="CK20" s="117">
        <f> Equity!CK$40</f>
        <v>-9932.739217934362</v>
      </c>
      <c r="CL20" s="117">
        <f> Equity!CL$40</f>
        <v>-10006.411057663285</v>
      </c>
      <c r="CM20" s="117">
        <f> Equity!CM$40</f>
        <v>-8269.8628361624</v>
      </c>
      <c r="CN20" s="117">
        <f> Equity!CN$40</f>
        <v>-1810.7664905530619</v>
      </c>
      <c r="CO20" s="117">
        <f> Equity!CO$40</f>
        <v>-0.0</v>
      </c>
    </row>
    <row r="21">
      <c r="E21" s="168" t="inlineStr">
        <is>
          <t>Retained earnings</t>
        </is>
      </c>
      <c r="F21" s="168" t="n"/>
      <c r="G21" s="168" t="inlineStr">
        <is>
          <t>$ 000s</t>
        </is>
      </c>
      <c r="H21" s="168">
        <f> SUM(J21:CO21)</f>
        <v>-7.343237484747079e-12</v>
      </c>
      <c r="I21" s="168" t="n"/>
      <c r="J21" s="168">
        <f> J18 + SUM(J20:J20)</f>
        <v>0.0</v>
      </c>
      <c r="K21" s="168">
        <f> K18 + SUM(K20:K20)</f>
        <v>0.0</v>
      </c>
      <c r="L21" s="168">
        <f> L18 + SUM(L20:L20)</f>
        <v>0.0</v>
      </c>
      <c r="M21" s="168">
        <f> M18 + SUM(M20:M20)</f>
        <v>0.0</v>
      </c>
      <c r="N21" s="168">
        <f> N18 + SUM(N20:N20)</f>
        <v>0.0</v>
      </c>
      <c r="O21" s="168">
        <f> O18 + SUM(O20:O20)</f>
        <v>0.0</v>
      </c>
      <c r="P21" s="168">
        <f> P18 + SUM(P20:P20)</f>
        <v>0.0</v>
      </c>
      <c r="Q21" s="168">
        <f> Q18 + SUM(Q20:Q20)</f>
        <v>0.0</v>
      </c>
      <c r="R21" s="168">
        <f> R18 + SUM(R20:R20)</f>
        <v>0.0</v>
      </c>
      <c r="S21" s="168">
        <f> S18 + SUM(S20:S20)</f>
        <v>0.0</v>
      </c>
      <c r="T21" s="168">
        <f> T18 + SUM(T20:T20)</f>
        <v>0.0</v>
      </c>
      <c r="U21" s="168">
        <f> U18 + SUM(U20:U20)</f>
        <v>0.0</v>
      </c>
      <c r="V21" s="168">
        <f> V18 + SUM(V20:V20)</f>
        <v>0.0</v>
      </c>
      <c r="W21" s="168">
        <f> W18 + SUM(W20:W20)</f>
        <v>0.0</v>
      </c>
      <c r="X21" s="168">
        <f> X18 + SUM(X20:X20)</f>
        <v>0.0</v>
      </c>
      <c r="Y21" s="168">
        <f> Y18 + SUM(Y20:Y20)</f>
        <v>0.0</v>
      </c>
      <c r="Z21" s="168">
        <f> Z18 + SUM(Z20:Z20)</f>
        <v>0.0</v>
      </c>
      <c r="AA21" s="168">
        <f> AA18 + SUM(AA20:AA20)</f>
        <v>0.0</v>
      </c>
      <c r="AB21" s="168">
        <f> AB18 + SUM(AB20:AB20)</f>
        <v>0.0</v>
      </c>
      <c r="AC21" s="168">
        <f> AC18 + SUM(AC20:AC20)</f>
        <v>0.0</v>
      </c>
      <c r="AD21" s="168">
        <f> AD18 + SUM(AD20:AD20)</f>
        <v>0.0</v>
      </c>
      <c r="AE21" s="168">
        <f> AE18 + SUM(AE20:AE20)</f>
        <v>0.0</v>
      </c>
      <c r="AF21" s="168">
        <f> AF18 + SUM(AF20:AF20)</f>
        <v>0.0</v>
      </c>
      <c r="AG21" s="168">
        <f> AG18 + SUM(AG20:AG20)</f>
        <v>0.0</v>
      </c>
      <c r="AH21" s="168">
        <f> AH18 + SUM(AH20:AH20)</f>
        <v>0.0</v>
      </c>
      <c r="AI21" s="168">
        <f> AI18 + SUM(AI20:AI20)</f>
        <v>0.0</v>
      </c>
      <c r="AJ21" s="168">
        <f> AJ18 + SUM(AJ20:AJ20)</f>
        <v>0.0</v>
      </c>
      <c r="AK21" s="168">
        <f> AK18 + SUM(AK20:AK20)</f>
        <v>0.0</v>
      </c>
      <c r="AL21" s="168">
        <f> AL18 + SUM(AL20:AL20)</f>
        <v>0.0</v>
      </c>
      <c r="AM21" s="168">
        <f> AM18 + SUM(AM20:AM20)</f>
        <v>0.0</v>
      </c>
      <c r="AN21" s="168">
        <f> AN18 + SUM(AN20:AN20)</f>
        <v>0.0</v>
      </c>
      <c r="AO21" s="168">
        <f> AO18 + SUM(AO20:AO20)</f>
        <v>0.0</v>
      </c>
      <c r="AP21" s="168">
        <f> AP18 + SUM(AP20:AP20)</f>
        <v>0.0</v>
      </c>
      <c r="AQ21" s="168">
        <f> AQ18 + SUM(AQ20:AQ20)</f>
        <v>639.7602486866372</v>
      </c>
      <c r="AR21" s="168">
        <f> AR18 + SUM(AR20:AR20)</f>
        <v>459.3662966411166</v>
      </c>
      <c r="AS21" s="168">
        <f> AS18 + SUM(AS20:AS20)</f>
        <v>-1099.1265453277538</v>
      </c>
      <c r="AT21" s="168">
        <f> AT18 + SUM(AT20:AT20)</f>
        <v>0.0</v>
      </c>
      <c r="AU21" s="168">
        <f> AU18 + SUM(AU20:AU20)</f>
        <v>0.0</v>
      </c>
      <c r="AV21" s="168">
        <f> AV18 + SUM(AV20:AV20)</f>
        <v>0.0</v>
      </c>
      <c r="AW21" s="168">
        <f> AW18 + SUM(AW20:AW20)</f>
        <v>0.0</v>
      </c>
      <c r="AX21" s="168">
        <f> AX18 + SUM(AX20:AX20)</f>
        <v>0.0</v>
      </c>
      <c r="AY21" s="168">
        <f> AY18 + SUM(AY20:AY20)</f>
        <v>0.0</v>
      </c>
      <c r="AZ21" s="168">
        <f> AZ18 + SUM(AZ20:AZ20)</f>
        <v>0.0</v>
      </c>
      <c r="BA21" s="168">
        <f> BA18 + SUM(BA20:BA20)</f>
        <v>0.0</v>
      </c>
      <c r="BB21" s="168">
        <f> BB18 + SUM(BB20:BB20)</f>
        <v>0.0</v>
      </c>
      <c r="BC21" s="168">
        <f> BC18 + SUM(BC20:BC20)</f>
        <v>0.0</v>
      </c>
      <c r="BD21" s="168">
        <f> BD18 + SUM(BD20:BD20)</f>
        <v>0.0</v>
      </c>
      <c r="BE21" s="168">
        <f> BE18 + SUM(BE20:BE20)</f>
        <v>0.0</v>
      </c>
      <c r="BF21" s="168">
        <f> BF18 + SUM(BF20:BF20)</f>
        <v>0.0</v>
      </c>
      <c r="BG21" s="168">
        <f> BG18 + SUM(BG20:BG20)</f>
        <v>0.0</v>
      </c>
      <c r="BH21" s="168">
        <f> BH18 + SUM(BH20:BH20)</f>
        <v>0.0</v>
      </c>
      <c r="BI21" s="168">
        <f> BI18 + SUM(BI20:BI20)</f>
        <v>0.0</v>
      </c>
      <c r="BJ21" s="168">
        <f> BJ18 + SUM(BJ20:BJ20)</f>
        <v>0.0</v>
      </c>
      <c r="BK21" s="168">
        <f> BK18 + SUM(BK20:BK20)</f>
        <v>0.0</v>
      </c>
      <c r="BL21" s="168">
        <f> BL18 + SUM(BL20:BL20)</f>
        <v>0.0</v>
      </c>
      <c r="BM21" s="168">
        <f> BM18 + SUM(BM20:BM20)</f>
        <v>0.0</v>
      </c>
      <c r="BN21" s="168">
        <f> BN18 + SUM(BN20:BN20)</f>
        <v>0.0</v>
      </c>
      <c r="BO21" s="168">
        <f> BO18 + SUM(BO20:BO20)</f>
        <v>0.0</v>
      </c>
      <c r="BP21" s="168">
        <f> BP18 + SUM(BP20:BP20)</f>
        <v>0.0</v>
      </c>
      <c r="BQ21" s="168">
        <f> BQ18 + SUM(BQ20:BQ20)</f>
        <v>0.0</v>
      </c>
      <c r="BR21" s="168">
        <f> BR18 + SUM(BR20:BR20)</f>
        <v>0.0</v>
      </c>
      <c r="BS21" s="168">
        <f> BS18 + SUM(BS20:BS20)</f>
        <v>0.0</v>
      </c>
      <c r="BT21" s="168">
        <f> BT18 + SUM(BT20:BT20)</f>
        <v>0.0</v>
      </c>
      <c r="BU21" s="168">
        <f> BU18 + SUM(BU20:BU20)</f>
        <v>0.0</v>
      </c>
      <c r="BV21" s="168">
        <f> BV18 + SUM(BV20:BV20)</f>
        <v>0.0</v>
      </c>
      <c r="BW21" s="168">
        <f> BW18 + SUM(BW20:BW20)</f>
        <v>0.0</v>
      </c>
      <c r="BX21" s="168">
        <f> BX18 + SUM(BX20:BX20)</f>
        <v>0.0</v>
      </c>
      <c r="BY21" s="168">
        <f> BY18 + SUM(BY20:BY20)</f>
        <v>0.0</v>
      </c>
      <c r="BZ21" s="168">
        <f> BZ18 + SUM(BZ20:BZ20)</f>
        <v>0.0</v>
      </c>
      <c r="CA21" s="168">
        <f> CA18 + SUM(CA20:CA20)</f>
        <v>0.0</v>
      </c>
      <c r="CB21" s="168">
        <f> CB18 + SUM(CB20:CB20)</f>
        <v>0.0</v>
      </c>
      <c r="CC21" s="168">
        <f> CC18 + SUM(CC20:CC20)</f>
        <v>0.0</v>
      </c>
      <c r="CD21" s="168">
        <f> CD18 + SUM(CD20:CD20)</f>
        <v>0.0</v>
      </c>
      <c r="CE21" s="168">
        <f> CE18 + SUM(CE20:CE20)</f>
        <v>0.0</v>
      </c>
      <c r="CF21" s="168">
        <f> CF18 + SUM(CF20:CF20)</f>
        <v>0.0</v>
      </c>
      <c r="CG21" s="168">
        <f> CG18 + SUM(CG20:CG20)</f>
        <v>0.0</v>
      </c>
      <c r="CH21" s="168">
        <f> CH18 + SUM(CH20:CH20)</f>
        <v>0.0</v>
      </c>
      <c r="CI21" s="168">
        <f> CI18 + SUM(CI20:CI20)</f>
        <v>0.0</v>
      </c>
      <c r="CJ21" s="168">
        <f> CJ18 + SUM(CJ20:CJ20)</f>
        <v>0.0</v>
      </c>
      <c r="CK21" s="168">
        <f> CK18 + SUM(CK20:CK20)</f>
        <v>0.0</v>
      </c>
      <c r="CL21" s="168">
        <f> CL18 + SUM(CL20:CL20)</f>
        <v>0.0</v>
      </c>
      <c r="CM21" s="168">
        <f> CM18 + SUM(CM20:CM20)</f>
        <v>1810.7664905530692</v>
      </c>
      <c r="CN21" s="168">
        <f> CN18 + SUM(CN20:CN20)</f>
        <v>-1810.7664905530692</v>
      </c>
      <c r="CO21" s="168">
        <f> CO18 + SUM(CO20:CO20)</f>
        <v>-7.343237484747079e-12</v>
      </c>
    </row>
    <row r="23">
      <c r="E23" s="169" t="inlineStr">
        <is>
          <t>Retained earnings balance BEG</t>
        </is>
      </c>
      <c r="F23" s="169" t="n"/>
      <c r="G23" s="169" t="n"/>
      <c r="H23" s="169" t="n"/>
      <c r="I23" s="169" t="n"/>
      <c r="J23" s="117">
        <f>I25</f>
        <v>0.0</v>
      </c>
      <c r="K23" s="117">
        <f>J25</f>
        <v>0.0</v>
      </c>
      <c r="L23" s="117">
        <f>K25</f>
        <v>0.0</v>
      </c>
      <c r="M23" s="117">
        <f>L25</f>
        <v>0.0</v>
      </c>
      <c r="N23" s="117">
        <f>M25</f>
        <v>0.0</v>
      </c>
      <c r="O23" s="117">
        <f>N25</f>
        <v>0.0</v>
      </c>
      <c r="P23" s="117">
        <f>O25</f>
        <v>0.0</v>
      </c>
      <c r="Q23" s="117">
        <f>P25</f>
        <v>0.0</v>
      </c>
      <c r="R23" s="117">
        <f>Q25</f>
        <v>0.0</v>
      </c>
      <c r="S23" s="117">
        <f>R25</f>
        <v>0.0</v>
      </c>
      <c r="T23" s="117">
        <f>S25</f>
        <v>0.0</v>
      </c>
      <c r="U23" s="117">
        <f>T25</f>
        <v>0.0</v>
      </c>
      <c r="V23" s="117">
        <f>U25</f>
        <v>0.0</v>
      </c>
      <c r="W23" s="117">
        <f>V25</f>
        <v>0.0</v>
      </c>
      <c r="X23" s="117">
        <f>W25</f>
        <v>0.0</v>
      </c>
      <c r="Y23" s="117">
        <f>X25</f>
        <v>0.0</v>
      </c>
      <c r="Z23" s="117">
        <f>Y25</f>
        <v>0.0</v>
      </c>
      <c r="AA23" s="117">
        <f>Z25</f>
        <v>0.0</v>
      </c>
      <c r="AB23" s="117">
        <f>AA25</f>
        <v>0.0</v>
      </c>
      <c r="AC23" s="117">
        <f>AB25</f>
        <v>0.0</v>
      </c>
      <c r="AD23" s="117">
        <f>AC25</f>
        <v>0.0</v>
      </c>
      <c r="AE23" s="117">
        <f>AD25</f>
        <v>0.0</v>
      </c>
      <c r="AF23" s="117">
        <f>AE25</f>
        <v>0.0</v>
      </c>
      <c r="AG23" s="117">
        <f>AF25</f>
        <v>0.0</v>
      </c>
      <c r="AH23" s="117">
        <f>AG25</f>
        <v>0.0</v>
      </c>
      <c r="AI23" s="117">
        <f>AH25</f>
        <v>0.0</v>
      </c>
      <c r="AJ23" s="117">
        <f>AI25</f>
        <v>0.0</v>
      </c>
      <c r="AK23" s="117">
        <f>AJ25</f>
        <v>0.0</v>
      </c>
      <c r="AL23" s="117">
        <f>AK25</f>
        <v>0.0</v>
      </c>
      <c r="AM23" s="117">
        <f>AL25</f>
        <v>0.0</v>
      </c>
      <c r="AN23" s="117">
        <f>AM25</f>
        <v>0.0</v>
      </c>
      <c r="AO23" s="117">
        <f>AN25</f>
        <v>0.0</v>
      </c>
      <c r="AP23" s="117">
        <f>AO25</f>
        <v>0.0</v>
      </c>
      <c r="AQ23" s="117">
        <f>AP25</f>
        <v>0.0</v>
      </c>
      <c r="AR23" s="117">
        <f>AQ25</f>
        <v>639.7602486866372</v>
      </c>
      <c r="AS23" s="117">
        <f>AR25</f>
        <v>1099.1265453277538</v>
      </c>
      <c r="AT23" s="117">
        <f>AS25</f>
        <v>0.0</v>
      </c>
      <c r="AU23" s="117">
        <f>AT25</f>
        <v>0.0</v>
      </c>
      <c r="AV23" s="117">
        <f>AU25</f>
        <v>0.0</v>
      </c>
      <c r="AW23" s="117">
        <f>AV25</f>
        <v>0.0</v>
      </c>
      <c r="AX23" s="117">
        <f>AW25</f>
        <v>0.0</v>
      </c>
      <c r="AY23" s="117">
        <f>AX25</f>
        <v>0.0</v>
      </c>
      <c r="AZ23" s="117">
        <f>AY25</f>
        <v>0.0</v>
      </c>
      <c r="BA23" s="117">
        <f>AZ25</f>
        <v>0.0</v>
      </c>
      <c r="BB23" s="117">
        <f>BA25</f>
        <v>0.0</v>
      </c>
      <c r="BC23" s="117">
        <f>BB25</f>
        <v>0.0</v>
      </c>
      <c r="BD23" s="117">
        <f>BC25</f>
        <v>0.0</v>
      </c>
      <c r="BE23" s="117">
        <f>BD25</f>
        <v>0.0</v>
      </c>
      <c r="BF23" s="117">
        <f>BE25</f>
        <v>0.0</v>
      </c>
      <c r="BG23" s="117">
        <f>BF25</f>
        <v>0.0</v>
      </c>
      <c r="BH23" s="117">
        <f>BG25</f>
        <v>0.0</v>
      </c>
      <c r="BI23" s="117">
        <f>BH25</f>
        <v>0.0</v>
      </c>
      <c r="BJ23" s="117">
        <f>BI25</f>
        <v>0.0</v>
      </c>
      <c r="BK23" s="117">
        <f>BJ25</f>
        <v>0.0</v>
      </c>
      <c r="BL23" s="117">
        <f>BK25</f>
        <v>0.0</v>
      </c>
      <c r="BM23" s="117">
        <f>BL25</f>
        <v>0.0</v>
      </c>
      <c r="BN23" s="117">
        <f>BM25</f>
        <v>0.0</v>
      </c>
      <c r="BO23" s="117">
        <f>BN25</f>
        <v>0.0</v>
      </c>
      <c r="BP23" s="117">
        <f>BO25</f>
        <v>0.0</v>
      </c>
      <c r="BQ23" s="117">
        <f>BP25</f>
        <v>0.0</v>
      </c>
      <c r="BR23" s="117">
        <f>BQ25</f>
        <v>0.0</v>
      </c>
      <c r="BS23" s="117">
        <f>BR25</f>
        <v>0.0</v>
      </c>
      <c r="BT23" s="117">
        <f>BS25</f>
        <v>0.0</v>
      </c>
      <c r="BU23" s="117">
        <f>BT25</f>
        <v>0.0</v>
      </c>
      <c r="BV23" s="117">
        <f>BU25</f>
        <v>0.0</v>
      </c>
      <c r="BW23" s="117">
        <f>BV25</f>
        <v>0.0</v>
      </c>
      <c r="BX23" s="117">
        <f>BW25</f>
        <v>0.0</v>
      </c>
      <c r="BY23" s="117">
        <f>BX25</f>
        <v>0.0</v>
      </c>
      <c r="BZ23" s="117">
        <f>BY25</f>
        <v>0.0</v>
      </c>
      <c r="CA23" s="117">
        <f>BZ25</f>
        <v>0.0</v>
      </c>
      <c r="CB23" s="117">
        <f>CA25</f>
        <v>0.0</v>
      </c>
      <c r="CC23" s="117">
        <f>CB25</f>
        <v>0.0</v>
      </c>
      <c r="CD23" s="117">
        <f>CC25</f>
        <v>0.0</v>
      </c>
      <c r="CE23" s="117">
        <f>CD25</f>
        <v>0.0</v>
      </c>
      <c r="CF23" s="117">
        <f>CE25</f>
        <v>0.0</v>
      </c>
      <c r="CG23" s="117">
        <f>CF25</f>
        <v>0.0</v>
      </c>
      <c r="CH23" s="117">
        <f>CG25</f>
        <v>0.0</v>
      </c>
      <c r="CI23" s="117">
        <f>CH25</f>
        <v>0.0</v>
      </c>
      <c r="CJ23" s="117">
        <f>CI25</f>
        <v>0.0</v>
      </c>
      <c r="CK23" s="117">
        <f>CJ25</f>
        <v>0.0</v>
      </c>
      <c r="CL23" s="117">
        <f>CK25</f>
        <v>0.0</v>
      </c>
      <c r="CM23" s="117">
        <f>CL25</f>
        <v>0.0</v>
      </c>
      <c r="CN23" s="117">
        <f>CM25</f>
        <v>1810.7664905530692</v>
      </c>
      <c r="CO23" s="117">
        <f>CN25</f>
        <v>0.0</v>
      </c>
    </row>
    <row r="24">
      <c r="D24" s="88" t="inlineStr">
        <is>
          <t>plus</t>
        </is>
      </c>
      <c r="E24" s="169" t="str">
        <f> E$21</f>
        <v>Retained earnings</v>
      </c>
      <c r="F24" s="169">
        <f> F$21</f>
        <v>0.0</v>
      </c>
      <c r="G24" s="169" t="inlineStr">
        <is>
          <t>$ 000s</t>
        </is>
      </c>
      <c r="H24" s="169">
        <f> H$21</f>
        <v>-7.343237484747079e-12</v>
      </c>
      <c r="I24" s="169">
        <f> I$21</f>
        <v>0.0</v>
      </c>
      <c r="J24" s="169">
        <f> J$21</f>
        <v>0.0</v>
      </c>
      <c r="K24" s="169">
        <f> K$21</f>
        <v>0.0</v>
      </c>
      <c r="L24" s="169">
        <f> L$21</f>
        <v>0.0</v>
      </c>
      <c r="M24" s="169">
        <f> M$21</f>
        <v>0.0</v>
      </c>
      <c r="N24" s="169">
        <f> N$21</f>
        <v>0.0</v>
      </c>
      <c r="O24" s="169">
        <f> O$21</f>
        <v>0.0</v>
      </c>
      <c r="P24" s="169">
        <f> P$21</f>
        <v>0.0</v>
      </c>
      <c r="Q24" s="169">
        <f> Q$21</f>
        <v>0.0</v>
      </c>
      <c r="R24" s="169">
        <f> R$21</f>
        <v>0.0</v>
      </c>
      <c r="S24" s="169">
        <f> S$21</f>
        <v>0.0</v>
      </c>
      <c r="T24" s="169">
        <f> T$21</f>
        <v>0.0</v>
      </c>
      <c r="U24" s="169">
        <f> U$21</f>
        <v>0.0</v>
      </c>
      <c r="V24" s="169">
        <f> V$21</f>
        <v>0.0</v>
      </c>
      <c r="W24" s="169">
        <f> W$21</f>
        <v>0.0</v>
      </c>
      <c r="X24" s="169">
        <f> X$21</f>
        <v>0.0</v>
      </c>
      <c r="Y24" s="169">
        <f> Y$21</f>
        <v>0.0</v>
      </c>
      <c r="Z24" s="169">
        <f> Z$21</f>
        <v>0.0</v>
      </c>
      <c r="AA24" s="169">
        <f> AA$21</f>
        <v>0.0</v>
      </c>
      <c r="AB24" s="169">
        <f> AB$21</f>
        <v>0.0</v>
      </c>
      <c r="AC24" s="169">
        <f> AC$21</f>
        <v>0.0</v>
      </c>
      <c r="AD24" s="169">
        <f> AD$21</f>
        <v>0.0</v>
      </c>
      <c r="AE24" s="169">
        <f> AE$21</f>
        <v>0.0</v>
      </c>
      <c r="AF24" s="169">
        <f> AF$21</f>
        <v>0.0</v>
      </c>
      <c r="AG24" s="169">
        <f> AG$21</f>
        <v>0.0</v>
      </c>
      <c r="AH24" s="169">
        <f> AH$21</f>
        <v>0.0</v>
      </c>
      <c r="AI24" s="169">
        <f> AI$21</f>
        <v>0.0</v>
      </c>
      <c r="AJ24" s="169">
        <f> AJ$21</f>
        <v>0.0</v>
      </c>
      <c r="AK24" s="169">
        <f> AK$21</f>
        <v>0.0</v>
      </c>
      <c r="AL24" s="169">
        <f> AL$21</f>
        <v>0.0</v>
      </c>
      <c r="AM24" s="169">
        <f> AM$21</f>
        <v>0.0</v>
      </c>
      <c r="AN24" s="169">
        <f> AN$21</f>
        <v>0.0</v>
      </c>
      <c r="AO24" s="169">
        <f> AO$21</f>
        <v>0.0</v>
      </c>
      <c r="AP24" s="169">
        <f> AP$21</f>
        <v>0.0</v>
      </c>
      <c r="AQ24" s="169">
        <f> AQ$21</f>
        <v>639.7602486866372</v>
      </c>
      <c r="AR24" s="169">
        <f> AR$21</f>
        <v>459.3662966411166</v>
      </c>
      <c r="AS24" s="169">
        <f> AS$21</f>
        <v>-1099.1265453277538</v>
      </c>
      <c r="AT24" s="169">
        <f> AT$21</f>
        <v>0.0</v>
      </c>
      <c r="AU24" s="169">
        <f> AU$21</f>
        <v>0.0</v>
      </c>
      <c r="AV24" s="169">
        <f> AV$21</f>
        <v>0.0</v>
      </c>
      <c r="AW24" s="169">
        <f> AW$21</f>
        <v>0.0</v>
      </c>
      <c r="AX24" s="169">
        <f> AX$21</f>
        <v>0.0</v>
      </c>
      <c r="AY24" s="169">
        <f> AY$21</f>
        <v>0.0</v>
      </c>
      <c r="AZ24" s="169">
        <f> AZ$21</f>
        <v>0.0</v>
      </c>
      <c r="BA24" s="169">
        <f> BA$21</f>
        <v>0.0</v>
      </c>
      <c r="BB24" s="169">
        <f> BB$21</f>
        <v>0.0</v>
      </c>
      <c r="BC24" s="169">
        <f> BC$21</f>
        <v>0.0</v>
      </c>
      <c r="BD24" s="169">
        <f> BD$21</f>
        <v>0.0</v>
      </c>
      <c r="BE24" s="169">
        <f> BE$21</f>
        <v>0.0</v>
      </c>
      <c r="BF24" s="169">
        <f> BF$21</f>
        <v>0.0</v>
      </c>
      <c r="BG24" s="169">
        <f> BG$21</f>
        <v>0.0</v>
      </c>
      <c r="BH24" s="169">
        <f> BH$21</f>
        <v>0.0</v>
      </c>
      <c r="BI24" s="169">
        <f> BI$21</f>
        <v>0.0</v>
      </c>
      <c r="BJ24" s="169">
        <f> BJ$21</f>
        <v>0.0</v>
      </c>
      <c r="BK24" s="169">
        <f> BK$21</f>
        <v>0.0</v>
      </c>
      <c r="BL24" s="169">
        <f> BL$21</f>
        <v>0.0</v>
      </c>
      <c r="BM24" s="169">
        <f> BM$21</f>
        <v>0.0</v>
      </c>
      <c r="BN24" s="169">
        <f> BN$21</f>
        <v>0.0</v>
      </c>
      <c r="BO24" s="169">
        <f> BO$21</f>
        <v>0.0</v>
      </c>
      <c r="BP24" s="169">
        <f> BP$21</f>
        <v>0.0</v>
      </c>
      <c r="BQ24" s="169">
        <f> BQ$21</f>
        <v>0.0</v>
      </c>
      <c r="BR24" s="169">
        <f> BR$21</f>
        <v>0.0</v>
      </c>
      <c r="BS24" s="169">
        <f> BS$21</f>
        <v>0.0</v>
      </c>
      <c r="BT24" s="169">
        <f> BT$21</f>
        <v>0.0</v>
      </c>
      <c r="BU24" s="169">
        <f> BU$21</f>
        <v>0.0</v>
      </c>
      <c r="BV24" s="169">
        <f> BV$21</f>
        <v>0.0</v>
      </c>
      <c r="BW24" s="169">
        <f> BW$21</f>
        <v>0.0</v>
      </c>
      <c r="BX24" s="169">
        <f> BX$21</f>
        <v>0.0</v>
      </c>
      <c r="BY24" s="169">
        <f> BY$21</f>
        <v>0.0</v>
      </c>
      <c r="BZ24" s="169">
        <f> BZ$21</f>
        <v>0.0</v>
      </c>
      <c r="CA24" s="169">
        <f> CA$21</f>
        <v>0.0</v>
      </c>
      <c r="CB24" s="169">
        <f> CB$21</f>
        <v>0.0</v>
      </c>
      <c r="CC24" s="169">
        <f> CC$21</f>
        <v>0.0</v>
      </c>
      <c r="CD24" s="169">
        <f> CD$21</f>
        <v>0.0</v>
      </c>
      <c r="CE24" s="169">
        <f> CE$21</f>
        <v>0.0</v>
      </c>
      <c r="CF24" s="169">
        <f> CF$21</f>
        <v>0.0</v>
      </c>
      <c r="CG24" s="169">
        <f> CG$21</f>
        <v>0.0</v>
      </c>
      <c r="CH24" s="169">
        <f> CH$21</f>
        <v>0.0</v>
      </c>
      <c r="CI24" s="169">
        <f> CI$21</f>
        <v>0.0</v>
      </c>
      <c r="CJ24" s="169">
        <f> CJ$21</f>
        <v>0.0</v>
      </c>
      <c r="CK24" s="169">
        <f> CK$21</f>
        <v>0.0</v>
      </c>
      <c r="CL24" s="169">
        <f> CL$21</f>
        <v>0.0</v>
      </c>
      <c r="CM24" s="169">
        <f> CM$21</f>
        <v>1810.7664905530692</v>
      </c>
      <c r="CN24" s="169">
        <f> CN$21</f>
        <v>-1810.7664905530692</v>
      </c>
      <c r="CO24" s="169">
        <f> CO$21</f>
        <v>-7.343237484747079e-12</v>
      </c>
    </row>
    <row r="25">
      <c r="E25" s="169" t="inlineStr">
        <is>
          <t>Retained earnings balance</t>
        </is>
      </c>
      <c r="G25" s="169" t="inlineStr">
        <is>
          <t>$ 000s</t>
        </is>
      </c>
      <c r="I25" s="146" t="n"/>
      <c r="J25" s="169">
        <f> SUM(J23:J24)</f>
        <v>0.0</v>
      </c>
      <c r="K25" s="169">
        <f> SUM(K23:K24)</f>
        <v>0.0</v>
      </c>
      <c r="L25" s="169">
        <f> SUM(L23:L24)</f>
        <v>0.0</v>
      </c>
      <c r="M25" s="169">
        <f> SUM(M23:M24)</f>
        <v>0.0</v>
      </c>
      <c r="N25" s="169">
        <f> SUM(N23:N24)</f>
        <v>0.0</v>
      </c>
      <c r="O25" s="169">
        <f> SUM(O23:O24)</f>
        <v>0.0</v>
      </c>
      <c r="P25" s="169">
        <f> SUM(P23:P24)</f>
        <v>0.0</v>
      </c>
      <c r="Q25" s="169">
        <f> SUM(Q23:Q24)</f>
        <v>0.0</v>
      </c>
      <c r="R25" s="169">
        <f> SUM(R23:R24)</f>
        <v>0.0</v>
      </c>
      <c r="S25" s="169">
        <f> SUM(S23:S24)</f>
        <v>0.0</v>
      </c>
      <c r="T25" s="169">
        <f> SUM(T23:T24)</f>
        <v>0.0</v>
      </c>
      <c r="U25" s="169">
        <f> SUM(U23:U24)</f>
        <v>0.0</v>
      </c>
      <c r="V25" s="169">
        <f> SUM(V23:V24)</f>
        <v>0.0</v>
      </c>
      <c r="W25" s="169">
        <f> SUM(W23:W24)</f>
        <v>0.0</v>
      </c>
      <c r="X25" s="169">
        <f> SUM(X23:X24)</f>
        <v>0.0</v>
      </c>
      <c r="Y25" s="169">
        <f> SUM(Y23:Y24)</f>
        <v>0.0</v>
      </c>
      <c r="Z25" s="169">
        <f> SUM(Z23:Z24)</f>
        <v>0.0</v>
      </c>
      <c r="AA25" s="169">
        <f> SUM(AA23:AA24)</f>
        <v>0.0</v>
      </c>
      <c r="AB25" s="169">
        <f> SUM(AB23:AB24)</f>
        <v>0.0</v>
      </c>
      <c r="AC25" s="169">
        <f> SUM(AC23:AC24)</f>
        <v>0.0</v>
      </c>
      <c r="AD25" s="169">
        <f> SUM(AD23:AD24)</f>
        <v>0.0</v>
      </c>
      <c r="AE25" s="169">
        <f> SUM(AE23:AE24)</f>
        <v>0.0</v>
      </c>
      <c r="AF25" s="169">
        <f> SUM(AF23:AF24)</f>
        <v>0.0</v>
      </c>
      <c r="AG25" s="169">
        <f> SUM(AG23:AG24)</f>
        <v>0.0</v>
      </c>
      <c r="AH25" s="169">
        <f> SUM(AH23:AH24)</f>
        <v>0.0</v>
      </c>
      <c r="AI25" s="169">
        <f> SUM(AI23:AI24)</f>
        <v>0.0</v>
      </c>
      <c r="AJ25" s="169">
        <f> SUM(AJ23:AJ24)</f>
        <v>0.0</v>
      </c>
      <c r="AK25" s="169">
        <f> SUM(AK23:AK24)</f>
        <v>0.0</v>
      </c>
      <c r="AL25" s="169">
        <f> SUM(AL23:AL24)</f>
        <v>0.0</v>
      </c>
      <c r="AM25" s="169">
        <f> SUM(AM23:AM24)</f>
        <v>0.0</v>
      </c>
      <c r="AN25" s="169">
        <f> SUM(AN23:AN24)</f>
        <v>0.0</v>
      </c>
      <c r="AO25" s="169">
        <f> SUM(AO23:AO24)</f>
        <v>0.0</v>
      </c>
      <c r="AP25" s="169">
        <f> SUM(AP23:AP24)</f>
        <v>0.0</v>
      </c>
      <c r="AQ25" s="169">
        <f> SUM(AQ23:AQ24)</f>
        <v>639.7602486866372</v>
      </c>
      <c r="AR25" s="169">
        <f> SUM(AR23:AR24)</f>
        <v>1099.1265453277538</v>
      </c>
      <c r="AS25" s="169">
        <f> SUM(AS23:AS24)</f>
        <v>0.0</v>
      </c>
      <c r="AT25" s="169">
        <f> SUM(AT23:AT24)</f>
        <v>0.0</v>
      </c>
      <c r="AU25" s="169">
        <f> SUM(AU23:AU24)</f>
        <v>0.0</v>
      </c>
      <c r="AV25" s="169">
        <f> SUM(AV23:AV24)</f>
        <v>0.0</v>
      </c>
      <c r="AW25" s="169">
        <f> SUM(AW23:AW24)</f>
        <v>0.0</v>
      </c>
      <c r="AX25" s="169">
        <f> SUM(AX23:AX24)</f>
        <v>0.0</v>
      </c>
      <c r="AY25" s="169">
        <f> SUM(AY23:AY24)</f>
        <v>0.0</v>
      </c>
      <c r="AZ25" s="169">
        <f> SUM(AZ23:AZ24)</f>
        <v>0.0</v>
      </c>
      <c r="BA25" s="169">
        <f> SUM(BA23:BA24)</f>
        <v>0.0</v>
      </c>
      <c r="BB25" s="169">
        <f> SUM(BB23:BB24)</f>
        <v>0.0</v>
      </c>
      <c r="BC25" s="169">
        <f> SUM(BC23:BC24)</f>
        <v>0.0</v>
      </c>
      <c r="BD25" s="169">
        <f> SUM(BD23:BD24)</f>
        <v>0.0</v>
      </c>
      <c r="BE25" s="169">
        <f> SUM(BE23:BE24)</f>
        <v>0.0</v>
      </c>
      <c r="BF25" s="169">
        <f> SUM(BF23:BF24)</f>
        <v>0.0</v>
      </c>
      <c r="BG25" s="169">
        <f> SUM(BG23:BG24)</f>
        <v>0.0</v>
      </c>
      <c r="BH25" s="169">
        <f> SUM(BH23:BH24)</f>
        <v>0.0</v>
      </c>
      <c r="BI25" s="169">
        <f> SUM(BI23:BI24)</f>
        <v>0.0</v>
      </c>
      <c r="BJ25" s="169">
        <f> SUM(BJ23:BJ24)</f>
        <v>0.0</v>
      </c>
      <c r="BK25" s="169">
        <f> SUM(BK23:BK24)</f>
        <v>0.0</v>
      </c>
      <c r="BL25" s="169">
        <f> SUM(BL23:BL24)</f>
        <v>0.0</v>
      </c>
      <c r="BM25" s="169">
        <f> SUM(BM23:BM24)</f>
        <v>0.0</v>
      </c>
      <c r="BN25" s="169">
        <f> SUM(BN23:BN24)</f>
        <v>0.0</v>
      </c>
      <c r="BO25" s="169">
        <f> SUM(BO23:BO24)</f>
        <v>0.0</v>
      </c>
      <c r="BP25" s="169">
        <f> SUM(BP23:BP24)</f>
        <v>0.0</v>
      </c>
      <c r="BQ25" s="169">
        <f> SUM(BQ23:BQ24)</f>
        <v>0.0</v>
      </c>
      <c r="BR25" s="169">
        <f> SUM(BR23:BR24)</f>
        <v>0.0</v>
      </c>
      <c r="BS25" s="169">
        <f> SUM(BS23:BS24)</f>
        <v>0.0</v>
      </c>
      <c r="BT25" s="169">
        <f> SUM(BT23:BT24)</f>
        <v>0.0</v>
      </c>
      <c r="BU25" s="169">
        <f> SUM(BU23:BU24)</f>
        <v>0.0</v>
      </c>
      <c r="BV25" s="169">
        <f> SUM(BV23:BV24)</f>
        <v>0.0</v>
      </c>
      <c r="BW25" s="169">
        <f> SUM(BW23:BW24)</f>
        <v>0.0</v>
      </c>
      <c r="BX25" s="169">
        <f> SUM(BX23:BX24)</f>
        <v>0.0</v>
      </c>
      <c r="BY25" s="169">
        <f> SUM(BY23:BY24)</f>
        <v>0.0</v>
      </c>
      <c r="BZ25" s="169">
        <f> SUM(BZ23:BZ24)</f>
        <v>0.0</v>
      </c>
      <c r="CA25" s="169">
        <f> SUM(CA23:CA24)</f>
        <v>0.0</v>
      </c>
      <c r="CB25" s="169">
        <f> SUM(CB23:CB24)</f>
        <v>0.0</v>
      </c>
      <c r="CC25" s="169">
        <f> SUM(CC23:CC24)</f>
        <v>0.0</v>
      </c>
      <c r="CD25" s="169">
        <f> SUM(CD23:CD24)</f>
        <v>0.0</v>
      </c>
      <c r="CE25" s="169">
        <f> SUM(CE23:CE24)</f>
        <v>0.0</v>
      </c>
      <c r="CF25" s="169">
        <f> SUM(CF23:CF24)</f>
        <v>0.0</v>
      </c>
      <c r="CG25" s="169">
        <f> SUM(CG23:CG24)</f>
        <v>0.0</v>
      </c>
      <c r="CH25" s="169">
        <f> SUM(CH23:CH24)</f>
        <v>0.0</v>
      </c>
      <c r="CI25" s="169">
        <f> SUM(CI23:CI24)</f>
        <v>0.0</v>
      </c>
      <c r="CJ25" s="169">
        <f> SUM(CJ23:CJ24)</f>
        <v>0.0</v>
      </c>
      <c r="CK25" s="169">
        <f> SUM(CK23:CK24)</f>
        <v>0.0</v>
      </c>
      <c r="CL25" s="169">
        <f> SUM(CL23:CL24)</f>
        <v>0.0</v>
      </c>
      <c r="CM25" s="169">
        <f> SUM(CM23:CM24)</f>
        <v>1810.7664905530692</v>
      </c>
      <c r="CN25" s="169">
        <f> SUM(CN23:CN24)</f>
        <v>0.0</v>
      </c>
      <c r="CO25" s="169">
        <f> SUM(CO23:CO24)</f>
        <v>-7.343237484747079e-12</v>
      </c>
    </row>
    <row r="28">
      <c r="A28" s="163" t="inlineStr">
        <is>
          <t>CASH FLOW PAYMENT CASCADE</t>
        </is>
      </c>
    </row>
    <row r="30">
      <c r="E30" s="308" t="str">
        <f> OpRev!E$54</f>
        <v>Operating revenue received </v>
      </c>
      <c r="F30" s="308" t="str">
        <f> OpRev!F$54</f>
        <v>CF</v>
      </c>
      <c r="G30" s="308" t="str">
        <f> OpRev!G$54</f>
        <v>$ 000s</v>
      </c>
      <c r="H30" s="308">
        <f> OpRev!H$54</f>
        <v>1941568.6331634293</v>
      </c>
      <c r="I30" s="308">
        <f> OpRev!I$54</f>
        <v>0.0</v>
      </c>
      <c r="J30" s="308">
        <f> OpRev!J$54</f>
        <v>0.0</v>
      </c>
      <c r="K30" s="308">
        <f> OpRev!K$54</f>
        <v>0.0</v>
      </c>
      <c r="L30" s="308">
        <f> OpRev!L$54</f>
        <v>11340.150234435558</v>
      </c>
      <c r="M30" s="308">
        <f> OpRev!M$54</f>
        <v>15375.086107891953</v>
      </c>
      <c r="N30" s="308">
        <f> OpRev!N$54</f>
        <v>16021.169056982768</v>
      </c>
      <c r="O30" s="308">
        <f> OpRev!O$54</f>
        <v>15839.968675157814</v>
      </c>
      <c r="P30" s="308">
        <f> OpRev!P$54</f>
        <v>16363.469445406638</v>
      </c>
      <c r="Q30" s="308">
        <f> OpRev!Q$54</f>
        <v>16307.487874084301</v>
      </c>
      <c r="R30" s="308">
        <f> OpRev!R$54</f>
        <v>16919.236289238117</v>
      </c>
      <c r="S30" s="308">
        <f> OpRev!S$54</f>
        <v>16655.67082924484</v>
      </c>
      <c r="T30" s="308">
        <f> OpRev!T$54</f>
        <v>17431.29957054516</v>
      </c>
      <c r="U30" s="308">
        <f> OpRev!U$54</f>
        <v>17301.281894658103</v>
      </c>
      <c r="V30" s="308">
        <f> OpRev!V$54</f>
        <v>17962.984530039965</v>
      </c>
      <c r="W30" s="308">
        <f> OpRev!W$54</f>
        <v>17641.544504740516</v>
      </c>
      <c r="X30" s="308">
        <f> OpRev!X$54</f>
        <v>18122.110298037034</v>
      </c>
      <c r="Y30" s="308">
        <f> OpRev!Y$54</f>
        <v>17975.48304690757</v>
      </c>
      <c r="Z30" s="308">
        <f> OpRev!Z$54</f>
        <v>18558.340626698526</v>
      </c>
      <c r="AA30" s="308">
        <f> OpRev!AA$54</f>
        <v>18183.123483444862</v>
      </c>
      <c r="AB30" s="308">
        <f> OpRev!AB$54</f>
        <v>18665.77360697814</v>
      </c>
      <c r="AC30" s="308">
        <f> OpRev!AC$54</f>
        <v>18514.747538314798</v>
      </c>
      <c r="AD30" s="308">
        <f> OpRev!AD$54</f>
        <v>19608.273373952667</v>
      </c>
      <c r="AE30" s="308">
        <f> OpRev!AE$54</f>
        <v>19382.62477495569</v>
      </c>
      <c r="AF30" s="308">
        <f> OpRev!AF$54</f>
        <v>19897.489379814262</v>
      </c>
      <c r="AG30" s="308">
        <f> OpRev!AG$54</f>
        <v>19736.129662161024</v>
      </c>
      <c r="AH30" s="308">
        <f> OpRev!AH$54</f>
        <v>20376.45571108295</v>
      </c>
      <c r="AI30" s="308">
        <f> OpRev!AI$54</f>
        <v>19964.103518204356</v>
      </c>
      <c r="AJ30" s="308">
        <f> OpRev!AJ$54</f>
        <v>20558.401433604464</v>
      </c>
      <c r="AK30" s="308">
        <f> OpRev!AK$54</f>
        <v>20264.22617963006</v>
      </c>
      <c r="AL30" s="308">
        <f> OpRev!AL$54</f>
        <v>20987.74938241543</v>
      </c>
      <c r="AM30" s="308">
        <f> OpRev!AM$54</f>
        <v>21061.63292040523</v>
      </c>
      <c r="AN30" s="308">
        <f> OpRev!AN$54</f>
        <v>21821.898169857486</v>
      </c>
      <c r="AO30" s="308">
        <f> OpRev!AO$54</f>
        <v>21644.555383873136</v>
      </c>
      <c r="AP30" s="308">
        <f> OpRev!AP$54</f>
        <v>22347.18785344568</v>
      </c>
      <c r="AQ30" s="308">
        <f> OpRev!AQ$54</f>
        <v>21894.569170990908</v>
      </c>
      <c r="AR30" s="308">
        <f> OpRev!AR$54</f>
        <v>22476.555114953208</v>
      </c>
      <c r="AS30" s="308">
        <f> OpRev!AS$54</f>
        <v>22293.892045389322</v>
      </c>
      <c r="AT30" s="308">
        <f> OpRev!AT$54</f>
        <v>23017.603489049045</v>
      </c>
      <c r="AU30" s="308">
        <f> OpRev!AU$54</f>
        <v>22551.40624612063</v>
      </c>
      <c r="AV30" s="308">
        <f> OpRev!AV$54</f>
        <v>23150.851768401793</v>
      </c>
      <c r="AW30" s="308">
        <f> OpRev!AW$54</f>
        <v>22962.70880675099</v>
      </c>
      <c r="AX30" s="308">
        <f> OpRev!AX$54</f>
        <v>24357.568119469837</v>
      </c>
      <c r="AY30" s="308">
        <f> OpRev!AY$54</f>
        <v>24093.39519198549</v>
      </c>
      <c r="AZ30" s="308">
        <f> OpRev!AZ$54</f>
        <v>24808.738627216906</v>
      </c>
      <c r="BA30" s="308">
        <f> OpRev!BA$54</f>
        <v>24455.581665225738</v>
      </c>
      <c r="BB30" s="308">
        <f> OpRev!BB$54</f>
        <v>25326.857418858384</v>
      </c>
      <c r="BC30" s="308">
        <f> OpRev!BC$54</f>
        <v>24816.197047745045</v>
      </c>
      <c r="BD30" s="308">
        <f> OpRev!BD$54</f>
        <v>25473.471300184287</v>
      </c>
      <c r="BE30" s="308">
        <f> OpRev!BE$54</f>
        <v>25268.778601031627</v>
      </c>
      <c r="BF30" s="308">
        <f> OpRev!BF$54</f>
        <v>26086.663141424127</v>
      </c>
      <c r="BG30" s="308">
        <f> OpRev!BG$54</f>
        <v>25560.682959177393</v>
      </c>
      <c r="BH30" s="308">
        <f> OpRev!BH$54</f>
        <v>25214.710602906016</v>
      </c>
      <c r="BI30" s="308">
        <f> OpRev!BI$54</f>
        <v>26668.3018580421</v>
      </c>
      <c r="BJ30" s="308">
        <f> OpRev!BJ$54</f>
        <v>26214.397121021975</v>
      </c>
      <c r="BK30" s="308">
        <f> OpRev!BK$54</f>
        <v>26991.519138609096</v>
      </c>
      <c r="BL30" s="308">
        <f> OpRev!BL$54</f>
        <v>26364.674773895473</v>
      </c>
      <c r="BM30" s="308">
        <f> OpRev!BM$54</f>
        <v>27468.35091378335</v>
      </c>
      <c r="BN30" s="308">
        <f> OpRev!BN$54</f>
        <v>27000.829034652634</v>
      </c>
      <c r="BO30" s="308">
        <f> OpRev!BO$54</f>
        <v>27801.264712767363</v>
      </c>
      <c r="BP30" s="308">
        <f> OpRev!BP$54</f>
        <v>27237.932121529793</v>
      </c>
      <c r="BQ30" s="308">
        <f> OpRev!BQ$54</f>
        <v>27112.150531946812</v>
      </c>
      <c r="BR30" s="308">
        <f> OpRev!BR$54</f>
        <v>28505.601154538934</v>
      </c>
      <c r="BS30" s="308">
        <f> OpRev!BS$54</f>
        <v>27930.848407933</v>
      </c>
      <c r="BT30" s="308">
        <f> OpRev!BT$54</f>
        <v>28670.616369639534</v>
      </c>
      <c r="BU30" s="308">
        <f> OpRev!BU$54</f>
        <v>28440.23293340053</v>
      </c>
      <c r="BV30" s="308">
        <f> OpRev!BV$54</f>
        <v>29360.769189175095</v>
      </c>
      <c r="BW30" s="308">
        <f> OpRev!BW$54</f>
        <v>29921.208824746383</v>
      </c>
      <c r="BX30" s="308">
        <f> OpRev!BX$54</f>
        <v>29960.74790721207</v>
      </c>
      <c r="BY30" s="308">
        <f> OpRev!BY$54</f>
        <v>30458.23789494941</v>
      </c>
      <c r="BZ30" s="308">
        <f> OpRev!BZ$54</f>
        <v>30682.80361846658</v>
      </c>
      <c r="CA30" s="308">
        <f> OpRev!CA$54</f>
        <v>30818.84508948876</v>
      </c>
      <c r="CB30" s="308">
        <f> OpRev!CB$54</f>
        <v>30859.57034442842</v>
      </c>
      <c r="CC30" s="308">
        <f> OpRev!CC$54</f>
        <v>31371.98503179789</v>
      </c>
      <c r="CD30" s="308">
        <f> OpRev!CD$54</f>
        <v>31603.287727020568</v>
      </c>
      <c r="CE30" s="308">
        <f> OpRev!CE$54</f>
        <v>31743.410442173412</v>
      </c>
      <c r="CF30" s="308">
        <f> OpRev!CF$54</f>
        <v>31883.168690937775</v>
      </c>
      <c r="CG30" s="308">
        <f> OpRev!CG$54</f>
        <v>32215.333346575302</v>
      </c>
      <c r="CH30" s="308">
        <f> OpRev!CH$54</f>
        <v>32551.386358831172</v>
      </c>
      <c r="CI30" s="308">
        <f> OpRev!CI$54</f>
        <v>32695.712755438606</v>
      </c>
      <c r="CJ30" s="308">
        <f> OpRev!CJ$54</f>
        <v>32738.918178404092</v>
      </c>
      <c r="CK30" s="308">
        <f> OpRev!CK$54</f>
        <v>33282.538920234365</v>
      </c>
      <c r="CL30" s="308">
        <f> OpRev!CL$54</f>
        <v>33527.927949596095</v>
      </c>
      <c r="CM30" s="308">
        <f> OpRev!CM$54</f>
        <v>33676.58413810176</v>
      </c>
      <c r="CN30" s="308">
        <f> OpRev!CN$54</f>
        <v>9169.591011001117</v>
      </c>
      <c r="CO30" s="308">
        <f> OpRev!CO$54</f>
        <v>0.0</v>
      </c>
    </row>
    <row r="31" customFormat="1" s="169">
      <c r="A31" s="163" t="n"/>
      <c r="B31" s="163" t="n"/>
      <c r="C31" s="172" t="n"/>
      <c r="D31" s="88" t="n"/>
      <c r="E31" s="117" t="str">
        <f> OpCost!E$51</f>
        <v>Operating cost paid</v>
      </c>
      <c r="F31" s="117" t="str">
        <f> OpCost!F$51</f>
        <v>CF</v>
      </c>
      <c r="G31" s="117" t="str">
        <f> OpCost!G$51</f>
        <v>$ 000s</v>
      </c>
      <c r="H31" s="117">
        <f> OpCost!H$51</f>
        <v>-1152373.432337585</v>
      </c>
      <c r="I31" s="117">
        <f> OpCost!I$51</f>
        <v>0.0</v>
      </c>
      <c r="J31" s="117">
        <f> OpCost!J$51</f>
        <v>-0.0</v>
      </c>
      <c r="K31" s="117">
        <f> OpCost!K$51</f>
        <v>-0.0</v>
      </c>
      <c r="L31" s="117">
        <f> OpCost!L$51</f>
        <v>-6147.240840320512</v>
      </c>
      <c r="M31" s="117">
        <f> OpCost!M$51</f>
        <v>-10027.886104080677</v>
      </c>
      <c r="N31" s="117">
        <f> OpCost!N$51</f>
        <v>-10328.500599504117</v>
      </c>
      <c r="O31" s="117">
        <f> OpCost!O$51</f>
        <v>-10372.909196247921</v>
      </c>
      <c r="P31" s="117">
        <f> OpCost!P$51</f>
        <v>-10545.960020969109</v>
      </c>
      <c r="Q31" s="117">
        <f> OpCost!Q$51</f>
        <v>-10710.269659437126</v>
      </c>
      <c r="R31" s="117">
        <f> OpCost!R$51</f>
        <v>-10944.47188033685</v>
      </c>
      <c r="S31" s="117">
        <f> OpCost!S$51</f>
        <v>-10925.969486226728</v>
      </c>
      <c r="T31" s="117">
        <f> OpCost!T$51</f>
        <v>-11105.187277826892</v>
      </c>
      <c r="U31" s="117">
        <f> OpCost!U$51</f>
        <v>-11154.100536075424</v>
      </c>
      <c r="V31" s="117">
        <f> OpCost!V$51</f>
        <v>-11419.64448499441</v>
      </c>
      <c r="W31" s="117">
        <f> OpCost!W$51</f>
        <v>-11373.54303263525</v>
      </c>
      <c r="X31" s="117">
        <f> OpCost!X$51</f>
        <v>-11481.46517234361</v>
      </c>
      <c r="Y31" s="117">
        <f> OpCost!Y$51</f>
        <v>-11605.68271909147</v>
      </c>
      <c r="Z31" s="117">
        <f> OpCost!Z$51</f>
        <v>-11801.26586803054</v>
      </c>
      <c r="AA31" s="117">
        <f> OpCost!AA$51</f>
        <v>-11725.731342190822</v>
      </c>
      <c r="AB31" s="117">
        <f> OpCost!AB$51</f>
        <v>-11825.909127513918</v>
      </c>
      <c r="AC31" s="117">
        <f> OpCost!AC$51</f>
        <v>-11953.853200664213</v>
      </c>
      <c r="AD31" s="117">
        <f> OpCost!AD$51</f>
        <v>-12155.303844071455</v>
      </c>
      <c r="AE31" s="117">
        <f> OpCost!AE$51</f>
        <v>-12077.503282456546</v>
      </c>
      <c r="AF31" s="117">
        <f> OpCost!AF$51</f>
        <v>-12180.68640133933</v>
      </c>
      <c r="AG31" s="117">
        <f> OpCost!AG$51</f>
        <v>-12312.468796684134</v>
      </c>
      <c r="AH31" s="117">
        <f> OpCost!AH$51</f>
        <v>-12519.962959393593</v>
      </c>
      <c r="AI31" s="117">
        <f> OpCost!AI$51</f>
        <v>-12439.828380930236</v>
      </c>
      <c r="AJ31" s="117">
        <f> OpCost!AJ$51</f>
        <v>-12601.162470757263</v>
      </c>
      <c r="AK31" s="117">
        <f> OpCost!AK$51</f>
        <v>-12626.787383206898</v>
      </c>
      <c r="AL31" s="117">
        <f> OpCost!AL$51</f>
        <v>-12895.561848175395</v>
      </c>
      <c r="AM31" s="117">
        <f> OpCost!AM$51</f>
        <v>-12813.023232358137</v>
      </c>
      <c r="AN31" s="117">
        <f> OpCost!AN$51</f>
        <v>-12922.49020318089</v>
      </c>
      <c r="AO31" s="117">
        <f> OpCost!AO$51</f>
        <v>-13062.29814640219</v>
      </c>
      <c r="AP31" s="117">
        <f> OpCost!AP$51</f>
        <v>-13282.428703620652</v>
      </c>
      <c r="AQ31" s="117">
        <f> OpCost!AQ$51</f>
        <v>-13197.413929328874</v>
      </c>
      <c r="AR31" s="117">
        <f> OpCost!AR$51</f>
        <v>-13310.16490927631</v>
      </c>
      <c r="AS31" s="117">
        <f> OpCost!AS$51</f>
        <v>-13454.16709079425</v>
      </c>
      <c r="AT31" s="117">
        <f> OpCost!AT$51</f>
        <v>-13680.901564729269</v>
      </c>
      <c r="AU31" s="117">
        <f> OpCost!AU$51</f>
        <v>-13593.33634720874</v>
      </c>
      <c r="AV31" s="117">
        <f> OpCost!AV$51</f>
        <v>-13709.469856554591</v>
      </c>
      <c r="AW31" s="117">
        <f> OpCost!AW$51</f>
        <v>-13857.792103518073</v>
      </c>
      <c r="AX31" s="117">
        <f> OpCost!AX$51</f>
        <v>-14091.32861167114</v>
      </c>
      <c r="AY31" s="117">
        <f> OpCost!AY$51</f>
        <v>-14001.136437624995</v>
      </c>
      <c r="AZ31" s="117">
        <f> OpCost!AZ$51</f>
        <v>-14182.719377078645</v>
      </c>
      <c r="BA31" s="117">
        <f> OpCost!BA$51</f>
        <v>-14211.56044179619</v>
      </c>
      <c r="BB31" s="117">
        <f> OpCost!BB$51</f>
        <v>-14514.068470021271</v>
      </c>
      <c r="BC31" s="117">
        <f> OpCost!BC$51</f>
        <v>-14421.17053075374</v>
      </c>
      <c r="BD31" s="117">
        <f> OpCost!BD$51</f>
        <v>-14544.37657081876</v>
      </c>
      <c r="BE31" s="117">
        <f> OpCost!BE$51</f>
        <v>-14701.731642622317</v>
      </c>
      <c r="BF31" s="117">
        <f> OpCost!BF$51</f>
        <v>-14949.490524121904</v>
      </c>
      <c r="BG31" s="117">
        <f> OpCost!BG$51</f>
        <v>-14853.805646676348</v>
      </c>
      <c r="BH31" s="117">
        <f> OpCost!BH$51</f>
        <v>-14609.947155277176</v>
      </c>
      <c r="BI31" s="117">
        <f> OpCost!BI$51</f>
        <v>-15282.967590789982</v>
      </c>
      <c r="BJ31" s="117">
        <f> OpCost!BJ$51</f>
        <v>-15251.565390537611</v>
      </c>
      <c r="BK31" s="117">
        <f> OpCost!BK$51</f>
        <v>-15449.489730645299</v>
      </c>
      <c r="BL31" s="117">
        <f> OpCost!BL$51</f>
        <v>-15284.229083876065</v>
      </c>
      <c r="BM31" s="117">
        <f> OpCost!BM$51</f>
        <v>-15741.456618513674</v>
      </c>
      <c r="BN31" s="117">
        <f> OpCost!BN$51</f>
        <v>-15709.112352253735</v>
      </c>
      <c r="BO31" s="117">
        <f> OpCost!BO$51</f>
        <v>-15912.974422564654</v>
      </c>
      <c r="BP31" s="117">
        <f> OpCost!BP$51</f>
        <v>-15809.747958300175</v>
      </c>
      <c r="BQ31" s="117">
        <f> OpCost!BQ$51</f>
        <v>-15747.67981251513</v>
      </c>
      <c r="BR31" s="117">
        <f> OpCost!BR$51</f>
        <v>-16335.71193195214</v>
      </c>
      <c r="BS31" s="117">
        <f> OpCost!BS$51</f>
        <v>-16231.15448287569</v>
      </c>
      <c r="BT31" s="117">
        <f> OpCost!BT$51</f>
        <v>-16369.82396641408</v>
      </c>
      <c r="BU31" s="117">
        <f> OpCost!BU$51</f>
        <v>-16546.928486027165</v>
      </c>
      <c r="BV31" s="117">
        <f> OpCost!BV$51</f>
        <v>-16825.783289910694</v>
      </c>
      <c r="BW31" s="117">
        <f> OpCost!BW$51</f>
        <v>-17138.041596292</v>
      </c>
      <c r="BX31" s="117">
        <f> OpCost!BX$51</f>
        <v>-17118.784242644244</v>
      </c>
      <c r="BY31" s="117">
        <f> OpCost!BY$51</f>
        <v>-17466.665679065245</v>
      </c>
      <c r="BZ31" s="117">
        <f> OpCost!BZ$51</f>
        <v>-17595.13762514381</v>
      </c>
      <c r="CA31" s="117">
        <f> OpCost!CA$51</f>
        <v>-17652.182844180752</v>
      </c>
      <c r="CB31" s="117">
        <f> OpCost!CB$51</f>
        <v>-17632.347769923566</v>
      </c>
      <c r="CC31" s="117">
        <f> OpCost!CC$51</f>
        <v>-17990.665649437196</v>
      </c>
      <c r="CD31" s="117">
        <f> OpCost!CD$51</f>
        <v>-18122.991753898117</v>
      </c>
      <c r="CE31" s="117">
        <f> OpCost!CE$51</f>
        <v>-18181.74832950617</v>
      </c>
      <c r="CF31" s="117">
        <f> OpCost!CF$51</f>
        <v>-18239.81414927312</v>
      </c>
      <c r="CG31" s="117">
        <f> OpCost!CG$51</f>
        <v>-18451.889672668458</v>
      </c>
      <c r="CH31" s="117">
        <f> OpCost!CH$51</f>
        <v>-18666.68150651506</v>
      </c>
      <c r="CI31" s="117">
        <f> OpCost!CI$51</f>
        <v>-18727.20077939135</v>
      </c>
      <c r="CJ31" s="117">
        <f> OpCost!CJ$51</f>
        <v>-18706.1577491119</v>
      </c>
      <c r="CK31" s="117">
        <f> OpCost!CK$51</f>
        <v>-19086.297187487908</v>
      </c>
      <c r="CL31" s="117">
        <f> OpCost!CL$51</f>
        <v>-19226.681951710496</v>
      </c>
      <c r="CM31" s="117">
        <f> OpCost!CM$51</f>
        <v>-19289.016802773083</v>
      </c>
      <c r="CN31" s="117">
        <f> OpCost!CN$51</f>
        <v>-7358.824520447502</v>
      </c>
      <c r="CO31" s="117">
        <f> OpCost!CO$51</f>
        <v>-0.0</v>
      </c>
    </row>
    <row r="32">
      <c r="E32" s="168" t="inlineStr">
        <is>
          <t>Operating cash flow</t>
        </is>
      </c>
      <c r="F32" s="168" t="n"/>
      <c r="G32" s="168" t="inlineStr">
        <is>
          <t>$ 000s</t>
        </is>
      </c>
      <c r="H32" s="168">
        <f> SUM(J32:CO32)</f>
        <v>789195.2008258443</v>
      </c>
      <c r="I32" s="168" t="n"/>
      <c r="J32" s="168">
        <f> SUM(J30:J31)</f>
        <v>0.0</v>
      </c>
      <c r="K32" s="168">
        <f> SUM(K30:K31)</f>
        <v>0.0</v>
      </c>
      <c r="L32" s="168">
        <f> SUM(L30:L31)</f>
        <v>5192.909394115046</v>
      </c>
      <c r="M32" s="168">
        <f> SUM(M30:M31)</f>
        <v>5347.2000038112765</v>
      </c>
      <c r="N32" s="168">
        <f> SUM(N30:N31)</f>
        <v>5692.66845747865</v>
      </c>
      <c r="O32" s="168">
        <f> SUM(O30:O31)</f>
        <v>5467.059478909892</v>
      </c>
      <c r="P32" s="168">
        <f> SUM(P30:P31)</f>
        <v>5817.509424437529</v>
      </c>
      <c r="Q32" s="168">
        <f> SUM(Q30:Q31)</f>
        <v>5597.218214647175</v>
      </c>
      <c r="R32" s="168">
        <f> SUM(R30:R31)</f>
        <v>5974.7644089012665</v>
      </c>
      <c r="S32" s="168">
        <f> SUM(S30:S31)</f>
        <v>5729.7013430181105</v>
      </c>
      <c r="T32" s="168">
        <f> SUM(T30:T31)</f>
        <v>6326.11229271827</v>
      </c>
      <c r="U32" s="168">
        <f> SUM(U30:U31)</f>
        <v>6147.1813585826785</v>
      </c>
      <c r="V32" s="168">
        <f> SUM(V30:V31)</f>
        <v>6543.340045045556</v>
      </c>
      <c r="W32" s="168">
        <f> SUM(W30:W31)</f>
        <v>6268.001472105265</v>
      </c>
      <c r="X32" s="168">
        <f> SUM(X30:X31)</f>
        <v>6640.645125693423</v>
      </c>
      <c r="Y32" s="168">
        <f> SUM(Y30:Y31)</f>
        <v>6369.800327816101</v>
      </c>
      <c r="Z32" s="168">
        <f> SUM(Z30:Z31)</f>
        <v>6757.074758667986</v>
      </c>
      <c r="AA32" s="168">
        <f> SUM(AA30:AA31)</f>
        <v>6457.39214125404</v>
      </c>
      <c r="AB32" s="168">
        <f> SUM(AB30:AB31)</f>
        <v>6839.8644794642205</v>
      </c>
      <c r="AC32" s="168">
        <f> SUM(AC30:AC31)</f>
        <v>6560.894337650585</v>
      </c>
      <c r="AD32" s="168">
        <f> SUM(AD30:AD31)</f>
        <v>7452.969529881211</v>
      </c>
      <c r="AE32" s="168">
        <f> SUM(AE30:AE31)</f>
        <v>7305.121492499144</v>
      </c>
      <c r="AF32" s="168">
        <f> SUM(AF30:AF31)</f>
        <v>7716.802978474932</v>
      </c>
      <c r="AG32" s="168">
        <f> SUM(AG30:AG31)</f>
        <v>7423.66086547689</v>
      </c>
      <c r="AH32" s="168">
        <f> SUM(AH30:AH31)</f>
        <v>7856.492751689355</v>
      </c>
      <c r="AI32" s="168">
        <f> SUM(AI30:AI31)</f>
        <v>7524.27513727412</v>
      </c>
      <c r="AJ32" s="168">
        <f> SUM(AJ30:AJ31)</f>
        <v>7957.238962847201</v>
      </c>
      <c r="AK32" s="168">
        <f> SUM(AK30:AK31)</f>
        <v>7637.438796423161</v>
      </c>
      <c r="AL32" s="168">
        <f> SUM(AL30:AL31)</f>
        <v>8092.187534240034</v>
      </c>
      <c r="AM32" s="168">
        <f> SUM(AM30:AM31)</f>
        <v>8248.609688047094</v>
      </c>
      <c r="AN32" s="168">
        <f> SUM(AN30:AN31)</f>
        <v>8899.407966676596</v>
      </c>
      <c r="AO32" s="168">
        <f> SUM(AO30:AO31)</f>
        <v>8582.257237470945</v>
      </c>
      <c r="AP32" s="168">
        <f> SUM(AP30:AP31)</f>
        <v>9064.75914982503</v>
      </c>
      <c r="AQ32" s="168">
        <f> SUM(AQ30:AQ31)</f>
        <v>8697.155241662034</v>
      </c>
      <c r="AR32" s="168">
        <f> SUM(AR30:AR31)</f>
        <v>9166.390205676898</v>
      </c>
      <c r="AS32" s="168">
        <f> SUM(AS30:AS31)</f>
        <v>8839.724954595073</v>
      </c>
      <c r="AT32" s="168">
        <f> SUM(AT30:AT31)</f>
        <v>9336.701924319776</v>
      </c>
      <c r="AU32" s="168">
        <f> SUM(AU30:AU31)</f>
        <v>8958.06989891189</v>
      </c>
      <c r="AV32" s="168">
        <f> SUM(AV30:AV31)</f>
        <v>9441.381911847202</v>
      </c>
      <c r="AW32" s="168">
        <f> SUM(AW30:AW31)</f>
        <v>9104.916703232917</v>
      </c>
      <c r="AX32" s="168">
        <f> SUM(AX30:AX31)</f>
        <v>10266.239507798697</v>
      </c>
      <c r="AY32" s="168">
        <f> SUM(AY30:AY31)</f>
        <v>10092.258754360497</v>
      </c>
      <c r="AZ32" s="168">
        <f> SUM(AZ30:AZ31)</f>
        <v>10626.01925013826</v>
      </c>
      <c r="BA32" s="168">
        <f> SUM(BA30:BA31)</f>
        <v>10244.021223429549</v>
      </c>
      <c r="BB32" s="168">
        <f> SUM(BB30:BB31)</f>
        <v>10812.788948837113</v>
      </c>
      <c r="BC32" s="168">
        <f> SUM(BC30:BC31)</f>
        <v>10395.026516991305</v>
      </c>
      <c r="BD32" s="168">
        <f> SUM(BD30:BD31)</f>
        <v>10929.094729365526</v>
      </c>
      <c r="BE32" s="168">
        <f> SUM(BE30:BE31)</f>
        <v>10567.04695840931</v>
      </c>
      <c r="BF32" s="168">
        <f> SUM(BF30:BF31)</f>
        <v>11137.172617302223</v>
      </c>
      <c r="BG32" s="168">
        <f> SUM(BG30:BG31)</f>
        <v>10706.877312501045</v>
      </c>
      <c r="BH32" s="168">
        <f> SUM(BH30:BH31)</f>
        <v>10604.76344762884</v>
      </c>
      <c r="BI32" s="168">
        <f> SUM(BI30:BI31)</f>
        <v>11385.33426725212</v>
      </c>
      <c r="BJ32" s="168">
        <f> SUM(BJ30:BJ31)</f>
        <v>10962.831730484364</v>
      </c>
      <c r="BK32" s="168">
        <f> SUM(BK30:BK31)</f>
        <v>11542.029407963797</v>
      </c>
      <c r="BL32" s="168">
        <f> SUM(BL30:BL31)</f>
        <v>11080.445690019407</v>
      </c>
      <c r="BM32" s="168">
        <f> SUM(BM30:BM31)</f>
        <v>11726.894295269676</v>
      </c>
      <c r="BN32" s="168">
        <f> SUM(BN30:BN31)</f>
        <v>11291.7166823989</v>
      </c>
      <c r="BO32" s="168">
        <f> SUM(BO30:BO31)</f>
        <v>11888.290290202709</v>
      </c>
      <c r="BP32" s="168">
        <f> SUM(BP30:BP31)</f>
        <v>11428.184163229618</v>
      </c>
      <c r="BQ32" s="168">
        <f> SUM(BQ30:BQ31)</f>
        <v>11364.470719431682</v>
      </c>
      <c r="BR32" s="168">
        <f> SUM(BR30:BR31)</f>
        <v>12169.889222586793</v>
      </c>
      <c r="BS32" s="168">
        <f> SUM(BS30:BS31)</f>
        <v>11699.69392505731</v>
      </c>
      <c r="BT32" s="168">
        <f> SUM(BT30:BT31)</f>
        <v>12300.792403225454</v>
      </c>
      <c r="BU32" s="168">
        <f> SUM(BU30:BU31)</f>
        <v>11893.304447373364</v>
      </c>
      <c r="BV32" s="168">
        <f> SUM(BV30:BV31)</f>
        <v>12534.9858992644</v>
      </c>
      <c r="BW32" s="168">
        <f> SUM(BW30:BW31)</f>
        <v>12783.167228454382</v>
      </c>
      <c r="BX32" s="168">
        <f> SUM(BX30:BX31)</f>
        <v>12841.963664567826</v>
      </c>
      <c r="BY32" s="168">
        <f> SUM(BY30:BY31)</f>
        <v>12991.572215884164</v>
      </c>
      <c r="BZ32" s="168">
        <f> SUM(BZ30:BZ31)</f>
        <v>13087.665993322771</v>
      </c>
      <c r="CA32" s="168">
        <f> SUM(CA30:CA31)</f>
        <v>13166.662245308009</v>
      </c>
      <c r="CB32" s="168">
        <f> SUM(CB30:CB31)</f>
        <v>13227.222574504853</v>
      </c>
      <c r="CC32" s="168">
        <f> SUM(CC30:CC31)</f>
        <v>13381.319382360693</v>
      </c>
      <c r="CD32" s="168">
        <f> SUM(CD30:CD31)</f>
        <v>13480.295973122451</v>
      </c>
      <c r="CE32" s="168">
        <f> SUM(CE30:CE31)</f>
        <v>13561.662112667243</v>
      </c>
      <c r="CF32" s="168">
        <f> SUM(CF30:CF31)</f>
        <v>13643.354541664656</v>
      </c>
      <c r="CG32" s="168">
        <f> SUM(CG30:CG31)</f>
        <v>13763.443673906844</v>
      </c>
      <c r="CH32" s="168">
        <f> SUM(CH30:CH31)</f>
        <v>13884.704852316114</v>
      </c>
      <c r="CI32" s="168">
        <f> SUM(CI30:CI31)</f>
        <v>13968.511976047255</v>
      </c>
      <c r="CJ32" s="168">
        <f> SUM(CJ30:CJ31)</f>
        <v>14032.760429292193</v>
      </c>
      <c r="CK32" s="168">
        <f> SUM(CK30:CK31)</f>
        <v>14196.241732746457</v>
      </c>
      <c r="CL32" s="168">
        <f> SUM(CL30:CL31)</f>
        <v>14301.245997885599</v>
      </c>
      <c r="CM32" s="168">
        <f> SUM(CM30:CM31)</f>
        <v>14387.567335328677</v>
      </c>
      <c r="CN32" s="168">
        <f> SUM(CN30:CN31)</f>
        <v>1810.7664905536149</v>
      </c>
      <c r="CO32" s="168">
        <f> SUM(CO30:CO31)</f>
        <v>0.0</v>
      </c>
    </row>
    <row r="34">
      <c r="E34" s="117" t="str">
        <f> NCA!E$19</f>
        <v>Capital expenditure</v>
      </c>
      <c r="F34" s="117" t="str">
        <f> NCA!F$19</f>
        <v>CF</v>
      </c>
      <c r="G34" s="117" t="str">
        <f> NCA!G$19</f>
        <v>$ 000s</v>
      </c>
      <c r="H34" s="117">
        <f> NCA!H$19</f>
        <v>-8000.0</v>
      </c>
      <c r="I34" s="117">
        <f> NCA!I$19</f>
        <v>0.0</v>
      </c>
      <c r="J34" s="117">
        <f> NCA!J$19</f>
        <v>-0.0</v>
      </c>
      <c r="K34" s="117">
        <f> NCA!K$19</f>
        <v>-0.0</v>
      </c>
      <c r="L34" s="117">
        <f> NCA!L$19</f>
        <v>-0.0</v>
      </c>
      <c r="M34" s="117">
        <f> NCA!M$19</f>
        <v>-0.0</v>
      </c>
      <c r="N34" s="117">
        <f> NCA!N$19</f>
        <v>-0.0</v>
      </c>
      <c r="O34" s="117">
        <f> NCA!O$19</f>
        <v>-0.0</v>
      </c>
      <c r="P34" s="117">
        <f> NCA!P$19</f>
        <v>-0.0</v>
      </c>
      <c r="Q34" s="117">
        <f> NCA!Q$19</f>
        <v>-0.0</v>
      </c>
      <c r="R34" s="117">
        <f> NCA!R$19</f>
        <v>-0.0</v>
      </c>
      <c r="S34" s="117">
        <f> NCA!S$19</f>
        <v>-2000.0</v>
      </c>
      <c r="T34" s="117">
        <f> NCA!T$19</f>
        <v>-0.0</v>
      </c>
      <c r="U34" s="117">
        <f> NCA!U$19</f>
        <v>-0.0</v>
      </c>
      <c r="V34" s="117">
        <f> NCA!V$19</f>
        <v>-0.0</v>
      </c>
      <c r="W34" s="117">
        <f> NCA!W$19</f>
        <v>-1000.0</v>
      </c>
      <c r="X34" s="117">
        <f> NCA!X$19</f>
        <v>-0.0</v>
      </c>
      <c r="Y34" s="117">
        <f> NCA!Y$19</f>
        <v>-0.0</v>
      </c>
      <c r="Z34" s="117">
        <f> NCA!Z$19</f>
        <v>-0.0</v>
      </c>
      <c r="AA34" s="117">
        <f> NCA!AA$19</f>
        <v>-1500.0</v>
      </c>
      <c r="AB34" s="117">
        <f> NCA!AB$19</f>
        <v>-0.0</v>
      </c>
      <c r="AC34" s="117">
        <f> NCA!AC$19</f>
        <v>-0.0</v>
      </c>
      <c r="AD34" s="117">
        <f> NCA!AD$19</f>
        <v>-0.0</v>
      </c>
      <c r="AE34" s="117">
        <f> NCA!AE$19</f>
        <v>-1000.0</v>
      </c>
      <c r="AF34" s="117">
        <f> NCA!AF$19</f>
        <v>-0.0</v>
      </c>
      <c r="AG34" s="117">
        <f> NCA!AG$19</f>
        <v>-0.0</v>
      </c>
      <c r="AH34" s="117">
        <f> NCA!AH$19</f>
        <v>-0.0</v>
      </c>
      <c r="AI34" s="117">
        <f> NCA!AI$19</f>
        <v>-500.0</v>
      </c>
      <c r="AJ34" s="117">
        <f> NCA!AJ$19</f>
        <v>-0.0</v>
      </c>
      <c r="AK34" s="117">
        <f> NCA!AK$19</f>
        <v>-0.0</v>
      </c>
      <c r="AL34" s="117">
        <f> NCA!AL$19</f>
        <v>-0.0</v>
      </c>
      <c r="AM34" s="117">
        <f> NCA!AM$19</f>
        <v>-1000.0</v>
      </c>
      <c r="AN34" s="117">
        <f> NCA!AN$19</f>
        <v>-0.0</v>
      </c>
      <c r="AO34" s="117">
        <f> NCA!AO$19</f>
        <v>-0.0</v>
      </c>
      <c r="AP34" s="117">
        <f> NCA!AP$19</f>
        <v>-0.0</v>
      </c>
      <c r="AQ34" s="117">
        <f> NCA!AQ$19</f>
        <v>-1000.0</v>
      </c>
      <c r="AR34" s="117">
        <f> NCA!AR$19</f>
        <v>-0.0</v>
      </c>
      <c r="AS34" s="117">
        <f> NCA!AS$19</f>
        <v>-0.0</v>
      </c>
      <c r="AT34" s="117">
        <f> NCA!AT$19</f>
        <v>-0.0</v>
      </c>
      <c r="AU34" s="117">
        <f> NCA!AU$19</f>
        <v>-0.0</v>
      </c>
      <c r="AV34" s="117">
        <f> NCA!AV$19</f>
        <v>-0.0</v>
      </c>
      <c r="AW34" s="117">
        <f> NCA!AW$19</f>
        <v>-0.0</v>
      </c>
      <c r="AX34" s="117">
        <f> NCA!AX$19</f>
        <v>-0.0</v>
      </c>
      <c r="AY34" s="117">
        <f> NCA!AY$19</f>
        <v>-0.0</v>
      </c>
      <c r="AZ34" s="117">
        <f> NCA!AZ$19</f>
        <v>-0.0</v>
      </c>
      <c r="BA34" s="117">
        <f> NCA!BA$19</f>
        <v>-0.0</v>
      </c>
      <c r="BB34" s="117">
        <f> NCA!BB$19</f>
        <v>-0.0</v>
      </c>
      <c r="BC34" s="117">
        <f> NCA!BC$19</f>
        <v>-0.0</v>
      </c>
      <c r="BD34" s="117">
        <f> NCA!BD$19</f>
        <v>-0.0</v>
      </c>
      <c r="BE34" s="117">
        <f> NCA!BE$19</f>
        <v>-0.0</v>
      </c>
      <c r="BF34" s="117">
        <f> NCA!BF$19</f>
        <v>-0.0</v>
      </c>
      <c r="BG34" s="117">
        <f> NCA!BG$19</f>
        <v>-0.0</v>
      </c>
      <c r="BH34" s="117">
        <f> NCA!BH$19</f>
        <v>-0.0</v>
      </c>
      <c r="BI34" s="117">
        <f> NCA!BI$19</f>
        <v>-0.0</v>
      </c>
      <c r="BJ34" s="117">
        <f> NCA!BJ$19</f>
        <v>-0.0</v>
      </c>
      <c r="BK34" s="117">
        <f> NCA!BK$19</f>
        <v>-0.0</v>
      </c>
      <c r="BL34" s="117">
        <f> NCA!BL$19</f>
        <v>-0.0</v>
      </c>
      <c r="BM34" s="117">
        <f> NCA!BM$19</f>
        <v>-0.0</v>
      </c>
      <c r="BN34" s="117">
        <f> NCA!BN$19</f>
        <v>-0.0</v>
      </c>
      <c r="BO34" s="117">
        <f> NCA!BO$19</f>
        <v>-0.0</v>
      </c>
      <c r="BP34" s="117">
        <f> NCA!BP$19</f>
        <v>-0.0</v>
      </c>
      <c r="BQ34" s="117">
        <f> NCA!BQ$19</f>
        <v>-0.0</v>
      </c>
      <c r="BR34" s="117">
        <f> NCA!BR$19</f>
        <v>-0.0</v>
      </c>
      <c r="BS34" s="117">
        <f> NCA!BS$19</f>
        <v>-0.0</v>
      </c>
      <c r="BT34" s="117">
        <f> NCA!BT$19</f>
        <v>-0.0</v>
      </c>
      <c r="BU34" s="117">
        <f> NCA!BU$19</f>
        <v>-0.0</v>
      </c>
      <c r="BV34" s="117">
        <f> NCA!BV$19</f>
        <v>-0.0</v>
      </c>
      <c r="BW34" s="117">
        <f> NCA!BW$19</f>
        <v>-0.0</v>
      </c>
      <c r="BX34" s="117">
        <f> NCA!BX$19</f>
        <v>-0.0</v>
      </c>
      <c r="BY34" s="117">
        <f> NCA!BY$19</f>
        <v>-0.0</v>
      </c>
      <c r="BZ34" s="117">
        <f> NCA!BZ$19</f>
        <v>-0.0</v>
      </c>
      <c r="CA34" s="117">
        <f> NCA!CA$19</f>
        <v>-0.0</v>
      </c>
      <c r="CB34" s="117">
        <f> NCA!CB$19</f>
        <v>-0.0</v>
      </c>
      <c r="CC34" s="117">
        <f> NCA!CC$19</f>
        <v>-0.0</v>
      </c>
      <c r="CD34" s="117">
        <f> NCA!CD$19</f>
        <v>-0.0</v>
      </c>
      <c r="CE34" s="117">
        <f> NCA!CE$19</f>
        <v>-0.0</v>
      </c>
      <c r="CF34" s="117">
        <f> NCA!CF$19</f>
        <v>-0.0</v>
      </c>
      <c r="CG34" s="117">
        <f> NCA!CG$19</f>
        <v>-0.0</v>
      </c>
      <c r="CH34" s="117">
        <f> NCA!CH$19</f>
        <v>-0.0</v>
      </c>
      <c r="CI34" s="117">
        <f> NCA!CI$19</f>
        <v>-0.0</v>
      </c>
      <c r="CJ34" s="117">
        <f> NCA!CJ$19</f>
        <v>-0.0</v>
      </c>
      <c r="CK34" s="117">
        <f> NCA!CK$19</f>
        <v>-0.0</v>
      </c>
      <c r="CL34" s="117">
        <f> NCA!CL$19</f>
        <v>-0.0</v>
      </c>
      <c r="CM34" s="117">
        <f> NCA!CM$19</f>
        <v>-0.0</v>
      </c>
      <c r="CN34" s="117">
        <f> NCA!CN$19</f>
        <v>-0.0</v>
      </c>
      <c r="CO34" s="117">
        <f> NCA!CO$19</f>
        <v>-0.0</v>
      </c>
    </row>
    <row r="35">
      <c r="E35" s="168" t="inlineStr">
        <is>
          <t>Pre tax pre financing cash flow</t>
        </is>
      </c>
      <c r="F35" s="168" t="n"/>
      <c r="G35" s="168" t="inlineStr">
        <is>
          <t>$ 000s</t>
        </is>
      </c>
      <c r="H35" s="168">
        <f> SUM(J35:CO35)</f>
        <v>781195.2008258443</v>
      </c>
      <c r="I35" s="168" t="n"/>
      <c r="J35" s="168">
        <f> J32 + SUM(J34:J34)</f>
        <v>0.0</v>
      </c>
      <c r="K35" s="168">
        <f> K32 + SUM(K34:K34)</f>
        <v>0.0</v>
      </c>
      <c r="L35" s="168">
        <f> L32 + SUM(L34:L34)</f>
        <v>5192.909394115046</v>
      </c>
      <c r="M35" s="168">
        <f> M32 + SUM(M34:M34)</f>
        <v>5347.2000038112765</v>
      </c>
      <c r="N35" s="168">
        <f> N32 + SUM(N34:N34)</f>
        <v>5692.66845747865</v>
      </c>
      <c r="O35" s="168">
        <f> O32 + SUM(O34:O34)</f>
        <v>5467.059478909892</v>
      </c>
      <c r="P35" s="168">
        <f> P32 + SUM(P34:P34)</f>
        <v>5817.509424437529</v>
      </c>
      <c r="Q35" s="168">
        <f> Q32 + SUM(Q34:Q34)</f>
        <v>5597.218214647175</v>
      </c>
      <c r="R35" s="168">
        <f> R32 + SUM(R34:R34)</f>
        <v>5974.7644089012665</v>
      </c>
      <c r="S35" s="168">
        <f> S32 + SUM(S34:S34)</f>
        <v>3729.7013430181105</v>
      </c>
      <c r="T35" s="168">
        <f> T32 + SUM(T34:T34)</f>
        <v>6326.11229271827</v>
      </c>
      <c r="U35" s="168">
        <f> U32 + SUM(U34:U34)</f>
        <v>6147.1813585826785</v>
      </c>
      <c r="V35" s="168">
        <f> V32 + SUM(V34:V34)</f>
        <v>6543.340045045556</v>
      </c>
      <c r="W35" s="168">
        <f> W32 + SUM(W34:W34)</f>
        <v>5268.001472105265</v>
      </c>
      <c r="X35" s="168">
        <f> X32 + SUM(X34:X34)</f>
        <v>6640.645125693423</v>
      </c>
      <c r="Y35" s="168">
        <f> Y32 + SUM(Y34:Y34)</f>
        <v>6369.800327816101</v>
      </c>
      <c r="Z35" s="168">
        <f> Z32 + SUM(Z34:Z34)</f>
        <v>6757.074758667986</v>
      </c>
      <c r="AA35" s="168">
        <f> AA32 + SUM(AA34:AA34)</f>
        <v>4957.39214125404</v>
      </c>
      <c r="AB35" s="168">
        <f> AB32 + SUM(AB34:AB34)</f>
        <v>6839.8644794642205</v>
      </c>
      <c r="AC35" s="168">
        <f> AC32 + SUM(AC34:AC34)</f>
        <v>6560.894337650585</v>
      </c>
      <c r="AD35" s="168">
        <f> AD32 + SUM(AD34:AD34)</f>
        <v>7452.969529881211</v>
      </c>
      <c r="AE35" s="168">
        <f> AE32 + SUM(AE34:AE34)</f>
        <v>6305.121492499144</v>
      </c>
      <c r="AF35" s="168">
        <f> AF32 + SUM(AF34:AF34)</f>
        <v>7716.802978474932</v>
      </c>
      <c r="AG35" s="168">
        <f> AG32 + SUM(AG34:AG34)</f>
        <v>7423.66086547689</v>
      </c>
      <c r="AH35" s="168">
        <f> AH32 + SUM(AH34:AH34)</f>
        <v>7856.492751689355</v>
      </c>
      <c r="AI35" s="168">
        <f> AI32 + SUM(AI34:AI34)</f>
        <v>7024.27513727412</v>
      </c>
      <c r="AJ35" s="168">
        <f> AJ32 + SUM(AJ34:AJ34)</f>
        <v>7957.238962847201</v>
      </c>
      <c r="AK35" s="168">
        <f> AK32 + SUM(AK34:AK34)</f>
        <v>7637.438796423161</v>
      </c>
      <c r="AL35" s="168">
        <f> AL32 + SUM(AL34:AL34)</f>
        <v>8092.187534240034</v>
      </c>
      <c r="AM35" s="168">
        <f> AM32 + SUM(AM34:AM34)</f>
        <v>7248.609688047094</v>
      </c>
      <c r="AN35" s="168">
        <f> AN32 + SUM(AN34:AN34)</f>
        <v>8899.407966676596</v>
      </c>
      <c r="AO35" s="168">
        <f> AO32 + SUM(AO34:AO34)</f>
        <v>8582.257237470945</v>
      </c>
      <c r="AP35" s="168">
        <f> AP32 + SUM(AP34:AP34)</f>
        <v>9064.75914982503</v>
      </c>
      <c r="AQ35" s="168">
        <f> AQ32 + SUM(AQ34:AQ34)</f>
        <v>7697.155241662034</v>
      </c>
      <c r="AR35" s="168">
        <f> AR32 + SUM(AR34:AR34)</f>
        <v>9166.390205676898</v>
      </c>
      <c r="AS35" s="168">
        <f> AS32 + SUM(AS34:AS34)</f>
        <v>8839.724954595073</v>
      </c>
      <c r="AT35" s="168">
        <f> AT32 + SUM(AT34:AT34)</f>
        <v>9336.701924319776</v>
      </c>
      <c r="AU35" s="168">
        <f> AU32 + SUM(AU34:AU34)</f>
        <v>8958.06989891189</v>
      </c>
      <c r="AV35" s="168">
        <f> AV32 + SUM(AV34:AV34)</f>
        <v>9441.381911847202</v>
      </c>
      <c r="AW35" s="168">
        <f> AW32 + SUM(AW34:AW34)</f>
        <v>9104.916703232917</v>
      </c>
      <c r="AX35" s="168">
        <f> AX32 + SUM(AX34:AX34)</f>
        <v>10266.239507798697</v>
      </c>
      <c r="AY35" s="168">
        <f> AY32 + SUM(AY34:AY34)</f>
        <v>10092.258754360497</v>
      </c>
      <c r="AZ35" s="168">
        <f> AZ32 + SUM(AZ34:AZ34)</f>
        <v>10626.01925013826</v>
      </c>
      <c r="BA35" s="168">
        <f> BA32 + SUM(BA34:BA34)</f>
        <v>10244.021223429549</v>
      </c>
      <c r="BB35" s="168">
        <f> BB32 + SUM(BB34:BB34)</f>
        <v>10812.788948837113</v>
      </c>
      <c r="BC35" s="168">
        <f> BC32 + SUM(BC34:BC34)</f>
        <v>10395.026516991305</v>
      </c>
      <c r="BD35" s="168">
        <f> BD32 + SUM(BD34:BD34)</f>
        <v>10929.094729365526</v>
      </c>
      <c r="BE35" s="168">
        <f> BE32 + SUM(BE34:BE34)</f>
        <v>10567.04695840931</v>
      </c>
      <c r="BF35" s="168">
        <f> BF32 + SUM(BF34:BF34)</f>
        <v>11137.172617302223</v>
      </c>
      <c r="BG35" s="168">
        <f> BG32 + SUM(BG34:BG34)</f>
        <v>10706.877312501045</v>
      </c>
      <c r="BH35" s="168">
        <f> BH32 + SUM(BH34:BH34)</f>
        <v>10604.76344762884</v>
      </c>
      <c r="BI35" s="168">
        <f> BI32 + SUM(BI34:BI34)</f>
        <v>11385.33426725212</v>
      </c>
      <c r="BJ35" s="168">
        <f> BJ32 + SUM(BJ34:BJ34)</f>
        <v>10962.831730484364</v>
      </c>
      <c r="BK35" s="168">
        <f> BK32 + SUM(BK34:BK34)</f>
        <v>11542.029407963797</v>
      </c>
      <c r="BL35" s="168">
        <f> BL32 + SUM(BL34:BL34)</f>
        <v>11080.445690019407</v>
      </c>
      <c r="BM35" s="168">
        <f> BM32 + SUM(BM34:BM34)</f>
        <v>11726.894295269676</v>
      </c>
      <c r="BN35" s="168">
        <f> BN32 + SUM(BN34:BN34)</f>
        <v>11291.7166823989</v>
      </c>
      <c r="BO35" s="168">
        <f> BO32 + SUM(BO34:BO34)</f>
        <v>11888.290290202709</v>
      </c>
      <c r="BP35" s="168">
        <f> BP32 + SUM(BP34:BP34)</f>
        <v>11428.184163229618</v>
      </c>
      <c r="BQ35" s="168">
        <f> BQ32 + SUM(BQ34:BQ34)</f>
        <v>11364.470719431682</v>
      </c>
      <c r="BR35" s="168">
        <f> BR32 + SUM(BR34:BR34)</f>
        <v>12169.889222586793</v>
      </c>
      <c r="BS35" s="168">
        <f> BS32 + SUM(BS34:BS34)</f>
        <v>11699.69392505731</v>
      </c>
      <c r="BT35" s="168">
        <f> BT32 + SUM(BT34:BT34)</f>
        <v>12300.792403225454</v>
      </c>
      <c r="BU35" s="168">
        <f> BU32 + SUM(BU34:BU34)</f>
        <v>11893.304447373364</v>
      </c>
      <c r="BV35" s="168">
        <f> BV32 + SUM(BV34:BV34)</f>
        <v>12534.9858992644</v>
      </c>
      <c r="BW35" s="168">
        <f> BW32 + SUM(BW34:BW34)</f>
        <v>12783.167228454382</v>
      </c>
      <c r="BX35" s="168">
        <f> BX32 + SUM(BX34:BX34)</f>
        <v>12841.963664567826</v>
      </c>
      <c r="BY35" s="168">
        <f> BY32 + SUM(BY34:BY34)</f>
        <v>12991.572215884164</v>
      </c>
      <c r="BZ35" s="168">
        <f> BZ32 + SUM(BZ34:BZ34)</f>
        <v>13087.665993322771</v>
      </c>
      <c r="CA35" s="168">
        <f> CA32 + SUM(CA34:CA34)</f>
        <v>13166.662245308009</v>
      </c>
      <c r="CB35" s="168">
        <f> CB32 + SUM(CB34:CB34)</f>
        <v>13227.222574504853</v>
      </c>
      <c r="CC35" s="168">
        <f> CC32 + SUM(CC34:CC34)</f>
        <v>13381.319382360693</v>
      </c>
      <c r="CD35" s="168">
        <f> CD32 + SUM(CD34:CD34)</f>
        <v>13480.295973122451</v>
      </c>
      <c r="CE35" s="168">
        <f> CE32 + SUM(CE34:CE34)</f>
        <v>13561.662112667243</v>
      </c>
      <c r="CF35" s="168">
        <f> CF32 + SUM(CF34:CF34)</f>
        <v>13643.354541664656</v>
      </c>
      <c r="CG35" s="168">
        <f> CG32 + SUM(CG34:CG34)</f>
        <v>13763.443673906844</v>
      </c>
      <c r="CH35" s="168">
        <f> CH32 + SUM(CH34:CH34)</f>
        <v>13884.704852316114</v>
      </c>
      <c r="CI35" s="168">
        <f> CI32 + SUM(CI34:CI34)</f>
        <v>13968.511976047255</v>
      </c>
      <c r="CJ35" s="168">
        <f> CJ32 + SUM(CJ34:CJ34)</f>
        <v>14032.760429292193</v>
      </c>
      <c r="CK35" s="168">
        <f> CK32 + SUM(CK34:CK34)</f>
        <v>14196.241732746457</v>
      </c>
      <c r="CL35" s="168">
        <f> CL32 + SUM(CL34:CL34)</f>
        <v>14301.245997885599</v>
      </c>
      <c r="CM35" s="168">
        <f> CM32 + SUM(CM34:CM34)</f>
        <v>14387.567335328677</v>
      </c>
      <c r="CN35" s="168">
        <f> CN32 + SUM(CN34:CN34)</f>
        <v>1810.7664905536149</v>
      </c>
      <c r="CO35" s="168">
        <f> CO32 + SUM(CO34:CO34)</f>
        <v>0.0</v>
      </c>
    </row>
    <row r="36">
      <c r="E36" s="169" t="n"/>
      <c r="F36" s="169" t="n"/>
      <c r="G36" s="169" t="n"/>
      <c r="H36" s="169" t="n"/>
      <c r="I36" s="169" t="n"/>
      <c r="J36" s="169" t="n"/>
      <c r="K36" s="169" t="n"/>
      <c r="L36" s="169" t="n"/>
      <c r="M36" s="169" t="n"/>
      <c r="N36" s="169" t="n"/>
      <c r="O36" s="169" t="n"/>
      <c r="P36" s="169" t="n"/>
      <c r="Q36" s="169" t="n"/>
      <c r="R36" s="169" t="n"/>
      <c r="S36" s="169" t="n"/>
      <c r="T36" s="169" t="n"/>
      <c r="U36" s="169" t="n"/>
      <c r="V36" s="169" t="n"/>
      <c r="W36" s="169" t="n"/>
      <c r="X36" s="169" t="n"/>
      <c r="Y36" s="169" t="n"/>
      <c r="Z36" s="169" t="n"/>
      <c r="AA36" s="169" t="n"/>
      <c r="AB36" s="169" t="n"/>
      <c r="AC36" s="169" t="n"/>
      <c r="AD36" s="169" t="n"/>
      <c r="AE36" s="169" t="n"/>
      <c r="AF36" s="169" t="n"/>
      <c r="AG36" s="169" t="n"/>
      <c r="AH36" s="169" t="n"/>
      <c r="AI36" s="169" t="n"/>
      <c r="AJ36" s="169" t="n"/>
      <c r="AK36" s="169" t="n"/>
      <c r="AL36" s="169" t="n"/>
      <c r="AM36" s="169" t="n"/>
      <c r="AN36" s="169" t="n"/>
      <c r="AO36" s="169" t="n"/>
      <c r="AP36" s="169" t="n"/>
      <c r="AQ36" s="169" t="n"/>
      <c r="AR36" s="169" t="n"/>
      <c r="AS36" s="169" t="n"/>
      <c r="AT36" s="169" t="n"/>
      <c r="AU36" s="169" t="n"/>
      <c r="AV36" s="169" t="n"/>
      <c r="AW36" s="169" t="n"/>
      <c r="AX36" s="169" t="n"/>
      <c r="AY36" s="169" t="n"/>
      <c r="AZ36" s="169" t="n"/>
      <c r="BA36" s="169" t="n"/>
      <c r="BB36" s="169" t="n"/>
      <c r="BC36" s="169" t="n"/>
      <c r="BD36" s="169" t="n"/>
      <c r="BE36" s="169" t="n"/>
      <c r="BF36" s="169" t="n"/>
      <c r="BG36" s="169" t="n"/>
      <c r="BH36" s="169" t="n"/>
      <c r="BI36" s="169" t="n"/>
      <c r="BJ36" s="169" t="n"/>
      <c r="BK36" s="169" t="n"/>
      <c r="BL36" s="169" t="n"/>
      <c r="BM36" s="169" t="n"/>
      <c r="BN36" s="169" t="n"/>
      <c r="BO36" s="169" t="n"/>
      <c r="BP36" s="169" t="n"/>
      <c r="BQ36" s="169" t="n"/>
      <c r="BR36" s="169" t="n"/>
      <c r="BS36" s="169" t="n"/>
      <c r="BT36" s="169" t="n"/>
      <c r="BU36" s="169" t="n"/>
      <c r="BV36" s="169" t="n"/>
      <c r="BW36" s="169" t="n"/>
      <c r="BX36" s="169" t="n"/>
      <c r="BY36" s="169" t="n"/>
      <c r="BZ36" s="169" t="n"/>
      <c r="CA36" s="169" t="n"/>
      <c r="CB36" s="169" t="n"/>
      <c r="CC36" s="169" t="n"/>
      <c r="CD36" s="169" t="n"/>
      <c r="CE36" s="169" t="n"/>
      <c r="CF36" s="169" t="n"/>
      <c r="CG36" s="169" t="n"/>
      <c r="CH36" s="169" t="n"/>
      <c r="CI36" s="169" t="n"/>
      <c r="CJ36" s="169" t="n"/>
      <c r="CK36" s="169" t="n"/>
      <c r="CL36" s="169" t="n"/>
      <c r="CM36" s="169" t="n"/>
      <c r="CN36" s="169" t="n"/>
      <c r="CO36" s="169" t="n"/>
    </row>
    <row r="37" customFormat="1" s="194">
      <c r="A37" s="163" t="n"/>
      <c r="B37" s="163" t="n"/>
      <c r="C37" s="172" t="n"/>
      <c r="D37" s="88" t="n"/>
      <c r="E37" s="117" t="str">
        <f> Tax!E$32</f>
        <v>Tax paid</v>
      </c>
      <c r="F37" s="117" t="str">
        <f> Tax!F$32</f>
        <v>CF</v>
      </c>
      <c r="G37" s="117" t="str">
        <f> Tax!G$32</f>
        <v>$ 000s</v>
      </c>
      <c r="H37" s="117">
        <f> Tax!H$32</f>
        <v>-198871.2602477531</v>
      </c>
      <c r="I37" s="117">
        <f> Tax!I$32</f>
        <v>0.0</v>
      </c>
      <c r="J37" s="117">
        <f> Tax!J$32</f>
        <v>-0.0</v>
      </c>
      <c r="K37" s="117">
        <f> Tax!K$32</f>
        <v>-0.0</v>
      </c>
      <c r="L37" s="117">
        <f> Tax!L$32</f>
        <v>99.71246898620848</v>
      </c>
      <c r="M37" s="117">
        <f> Tax!M$32</f>
        <v>146.72281680842917</v>
      </c>
      <c r="N37" s="117">
        <f> Tax!N$32</f>
        <v>-78.22003301300957</v>
      </c>
      <c r="O37" s="117">
        <f> Tax!O$32</f>
        <v>-30.4057490000003</v>
      </c>
      <c r="P37" s="117">
        <f> Tax!P$32</f>
        <v>-268.26081938137077</v>
      </c>
      <c r="Q37" s="117">
        <f> Tax!Q$32</f>
        <v>-218.65762156406274</v>
      </c>
      <c r="R37" s="117">
        <f> Tax!R$32</f>
        <v>-444.8110541811538</v>
      </c>
      <c r="S37" s="117">
        <f> Tax!S$32</f>
        <v>-389.6023839760422</v>
      </c>
      <c r="T37" s="117">
        <f> Tax!T$32</f>
        <v>-679.0356913208262</v>
      </c>
      <c r="U37" s="117">
        <f> Tax!U$32</f>
        <v>-608.833673569327</v>
      </c>
      <c r="V37" s="117">
        <f> Tax!V$32</f>
        <v>-834.8409106333929</v>
      </c>
      <c r="W37" s="117">
        <f> Tax!W$32</f>
        <v>-757.1491275266421</v>
      </c>
      <c r="X37" s="117">
        <f> Tax!X$32</f>
        <v>-969.0300947387291</v>
      </c>
      <c r="Y37" s="117">
        <f> Tax!Y$32</f>
        <v>-878.3183685863041</v>
      </c>
      <c r="Z37" s="117">
        <f> Tax!Z$32</f>
        <v>-1097.4180327654242</v>
      </c>
      <c r="AA37" s="117">
        <f> Tax!AA$32</f>
        <v>-1002.8497089637954</v>
      </c>
      <c r="AB37" s="117">
        <f> Tax!AB$32</f>
        <v>-1203.9078664783437</v>
      </c>
      <c r="AC37" s="117">
        <f> Tax!AC$32</f>
        <v>-1102.6474034298071</v>
      </c>
      <c r="AD37" s="117">
        <f> Tax!AD$32</f>
        <v>-1524.0495913346756</v>
      </c>
      <c r="AE37" s="117">
        <f> Tax!AE$32</f>
        <v>-1409.5389346852903</v>
      </c>
      <c r="AF37" s="117">
        <f> Tax!AF$32</f>
        <v>-1629.2214002930436</v>
      </c>
      <c r="AG37" s="117">
        <f> Tax!AG$32</f>
        <v>-1508.465511269937</v>
      </c>
      <c r="AH37" s="117">
        <f> Tax!AH$32</f>
        <v>-1739.603757930284</v>
      </c>
      <c r="AI37" s="117">
        <f> Tax!AI$32</f>
        <v>-1615.0847309719709</v>
      </c>
      <c r="AJ37" s="117">
        <f> Tax!AJ$32</f>
        <v>-1841.1221558023174</v>
      </c>
      <c r="AK37" s="117">
        <f> Tax!AK$32</f>
        <v>-1711.8385927668253</v>
      </c>
      <c r="AL37" s="117">
        <f> Tax!AL$32</f>
        <v>-1944.3274810190444</v>
      </c>
      <c r="AM37" s="117">
        <f> Tax!AM$32</f>
        <v>-2015.7009127494316</v>
      </c>
      <c r="AN37" s="117">
        <f> Tax!AN$32</f>
        <v>-2249.176402763177</v>
      </c>
      <c r="AO37" s="117">
        <f> Tax!AO$32</f>
        <v>-2100.315663368687</v>
      </c>
      <c r="AP37" s="117">
        <f> Tax!AP$32</f>
        <v>-2349.1422706944795</v>
      </c>
      <c r="AQ37" s="117">
        <f> Tax!AQ$32</f>
        <v>-2196.2313190412265</v>
      </c>
      <c r="AR37" s="117">
        <f> Tax!AR$32</f>
        <v>-2432.0429714765864</v>
      </c>
      <c r="AS37" s="117">
        <f> Tax!AS$32</f>
        <v>-2275.123804402069</v>
      </c>
      <c r="AT37" s="117">
        <f> Tax!AT$32</f>
        <v>-2518.036759724352</v>
      </c>
      <c r="AU37" s="117">
        <f> Tax!AU$32</f>
        <v>-2346.8916518093833</v>
      </c>
      <c r="AV37" s="117">
        <f> Tax!AV$32</f>
        <v>-2591.526717491291</v>
      </c>
      <c r="AW37" s="117">
        <f> Tax!AW$32</f>
        <v>-2416.033477561017</v>
      </c>
      <c r="AX37" s="117">
        <f> Tax!AX$32</f>
        <v>-2930.1300998704523</v>
      </c>
      <c r="AY37" s="117">
        <f> Tax!AY$32</f>
        <v>-2739.55851822292</v>
      </c>
      <c r="AZ37" s="117">
        <f> Tax!AZ$32</f>
        <v>-3003.0782804530177</v>
      </c>
      <c r="BA37" s="117">
        <f> Tax!BA$32</f>
        <v>-2808.203197953463</v>
      </c>
      <c r="BB37" s="117">
        <f> Tax!BB$32</f>
        <v>-3074.2537989573516</v>
      </c>
      <c r="BC37" s="117">
        <f> Tax!BC$32</f>
        <v>-2875.1540800558537</v>
      </c>
      <c r="BD37" s="117">
        <f> Tax!BD$32</f>
        <v>-3143.908994838542</v>
      </c>
      <c r="BE37" s="117">
        <f> Tax!BE$32</f>
        <v>-2940.650741565406</v>
      </c>
      <c r="BF37" s="117">
        <f> Tax!BF$32</f>
        <v>-3212.272788215743</v>
      </c>
      <c r="BG37" s="117">
        <f> Tax!BG$32</f>
        <v>-3004.910508982717</v>
      </c>
      <c r="BH37" s="117">
        <f> Tax!BH$32</f>
        <v>-3036.63893021064</v>
      </c>
      <c r="BI37" s="117">
        <f> Tax!BI$32</f>
        <v>-3312.846405822989</v>
      </c>
      <c r="BJ37" s="117">
        <f> Tax!BJ$32</f>
        <v>-3099.4074972410162</v>
      </c>
      <c r="BK37" s="117">
        <f> Tax!BK$32</f>
        <v>-3378.8496904499502</v>
      </c>
      <c r="BL37" s="117">
        <f> Tax!BL$32</f>
        <v>-3161.3989667529618</v>
      </c>
      <c r="BM37" s="117">
        <f> Tax!BM$32</f>
        <v>-3444.2096232018803</v>
      </c>
      <c r="BN37" s="117">
        <f> Tax!BN$32</f>
        <v>-3222.768656102239</v>
      </c>
      <c r="BO37" s="117">
        <f> Tax!BO$32</f>
        <v>-3509.075168410242</v>
      </c>
      <c r="BP37" s="117">
        <f> Tax!BP$32</f>
        <v>-3283.6579236400034</v>
      </c>
      <c r="BQ37" s="117">
        <f> Tax!BQ$32</f>
        <v>-3313.9630988837694</v>
      </c>
      <c r="BR37" s="117">
        <f> Tax!BR$32</f>
        <v>-3605.7401112535913</v>
      </c>
      <c r="BS37" s="117">
        <f> Tax!BS$32</f>
        <v>-3374.369604743875</v>
      </c>
      <c r="BT37" s="117">
        <f> Tax!BT$32</f>
        <v>-3669.9377111859117</v>
      </c>
      <c r="BU37" s="117">
        <f> Tax!BU$32</f>
        <v>-3434.59673443894</v>
      </c>
      <c r="BV37" s="117">
        <f> Tax!BV$32</f>
        <v>-3734.066320050423</v>
      </c>
      <c r="BW37" s="117">
        <f> Tax!BW$32</f>
        <v>-3766.135990539744</v>
      </c>
      <c r="BX37" s="117">
        <f> Tax!BX$32</f>
        <v>-3798.2248324484385</v>
      </c>
      <c r="BY37" s="117">
        <f> Tax!BY$32</f>
        <v>-3830.3439225537268</v>
      </c>
      <c r="BZ37" s="117">
        <f> Tax!BZ$32</f>
        <v>-3862.503873061008</v>
      </c>
      <c r="CA37" s="117">
        <f> Tax!CA$32</f>
        <v>-3894.714855494557</v>
      </c>
      <c r="CB37" s="117">
        <f> Tax!CB$32</f>
        <v>-3926.9866233985804</v>
      </c>
      <c r="CC37" s="117">
        <f> Tax!CC$32</f>
        <v>-3959.3285339081913</v>
      </c>
      <c r="CD37" s="117">
        <f> Tax!CD$32</f>
        <v>-3991.7495682467998</v>
      </c>
      <c r="CE37" s="117">
        <f> Tax!CE$32</f>
        <v>-4024.258351203654</v>
      </c>
      <c r="CF37" s="117">
        <f> Tax!CF$32</f>
        <v>-4056.8631696425873</v>
      </c>
      <c r="CG37" s="117">
        <f> Tax!CG$32</f>
        <v>-4089.571990090385</v>
      </c>
      <c r="CH37" s="117">
        <f> Tax!CH$32</f>
        <v>-4122.392475450903</v>
      </c>
      <c r="CI37" s="117">
        <f> Tax!CI$32</f>
        <v>-4155.3320008886285</v>
      </c>
      <c r="CJ37" s="117">
        <f> Tax!CJ$32</f>
        <v>-4188.397668923286</v>
      </c>
      <c r="CK37" s="117">
        <f> Tax!CK$32</f>
        <v>-4221.5963237749465</v>
      </c>
      <c r="CL37" s="117">
        <f> Tax!CL$32</f>
        <v>-4254.934564997188</v>
      </c>
      <c r="CM37" s="117">
        <f> Tax!CM$32</f>
        <v>-3683.2506911378982</v>
      </c>
      <c r="CN37" s="117">
        <f> Tax!CN$32</f>
        <v>3.1125182431424037e-12</v>
      </c>
      <c r="CO37" s="117">
        <f> Tax!CO$32</f>
        <v>3.147101779177319e-12</v>
      </c>
    </row>
    <row r="38" s="396">
      <c r="E38" s="168" t="inlineStr">
        <is>
          <t>Cash flow available for debt service (CFADS)</t>
        </is>
      </c>
      <c r="F38" s="168" t="n"/>
      <c r="G38" s="168" t="inlineStr">
        <is>
          <t>$ 000s</t>
        </is>
      </c>
      <c r="H38" s="168">
        <f> SUM(J38:CO38)</f>
        <v>582323.9405780912</v>
      </c>
      <c r="I38" s="168" t="n"/>
      <c r="J38" s="168">
        <f> J35 + SUM(J37:J37)</f>
        <v>0.0</v>
      </c>
      <c r="K38" s="168">
        <f> K35 + SUM(K37:K37)</f>
        <v>0.0</v>
      </c>
      <c r="L38" s="168">
        <f> L35 + SUM(L37:L37)</f>
        <v>5292.621863101254</v>
      </c>
      <c r="M38" s="168">
        <f> M35 + SUM(M37:M37)</f>
        <v>5493.922820619706</v>
      </c>
      <c r="N38" s="168">
        <f> N35 + SUM(N37:N37)</f>
        <v>5614.4484244656405</v>
      </c>
      <c r="O38" s="168">
        <f> O35 + SUM(O37:O37)</f>
        <v>5436.653729909892</v>
      </c>
      <c r="P38" s="168">
        <f> P35 + SUM(P37:P37)</f>
        <v>5549.248605056158</v>
      </c>
      <c r="Q38" s="168">
        <f> Q35 + SUM(Q37:Q37)</f>
        <v>5378.5605930831125</v>
      </c>
      <c r="R38" s="168">
        <f> R35 + SUM(R37:R37)</f>
        <v>5529.953354720113</v>
      </c>
      <c r="S38" s="168">
        <f> S35 + SUM(S37:S37)</f>
        <v>3340.098959042068</v>
      </c>
      <c r="T38" s="168">
        <f> T35 + SUM(T37:T37)</f>
        <v>5647.0766013974435</v>
      </c>
      <c r="U38" s="168">
        <f> U35 + SUM(U37:U37)</f>
        <v>5538.347685013352</v>
      </c>
      <c r="V38" s="168">
        <f> V35 + SUM(V37:V37)</f>
        <v>5708.499134412163</v>
      </c>
      <c r="W38" s="168">
        <f> W35 + SUM(W37:W37)</f>
        <v>4510.852344578623</v>
      </c>
      <c r="X38" s="168">
        <f> X35 + SUM(X37:X37)</f>
        <v>5671.615030954694</v>
      </c>
      <c r="Y38" s="168">
        <f> Y35 + SUM(Y37:Y37)</f>
        <v>5491.481959229797</v>
      </c>
      <c r="Z38" s="168">
        <f> Z35 + SUM(Z37:Z37)</f>
        <v>5659.656725902562</v>
      </c>
      <c r="AA38" s="168">
        <f> AA35 + SUM(AA37:AA37)</f>
        <v>3954.542432290245</v>
      </c>
      <c r="AB38" s="168">
        <f> AB35 + SUM(AB37:AB37)</f>
        <v>5635.956612985877</v>
      </c>
      <c r="AC38" s="168">
        <f> AC35 + SUM(AC37:AC37)</f>
        <v>5458.246934220778</v>
      </c>
      <c r="AD38" s="168">
        <f> AD35 + SUM(AD37:AD37)</f>
        <v>5928.919938546535</v>
      </c>
      <c r="AE38" s="168">
        <f> AE35 + SUM(AE37:AE37)</f>
        <v>4895.582557813854</v>
      </c>
      <c r="AF38" s="168">
        <f> AF35 + SUM(AF37:AF37)</f>
        <v>6087.581578181889</v>
      </c>
      <c r="AG38" s="168">
        <f> AG35 + SUM(AG37:AG37)</f>
        <v>5915.195354206953</v>
      </c>
      <c r="AH38" s="168">
        <f> AH35 + SUM(AH37:AH37)</f>
        <v>6116.888993759071</v>
      </c>
      <c r="AI38" s="168">
        <f> AI35 + SUM(AI37:AI37)</f>
        <v>5409.190406302149</v>
      </c>
      <c r="AJ38" s="168">
        <f> AJ35 + SUM(AJ37:AJ37)</f>
        <v>6116.116807044884</v>
      </c>
      <c r="AK38" s="168">
        <f> AK35 + SUM(AK37:AK37)</f>
        <v>5925.600203656336</v>
      </c>
      <c r="AL38" s="168">
        <f> AL35 + SUM(AL37:AL37)</f>
        <v>6147.86005322099</v>
      </c>
      <c r="AM38" s="168">
        <f> AM35 + SUM(AM37:AM37)</f>
        <v>5232.908775297663</v>
      </c>
      <c r="AN38" s="168">
        <f> AN35 + SUM(AN37:AN37)</f>
        <v>6650.2315639134185</v>
      </c>
      <c r="AO38" s="168">
        <f> AO35 + SUM(AO37:AO37)</f>
        <v>6481.9415741022585</v>
      </c>
      <c r="AP38" s="168">
        <f> AP35 + SUM(AP37:AP37)</f>
        <v>6715.61687913055</v>
      </c>
      <c r="AQ38" s="168">
        <f> AQ35 + SUM(AQ37:AQ37)</f>
        <v>5500.923922620808</v>
      </c>
      <c r="AR38" s="168">
        <f> AR35 + SUM(AR37:AR37)</f>
        <v>6734.3472342003115</v>
      </c>
      <c r="AS38" s="168">
        <f> AS35 + SUM(AS37:AS37)</f>
        <v>6564.601150193004</v>
      </c>
      <c r="AT38" s="168">
        <f> AT35 + SUM(AT37:AT37)</f>
        <v>6818.665164595423</v>
      </c>
      <c r="AU38" s="168">
        <f> AU35 + SUM(AU37:AU37)</f>
        <v>6611.178247102507</v>
      </c>
      <c r="AV38" s="168">
        <f> AV35 + SUM(AV37:AV37)</f>
        <v>6849.8551943559105</v>
      </c>
      <c r="AW38" s="168">
        <f> AW35 + SUM(AW37:AW37)</f>
        <v>6688.8832256719</v>
      </c>
      <c r="AX38" s="168">
        <f> AX35 + SUM(AX37:AX37)</f>
        <v>7336.109407928245</v>
      </c>
      <c r="AY38" s="168">
        <f> AY35 + SUM(AY37:AY37)</f>
        <v>7352.700236137576</v>
      </c>
      <c r="AZ38" s="168">
        <f> AZ35 + SUM(AZ37:AZ37)</f>
        <v>7622.9409696852435</v>
      </c>
      <c r="BA38" s="168">
        <f> BA35 + SUM(BA37:BA37)</f>
        <v>7435.8180254760855</v>
      </c>
      <c r="BB38" s="168">
        <f> BB35 + SUM(BB37:BB37)</f>
        <v>7738.535149879761</v>
      </c>
      <c r="BC38" s="168">
        <f> BC35 + SUM(BC37:BC37)</f>
        <v>7519.872436935451</v>
      </c>
      <c r="BD38" s="168">
        <f> BD35 + SUM(BD37:BD37)</f>
        <v>7785.185734526984</v>
      </c>
      <c r="BE38" s="168">
        <f> BE35 + SUM(BE37:BE37)</f>
        <v>7626.396216843904</v>
      </c>
      <c r="BF38" s="168">
        <f> BF35 + SUM(BF37:BF37)</f>
        <v>7924.89982908648</v>
      </c>
      <c r="BG38" s="168">
        <f> BG35 + SUM(BG37:BG37)</f>
        <v>7701.966803518328</v>
      </c>
      <c r="BH38" s="168">
        <f> BH35 + SUM(BH37:BH37)</f>
        <v>7568.1245174182</v>
      </c>
      <c r="BI38" s="168">
        <f> BI35 + SUM(BI37:BI37)</f>
        <v>8072.48786142913</v>
      </c>
      <c r="BJ38" s="168">
        <f> BJ35 + SUM(BJ37:BJ37)</f>
        <v>7863.424233243348</v>
      </c>
      <c r="BK38" s="168">
        <f> BK35 + SUM(BK37:BK37)</f>
        <v>8163.179717513847</v>
      </c>
      <c r="BL38" s="168">
        <f> BL35 + SUM(BL37:BL37)</f>
        <v>7919.046723266445</v>
      </c>
      <c r="BM38" s="168">
        <f> BM35 + SUM(BM37:BM37)</f>
        <v>8282.684672067797</v>
      </c>
      <c r="BN38" s="168">
        <f> BN35 + SUM(BN37:BN37)</f>
        <v>8068.94802629666</v>
      </c>
      <c r="BO38" s="168">
        <f> BO35 + SUM(BO37:BO37)</f>
        <v>8379.215121792467</v>
      </c>
      <c r="BP38" s="168">
        <f> BP35 + SUM(BP37:BP37)</f>
        <v>8144.526239589615</v>
      </c>
      <c r="BQ38" s="168">
        <f> BQ35 + SUM(BQ37:BQ37)</f>
        <v>8050.507620547913</v>
      </c>
      <c r="BR38" s="168">
        <f> BR35 + SUM(BR37:BR37)</f>
        <v>8564.149111333201</v>
      </c>
      <c r="BS38" s="168">
        <f> BS35 + SUM(BS37:BS37)</f>
        <v>8325.324320313435</v>
      </c>
      <c r="BT38" s="168">
        <f> BT35 + SUM(BT37:BT37)</f>
        <v>8630.854692039542</v>
      </c>
      <c r="BU38" s="168">
        <f> BU35 + SUM(BU37:BU37)</f>
        <v>8458.707712934425</v>
      </c>
      <c r="BV38" s="168">
        <f> BV35 + SUM(BV37:BV37)</f>
        <v>8800.919579213976</v>
      </c>
      <c r="BW38" s="168">
        <f> BW35 + SUM(BW37:BW37)</f>
        <v>9017.031237914638</v>
      </c>
      <c r="BX38" s="168">
        <f> BX35 + SUM(BX37:BX37)</f>
        <v>9043.738832119387</v>
      </c>
      <c r="BY38" s="168">
        <f> BY35 + SUM(BY37:BY37)</f>
        <v>9161.228293330438</v>
      </c>
      <c r="BZ38" s="168">
        <f> BZ35 + SUM(BZ37:BZ37)</f>
        <v>9225.162120261763</v>
      </c>
      <c r="CA38" s="168">
        <f> CA35 + SUM(CA37:CA37)</f>
        <v>9271.947389813453</v>
      </c>
      <c r="CB38" s="168">
        <f> CB35 + SUM(CB37:CB37)</f>
        <v>9300.235951106271</v>
      </c>
      <c r="CC38" s="168">
        <f> CC35 + SUM(CC37:CC37)</f>
        <v>9421.9908484525</v>
      </c>
      <c r="CD38" s="168">
        <f> CD35 + SUM(CD37:CD37)</f>
        <v>9488.546404875651</v>
      </c>
      <c r="CE38" s="168">
        <f> CE35 + SUM(CE37:CE37)</f>
        <v>9537.403761463589</v>
      </c>
      <c r="CF38" s="168">
        <f> CF35 + SUM(CF37:CF37)</f>
        <v>9586.491372022068</v>
      </c>
      <c r="CG38" s="168">
        <f> CG35 + SUM(CG37:CG37)</f>
        <v>9673.871683816458</v>
      </c>
      <c r="CH38" s="168">
        <f> CH35 + SUM(CH37:CH37)</f>
        <v>9762.312376865211</v>
      </c>
      <c r="CI38" s="168">
        <f> CI35 + SUM(CI37:CI37)</f>
        <v>9813.179975158626</v>
      </c>
      <c r="CJ38" s="168">
        <f> CJ35 + SUM(CJ37:CJ37)</f>
        <v>9844.362760368907</v>
      </c>
      <c r="CK38" s="168">
        <f> CK35 + SUM(CK37:CK37)</f>
        <v>9974.645408971512</v>
      </c>
      <c r="CL38" s="168">
        <f> CL35 + SUM(CL37:CL37)</f>
        <v>10046.311432888411</v>
      </c>
      <c r="CM38" s="168">
        <f> CM35 + SUM(CM37:CM37)</f>
        <v>10704.316644190778</v>
      </c>
      <c r="CN38" s="168">
        <f> CN35 + SUM(CN37:CN37)</f>
        <v>1810.766490553618</v>
      </c>
      <c r="CO38" s="168">
        <f> CO35 + SUM(CO37:CO37)</f>
        <v>3.147101779177319e-12</v>
      </c>
    </row>
    <row r="39">
      <c r="A39" s="163" t="n"/>
      <c r="B39" s="163" t="n"/>
      <c r="C39" s="172" t="n"/>
      <c r="D39" s="88" t="n"/>
      <c r="E39" s="117" t="str">
        <f>Debt!E$42</f>
        <v>Senior debt - additional drawdown</v>
      </c>
      <c r="F39" s="117">
        <f>Debt!F$42</f>
        <v>0.0</v>
      </c>
      <c r="G39" s="117" t="str">
        <f>Debt!G$42</f>
        <v>$ 000s</v>
      </c>
      <c r="H39" s="117">
        <f> SUM(J39:CO39)</f>
        <v>0.0</v>
      </c>
      <c r="I39" s="117" t="n"/>
      <c r="J39" s="117">
        <f>Debt!J$42</f>
        <v>0.0</v>
      </c>
      <c r="K39" s="117">
        <f>Debt!K$42</f>
        <v>0.0</v>
      </c>
      <c r="L39" s="117">
        <f>Debt!L$42</f>
        <v>0.0</v>
      </c>
      <c r="M39" s="117">
        <f>Debt!M$42</f>
        <v>0.0</v>
      </c>
      <c r="N39" s="117">
        <f>Debt!N$42</f>
        <v>0.0</v>
      </c>
      <c r="O39" s="117">
        <f>Debt!O$42</f>
        <v>0.0</v>
      </c>
      <c r="P39" s="117">
        <f>Debt!P$42</f>
        <v>0.0</v>
      </c>
      <c r="Q39" s="117">
        <f>Debt!Q$42</f>
        <v>0.0</v>
      </c>
      <c r="R39" s="117">
        <f>Debt!R$42</f>
        <v>0.0</v>
      </c>
      <c r="S39" s="117">
        <f>Debt!S$42</f>
        <v>0.0</v>
      </c>
      <c r="T39" s="117">
        <f>Debt!T$42</f>
        <v>0.0</v>
      </c>
      <c r="U39" s="117">
        <f>Debt!U$42</f>
        <v>0.0</v>
      </c>
      <c r="V39" s="117">
        <f>Debt!V$42</f>
        <v>0.0</v>
      </c>
      <c r="W39" s="117">
        <f>Debt!W$42</f>
        <v>0.0</v>
      </c>
      <c r="X39" s="117">
        <f>Debt!X$42</f>
        <v>0.0</v>
      </c>
      <c r="Y39" s="117">
        <f>Debt!Y$42</f>
        <v>0.0</v>
      </c>
      <c r="Z39" s="117">
        <f>Debt!Z$42</f>
        <v>0.0</v>
      </c>
      <c r="AA39" s="117">
        <f>Debt!AA$42</f>
        <v>0.0</v>
      </c>
      <c r="AB39" s="117">
        <f>Debt!AB$42</f>
        <v>0.0</v>
      </c>
      <c r="AC39" s="117">
        <f>Debt!AC$42</f>
        <v>0.0</v>
      </c>
      <c r="AD39" s="117">
        <f>Debt!AD$42</f>
        <v>0.0</v>
      </c>
      <c r="AE39" s="117">
        <f>Debt!AE$42</f>
        <v>0.0</v>
      </c>
      <c r="AF39" s="117">
        <f>Debt!AF$42</f>
        <v>0.0</v>
      </c>
      <c r="AG39" s="117">
        <f>Debt!AG$42</f>
        <v>0.0</v>
      </c>
      <c r="AH39" s="117">
        <f>Debt!AH$42</f>
        <v>0.0</v>
      </c>
      <c r="AI39" s="117">
        <f>Debt!AI$42</f>
        <v>0.0</v>
      </c>
      <c r="AJ39" s="117">
        <f>Debt!AJ$42</f>
        <v>0.0</v>
      </c>
      <c r="AK39" s="117">
        <f>Debt!AK$42</f>
        <v>0.0</v>
      </c>
      <c r="AL39" s="117">
        <f>Debt!AL$42</f>
        <v>0.0</v>
      </c>
      <c r="AM39" s="117">
        <f>Debt!AM$42</f>
        <v>0.0</v>
      </c>
      <c r="AN39" s="117">
        <f>Debt!AN$42</f>
        <v>0.0</v>
      </c>
      <c r="AO39" s="117">
        <f>Debt!AO$42</f>
        <v>0.0</v>
      </c>
      <c r="AP39" s="117">
        <f>Debt!AP$42</f>
        <v>0.0</v>
      </c>
      <c r="AQ39" s="117">
        <f>Debt!AQ$42</f>
        <v>0.0</v>
      </c>
      <c r="AR39" s="117">
        <f>Debt!AR$42</f>
        <v>0.0</v>
      </c>
      <c r="AS39" s="117">
        <f>Debt!AS$42</f>
        <v>0.0</v>
      </c>
      <c r="AT39" s="117">
        <f>Debt!AT$42</f>
        <v>0.0</v>
      </c>
      <c r="AU39" s="117">
        <f>Debt!AU$42</f>
        <v>0.0</v>
      </c>
      <c r="AV39" s="117">
        <f>Debt!AV$42</f>
        <v>0.0</v>
      </c>
      <c r="AW39" s="117">
        <f>Debt!AW$42</f>
        <v>0.0</v>
      </c>
      <c r="AX39" s="117">
        <f>Debt!AX$42</f>
        <v>0.0</v>
      </c>
      <c r="AY39" s="117">
        <f>Debt!AY$42</f>
        <v>0.0</v>
      </c>
      <c r="AZ39" s="117">
        <f>Debt!AZ$42</f>
        <v>0.0</v>
      </c>
      <c r="BA39" s="117">
        <f>Debt!BA$42</f>
        <v>0.0</v>
      </c>
      <c r="BB39" s="117">
        <f>Debt!BB$42</f>
        <v>0.0</v>
      </c>
      <c r="BC39" s="117">
        <f>Debt!BC$42</f>
        <v>0.0</v>
      </c>
      <c r="BD39" s="117">
        <f>Debt!BD$42</f>
        <v>0.0</v>
      </c>
      <c r="BE39" s="117">
        <f>Debt!BE$42</f>
        <v>0.0</v>
      </c>
      <c r="BF39" s="117">
        <f>Debt!BF$42</f>
        <v>0.0</v>
      </c>
      <c r="BG39" s="117">
        <f>Debt!BG$42</f>
        <v>0.0</v>
      </c>
      <c r="BH39" s="117">
        <f>Debt!BH$42</f>
        <v>0.0</v>
      </c>
      <c r="BI39" s="117">
        <f>Debt!BI$42</f>
        <v>0.0</v>
      </c>
      <c r="BJ39" s="117">
        <f>Debt!BJ$42</f>
        <v>0.0</v>
      </c>
      <c r="BK39" s="117">
        <f>Debt!BK$42</f>
        <v>0.0</v>
      </c>
      <c r="BL39" s="117">
        <f>Debt!BL$42</f>
        <v>0.0</v>
      </c>
      <c r="BM39" s="117">
        <f>Debt!BM$42</f>
        <v>0.0</v>
      </c>
      <c r="BN39" s="117">
        <f>Debt!BN$42</f>
        <v>0.0</v>
      </c>
      <c r="BO39" s="117">
        <f>Debt!BO$42</f>
        <v>0.0</v>
      </c>
      <c r="BP39" s="117">
        <f>Debt!BP$42</f>
        <v>0.0</v>
      </c>
      <c r="BQ39" s="117">
        <f>Debt!BQ$42</f>
        <v>0.0</v>
      </c>
      <c r="BR39" s="117">
        <f>Debt!BR$42</f>
        <v>0.0</v>
      </c>
      <c r="BS39" s="117">
        <f>Debt!BS$42</f>
        <v>0.0</v>
      </c>
      <c r="BT39" s="117">
        <f>Debt!BT$42</f>
        <v>0.0</v>
      </c>
      <c r="BU39" s="117">
        <f>Debt!BU$42</f>
        <v>0.0</v>
      </c>
      <c r="BV39" s="117">
        <f>Debt!BV$42</f>
        <v>0.0</v>
      </c>
      <c r="BW39" s="117">
        <f>Debt!BW$42</f>
        <v>0.0</v>
      </c>
      <c r="BX39" s="117">
        <f>Debt!BX$42</f>
        <v>0.0</v>
      </c>
      <c r="BY39" s="117">
        <f>Debt!BY$42</f>
        <v>0.0</v>
      </c>
      <c r="BZ39" s="117">
        <f>Debt!BZ$42</f>
        <v>0.0</v>
      </c>
      <c r="CA39" s="117">
        <f>Debt!CA$42</f>
        <v>0.0</v>
      </c>
      <c r="CB39" s="117">
        <f>Debt!CB$42</f>
        <v>0.0</v>
      </c>
      <c r="CC39" s="117">
        <f>Debt!CC$42</f>
        <v>0.0</v>
      </c>
      <c r="CD39" s="117">
        <f>Debt!CD$42</f>
        <v>0.0</v>
      </c>
      <c r="CE39" s="117">
        <f>Debt!CE$42</f>
        <v>0.0</v>
      </c>
      <c r="CF39" s="117">
        <f>Debt!CF$42</f>
        <v>0.0</v>
      </c>
      <c r="CG39" s="117">
        <f>Debt!CG$42</f>
        <v>0.0</v>
      </c>
      <c r="CH39" s="117">
        <f>Debt!CH$42</f>
        <v>0.0</v>
      </c>
      <c r="CI39" s="117">
        <f>Debt!CI$42</f>
        <v>0.0</v>
      </c>
      <c r="CJ39" s="117">
        <f>Debt!CJ$42</f>
        <v>0.0</v>
      </c>
      <c r="CK39" s="117">
        <f>Debt!CK$42</f>
        <v>0.0</v>
      </c>
      <c r="CL39" s="117">
        <f>Debt!CL$42</f>
        <v>0.0</v>
      </c>
      <c r="CM39" s="117">
        <f>Debt!CM$42</f>
        <v>0.0</v>
      </c>
      <c r="CN39" s="117">
        <f>Debt!CN$42</f>
        <v>0.0</v>
      </c>
      <c r="CO39" s="117">
        <f>Debt!CO$42</f>
        <v>0.0</v>
      </c>
    </row>
    <row r="40" customFormat="1" s="169">
      <c r="A40" s="163" t="n"/>
      <c r="B40" s="163" t="n"/>
      <c r="C40" s="172" t="n"/>
      <c r="D40" s="88" t="n"/>
      <c r="E40" s="117" t="str">
        <f> Debt!E$33</f>
        <v>Senior debt interest payment</v>
      </c>
      <c r="F40" s="117" t="str">
        <f> Debt!F$33</f>
        <v>IS&amp;CF</v>
      </c>
      <c r="G40" s="117" t="str">
        <f> Debt!G$33</f>
        <v>$ 000s</v>
      </c>
      <c r="H40" s="117">
        <f> Debt!H$33</f>
        <v>-18291.000000000673</v>
      </c>
      <c r="I40" s="117">
        <f> Debt!I$33</f>
        <v>0.0</v>
      </c>
      <c r="J40" s="117">
        <f> Debt!J$33</f>
        <v>-0.0</v>
      </c>
      <c r="K40" s="117">
        <f> Debt!K$33</f>
        <v>-0.0</v>
      </c>
      <c r="L40" s="117">
        <f> Debt!L$33</f>
        <v>-975.0</v>
      </c>
      <c r="M40" s="117">
        <f> Debt!M$33</f>
        <v>-985.8333333333334</v>
      </c>
      <c r="N40" s="117">
        <f> Debt!N$33</f>
        <v>-996.6666666666666</v>
      </c>
      <c r="O40" s="117">
        <f> Debt!O$33</f>
        <v>-996.6666666666666</v>
      </c>
      <c r="P40" s="117">
        <f> Debt!P$33</f>
        <v>-942.5000000000003</v>
      </c>
      <c r="Q40" s="117">
        <f> Debt!Q$33</f>
        <v>-920.1111111111119</v>
      </c>
      <c r="R40" s="117">
        <f> Debt!R$33</f>
        <v>-897.0000000000011</v>
      </c>
      <c r="S40" s="117">
        <f> Debt!S$33</f>
        <v>-863.7777777777792</v>
      </c>
      <c r="T40" s="117">
        <f> Debt!T$33</f>
        <v>-821.5277777777795</v>
      </c>
      <c r="U40" s="117">
        <f> Debt!U$33</f>
        <v>-788.6666666666688</v>
      </c>
      <c r="V40" s="117">
        <f> Debt!V$33</f>
        <v>-764.1111111111137</v>
      </c>
      <c r="W40" s="117">
        <f> Debt!W$33</f>
        <v>-730.8888888888918</v>
      </c>
      <c r="X40" s="117">
        <f> Debt!X$33</f>
        <v>-682.5000000000032</v>
      </c>
      <c r="Y40" s="117">
        <f> Debt!Y$33</f>
        <v>-657.2222222222258</v>
      </c>
      <c r="Z40" s="117">
        <f> Debt!Z$33</f>
        <v>-631.2222222222263</v>
      </c>
      <c r="AA40" s="117">
        <f> Debt!AA$33</f>
        <v>-598.0000000000043</v>
      </c>
      <c r="AB40" s="117">
        <f> Debt!AB$33</f>
        <v>-552.5000000000047</v>
      </c>
      <c r="AC40" s="117">
        <f> Debt!AC$33</f>
        <v>-525.7777777777828</v>
      </c>
      <c r="AD40" s="117">
        <f> Debt!AD$33</f>
        <v>-498.33333333333877</v>
      </c>
      <c r="AE40" s="117">
        <f> Debt!AE$33</f>
        <v>-465.11111111111694</v>
      </c>
      <c r="AF40" s="117">
        <f> Debt!AF$33</f>
        <v>-422.500000000006</v>
      </c>
      <c r="AG40" s="117">
        <f> Debt!AG$33</f>
        <v>-394.3333333333398</v>
      </c>
      <c r="AH40" s="117">
        <f> Debt!AH$33</f>
        <v>-365.44444444445134</v>
      </c>
      <c r="AI40" s="117">
        <f> Debt!AI$33</f>
        <v>-332.22222222222945</v>
      </c>
      <c r="AJ40" s="117">
        <f> Debt!AJ$33</f>
        <v>-295.75000000000756</v>
      </c>
      <c r="AK40" s="117">
        <f> Debt!AK$33</f>
        <v>-262.88888888889676</v>
      </c>
      <c r="AL40" s="117">
        <f> Debt!AL$33</f>
        <v>-232.55555555556384</v>
      </c>
      <c r="AM40" s="117">
        <f> Debt!AM$33</f>
        <v>-199.33333333334195</v>
      </c>
      <c r="AN40" s="117">
        <f> Debt!AN$33</f>
        <v>-162.50000000000875</v>
      </c>
      <c r="AO40" s="117">
        <f> Debt!AO$33</f>
        <v>-131.4444444444536</v>
      </c>
      <c r="AP40" s="117">
        <f> Debt!AP$33</f>
        <v>-99.66666666667628</v>
      </c>
      <c r="AQ40" s="117">
        <f> Debt!AQ$33</f>
        <v>-66.44444444445439</v>
      </c>
      <c r="AR40" s="117">
        <f> Debt!AR$33</f>
        <v>-32.500000000010054</v>
      </c>
      <c r="AS40" s="117">
        <f> Debt!AS$33</f>
        <v>-1.0490339263924398e-11</v>
      </c>
      <c r="AT40" s="117">
        <f> Debt!AT$33</f>
        <v>-1.0605617717374116e-11</v>
      </c>
      <c r="AU40" s="117">
        <f> Debt!AU$33</f>
        <v>-1.0605617717374116e-11</v>
      </c>
      <c r="AV40" s="117">
        <f> Debt!AV$33</f>
        <v>-1.037506081047468e-11</v>
      </c>
      <c r="AW40" s="117">
        <f> Debt!AW$33</f>
        <v>-1.0490339263924398e-11</v>
      </c>
      <c r="AX40" s="117">
        <f> Debt!AX$33</f>
        <v>-1.0605617717374116e-11</v>
      </c>
      <c r="AY40" s="117">
        <f> Debt!AY$33</f>
        <v>-1.0605617717374116e-11</v>
      </c>
      <c r="AZ40" s="117">
        <f> Debt!AZ$33</f>
        <v>-1.0490339263924398e-11</v>
      </c>
      <c r="BA40" s="117">
        <f> Debt!BA$33</f>
        <v>-1.0490339263924398e-11</v>
      </c>
      <c r="BB40" s="117">
        <f> Debt!BB$33</f>
        <v>-1.0605617717374116e-11</v>
      </c>
      <c r="BC40" s="117">
        <f> Debt!BC$33</f>
        <v>-1.0605617717374116e-11</v>
      </c>
      <c r="BD40" s="117">
        <f> Debt!BD$33</f>
        <v>-1.037506081047468e-11</v>
      </c>
      <c r="BE40" s="117">
        <f> Debt!BE$33</f>
        <v>-1.0490339263924398e-11</v>
      </c>
      <c r="BF40" s="117">
        <f> Debt!BF$33</f>
        <v>-1.0605617717374116e-11</v>
      </c>
      <c r="BG40" s="117">
        <f> Debt!BG$33</f>
        <v>-1.0605617717374116e-11</v>
      </c>
      <c r="BH40" s="117">
        <f> Debt!BH$33</f>
        <v>-1.037506081047468e-11</v>
      </c>
      <c r="BI40" s="117">
        <f> Debt!BI$33</f>
        <v>-1.0490339263924398e-11</v>
      </c>
      <c r="BJ40" s="117">
        <f> Debt!BJ$33</f>
        <v>-1.0605617717374116e-11</v>
      </c>
      <c r="BK40" s="117">
        <f> Debt!BK$33</f>
        <v>-1.0605617717374116e-11</v>
      </c>
      <c r="BL40" s="117">
        <f> Debt!BL$33</f>
        <v>-1.037506081047468e-11</v>
      </c>
      <c r="BM40" s="117">
        <f> Debt!BM$33</f>
        <v>-1.0490339263924398e-11</v>
      </c>
      <c r="BN40" s="117">
        <f> Debt!BN$33</f>
        <v>-1.0605617717374116e-11</v>
      </c>
      <c r="BO40" s="117">
        <f> Debt!BO$33</f>
        <v>-1.0605617717374116e-11</v>
      </c>
      <c r="BP40" s="117">
        <f> Debt!BP$33</f>
        <v>-1.0490339263924398e-11</v>
      </c>
      <c r="BQ40" s="117">
        <f> Debt!BQ$33</f>
        <v>-1.0490339263924398e-11</v>
      </c>
      <c r="BR40" s="117">
        <f> Debt!BR$33</f>
        <v>-1.0605617717374116e-11</v>
      </c>
      <c r="BS40" s="117">
        <f> Debt!BS$33</f>
        <v>-1.0605617717374116e-11</v>
      </c>
      <c r="BT40" s="117">
        <f> Debt!BT$33</f>
        <v>-1.037506081047468e-11</v>
      </c>
      <c r="BU40" s="117">
        <f> Debt!BU$33</f>
        <v>-1.0490339263924398e-11</v>
      </c>
      <c r="BV40" s="117">
        <f> Debt!BV$33</f>
        <v>-1.0605617717374116e-11</v>
      </c>
      <c r="BW40" s="117">
        <f> Debt!BW$33</f>
        <v>-1.0605617717374116e-11</v>
      </c>
      <c r="BX40" s="117">
        <f> Debt!BX$33</f>
        <v>-1.037506081047468e-11</v>
      </c>
      <c r="BY40" s="117">
        <f> Debt!BY$33</f>
        <v>-1.0490339263924398e-11</v>
      </c>
      <c r="BZ40" s="117">
        <f> Debt!BZ$33</f>
        <v>-1.0605617717374116e-11</v>
      </c>
      <c r="CA40" s="117">
        <f> Debt!CA$33</f>
        <v>-1.0605617717374116e-11</v>
      </c>
      <c r="CB40" s="117">
        <f> Debt!CB$33</f>
        <v>-1.037506081047468e-11</v>
      </c>
      <c r="CC40" s="117">
        <f> Debt!CC$33</f>
        <v>-1.0490339263924398e-11</v>
      </c>
      <c r="CD40" s="117">
        <f> Debt!CD$33</f>
        <v>-1.0605617717374116e-11</v>
      </c>
      <c r="CE40" s="117">
        <f> Debt!CE$33</f>
        <v>-1.0605617717374116e-11</v>
      </c>
      <c r="CF40" s="117">
        <f> Debt!CF$33</f>
        <v>-1.0490339263924398e-11</v>
      </c>
      <c r="CG40" s="117">
        <f> Debt!CG$33</f>
        <v>-1.0490339263924398e-11</v>
      </c>
      <c r="CH40" s="117">
        <f> Debt!CH$33</f>
        <v>-1.0605617717374116e-11</v>
      </c>
      <c r="CI40" s="117">
        <f> Debt!CI$33</f>
        <v>-1.0605617717374116e-11</v>
      </c>
      <c r="CJ40" s="117">
        <f> Debt!CJ$33</f>
        <v>-1.037506081047468e-11</v>
      </c>
      <c r="CK40" s="117">
        <f> Debt!CK$33</f>
        <v>-1.0490339263924398e-11</v>
      </c>
      <c r="CL40" s="117">
        <f> Debt!CL$33</f>
        <v>-1.0605617717374116e-11</v>
      </c>
      <c r="CM40" s="117">
        <f> Debt!CM$33</f>
        <v>-1.0605617717374116e-11</v>
      </c>
      <c r="CN40" s="117">
        <f> Debt!CN$33</f>
        <v>-1.037506081047468e-11</v>
      </c>
      <c r="CO40" s="117">
        <f> Debt!CO$33</f>
        <v>-1.0490339263924398e-11</v>
      </c>
    </row>
    <row r="41" customFormat="1" s="169">
      <c r="A41" s="163" t="n"/>
      <c r="B41" s="163" t="n"/>
      <c r="C41" s="172" t="n"/>
      <c r="D41" s="88" t="n"/>
      <c r="E41" s="117" t="str">
        <f> Debt!E$22</f>
        <v>Senior debt principal repayment</v>
      </c>
      <c r="F41" s="117" t="str">
        <f> Debt!F$22</f>
        <v>CF</v>
      </c>
      <c r="G41" s="117" t="str">
        <f> Debt!G$22</f>
        <v>$ 000s</v>
      </c>
      <c r="H41" s="117">
        <f> Debt!H$22</f>
        <v>-59999.9999999994</v>
      </c>
      <c r="I41" s="117">
        <f> Debt!I$22</f>
        <v>0.0</v>
      </c>
      <c r="J41" s="117">
        <f> Debt!J$22</f>
        <v>-0.0</v>
      </c>
      <c r="K41" s="117">
        <f> Debt!K$22</f>
        <v>-0.0</v>
      </c>
      <c r="L41" s="117">
        <f> Debt!L$22</f>
        <v>-0.0</v>
      </c>
      <c r="M41" s="117">
        <f> Debt!M$22</f>
        <v>-0.0</v>
      </c>
      <c r="N41" s="117">
        <f> Debt!N$22</f>
        <v>-0.0</v>
      </c>
      <c r="O41" s="117">
        <f> Debt!O$22</f>
        <v>-1999.99999999998</v>
      </c>
      <c r="P41" s="117">
        <f> Debt!P$22</f>
        <v>-1999.99999999998</v>
      </c>
      <c r="Q41" s="117">
        <f> Debt!Q$22</f>
        <v>-1999.99999999998</v>
      </c>
      <c r="R41" s="117">
        <f> Debt!R$22</f>
        <v>-1999.99999999998</v>
      </c>
      <c r="S41" s="117">
        <f> Debt!S$22</f>
        <v>-1999.99999999998</v>
      </c>
      <c r="T41" s="117">
        <f> Debt!T$22</f>
        <v>-1999.99999999998</v>
      </c>
      <c r="U41" s="117">
        <f> Debt!U$22</f>
        <v>-1999.99999999998</v>
      </c>
      <c r="V41" s="117">
        <f> Debt!V$22</f>
        <v>-1999.99999999998</v>
      </c>
      <c r="W41" s="117">
        <f> Debt!W$22</f>
        <v>-1999.99999999998</v>
      </c>
      <c r="X41" s="117">
        <f> Debt!X$22</f>
        <v>-1999.99999999998</v>
      </c>
      <c r="Y41" s="117">
        <f> Debt!Y$22</f>
        <v>-1999.99999999998</v>
      </c>
      <c r="Z41" s="117">
        <f> Debt!Z$22</f>
        <v>-1999.99999999998</v>
      </c>
      <c r="AA41" s="117">
        <f> Debt!AA$22</f>
        <v>-1999.99999999998</v>
      </c>
      <c r="AB41" s="117">
        <f> Debt!AB$22</f>
        <v>-1999.99999999998</v>
      </c>
      <c r="AC41" s="117">
        <f> Debt!AC$22</f>
        <v>-1999.99999999998</v>
      </c>
      <c r="AD41" s="117">
        <f> Debt!AD$22</f>
        <v>-1999.99999999998</v>
      </c>
      <c r="AE41" s="117">
        <f> Debt!AE$22</f>
        <v>-1999.99999999998</v>
      </c>
      <c r="AF41" s="117">
        <f> Debt!AF$22</f>
        <v>-1999.99999999998</v>
      </c>
      <c r="AG41" s="117">
        <f> Debt!AG$22</f>
        <v>-1999.99999999998</v>
      </c>
      <c r="AH41" s="117">
        <f> Debt!AH$22</f>
        <v>-1999.99999999998</v>
      </c>
      <c r="AI41" s="117">
        <f> Debt!AI$22</f>
        <v>-1999.99999999998</v>
      </c>
      <c r="AJ41" s="117">
        <f> Debt!AJ$22</f>
        <v>-1999.99999999998</v>
      </c>
      <c r="AK41" s="117">
        <f> Debt!AK$22</f>
        <v>-1999.99999999998</v>
      </c>
      <c r="AL41" s="117">
        <f> Debt!AL$22</f>
        <v>-1999.99999999998</v>
      </c>
      <c r="AM41" s="117">
        <f> Debt!AM$22</f>
        <v>-1999.99999999998</v>
      </c>
      <c r="AN41" s="117">
        <f> Debt!AN$22</f>
        <v>-1999.99999999998</v>
      </c>
      <c r="AO41" s="117">
        <f> Debt!AO$22</f>
        <v>-1999.99999999998</v>
      </c>
      <c r="AP41" s="117">
        <f> Debt!AP$22</f>
        <v>-1999.99999999998</v>
      </c>
      <c r="AQ41" s="117">
        <f> Debt!AQ$22</f>
        <v>-1999.99999999998</v>
      </c>
      <c r="AR41" s="117">
        <f> Debt!AR$22</f>
        <v>-1999.99999999998</v>
      </c>
      <c r="AS41" s="117">
        <f> Debt!AS$22</f>
        <v>-0.0</v>
      </c>
      <c r="AT41" s="117">
        <f> Debt!AT$22</f>
        <v>-0.0</v>
      </c>
      <c r="AU41" s="117">
        <f> Debt!AU$22</f>
        <v>-0.0</v>
      </c>
      <c r="AV41" s="117">
        <f> Debt!AV$22</f>
        <v>-0.0</v>
      </c>
      <c r="AW41" s="117">
        <f> Debt!AW$22</f>
        <v>-0.0</v>
      </c>
      <c r="AX41" s="117">
        <f> Debt!AX$22</f>
        <v>-0.0</v>
      </c>
      <c r="AY41" s="117">
        <f> Debt!AY$22</f>
        <v>-0.0</v>
      </c>
      <c r="AZ41" s="117">
        <f> Debt!AZ$22</f>
        <v>-0.0</v>
      </c>
      <c r="BA41" s="117">
        <f> Debt!BA$22</f>
        <v>-0.0</v>
      </c>
      <c r="BB41" s="117">
        <f> Debt!BB$22</f>
        <v>-0.0</v>
      </c>
      <c r="BC41" s="117">
        <f> Debt!BC$22</f>
        <v>-0.0</v>
      </c>
      <c r="BD41" s="117">
        <f> Debt!BD$22</f>
        <v>-0.0</v>
      </c>
      <c r="BE41" s="117">
        <f> Debt!BE$22</f>
        <v>-0.0</v>
      </c>
      <c r="BF41" s="117">
        <f> Debt!BF$22</f>
        <v>-0.0</v>
      </c>
      <c r="BG41" s="117">
        <f> Debt!BG$22</f>
        <v>-0.0</v>
      </c>
      <c r="BH41" s="117">
        <f> Debt!BH$22</f>
        <v>-0.0</v>
      </c>
      <c r="BI41" s="117">
        <f> Debt!BI$22</f>
        <v>-0.0</v>
      </c>
      <c r="BJ41" s="117">
        <f> Debt!BJ$22</f>
        <v>-0.0</v>
      </c>
      <c r="BK41" s="117">
        <f> Debt!BK$22</f>
        <v>-0.0</v>
      </c>
      <c r="BL41" s="117">
        <f> Debt!BL$22</f>
        <v>-0.0</v>
      </c>
      <c r="BM41" s="117">
        <f> Debt!BM$22</f>
        <v>-0.0</v>
      </c>
      <c r="BN41" s="117">
        <f> Debt!BN$22</f>
        <v>-0.0</v>
      </c>
      <c r="BO41" s="117">
        <f> Debt!BO$22</f>
        <v>-0.0</v>
      </c>
      <c r="BP41" s="117">
        <f> Debt!BP$22</f>
        <v>-0.0</v>
      </c>
      <c r="BQ41" s="117">
        <f> Debt!BQ$22</f>
        <v>-0.0</v>
      </c>
      <c r="BR41" s="117">
        <f> Debt!BR$22</f>
        <v>-0.0</v>
      </c>
      <c r="BS41" s="117">
        <f> Debt!BS$22</f>
        <v>-0.0</v>
      </c>
      <c r="BT41" s="117">
        <f> Debt!BT$22</f>
        <v>-0.0</v>
      </c>
      <c r="BU41" s="117">
        <f> Debt!BU$22</f>
        <v>-0.0</v>
      </c>
      <c r="BV41" s="117">
        <f> Debt!BV$22</f>
        <v>-0.0</v>
      </c>
      <c r="BW41" s="117">
        <f> Debt!BW$22</f>
        <v>-0.0</v>
      </c>
      <c r="BX41" s="117">
        <f> Debt!BX$22</f>
        <v>-0.0</v>
      </c>
      <c r="BY41" s="117">
        <f> Debt!BY$22</f>
        <v>-0.0</v>
      </c>
      <c r="BZ41" s="117">
        <f> Debt!BZ$22</f>
        <v>-0.0</v>
      </c>
      <c r="CA41" s="117">
        <f> Debt!CA$22</f>
        <v>-0.0</v>
      </c>
      <c r="CB41" s="117">
        <f> Debt!CB$22</f>
        <v>-0.0</v>
      </c>
      <c r="CC41" s="117">
        <f> Debt!CC$22</f>
        <v>-0.0</v>
      </c>
      <c r="CD41" s="117">
        <f> Debt!CD$22</f>
        <v>-0.0</v>
      </c>
      <c r="CE41" s="117">
        <f> Debt!CE$22</f>
        <v>-0.0</v>
      </c>
      <c r="CF41" s="117">
        <f> Debt!CF$22</f>
        <v>-0.0</v>
      </c>
      <c r="CG41" s="117">
        <f> Debt!CG$22</f>
        <v>-0.0</v>
      </c>
      <c r="CH41" s="117">
        <f> Debt!CH$22</f>
        <v>-0.0</v>
      </c>
      <c r="CI41" s="117">
        <f> Debt!CI$22</f>
        <v>-0.0</v>
      </c>
      <c r="CJ41" s="117">
        <f> Debt!CJ$22</f>
        <v>-0.0</v>
      </c>
      <c r="CK41" s="117">
        <f> Debt!CK$22</f>
        <v>-0.0</v>
      </c>
      <c r="CL41" s="117">
        <f> Debt!CL$22</f>
        <v>-0.0</v>
      </c>
      <c r="CM41" s="117">
        <f> Debt!CM$22</f>
        <v>-0.0</v>
      </c>
      <c r="CN41" s="117">
        <f> Debt!CN$22</f>
        <v>-0.0</v>
      </c>
      <c r="CO41" s="117">
        <f> Debt!CO$22</f>
        <v>-0.0</v>
      </c>
    </row>
    <row r="42">
      <c r="E42" s="168" t="inlineStr">
        <is>
          <t>Cash flow available to shareholders</t>
        </is>
      </c>
      <c r="F42" s="168" t="n"/>
      <c r="G42" s="168" t="inlineStr">
        <is>
          <t>$ 000s</t>
        </is>
      </c>
      <c r="H42" s="168">
        <f> SUM(J42:CO42)</f>
        <v>504032.94057809113</v>
      </c>
      <c r="I42" s="168" t="n"/>
      <c r="J42" s="168">
        <f>J38+SUM(J39:J41)</f>
        <v>0.0</v>
      </c>
      <c r="K42" s="168">
        <f>K38+SUM(K39:K41)</f>
        <v>0.0</v>
      </c>
      <c r="L42" s="168">
        <f>L38+SUM(L39:L41)</f>
        <v>4317.621863101254</v>
      </c>
      <c r="M42" s="168">
        <f>M38+SUM(M39:M41)</f>
        <v>4508.089487286373</v>
      </c>
      <c r="N42" s="168">
        <f>N38+SUM(N39:N41)</f>
        <v>4617.781757798974</v>
      </c>
      <c r="O42" s="168">
        <f>O38+SUM(O39:O41)</f>
        <v>2439.9870632432453</v>
      </c>
      <c r="P42" s="168">
        <f>P38+SUM(P39:P41)</f>
        <v>2606.748605056178</v>
      </c>
      <c r="Q42" s="168">
        <f>Q38+SUM(Q39:Q41)</f>
        <v>2458.4494819720207</v>
      </c>
      <c r="R42" s="168">
        <f>R38+SUM(R39:R41)</f>
        <v>2632.9533547201318</v>
      </c>
      <c r="S42" s="168">
        <f>S38+SUM(S39:S41)</f>
        <v>476.32118126430896</v>
      </c>
      <c r="T42" s="168">
        <f>T38+SUM(T39:T41)</f>
        <v>2825.548823619684</v>
      </c>
      <c r="U42" s="168">
        <f>U38+SUM(U39:U41)</f>
        <v>2749.6810183467032</v>
      </c>
      <c r="V42" s="168">
        <f>V38+SUM(V39:V41)</f>
        <v>2944.388023301069</v>
      </c>
      <c r="W42" s="168">
        <f>W38+SUM(W39:W41)</f>
        <v>1779.9634556897513</v>
      </c>
      <c r="X42" s="168">
        <f>X38+SUM(X39:X41)</f>
        <v>2989.1150309547106</v>
      </c>
      <c r="Y42" s="168">
        <f>Y38+SUM(Y39:Y41)</f>
        <v>2834.2597370075914</v>
      </c>
      <c r="Z42" s="168">
        <f>Z38+SUM(Z39:Z41)</f>
        <v>3028.434503680356</v>
      </c>
      <c r="AA42" s="168">
        <f>AA38+SUM(AA39:AA41)</f>
        <v>1356.5424322902604</v>
      </c>
      <c r="AB42" s="168">
        <f>AB38+SUM(AB39:AB41)</f>
        <v>3083.456612985892</v>
      </c>
      <c r="AC42" s="168">
        <f>AC38+SUM(AC39:AC41)</f>
        <v>2932.469156443015</v>
      </c>
      <c r="AD42" s="168">
        <f>AD38+SUM(AD39:AD41)</f>
        <v>3430.5866052132164</v>
      </c>
      <c r="AE42" s="168">
        <f>AE38+SUM(AE39:AE41)</f>
        <v>2430.471446702757</v>
      </c>
      <c r="AF42" s="168">
        <f>AF38+SUM(AF39:AF41)</f>
        <v>3665.0815781819033</v>
      </c>
      <c r="AG42" s="168">
        <f>AG38+SUM(AG39:AG41)</f>
        <v>3520.8620208736334</v>
      </c>
      <c r="AH42" s="168">
        <f>AH38+SUM(AH39:AH41)</f>
        <v>3751.44454931464</v>
      </c>
      <c r="AI42" s="168">
        <f>AI38+SUM(AI39:AI41)</f>
        <v>3076.96818407994</v>
      </c>
      <c r="AJ42" s="168">
        <f>AJ38+SUM(AJ39:AJ41)</f>
        <v>3820.366807044896</v>
      </c>
      <c r="AK42" s="168">
        <f>AK38+SUM(AK39:AK41)</f>
        <v>3662.711314767459</v>
      </c>
      <c r="AL42" s="168">
        <f>AL38+SUM(AL39:AL41)</f>
        <v>3915.3044976654464</v>
      </c>
      <c r="AM42" s="168">
        <f>AM38+SUM(AM39:AM41)</f>
        <v>3033.575441964341</v>
      </c>
      <c r="AN42" s="168">
        <f>AN38+SUM(AN39:AN41)</f>
        <v>4487.73156391343</v>
      </c>
      <c r="AO42" s="168">
        <f>AO38+SUM(AO39:AO41)</f>
        <v>4350.497129657825</v>
      </c>
      <c r="AP42" s="168">
        <f>AP38+SUM(AP39:AP41)</f>
        <v>4615.950212463894</v>
      </c>
      <c r="AQ42" s="168">
        <f>AQ38+SUM(AQ39:AQ41)</f>
        <v>3434.479478176374</v>
      </c>
      <c r="AR42" s="168">
        <f>AR38+SUM(AR39:AR41)</f>
        <v>4701.8472342003215</v>
      </c>
      <c r="AS42" s="168">
        <f>AS38+SUM(AS39:AS41)</f>
        <v>6564.601150192993</v>
      </c>
      <c r="AT42" s="168">
        <f>AT38+SUM(AT39:AT41)</f>
        <v>6818.6651645954125</v>
      </c>
      <c r="AU42" s="168">
        <f>AU38+SUM(AU39:AU41)</f>
        <v>6611.178247102496</v>
      </c>
      <c r="AV42" s="168">
        <f>AV38+SUM(AV39:AV41)</f>
        <v>6849.8551943559005</v>
      </c>
      <c r="AW42" s="168">
        <f>AW38+SUM(AW39:AW41)</f>
        <v>6688.883225671889</v>
      </c>
      <c r="AX42" s="168">
        <f>AX38+SUM(AX39:AX41)</f>
        <v>7336.109407928234</v>
      </c>
      <c r="AY42" s="168">
        <f>AY38+SUM(AY39:AY41)</f>
        <v>7352.700236137565</v>
      </c>
      <c r="AZ42" s="168">
        <f>AZ38+SUM(AZ39:AZ41)</f>
        <v>7622.940969685233</v>
      </c>
      <c r="BA42" s="168">
        <f>BA38+SUM(BA39:BA41)</f>
        <v>7435.818025476075</v>
      </c>
      <c r="BB42" s="168">
        <f>BB38+SUM(BB39:BB41)</f>
        <v>7738.53514987975</v>
      </c>
      <c r="BC42" s="168">
        <f>BC38+SUM(BC39:BC41)</f>
        <v>7519.87243693544</v>
      </c>
      <c r="BD42" s="168">
        <f>BD38+SUM(BD39:BD41)</f>
        <v>7785.185734526974</v>
      </c>
      <c r="BE42" s="168">
        <f>BE38+SUM(BE39:BE41)</f>
        <v>7626.396216843893</v>
      </c>
      <c r="BF42" s="168">
        <f>BF38+SUM(BF39:BF41)</f>
        <v>7924.899829086469</v>
      </c>
      <c r="BG42" s="168">
        <f>BG38+SUM(BG39:BG41)</f>
        <v>7701.966803518317</v>
      </c>
      <c r="BH42" s="168">
        <f>BH38+SUM(BH39:BH41)</f>
        <v>7568.12451741819</v>
      </c>
      <c r="BI42" s="168">
        <f>BI38+SUM(BI39:BI41)</f>
        <v>8072.487861429119</v>
      </c>
      <c r="BJ42" s="168">
        <f>BJ38+SUM(BJ39:BJ41)</f>
        <v>7863.424233243337</v>
      </c>
      <c r="BK42" s="168">
        <f>BK38+SUM(BK39:BK41)</f>
        <v>8163.179717513836</v>
      </c>
      <c r="BL42" s="168">
        <f>BL38+SUM(BL39:BL41)</f>
        <v>7919.046723266435</v>
      </c>
      <c r="BM42" s="168">
        <f>BM38+SUM(BM39:BM41)</f>
        <v>8282.684672067786</v>
      </c>
      <c r="BN42" s="168">
        <f>BN38+SUM(BN39:BN41)</f>
        <v>8068.948026296649</v>
      </c>
      <c r="BO42" s="168">
        <f>BO38+SUM(BO39:BO41)</f>
        <v>8379.215121792457</v>
      </c>
      <c r="BP42" s="168">
        <f>BP38+SUM(BP39:BP41)</f>
        <v>8144.526239589604</v>
      </c>
      <c r="BQ42" s="168">
        <f>BQ38+SUM(BQ39:BQ41)</f>
        <v>8050.507620547902</v>
      </c>
      <c r="BR42" s="168">
        <f>BR38+SUM(BR39:BR41)</f>
        <v>8564.14911133319</v>
      </c>
      <c r="BS42" s="168">
        <f>BS38+SUM(BS39:BS41)</f>
        <v>8325.324320313424</v>
      </c>
      <c r="BT42" s="168">
        <f>BT38+SUM(BT39:BT41)</f>
        <v>8630.854692039531</v>
      </c>
      <c r="BU42" s="168">
        <f>BU38+SUM(BU39:BU41)</f>
        <v>8458.707712934414</v>
      </c>
      <c r="BV42" s="168">
        <f>BV38+SUM(BV39:BV41)</f>
        <v>8800.919579213965</v>
      </c>
      <c r="BW42" s="168">
        <f>BW38+SUM(BW39:BW41)</f>
        <v>9017.031237914627</v>
      </c>
      <c r="BX42" s="168">
        <f>BX38+SUM(BX39:BX41)</f>
        <v>9043.738832119376</v>
      </c>
      <c r="BY42" s="168">
        <f>BY38+SUM(BY39:BY41)</f>
        <v>9161.228293330427</v>
      </c>
      <c r="BZ42" s="168">
        <f>BZ38+SUM(BZ39:BZ41)</f>
        <v>9225.162120261752</v>
      </c>
      <c r="CA42" s="168">
        <f>CA38+SUM(CA39:CA41)</f>
        <v>9271.947389813442</v>
      </c>
      <c r="CB42" s="168">
        <f>CB38+SUM(CB39:CB41)</f>
        <v>9300.23595110626</v>
      </c>
      <c r="CC42" s="168">
        <f>CC38+SUM(CC39:CC41)</f>
        <v>9421.99084845249</v>
      </c>
      <c r="CD42" s="168">
        <f>CD38+SUM(CD39:CD41)</f>
        <v>9488.54640487564</v>
      </c>
      <c r="CE42" s="168">
        <f>CE38+SUM(CE39:CE41)</f>
        <v>9537.403761463578</v>
      </c>
      <c r="CF42" s="168">
        <f>CF38+SUM(CF39:CF41)</f>
        <v>9586.491372022057</v>
      </c>
      <c r="CG42" s="168">
        <f>CG38+SUM(CG39:CG41)</f>
        <v>9673.871683816447</v>
      </c>
      <c r="CH42" s="168">
        <f>CH38+SUM(CH39:CH41)</f>
        <v>9762.3123768652</v>
      </c>
      <c r="CI42" s="168">
        <f>CI38+SUM(CI39:CI41)</f>
        <v>9813.179975158615</v>
      </c>
      <c r="CJ42" s="168">
        <f>CJ38+SUM(CJ39:CJ41)</f>
        <v>9844.362760368896</v>
      </c>
      <c r="CK42" s="168">
        <f>CK38+SUM(CK39:CK41)</f>
        <v>9974.6454089715</v>
      </c>
      <c r="CL42" s="168">
        <f>CL38+SUM(CL39:CL41)</f>
        <v>10046.3114328884</v>
      </c>
      <c r="CM42" s="168">
        <f>CM38+SUM(CM39:CM41)</f>
        <v>10704.316644190767</v>
      </c>
      <c r="CN42" s="168">
        <f>CN38+SUM(CN39:CN41)</f>
        <v>1810.7664905536076</v>
      </c>
      <c r="CO42" s="168">
        <f>CO38+SUM(CO39:CO41)</f>
        <v>-7.343237484747079e-12</v>
      </c>
    </row>
    <row r="43">
      <c r="A43" s="163" t="n"/>
      <c r="B43" s="163" t="n"/>
      <c r="C43" s="172" t="n"/>
      <c r="D43" s="88" t="n"/>
      <c r="E43" s="117" t="str">
        <f>Equity!E$22</f>
        <v>Share capital - additional injection</v>
      </c>
      <c r="F43" s="117">
        <f>Equity!F$22</f>
        <v>0.0</v>
      </c>
      <c r="G43" s="117" t="str">
        <f>Equity!G$22</f>
        <v>$ 000s</v>
      </c>
      <c r="H43" s="117">
        <f> SUM(J43:CO43)</f>
        <v>0.0</v>
      </c>
      <c r="I43" s="117" t="n"/>
      <c r="J43" s="117">
        <f>Equity!J$22</f>
        <v>0.0</v>
      </c>
      <c r="K43" s="117">
        <f>Equity!K$22</f>
        <v>0.0</v>
      </c>
      <c r="L43" s="117">
        <f>Equity!L$22</f>
        <v>0.0</v>
      </c>
      <c r="M43" s="117">
        <f>Equity!M$22</f>
        <v>0.0</v>
      </c>
      <c r="N43" s="117">
        <f>Equity!N$22</f>
        <v>0.0</v>
      </c>
      <c r="O43" s="117">
        <f>Equity!O$22</f>
        <v>0.0</v>
      </c>
      <c r="P43" s="117">
        <f>Equity!P$22</f>
        <v>0.0</v>
      </c>
      <c r="Q43" s="117">
        <f>Equity!Q$22</f>
        <v>0.0</v>
      </c>
      <c r="R43" s="117">
        <f>Equity!R$22</f>
        <v>0.0</v>
      </c>
      <c r="S43" s="117">
        <f>Equity!S$22</f>
        <v>0.0</v>
      </c>
      <c r="T43" s="117">
        <f>Equity!T$22</f>
        <v>0.0</v>
      </c>
      <c r="U43" s="117">
        <f>Equity!U$22</f>
        <v>0.0</v>
      </c>
      <c r="V43" s="117">
        <f>Equity!V$22</f>
        <v>0.0</v>
      </c>
      <c r="W43" s="117">
        <f>Equity!W$22</f>
        <v>0.0</v>
      </c>
      <c r="X43" s="117">
        <f>Equity!X$22</f>
        <v>0.0</v>
      </c>
      <c r="Y43" s="117">
        <f>Equity!Y$22</f>
        <v>0.0</v>
      </c>
      <c r="Z43" s="117">
        <f>Equity!Z$22</f>
        <v>0.0</v>
      </c>
      <c r="AA43" s="117">
        <f>Equity!AA$22</f>
        <v>0.0</v>
      </c>
      <c r="AB43" s="117">
        <f>Equity!AB$22</f>
        <v>0.0</v>
      </c>
      <c r="AC43" s="117">
        <f>Equity!AC$22</f>
        <v>0.0</v>
      </c>
      <c r="AD43" s="117">
        <f>Equity!AD$22</f>
        <v>0.0</v>
      </c>
      <c r="AE43" s="117">
        <f>Equity!AE$22</f>
        <v>0.0</v>
      </c>
      <c r="AF43" s="117">
        <f>Equity!AF$22</f>
        <v>0.0</v>
      </c>
      <c r="AG43" s="117">
        <f>Equity!AG$22</f>
        <v>0.0</v>
      </c>
      <c r="AH43" s="117">
        <f>Equity!AH$22</f>
        <v>0.0</v>
      </c>
      <c r="AI43" s="117">
        <f>Equity!AI$22</f>
        <v>0.0</v>
      </c>
      <c r="AJ43" s="117">
        <f>Equity!AJ$22</f>
        <v>0.0</v>
      </c>
      <c r="AK43" s="117">
        <f>Equity!AK$22</f>
        <v>0.0</v>
      </c>
      <c r="AL43" s="117">
        <f>Equity!AL$22</f>
        <v>0.0</v>
      </c>
      <c r="AM43" s="117">
        <f>Equity!AM$22</f>
        <v>0.0</v>
      </c>
      <c r="AN43" s="117">
        <f>Equity!AN$22</f>
        <v>0.0</v>
      </c>
      <c r="AO43" s="117">
        <f>Equity!AO$22</f>
        <v>0.0</v>
      </c>
      <c r="AP43" s="117">
        <f>Equity!AP$22</f>
        <v>0.0</v>
      </c>
      <c r="AQ43" s="117">
        <f>Equity!AQ$22</f>
        <v>0.0</v>
      </c>
      <c r="AR43" s="117">
        <f>Equity!AR$22</f>
        <v>0.0</v>
      </c>
      <c r="AS43" s="117">
        <f>Equity!AS$22</f>
        <v>0.0</v>
      </c>
      <c r="AT43" s="117">
        <f>Equity!AT$22</f>
        <v>0.0</v>
      </c>
      <c r="AU43" s="117">
        <f>Equity!AU$22</f>
        <v>0.0</v>
      </c>
      <c r="AV43" s="117">
        <f>Equity!AV$22</f>
        <v>0.0</v>
      </c>
      <c r="AW43" s="117">
        <f>Equity!AW$22</f>
        <v>0.0</v>
      </c>
      <c r="AX43" s="117">
        <f>Equity!AX$22</f>
        <v>0.0</v>
      </c>
      <c r="AY43" s="117">
        <f>Equity!AY$22</f>
        <v>0.0</v>
      </c>
      <c r="AZ43" s="117">
        <f>Equity!AZ$22</f>
        <v>0.0</v>
      </c>
      <c r="BA43" s="117">
        <f>Equity!BA$22</f>
        <v>0.0</v>
      </c>
      <c r="BB43" s="117">
        <f>Equity!BB$22</f>
        <v>0.0</v>
      </c>
      <c r="BC43" s="117">
        <f>Equity!BC$22</f>
        <v>0.0</v>
      </c>
      <c r="BD43" s="117">
        <f>Equity!BD$22</f>
        <v>0.0</v>
      </c>
      <c r="BE43" s="117">
        <f>Equity!BE$22</f>
        <v>0.0</v>
      </c>
      <c r="BF43" s="117">
        <f>Equity!BF$22</f>
        <v>0.0</v>
      </c>
      <c r="BG43" s="117">
        <f>Equity!BG$22</f>
        <v>0.0</v>
      </c>
      <c r="BH43" s="117">
        <f>Equity!BH$22</f>
        <v>0.0</v>
      </c>
      <c r="BI43" s="117">
        <f>Equity!BI$22</f>
        <v>0.0</v>
      </c>
      <c r="BJ43" s="117">
        <f>Equity!BJ$22</f>
        <v>0.0</v>
      </c>
      <c r="BK43" s="117">
        <f>Equity!BK$22</f>
        <v>0.0</v>
      </c>
      <c r="BL43" s="117">
        <f>Equity!BL$22</f>
        <v>0.0</v>
      </c>
      <c r="BM43" s="117">
        <f>Equity!BM$22</f>
        <v>0.0</v>
      </c>
      <c r="BN43" s="117">
        <f>Equity!BN$22</f>
        <v>0.0</v>
      </c>
      <c r="BO43" s="117">
        <f>Equity!BO$22</f>
        <v>0.0</v>
      </c>
      <c r="BP43" s="117">
        <f>Equity!BP$22</f>
        <v>0.0</v>
      </c>
      <c r="BQ43" s="117">
        <f>Equity!BQ$22</f>
        <v>0.0</v>
      </c>
      <c r="BR43" s="117">
        <f>Equity!BR$22</f>
        <v>0.0</v>
      </c>
      <c r="BS43" s="117">
        <f>Equity!BS$22</f>
        <v>0.0</v>
      </c>
      <c r="BT43" s="117">
        <f>Equity!BT$22</f>
        <v>0.0</v>
      </c>
      <c r="BU43" s="117">
        <f>Equity!BU$22</f>
        <v>0.0</v>
      </c>
      <c r="BV43" s="117">
        <f>Equity!BV$22</f>
        <v>0.0</v>
      </c>
      <c r="BW43" s="117">
        <f>Equity!BW$22</f>
        <v>0.0</v>
      </c>
      <c r="BX43" s="117">
        <f>Equity!BX$22</f>
        <v>0.0</v>
      </c>
      <c r="BY43" s="117">
        <f>Equity!BY$22</f>
        <v>0.0</v>
      </c>
      <c r="BZ43" s="117">
        <f>Equity!BZ$22</f>
        <v>0.0</v>
      </c>
      <c r="CA43" s="117">
        <f>Equity!CA$22</f>
        <v>0.0</v>
      </c>
      <c r="CB43" s="117">
        <f>Equity!CB$22</f>
        <v>0.0</v>
      </c>
      <c r="CC43" s="117">
        <f>Equity!CC$22</f>
        <v>0.0</v>
      </c>
      <c r="CD43" s="117">
        <f>Equity!CD$22</f>
        <v>0.0</v>
      </c>
      <c r="CE43" s="117">
        <f>Equity!CE$22</f>
        <v>0.0</v>
      </c>
      <c r="CF43" s="117">
        <f>Equity!CF$22</f>
        <v>0.0</v>
      </c>
      <c r="CG43" s="117">
        <f>Equity!CG$22</f>
        <v>0.0</v>
      </c>
      <c r="CH43" s="117">
        <f>Equity!CH$22</f>
        <v>0.0</v>
      </c>
      <c r="CI43" s="117">
        <f>Equity!CI$22</f>
        <v>0.0</v>
      </c>
      <c r="CJ43" s="117">
        <f>Equity!CJ$22</f>
        <v>0.0</v>
      </c>
      <c r="CK43" s="117">
        <f>Equity!CK$22</f>
        <v>0.0</v>
      </c>
      <c r="CL43" s="117">
        <f>Equity!CL$22</f>
        <v>0.0</v>
      </c>
      <c r="CM43" s="117">
        <f>Equity!CM$22</f>
        <v>0.0</v>
      </c>
      <c r="CN43" s="117">
        <f>Equity!CN$22</f>
        <v>0.0</v>
      </c>
      <c r="CO43" s="117">
        <f>Equity!CO$22</f>
        <v>0.0</v>
      </c>
    </row>
    <row r="44" customFormat="1" s="169">
      <c r="A44" s="163" t="n"/>
      <c r="B44" s="163" t="n"/>
      <c r="C44" s="172" t="n"/>
      <c r="D44" s="88" t="n"/>
      <c r="E44" s="117" t="str">
        <f> Equity!E$11</f>
        <v>Share capital redemption</v>
      </c>
      <c r="F44" s="117" t="str">
        <f> Equity!F$11</f>
        <v>CF</v>
      </c>
      <c r="G44" s="117" t="str">
        <f> Equity!G$11</f>
        <v>$ 000s</v>
      </c>
      <c r="H44" s="117">
        <f> Equity!H$11</f>
        <v>-40000.0</v>
      </c>
      <c r="I44" s="117">
        <f> Equity!I$11</f>
        <v>0.0</v>
      </c>
      <c r="J44" s="117">
        <f> Equity!J$11</f>
        <v>-0.0</v>
      </c>
      <c r="K44" s="117">
        <f> Equity!K$11</f>
        <v>-0.0</v>
      </c>
      <c r="L44" s="117">
        <f> Equity!L$11</f>
        <v>-0.0</v>
      </c>
      <c r="M44" s="117">
        <f> Equity!M$11</f>
        <v>-0.0</v>
      </c>
      <c r="N44" s="117">
        <f> Equity!N$11</f>
        <v>-0.0</v>
      </c>
      <c r="O44" s="117">
        <f> Equity!O$11</f>
        <v>-0.0</v>
      </c>
      <c r="P44" s="117">
        <f> Equity!P$11</f>
        <v>-0.0</v>
      </c>
      <c r="Q44" s="117">
        <f> Equity!Q$11</f>
        <v>-0.0</v>
      </c>
      <c r="R44" s="117">
        <f> Equity!R$11</f>
        <v>-0.0</v>
      </c>
      <c r="S44" s="117">
        <f> Equity!S$11</f>
        <v>-0.0</v>
      </c>
      <c r="T44" s="117">
        <f> Equity!T$11</f>
        <v>-0.0</v>
      </c>
      <c r="U44" s="117">
        <f> Equity!U$11</f>
        <v>-0.0</v>
      </c>
      <c r="V44" s="117">
        <f> Equity!V$11</f>
        <v>-0.0</v>
      </c>
      <c r="W44" s="117">
        <f> Equity!W$11</f>
        <v>-0.0</v>
      </c>
      <c r="X44" s="117">
        <f> Equity!X$11</f>
        <v>-0.0</v>
      </c>
      <c r="Y44" s="117">
        <f> Equity!Y$11</f>
        <v>-0.0</v>
      </c>
      <c r="Z44" s="117">
        <f> Equity!Z$11</f>
        <v>-0.0</v>
      </c>
      <c r="AA44" s="117">
        <f> Equity!AA$11</f>
        <v>-0.0</v>
      </c>
      <c r="AB44" s="117">
        <f> Equity!AB$11</f>
        <v>-0.0</v>
      </c>
      <c r="AC44" s="117">
        <f> Equity!AC$11</f>
        <v>-0.0</v>
      </c>
      <c r="AD44" s="117">
        <f> Equity!AD$11</f>
        <v>-0.0</v>
      </c>
      <c r="AE44" s="117">
        <f> Equity!AE$11</f>
        <v>-0.0</v>
      </c>
      <c r="AF44" s="117">
        <f> Equity!AF$11</f>
        <v>-0.0</v>
      </c>
      <c r="AG44" s="117">
        <f> Equity!AG$11</f>
        <v>-0.0</v>
      </c>
      <c r="AH44" s="117">
        <f> Equity!AH$11</f>
        <v>-0.0</v>
      </c>
      <c r="AI44" s="117">
        <f> Equity!AI$11</f>
        <v>-0.0</v>
      </c>
      <c r="AJ44" s="117">
        <f> Equity!AJ$11</f>
        <v>-0.0</v>
      </c>
      <c r="AK44" s="117">
        <f> Equity!AK$11</f>
        <v>-0.0</v>
      </c>
      <c r="AL44" s="117">
        <f> Equity!AL$11</f>
        <v>-0.0</v>
      </c>
      <c r="AM44" s="117">
        <f> Equity!AM$11</f>
        <v>-0.0</v>
      </c>
      <c r="AN44" s="117">
        <f> Equity!AN$11</f>
        <v>-0.0</v>
      </c>
      <c r="AO44" s="117">
        <f> Equity!AO$11</f>
        <v>-0.0</v>
      </c>
      <c r="AP44" s="117">
        <f> Equity!AP$11</f>
        <v>-0.0</v>
      </c>
      <c r="AQ44" s="117">
        <f> Equity!AQ$11</f>
        <v>-0.0</v>
      </c>
      <c r="AR44" s="117">
        <f> Equity!AR$11</f>
        <v>-0.0</v>
      </c>
      <c r="AS44" s="117">
        <f> Equity!AS$11</f>
        <v>-0.0</v>
      </c>
      <c r="AT44" s="117">
        <f> Equity!AT$11</f>
        <v>-0.0</v>
      </c>
      <c r="AU44" s="117">
        <f> Equity!AU$11</f>
        <v>-0.0</v>
      </c>
      <c r="AV44" s="117">
        <f> Equity!AV$11</f>
        <v>-0.0</v>
      </c>
      <c r="AW44" s="117">
        <f> Equity!AW$11</f>
        <v>-0.0</v>
      </c>
      <c r="AX44" s="117">
        <f> Equity!AX$11</f>
        <v>-0.0</v>
      </c>
      <c r="AY44" s="117">
        <f> Equity!AY$11</f>
        <v>-0.0</v>
      </c>
      <c r="AZ44" s="117">
        <f> Equity!AZ$11</f>
        <v>-0.0</v>
      </c>
      <c r="BA44" s="117">
        <f> Equity!BA$11</f>
        <v>-0.0</v>
      </c>
      <c r="BB44" s="117">
        <f> Equity!BB$11</f>
        <v>-0.0</v>
      </c>
      <c r="BC44" s="117">
        <f> Equity!BC$11</f>
        <v>-0.0</v>
      </c>
      <c r="BD44" s="117">
        <f> Equity!BD$11</f>
        <v>-0.0</v>
      </c>
      <c r="BE44" s="117">
        <f> Equity!BE$11</f>
        <v>-0.0</v>
      </c>
      <c r="BF44" s="117">
        <f> Equity!BF$11</f>
        <v>-0.0</v>
      </c>
      <c r="BG44" s="117">
        <f> Equity!BG$11</f>
        <v>-0.0</v>
      </c>
      <c r="BH44" s="117">
        <f> Equity!BH$11</f>
        <v>-0.0</v>
      </c>
      <c r="BI44" s="117">
        <f> Equity!BI$11</f>
        <v>-0.0</v>
      </c>
      <c r="BJ44" s="117">
        <f> Equity!BJ$11</f>
        <v>-0.0</v>
      </c>
      <c r="BK44" s="117">
        <f> Equity!BK$11</f>
        <v>-0.0</v>
      </c>
      <c r="BL44" s="117">
        <f> Equity!BL$11</f>
        <v>-0.0</v>
      </c>
      <c r="BM44" s="117">
        <f> Equity!BM$11</f>
        <v>-0.0</v>
      </c>
      <c r="BN44" s="117">
        <f> Equity!BN$11</f>
        <v>-0.0</v>
      </c>
      <c r="BO44" s="117">
        <f> Equity!BO$11</f>
        <v>-0.0</v>
      </c>
      <c r="BP44" s="117">
        <f> Equity!BP$11</f>
        <v>-0.0</v>
      </c>
      <c r="BQ44" s="117">
        <f> Equity!BQ$11</f>
        <v>-0.0</v>
      </c>
      <c r="BR44" s="117">
        <f> Equity!BR$11</f>
        <v>-0.0</v>
      </c>
      <c r="BS44" s="117">
        <f> Equity!BS$11</f>
        <v>-0.0</v>
      </c>
      <c r="BT44" s="117">
        <f> Equity!BT$11</f>
        <v>-0.0</v>
      </c>
      <c r="BU44" s="117">
        <f> Equity!BU$11</f>
        <v>-0.0</v>
      </c>
      <c r="BV44" s="117">
        <f> Equity!BV$11</f>
        <v>-0.0</v>
      </c>
      <c r="BW44" s="117">
        <f> Equity!BW$11</f>
        <v>-0.0</v>
      </c>
      <c r="BX44" s="117">
        <f> Equity!BX$11</f>
        <v>-0.0</v>
      </c>
      <c r="BY44" s="117">
        <f> Equity!BY$11</f>
        <v>-0.0</v>
      </c>
      <c r="BZ44" s="117">
        <f> Equity!BZ$11</f>
        <v>-0.0</v>
      </c>
      <c r="CA44" s="117">
        <f> Equity!CA$11</f>
        <v>-0.0</v>
      </c>
      <c r="CB44" s="117">
        <f> Equity!CB$11</f>
        <v>-0.0</v>
      </c>
      <c r="CC44" s="117">
        <f> Equity!CC$11</f>
        <v>-0.0</v>
      </c>
      <c r="CD44" s="117">
        <f> Equity!CD$11</f>
        <v>-0.0</v>
      </c>
      <c r="CE44" s="117">
        <f> Equity!CE$11</f>
        <v>-0.0</v>
      </c>
      <c r="CF44" s="117">
        <f> Equity!CF$11</f>
        <v>-0.0</v>
      </c>
      <c r="CG44" s="117">
        <f> Equity!CG$11</f>
        <v>-0.0</v>
      </c>
      <c r="CH44" s="117">
        <f> Equity!CH$11</f>
        <v>-0.0</v>
      </c>
      <c r="CI44" s="117">
        <f> Equity!CI$11</f>
        <v>-0.0</v>
      </c>
      <c r="CJ44" s="117">
        <f> Equity!CJ$11</f>
        <v>-0.0</v>
      </c>
      <c r="CK44" s="117">
        <f> Equity!CK$11</f>
        <v>-0.0</v>
      </c>
      <c r="CL44" s="117">
        <f> Equity!CL$11</f>
        <v>-0.0</v>
      </c>
      <c r="CM44" s="117">
        <f> Equity!CM$11</f>
        <v>-40000.0</v>
      </c>
      <c r="CN44" s="117">
        <f> Equity!CN$11</f>
        <v>-0.0</v>
      </c>
      <c r="CO44" s="117">
        <f> Equity!CO$11</f>
        <v>-0.0</v>
      </c>
    </row>
    <row r="45" customFormat="1" s="150">
      <c r="A45" s="348" t="n"/>
      <c r="B45" s="348" t="n"/>
      <c r="C45" s="349" t="n"/>
      <c r="D45" s="193" t="n"/>
      <c r="E45" s="366" t="inlineStr">
        <is>
          <t>Cash flow available for dividends</t>
        </is>
      </c>
      <c r="F45" s="366" t="n"/>
      <c r="G45" s="366" t="inlineStr">
        <is>
          <t>$ 000s</t>
        </is>
      </c>
      <c r="H45" s="366">
        <f> SUM(J45:CO45)</f>
        <v>464032.94057809113</v>
      </c>
      <c r="I45" s="366" t="n"/>
      <c r="J45" s="366">
        <f>J42+SUM(J43:J44)</f>
        <v>0.0</v>
      </c>
      <c r="K45" s="366">
        <f>K42+SUM(K43:K44)</f>
        <v>0.0</v>
      </c>
      <c r="L45" s="366">
        <f>L42+SUM(L43:L44)</f>
        <v>4317.621863101254</v>
      </c>
      <c r="M45" s="366">
        <f>M42+SUM(M43:M44)</f>
        <v>4508.089487286373</v>
      </c>
      <c r="N45" s="366">
        <f>N42+SUM(N43:N44)</f>
        <v>4617.781757798974</v>
      </c>
      <c r="O45" s="366">
        <f>O42+SUM(O43:O44)</f>
        <v>2439.9870632432453</v>
      </c>
      <c r="P45" s="366">
        <f>P42+SUM(P43:P44)</f>
        <v>2606.748605056178</v>
      </c>
      <c r="Q45" s="366">
        <f>Q42+SUM(Q43:Q44)</f>
        <v>2458.4494819720207</v>
      </c>
      <c r="R45" s="366">
        <f>R42+SUM(R43:R44)</f>
        <v>2632.9533547201318</v>
      </c>
      <c r="S45" s="366">
        <f>S42+SUM(S43:S44)</f>
        <v>476.32118126430896</v>
      </c>
      <c r="T45" s="366">
        <f>T42+SUM(T43:T44)</f>
        <v>2825.548823619684</v>
      </c>
      <c r="U45" s="366">
        <f>U42+SUM(U43:U44)</f>
        <v>2749.6810183467032</v>
      </c>
      <c r="V45" s="366">
        <f>V42+SUM(V43:V44)</f>
        <v>2944.388023301069</v>
      </c>
      <c r="W45" s="366">
        <f>W42+SUM(W43:W44)</f>
        <v>1779.9634556897513</v>
      </c>
      <c r="X45" s="366">
        <f>X42+SUM(X43:X44)</f>
        <v>2989.1150309547106</v>
      </c>
      <c r="Y45" s="366">
        <f>Y42+SUM(Y43:Y44)</f>
        <v>2834.2597370075914</v>
      </c>
      <c r="Z45" s="366">
        <f>Z42+SUM(Z43:Z44)</f>
        <v>3028.434503680356</v>
      </c>
      <c r="AA45" s="366">
        <f>AA42+SUM(AA43:AA44)</f>
        <v>1356.5424322902604</v>
      </c>
      <c r="AB45" s="366">
        <f>AB42+SUM(AB43:AB44)</f>
        <v>3083.456612985892</v>
      </c>
      <c r="AC45" s="366">
        <f>AC42+SUM(AC43:AC44)</f>
        <v>2932.469156443015</v>
      </c>
      <c r="AD45" s="366">
        <f>AD42+SUM(AD43:AD44)</f>
        <v>3430.5866052132164</v>
      </c>
      <c r="AE45" s="366">
        <f>AE42+SUM(AE43:AE44)</f>
        <v>2430.471446702757</v>
      </c>
      <c r="AF45" s="366">
        <f>AF42+SUM(AF43:AF44)</f>
        <v>3665.0815781819033</v>
      </c>
      <c r="AG45" s="366">
        <f>AG42+SUM(AG43:AG44)</f>
        <v>3520.8620208736334</v>
      </c>
      <c r="AH45" s="366">
        <f>AH42+SUM(AH43:AH44)</f>
        <v>3751.44454931464</v>
      </c>
      <c r="AI45" s="366">
        <f>AI42+SUM(AI43:AI44)</f>
        <v>3076.96818407994</v>
      </c>
      <c r="AJ45" s="366">
        <f>AJ42+SUM(AJ43:AJ44)</f>
        <v>3820.366807044896</v>
      </c>
      <c r="AK45" s="366">
        <f>AK42+SUM(AK43:AK44)</f>
        <v>3662.711314767459</v>
      </c>
      <c r="AL45" s="366">
        <f>AL42+SUM(AL43:AL44)</f>
        <v>3915.3044976654464</v>
      </c>
      <c r="AM45" s="366">
        <f>AM42+SUM(AM43:AM44)</f>
        <v>3033.575441964341</v>
      </c>
      <c r="AN45" s="366">
        <f>AN42+SUM(AN43:AN44)</f>
        <v>4487.73156391343</v>
      </c>
      <c r="AO45" s="366">
        <f>AO42+SUM(AO43:AO44)</f>
        <v>4350.497129657825</v>
      </c>
      <c r="AP45" s="366">
        <f>AP42+SUM(AP43:AP44)</f>
        <v>4615.950212463894</v>
      </c>
      <c r="AQ45" s="366">
        <f>AQ42+SUM(AQ43:AQ44)</f>
        <v>3434.479478176374</v>
      </c>
      <c r="AR45" s="366">
        <f>AR42+SUM(AR43:AR44)</f>
        <v>4701.8472342003215</v>
      </c>
      <c r="AS45" s="366">
        <f>AS42+SUM(AS43:AS44)</f>
        <v>6564.601150192993</v>
      </c>
      <c r="AT45" s="366">
        <f>AT42+SUM(AT43:AT44)</f>
        <v>6818.6651645954125</v>
      </c>
      <c r="AU45" s="366">
        <f>AU42+SUM(AU43:AU44)</f>
        <v>6611.178247102496</v>
      </c>
      <c r="AV45" s="366">
        <f>AV42+SUM(AV43:AV44)</f>
        <v>6849.8551943559005</v>
      </c>
      <c r="AW45" s="366">
        <f>AW42+SUM(AW43:AW44)</f>
        <v>6688.883225671889</v>
      </c>
      <c r="AX45" s="366">
        <f>AX42+SUM(AX43:AX44)</f>
        <v>7336.109407928234</v>
      </c>
      <c r="AY45" s="366">
        <f>AY42+SUM(AY43:AY44)</f>
        <v>7352.700236137565</v>
      </c>
      <c r="AZ45" s="366">
        <f>AZ42+SUM(AZ43:AZ44)</f>
        <v>7622.940969685233</v>
      </c>
      <c r="BA45" s="366">
        <f>BA42+SUM(BA43:BA44)</f>
        <v>7435.818025476075</v>
      </c>
      <c r="BB45" s="366">
        <f>BB42+SUM(BB43:BB44)</f>
        <v>7738.53514987975</v>
      </c>
      <c r="BC45" s="366">
        <f>BC42+SUM(BC43:BC44)</f>
        <v>7519.87243693544</v>
      </c>
      <c r="BD45" s="366">
        <f>BD42+SUM(BD43:BD44)</f>
        <v>7785.185734526974</v>
      </c>
      <c r="BE45" s="366">
        <f>BE42+SUM(BE43:BE44)</f>
        <v>7626.396216843893</v>
      </c>
      <c r="BF45" s="366">
        <f>BF42+SUM(BF43:BF44)</f>
        <v>7924.899829086469</v>
      </c>
      <c r="BG45" s="366">
        <f>BG42+SUM(BG43:BG44)</f>
        <v>7701.966803518317</v>
      </c>
      <c r="BH45" s="366">
        <f>BH42+SUM(BH43:BH44)</f>
        <v>7568.12451741819</v>
      </c>
      <c r="BI45" s="366">
        <f>BI42+SUM(BI43:BI44)</f>
        <v>8072.487861429119</v>
      </c>
      <c r="BJ45" s="366">
        <f>BJ42+SUM(BJ43:BJ44)</f>
        <v>7863.424233243337</v>
      </c>
      <c r="BK45" s="366">
        <f>BK42+SUM(BK43:BK44)</f>
        <v>8163.179717513836</v>
      </c>
      <c r="BL45" s="366">
        <f>BL42+SUM(BL43:BL44)</f>
        <v>7919.046723266435</v>
      </c>
      <c r="BM45" s="366">
        <f>BM42+SUM(BM43:BM44)</f>
        <v>8282.684672067786</v>
      </c>
      <c r="BN45" s="366">
        <f>BN42+SUM(BN43:BN44)</f>
        <v>8068.948026296649</v>
      </c>
      <c r="BO45" s="366">
        <f>BO42+SUM(BO43:BO44)</f>
        <v>8379.215121792457</v>
      </c>
      <c r="BP45" s="366">
        <f>BP42+SUM(BP43:BP44)</f>
        <v>8144.526239589604</v>
      </c>
      <c r="BQ45" s="366">
        <f>BQ42+SUM(BQ43:BQ44)</f>
        <v>8050.507620547902</v>
      </c>
      <c r="BR45" s="366">
        <f>BR42+SUM(BR43:BR44)</f>
        <v>8564.14911133319</v>
      </c>
      <c r="BS45" s="366">
        <f>BS42+SUM(BS43:BS44)</f>
        <v>8325.324320313424</v>
      </c>
      <c r="BT45" s="366">
        <f>BT42+SUM(BT43:BT44)</f>
        <v>8630.854692039531</v>
      </c>
      <c r="BU45" s="366">
        <f>BU42+SUM(BU43:BU44)</f>
        <v>8458.707712934414</v>
      </c>
      <c r="BV45" s="366">
        <f>BV42+SUM(BV43:BV44)</f>
        <v>8800.919579213965</v>
      </c>
      <c r="BW45" s="366">
        <f>BW42+SUM(BW43:BW44)</f>
        <v>9017.031237914627</v>
      </c>
      <c r="BX45" s="366">
        <f>BX42+SUM(BX43:BX44)</f>
        <v>9043.738832119376</v>
      </c>
      <c r="BY45" s="366">
        <f>BY42+SUM(BY43:BY44)</f>
        <v>9161.228293330427</v>
      </c>
      <c r="BZ45" s="366">
        <f>BZ42+SUM(BZ43:BZ44)</f>
        <v>9225.162120261752</v>
      </c>
      <c r="CA45" s="366">
        <f>CA42+SUM(CA43:CA44)</f>
        <v>9271.947389813442</v>
      </c>
      <c r="CB45" s="366">
        <f>CB42+SUM(CB43:CB44)</f>
        <v>9300.23595110626</v>
      </c>
      <c r="CC45" s="366">
        <f>CC42+SUM(CC43:CC44)</f>
        <v>9421.99084845249</v>
      </c>
      <c r="CD45" s="366">
        <f>CD42+SUM(CD43:CD44)</f>
        <v>9488.54640487564</v>
      </c>
      <c r="CE45" s="366">
        <f>CE42+SUM(CE43:CE44)</f>
        <v>9537.403761463578</v>
      </c>
      <c r="CF45" s="366">
        <f>CF42+SUM(CF43:CF44)</f>
        <v>9586.491372022057</v>
      </c>
      <c r="CG45" s="366">
        <f>CG42+SUM(CG43:CG44)</f>
        <v>9673.871683816447</v>
      </c>
      <c r="CH45" s="366">
        <f>CH42+SUM(CH43:CH44)</f>
        <v>9762.3123768652</v>
      </c>
      <c r="CI45" s="366">
        <f>CI42+SUM(CI43:CI44)</f>
        <v>9813.179975158615</v>
      </c>
      <c r="CJ45" s="366">
        <f>CJ42+SUM(CJ43:CJ44)</f>
        <v>9844.362760368896</v>
      </c>
      <c r="CK45" s="366">
        <f>CK42+SUM(CK43:CK44)</f>
        <v>9974.6454089715</v>
      </c>
      <c r="CL45" s="366">
        <f>CL42+SUM(CL43:CL44)</f>
        <v>10046.3114328884</v>
      </c>
      <c r="CM45" s="366">
        <f>CM42+SUM(CM43:CM44)</f>
        <v>-29295.683355809233</v>
      </c>
      <c r="CN45" s="366">
        <f>CN42+SUM(CN43:CN44)</f>
        <v>1810.7664905536076</v>
      </c>
      <c r="CO45" s="366">
        <f>CO42+SUM(CO43:CO44)</f>
        <v>-7.343237484747079e-12</v>
      </c>
    </row>
    <row r="46">
      <c r="J46" s="169" t="n"/>
      <c r="K46" s="169" t="n"/>
      <c r="L46" s="169" t="n"/>
      <c r="M46" s="169" t="n"/>
      <c r="N46" s="169" t="n"/>
      <c r="O46" s="169" t="n"/>
      <c r="P46" s="169" t="n"/>
      <c r="Q46" s="169" t="n"/>
      <c r="R46" s="169" t="n"/>
      <c r="S46" s="169" t="n"/>
      <c r="T46" s="169" t="n"/>
      <c r="U46" s="169" t="n"/>
      <c r="V46" s="169" t="n"/>
      <c r="W46" s="169" t="n"/>
      <c r="X46" s="169" t="n"/>
      <c r="Y46" s="169" t="n"/>
      <c r="Z46" s="169" t="n"/>
      <c r="AA46" s="169" t="n"/>
      <c r="AB46" s="169" t="n"/>
      <c r="AC46" s="169" t="n"/>
      <c r="AD46" s="169" t="n"/>
      <c r="AE46" s="169" t="n"/>
      <c r="AF46" s="169" t="n"/>
      <c r="AG46" s="169" t="n"/>
      <c r="AH46" s="169" t="n"/>
      <c r="AI46" s="169" t="n"/>
      <c r="AJ46" s="169" t="n"/>
      <c r="AK46" s="169" t="n"/>
      <c r="AL46" s="169" t="n"/>
      <c r="AM46" s="169" t="n"/>
      <c r="AN46" s="169" t="n"/>
      <c r="AO46" s="169" t="n"/>
      <c r="AP46" s="169" t="n"/>
      <c r="AQ46" s="169" t="n"/>
      <c r="AR46" s="169" t="n"/>
      <c r="AS46" s="169" t="n"/>
      <c r="AT46" s="169" t="n"/>
      <c r="AU46" s="169" t="n"/>
      <c r="AV46" s="169" t="n"/>
      <c r="AW46" s="169" t="n"/>
      <c r="AX46" s="169" t="n"/>
      <c r="AY46" s="169" t="n"/>
      <c r="AZ46" s="169" t="n"/>
      <c r="BA46" s="169" t="n"/>
      <c r="BB46" s="169" t="n"/>
      <c r="BC46" s="169" t="n"/>
      <c r="BD46" s="169" t="n"/>
      <c r="BE46" s="169" t="n"/>
      <c r="BF46" s="169" t="n"/>
      <c r="BG46" s="169" t="n"/>
      <c r="BH46" s="169" t="n"/>
      <c r="BI46" s="169" t="n"/>
      <c r="BJ46" s="169" t="n"/>
      <c r="BK46" s="169" t="n"/>
      <c r="BL46" s="169" t="n"/>
      <c r="BM46" s="169" t="n"/>
      <c r="BN46" s="169" t="n"/>
      <c r="BO46" s="169" t="n"/>
      <c r="BP46" s="169" t="n"/>
      <c r="BQ46" s="169" t="n"/>
      <c r="BR46" s="169" t="n"/>
      <c r="BS46" s="169" t="n"/>
      <c r="BT46" s="169" t="n"/>
      <c r="BU46" s="169" t="n"/>
      <c r="BV46" s="169" t="n"/>
      <c r="BW46" s="169" t="n"/>
      <c r="BX46" s="169" t="n"/>
      <c r="BY46" s="169" t="n"/>
      <c r="BZ46" s="169" t="n"/>
      <c r="CA46" s="169" t="n"/>
      <c r="CB46" s="169" t="n"/>
      <c r="CC46" s="169" t="n"/>
      <c r="CD46" s="169" t="n"/>
      <c r="CE46" s="169" t="n"/>
      <c r="CF46" s="169" t="n"/>
      <c r="CG46" s="169" t="n"/>
      <c r="CH46" s="169" t="n"/>
      <c r="CI46" s="169" t="n"/>
      <c r="CJ46" s="169" t="n"/>
      <c r="CK46" s="169" t="n"/>
      <c r="CL46" s="169" t="n"/>
      <c r="CM46" s="169" t="n"/>
      <c r="CN46" s="169" t="n"/>
      <c r="CO46" s="169" t="n"/>
    </row>
    <row r="47" customFormat="1" s="169">
      <c r="A47" s="163" t="n"/>
      <c r="B47" s="163" t="n"/>
      <c r="C47" s="172" t="n"/>
      <c r="D47" s="88" t="n"/>
      <c r="E47" s="117" t="str">
        <f> Equity!E$40</f>
        <v>Dividend declared and paid</v>
      </c>
      <c r="F47" s="117" t="str">
        <f> Equity!F$40</f>
        <v>IS&amp;CF</v>
      </c>
      <c r="G47" s="117" t="str">
        <f> Equity!G$40</f>
        <v>$ 000s</v>
      </c>
      <c r="H47" s="117">
        <f> Equity!H$40</f>
        <v>-464032.94057809055</v>
      </c>
      <c r="I47" s="117">
        <f> Equity!I$40</f>
        <v>0.0</v>
      </c>
      <c r="J47" s="117">
        <f> Equity!J$40</f>
        <v>-0.0</v>
      </c>
      <c r="K47" s="117">
        <f> Equity!K$40</f>
        <v>-0.0</v>
      </c>
      <c r="L47" s="117">
        <f> Equity!L$40</f>
        <v>-2100.6709056988466</v>
      </c>
      <c r="M47" s="117">
        <f> Equity!M$40</f>
        <v>-1815.9800941136655</v>
      </c>
      <c r="N47" s="117">
        <f> Equity!N$40</f>
        <v>-2174.5967436970222</v>
      </c>
      <c r="O47" s="117">
        <f> Equity!O$40</f>
        <v>-1905.0925810000006</v>
      </c>
      <c r="P47" s="117">
        <f> Equity!P$40</f>
        <v>-2310.0471202231984</v>
      </c>
      <c r="Q47" s="117">
        <f> Equity!Q$40</f>
        <v>-2051.7677315661467</v>
      </c>
      <c r="R47" s="117">
        <f> Equity!R$40</f>
        <v>-2444.047410276859</v>
      </c>
      <c r="S47" s="117">
        <f> Equity!S$40</f>
        <v>-2186.58609893889</v>
      </c>
      <c r="T47" s="117">
        <f> Equity!T$40</f>
        <v>-2739.7214559269796</v>
      </c>
      <c r="U47" s="117">
        <f> Equity!U$40</f>
        <v>-2456.318172364562</v>
      </c>
      <c r="V47" s="117">
        <f> Equity!V$40</f>
        <v>-2870.0497454789092</v>
      </c>
      <c r="W47" s="117">
        <f> Equity!W$40</f>
        <v>-2580.8312038631084</v>
      </c>
      <c r="X47" s="117">
        <f> Equity!X$40</f>
        <v>-2972.679298709598</v>
      </c>
      <c r="Y47" s="117">
        <f> Equity!Y$40</f>
        <v>-2661.854817137978</v>
      </c>
      <c r="Z47" s="117">
        <f> Equity!Z$40</f>
        <v>-3078.881769034094</v>
      </c>
      <c r="AA47" s="117">
        <f> Equity!AA$40</f>
        <v>-2768.7270288678883</v>
      </c>
      <c r="AB47" s="117">
        <f> Equity!AB$40</f>
        <v>-3152.842177670883</v>
      </c>
      <c r="AC47" s="117">
        <f> Equity!AC$40</f>
        <v>-2833.173239429893</v>
      </c>
      <c r="AD47" s="117">
        <f> Equity!AD$40</f>
        <v>-3737.2202129699026</v>
      </c>
      <c r="AE47" s="117">
        <f> Equity!AE$40</f>
        <v>-3394.7651224618876</v>
      </c>
      <c r="AF47" s="117">
        <f> Equity!AF$40</f>
        <v>-3835.8571618035007</v>
      </c>
      <c r="AG47" s="117">
        <f> Equity!AG$40</f>
        <v>-3484.418059360265</v>
      </c>
      <c r="AH47" s="117">
        <f> Equity!AH$40</f>
        <v>-3957.549041581221</v>
      </c>
      <c r="AI47" s="117">
        <f> Equity!AI$40</f>
        <v>-3604.122631691296</v>
      </c>
      <c r="AJ47" s="117">
        <f> Equity!AJ$40</f>
        <v>-4071.805376657603</v>
      </c>
      <c r="AK47" s="117">
        <f> Equity!AK$40</f>
        <v>-3712.517712252178</v>
      </c>
      <c r="AL47" s="117">
        <f> Equity!AL$40</f>
        <v>-4200.24706838421</v>
      </c>
      <c r="AM47" s="117">
        <f> Equity!AM$40</f>
        <v>-4314.777595121459</v>
      </c>
      <c r="AN47" s="117">
        <f> Equity!AN$40</f>
        <v>-4880.146631884893</v>
      </c>
      <c r="AO47" s="117">
        <f> Equity!AO$40</f>
        <v>-4484.118155359209</v>
      </c>
      <c r="AP47" s="117">
        <f> Equity!AP$40</f>
        <v>-5018.461158744443</v>
      </c>
      <c r="AQ47" s="117">
        <f> Equity!AQ$40</f>
        <v>-3977.9688965106834</v>
      </c>
      <c r="AR47" s="117">
        <f> Equity!AR$40</f>
        <v>-4701.8472342003215</v>
      </c>
      <c r="AS47" s="117">
        <f> Equity!AS$40</f>
        <v>-5852.78968979218</v>
      </c>
      <c r="AT47" s="117">
        <f> Equity!AT$40</f>
        <v>-5281.124660173442</v>
      </c>
      <c r="AU47" s="117">
        <f> Equity!AU$40</f>
        <v>-4844.417463997683</v>
      </c>
      <c r="AV47" s="117">
        <f> Equity!AV$40</f>
        <v>-5432.232436766679</v>
      </c>
      <c r="AW47" s="117">
        <f> Equity!AW$40</f>
        <v>-4989.023038798356</v>
      </c>
      <c r="AX47" s="117">
        <f> Equity!AX$40</f>
        <v>-6156.542911295906</v>
      </c>
      <c r="AY47" s="117">
        <f> Equity!AY$40</f>
        <v>-5681.438920205088</v>
      </c>
      <c r="AZ47" s="117">
        <f> Equity!AZ$40</f>
        <v>-6302.403246524402</v>
      </c>
      <c r="BA47" s="117">
        <f> Equity!BA$40</f>
        <v>-5820.225357752074</v>
      </c>
      <c r="BB47" s="117">
        <f> Equity!BB$40</f>
        <v>-6414.91419863478</v>
      </c>
      <c r="BC47" s="117">
        <f> Equity!BC$40</f>
        <v>-5925.557087811238</v>
      </c>
      <c r="BD47" s="117">
        <f> Equity!BD$40</f>
        <v>-6546.600343920132</v>
      </c>
      <c r="BE47" s="117">
        <f> Equity!BE$40</f>
        <v>-6049.957118484637</v>
      </c>
      <c r="BF47" s="117">
        <f> Equity!BF$40</f>
        <v>-6662.486624593822</v>
      </c>
      <c r="BG47" s="117">
        <f> Equity!BG$40</f>
        <v>-6158.448800445573</v>
      </c>
      <c r="BH47" s="117">
        <f> Equity!BH$40</f>
        <v>-6248.298902669767</v>
      </c>
      <c r="BI47" s="117">
        <f> Equity!BI$40</f>
        <v>-6874.559275823</v>
      </c>
      <c r="BJ47" s="117">
        <f> Equity!BJ$40</f>
        <v>-6359.222606019929</v>
      </c>
      <c r="BK47" s="117">
        <f> Equity!BK$40</f>
        <v>-6994.807467884564</v>
      </c>
      <c r="BL47" s="117">
        <f> Equity!BL$40</f>
        <v>-6506.797869749857</v>
      </c>
      <c r="BM47" s="117">
        <f> Equity!BM$40</f>
        <v>-7151.846054097686</v>
      </c>
      <c r="BN47" s="117">
        <f> Equity!BN$40</f>
        <v>-6621.049284200526</v>
      </c>
      <c r="BO47" s="117">
        <f> Equity!BO$40</f>
        <v>-7275.7016919211</v>
      </c>
      <c r="BP47" s="117">
        <f> Equity!BP$40</f>
        <v>-6737.001805842351</v>
      </c>
      <c r="BQ47" s="117">
        <f> Equity!BQ$40</f>
        <v>-6795.623882210353</v>
      </c>
      <c r="BR47" s="117">
        <f> Equity!BR$40</f>
        <v>-7464.951411832526</v>
      </c>
      <c r="BS47" s="117">
        <f> Equity!BS$40</f>
        <v>-6914.175672364481</v>
      </c>
      <c r="BT47" s="117">
        <f> Equity!BT$40</f>
        <v>-8760.135590997796</v>
      </c>
      <c r="BU47" s="117">
        <f> Equity!BU$40</f>
        <v>-8201.159265343329</v>
      </c>
      <c r="BV47" s="117">
        <f> Equity!BV$40</f>
        <v>-8890.566620854164</v>
      </c>
      <c r="BW47" s="117">
        <f> Equity!BW$40</f>
        <v>-8956.508591625756</v>
      </c>
      <c r="BX47" s="117">
        <f> Equity!BX$40</f>
        <v>-9022.939658727726</v>
      </c>
      <c r="BY47" s="117">
        <f> Equity!BY$40</f>
        <v>-9089.863449822662</v>
      </c>
      <c r="BZ47" s="117">
        <f> Equity!BZ$40</f>
        <v>-9157.283619479786</v>
      </c>
      <c r="CA47" s="117">
        <f> Equity!CA$40</f>
        <v>-9225.20384937453</v>
      </c>
      <c r="CB47" s="117">
        <f> Equity!CB$40</f>
        <v>-9293.627848489556</v>
      </c>
      <c r="CC47" s="117">
        <f> Equity!CC$40</f>
        <v>-9362.559353317338</v>
      </c>
      <c r="CD47" s="117">
        <f> Equity!CD$40</f>
        <v>-9432.002128064178</v>
      </c>
      <c r="CE47" s="117">
        <f> Equity!CE$40</f>
        <v>-9501.959964855758</v>
      </c>
      <c r="CF47" s="117">
        <f> Equity!CF$40</f>
        <v>-9572.436683944241</v>
      </c>
      <c r="CG47" s="117">
        <f> Equity!CG$40</f>
        <v>-9643.436133916857</v>
      </c>
      <c r="CH47" s="117">
        <f> Equity!CH$40</f>
        <v>-9714.962191906101</v>
      </c>
      <c r="CI47" s="117">
        <f> Equity!CI$40</f>
        <v>-9787.018763801429</v>
      </c>
      <c r="CJ47" s="117">
        <f> Equity!CJ$40</f>
        <v>-9859.609784462564</v>
      </c>
      <c r="CK47" s="117">
        <f> Equity!CK$40</f>
        <v>-9932.739217934362</v>
      </c>
      <c r="CL47" s="117">
        <f> Equity!CL$40</f>
        <v>-10006.411057663285</v>
      </c>
      <c r="CM47" s="117">
        <f> Equity!CM$40</f>
        <v>-8269.8628361624</v>
      </c>
      <c r="CN47" s="117">
        <f> Equity!CN$40</f>
        <v>-1810.7664905530619</v>
      </c>
      <c r="CO47" s="117">
        <f> Equity!CO$40</f>
        <v>-0.0</v>
      </c>
    </row>
    <row r="48">
      <c r="E48" s="168" t="inlineStr">
        <is>
          <t>Net cash flow</t>
        </is>
      </c>
      <c r="F48" s="168" t="n"/>
      <c r="G48" s="168" t="inlineStr">
        <is>
          <t>$ 000s</t>
        </is>
      </c>
      <c r="H48" s="168">
        <f> SUM(J48:CO48)</f>
        <v>5.529054988073767e-10</v>
      </c>
      <c r="I48" s="168" t="n"/>
      <c r="J48" s="168">
        <f> J45 + SUM(J47:J47)</f>
        <v>0.0</v>
      </c>
      <c r="K48" s="168">
        <f> K45 + SUM(K47:K47)</f>
        <v>0.0</v>
      </c>
      <c r="L48" s="168">
        <f> L45 + SUM(L47:L47)</f>
        <v>2216.9509574024078</v>
      </c>
      <c r="M48" s="168">
        <f> M45 + SUM(M47:M47)</f>
        <v>2692.1093931727073</v>
      </c>
      <c r="N48" s="168">
        <f> N45 + SUM(N47:N47)</f>
        <v>2443.1850141019513</v>
      </c>
      <c r="O48" s="168">
        <f> O45 + SUM(O47:O47)</f>
        <v>534.8944822432447</v>
      </c>
      <c r="P48" s="168">
        <f> P45 + SUM(P47:P47)</f>
        <v>296.70148483297953</v>
      </c>
      <c r="Q48" s="168">
        <f> Q45 + SUM(Q47:Q47)</f>
        <v>406.681750405874</v>
      </c>
      <c r="R48" s="168">
        <f> R45 + SUM(R47:R47)</f>
        <v>188.9059444432728</v>
      </c>
      <c r="S48" s="168">
        <f> S45 + SUM(S47:S47)</f>
        <v>-1710.2649176745808</v>
      </c>
      <c r="T48" s="168">
        <f> T45 + SUM(T47:T47)</f>
        <v>85.82736769270423</v>
      </c>
      <c r="U48" s="168">
        <f> U45 + SUM(U47:U47)</f>
        <v>293.36284598214115</v>
      </c>
      <c r="V48" s="168">
        <f> V45 + SUM(V47:V47)</f>
        <v>74.33827782215985</v>
      </c>
      <c r="W48" s="168">
        <f> W45 + SUM(W47:W47)</f>
        <v>-800.8677481733571</v>
      </c>
      <c r="X48" s="168">
        <f> X45 + SUM(X47:X47)</f>
        <v>16.43573224511283</v>
      </c>
      <c r="Y48" s="168">
        <f> Y45 + SUM(Y47:Y47)</f>
        <v>172.40491986961342</v>
      </c>
      <c r="Z48" s="168">
        <f> Z45 + SUM(Z47:Z47)</f>
        <v>-50.44726535373775</v>
      </c>
      <c r="AA48" s="168">
        <f> AA45 + SUM(AA47:AA47)</f>
        <v>-1412.1845965776279</v>
      </c>
      <c r="AB48" s="168">
        <f> AB45 + SUM(AB47:AB47)</f>
        <v>-69.38556468499064</v>
      </c>
      <c r="AC48" s="168">
        <f> AC45 + SUM(AC47:AC47)</f>
        <v>99.29591701312211</v>
      </c>
      <c r="AD48" s="168">
        <f> AD45 + SUM(AD47:AD47)</f>
        <v>-306.63360775668616</v>
      </c>
      <c r="AE48" s="168">
        <f> AE45 + SUM(AE47:AE47)</f>
        <v>-964.2936757591306</v>
      </c>
      <c r="AF48" s="168">
        <f> AF45 + SUM(AF47:AF47)</f>
        <v>-170.77558362159743</v>
      </c>
      <c r="AG48" s="168">
        <f> AG45 + SUM(AG47:AG47)</f>
        <v>36.44396151336832</v>
      </c>
      <c r="AH48" s="168">
        <f> AH45 + SUM(AH47:AH47)</f>
        <v>-206.10449226658102</v>
      </c>
      <c r="AI48" s="168">
        <f> AI45 + SUM(AI47:AI47)</f>
        <v>-527.1544476113563</v>
      </c>
      <c r="AJ48" s="168">
        <f> AJ45 + SUM(AJ47:AJ47)</f>
        <v>-251.43856961270694</v>
      </c>
      <c r="AK48" s="168">
        <f> AK45 + SUM(AK47:AK47)</f>
        <v>-49.80639748471913</v>
      </c>
      <c r="AL48" s="168">
        <f> AL45 + SUM(AL47:AL47)</f>
        <v>-284.9425707187638</v>
      </c>
      <c r="AM48" s="168">
        <f> AM45 + SUM(AM47:AM47)</f>
        <v>-1281.2021531571181</v>
      </c>
      <c r="AN48" s="168">
        <f> AN45 + SUM(AN47:AN47)</f>
        <v>-392.41506797146303</v>
      </c>
      <c r="AO48" s="168">
        <f> AO45 + SUM(AO47:AO47)</f>
        <v>-133.6210257013836</v>
      </c>
      <c r="AP48" s="168">
        <f> AP45 + SUM(AP47:AP47)</f>
        <v>-402.51094628054943</v>
      </c>
      <c r="AQ48" s="168">
        <f> AQ45 + SUM(AQ47:AQ47)</f>
        <v>-543.4894183343094</v>
      </c>
      <c r="AR48" s="168">
        <f> AR45 + SUM(AR47:AR47)</f>
        <v>0.0</v>
      </c>
      <c r="AS48" s="168">
        <f> AS45 + SUM(AS47:AS47)</f>
        <v>711.8114604008133</v>
      </c>
      <c r="AT48" s="168">
        <f> AT45 + SUM(AT47:AT47)</f>
        <v>1537.5405044219706</v>
      </c>
      <c r="AU48" s="168">
        <f> AU45 + SUM(AU47:AU47)</f>
        <v>1766.7607831048135</v>
      </c>
      <c r="AV48" s="168">
        <f> AV45 + SUM(AV47:AV47)</f>
        <v>1417.6227575892217</v>
      </c>
      <c r="AW48" s="168">
        <f> AW45 + SUM(AW47:AW47)</f>
        <v>1699.8601868735332</v>
      </c>
      <c r="AX48" s="168">
        <f> AX45 + SUM(AX47:AX47)</f>
        <v>1179.5664966323275</v>
      </c>
      <c r="AY48" s="168">
        <f> AY45 + SUM(AY47:AY47)</f>
        <v>1671.2613159324774</v>
      </c>
      <c r="AZ48" s="168">
        <f> AZ45 + SUM(AZ47:AZ47)</f>
        <v>1320.5377231608309</v>
      </c>
      <c r="BA48" s="168">
        <f> BA45 + SUM(BA47:BA47)</f>
        <v>1615.5926677240004</v>
      </c>
      <c r="BB48" s="168">
        <f> BB45 + SUM(BB47:BB47)</f>
        <v>1323.6209512449695</v>
      </c>
      <c r="BC48" s="168">
        <f> BC45 + SUM(BC47:BC47)</f>
        <v>1594.3153491242028</v>
      </c>
      <c r="BD48" s="168">
        <f> BD45 + SUM(BD47:BD47)</f>
        <v>1238.5853906068414</v>
      </c>
      <c r="BE48" s="168">
        <f> BE45 + SUM(BE47:BE47)</f>
        <v>1576.4390983592557</v>
      </c>
      <c r="BF48" s="168">
        <f> BF45 + SUM(BF47:BF47)</f>
        <v>1262.4132044926473</v>
      </c>
      <c r="BG48" s="168">
        <f> BG45 + SUM(BG47:BG47)</f>
        <v>1543.5180030727433</v>
      </c>
      <c r="BH48" s="168">
        <f> BH45 + SUM(BH47:BH47)</f>
        <v>1319.8256147484235</v>
      </c>
      <c r="BI48" s="168">
        <f> BI45 + SUM(BI47:BI47)</f>
        <v>1197.9285856061197</v>
      </c>
      <c r="BJ48" s="168">
        <f> BJ45 + SUM(BJ47:BJ47)</f>
        <v>1504.2016272234077</v>
      </c>
      <c r="BK48" s="168">
        <f> BK45 + SUM(BK47:BK47)</f>
        <v>1168.3722496292721</v>
      </c>
      <c r="BL48" s="168">
        <f> BL45 + SUM(BL47:BL47)</f>
        <v>1412.2488535165776</v>
      </c>
      <c r="BM48" s="168">
        <f> BM45 + SUM(BM47:BM47)</f>
        <v>1130.8386179701001</v>
      </c>
      <c r="BN48" s="168">
        <f> BN45 + SUM(BN47:BN47)</f>
        <v>1447.898742096123</v>
      </c>
      <c r="BO48" s="168">
        <f> BO45 + SUM(BO47:BO47)</f>
        <v>1103.5134298713565</v>
      </c>
      <c r="BP48" s="168">
        <f> BP45 + SUM(BP47:BP47)</f>
        <v>1407.5244337472532</v>
      </c>
      <c r="BQ48" s="168">
        <f> BQ45 + SUM(BQ47:BQ47)</f>
        <v>1254.8837383375485</v>
      </c>
      <c r="BR48" s="168">
        <f> BR45 + SUM(BR47:BR47)</f>
        <v>1099.1976995006644</v>
      </c>
      <c r="BS48" s="168">
        <f> BS45 + SUM(BS47:BS47)</f>
        <v>1411.148647948943</v>
      </c>
      <c r="BT48" s="168">
        <f> BT45 + SUM(BT47:BT47)</f>
        <v>-129.28089895826452</v>
      </c>
      <c r="BU48" s="168">
        <f> BU45 + SUM(BU47:BU47)</f>
        <v>257.5484475910853</v>
      </c>
      <c r="BV48" s="168">
        <f> BV45 + SUM(BV47:BV47)</f>
        <v>-89.64704164019895</v>
      </c>
      <c r="BW48" s="168">
        <f> BW45 + SUM(BW47:BW47)</f>
        <v>60.52264628887133</v>
      </c>
      <c r="BX48" s="168">
        <f> BX45 + SUM(BX47:BX47)</f>
        <v>20.799173391649674</v>
      </c>
      <c r="BY48" s="168">
        <f> BY45 + SUM(BY47:BY47)</f>
        <v>71.36484350776482</v>
      </c>
      <c r="BZ48" s="168">
        <f> BZ45 + SUM(BZ47:BZ47)</f>
        <v>67.87850078196607</v>
      </c>
      <c r="CA48" s="168">
        <f> CA45 + SUM(CA47:CA47)</f>
        <v>46.74354043891253</v>
      </c>
      <c r="CB48" s="168">
        <f> CB45 + SUM(CB47:CB47)</f>
        <v>6.608102616704855</v>
      </c>
      <c r="CC48" s="168">
        <f> CC45 + SUM(CC47:CC47)</f>
        <v>59.431495135151636</v>
      </c>
      <c r="CD48" s="168">
        <f> CD45 + SUM(CD47:CD47)</f>
        <v>56.54427681146262</v>
      </c>
      <c r="CE48" s="168">
        <f> CE45 + SUM(CE47:CE47)</f>
        <v>35.44379660782033</v>
      </c>
      <c r="CF48" s="168">
        <f> CF45 + SUM(CF47:CF47)</f>
        <v>14.054688077816536</v>
      </c>
      <c r="CG48" s="168">
        <f> CG45 + SUM(CG47:CG47)</f>
        <v>30.435549899590114</v>
      </c>
      <c r="CH48" s="168">
        <f> CH45 + SUM(CH47:CH47)</f>
        <v>47.35018495909935</v>
      </c>
      <c r="CI48" s="168">
        <f> CI45 + SUM(CI47:CI47)</f>
        <v>26.161211357186403</v>
      </c>
      <c r="CJ48" s="168">
        <f> CJ45 + SUM(CJ47:CJ47)</f>
        <v>-15.247024093667278</v>
      </c>
      <c r="CK48" s="168">
        <f> CK45 + SUM(CK47:CK47)</f>
        <v>41.90619103713834</v>
      </c>
      <c r="CL48" s="168">
        <f> CL45 + SUM(CL47:CL47)</f>
        <v>39.90037522511557</v>
      </c>
      <c r="CM48" s="168">
        <f> CM45 + SUM(CM47:CM47)</f>
        <v>-37565.54619197163</v>
      </c>
      <c r="CN48" s="168">
        <f> CN45 + SUM(CN47:CN47)</f>
        <v>5.456968210637569e-10</v>
      </c>
      <c r="CO48" s="168">
        <f> CO45 + SUM(CO47:CO47)</f>
        <v>-7.343237484747079e-12</v>
      </c>
    </row>
    <row r="49">
      <c r="J49" s="169" t="n"/>
      <c r="K49" s="169" t="n"/>
      <c r="L49" s="169" t="n"/>
      <c r="M49" s="169" t="n"/>
      <c r="N49" s="169" t="n"/>
      <c r="O49" s="169" t="n"/>
      <c r="P49" s="169" t="n"/>
      <c r="Q49" s="169" t="n"/>
      <c r="R49" s="169" t="n"/>
      <c r="S49" s="169" t="n"/>
      <c r="T49" s="169" t="n"/>
      <c r="U49" s="169" t="n"/>
      <c r="V49" s="169" t="n"/>
      <c r="W49" s="169" t="n"/>
      <c r="X49" s="169" t="n"/>
      <c r="Y49" s="169" t="n"/>
      <c r="Z49" s="169" t="n"/>
      <c r="AA49" s="169" t="n"/>
      <c r="AB49" s="169" t="n"/>
      <c r="AC49" s="169" t="n"/>
      <c r="AD49" s="169" t="n"/>
      <c r="AE49" s="169" t="n"/>
      <c r="AF49" s="169" t="n"/>
      <c r="AG49" s="169" t="n"/>
      <c r="AH49" s="169" t="n"/>
      <c r="AI49" s="169" t="n"/>
      <c r="AJ49" s="169" t="n"/>
      <c r="AK49" s="169" t="n"/>
      <c r="AL49" s="169" t="n"/>
      <c r="AM49" s="169" t="n"/>
      <c r="AN49" s="169" t="n"/>
      <c r="AO49" s="169" t="n"/>
      <c r="AP49" s="169" t="n"/>
      <c r="AQ49" s="169" t="n"/>
      <c r="AR49" s="169" t="n"/>
      <c r="AS49" s="169" t="n"/>
      <c r="AT49" s="169" t="n"/>
      <c r="AU49" s="169" t="n"/>
      <c r="AV49" s="169" t="n"/>
      <c r="AW49" s="169" t="n"/>
      <c r="AX49" s="169" t="n"/>
      <c r="AY49" s="169" t="n"/>
      <c r="AZ49" s="169" t="n"/>
      <c r="BA49" s="169" t="n"/>
      <c r="BB49" s="169" t="n"/>
      <c r="BC49" s="169" t="n"/>
      <c r="BD49" s="169" t="n"/>
      <c r="BE49" s="169" t="n"/>
      <c r="BF49" s="169" t="n"/>
      <c r="BG49" s="169" t="n"/>
      <c r="BH49" s="169" t="n"/>
      <c r="BI49" s="169" t="n"/>
      <c r="BJ49" s="169" t="n"/>
      <c r="BK49" s="169" t="n"/>
      <c r="BL49" s="169" t="n"/>
      <c r="BM49" s="169" t="n"/>
      <c r="BN49" s="169" t="n"/>
      <c r="BO49" s="169" t="n"/>
      <c r="BP49" s="169" t="n"/>
      <c r="BQ49" s="169" t="n"/>
      <c r="BR49" s="169" t="n"/>
      <c r="BS49" s="169" t="n"/>
      <c r="BT49" s="169" t="n"/>
      <c r="BU49" s="169" t="n"/>
      <c r="BV49" s="169" t="n"/>
      <c r="BW49" s="169" t="n"/>
      <c r="BX49" s="169" t="n"/>
      <c r="BY49" s="169" t="n"/>
      <c r="BZ49" s="169" t="n"/>
      <c r="CA49" s="169" t="n"/>
      <c r="CB49" s="169" t="n"/>
      <c r="CC49" s="169" t="n"/>
      <c r="CD49" s="169" t="n"/>
      <c r="CE49" s="169" t="n"/>
      <c r="CF49" s="169" t="n"/>
      <c r="CG49" s="169" t="n"/>
      <c r="CH49" s="169" t="n"/>
      <c r="CI49" s="169" t="n"/>
      <c r="CJ49" s="169" t="n"/>
      <c r="CK49" s="169" t="n"/>
      <c r="CL49" s="169" t="n"/>
      <c r="CM49" s="169" t="n"/>
      <c r="CN49" s="169" t="n"/>
      <c r="CO49" s="169" t="n"/>
    </row>
    <row r="50">
      <c r="E50" s="169" t="inlineStr">
        <is>
          <t>Retained cash balance BEG</t>
        </is>
      </c>
      <c r="F50" s="169" t="n"/>
      <c r="G50" s="169" t="n"/>
      <c r="H50" s="169" t="n"/>
      <c r="I50" s="169" t="n"/>
      <c r="J50" s="169">
        <f>I52</f>
        <v>0.0</v>
      </c>
      <c r="K50" s="169">
        <f>J52</f>
        <v>0.0</v>
      </c>
      <c r="L50" s="169">
        <f>K52</f>
        <v>0.0</v>
      </c>
      <c r="M50" s="169">
        <f>L52</f>
        <v>2216.9509574024078</v>
      </c>
      <c r="N50" s="169">
        <f>M52</f>
        <v>4909.060350575115</v>
      </c>
      <c r="O50" s="169">
        <f>N52</f>
        <v>7352.245364677066</v>
      </c>
      <c r="P50" s="169">
        <f>O52</f>
        <v>7887.139846920311</v>
      </c>
      <c r="Q50" s="169">
        <f>P52</f>
        <v>8183.84133175329</v>
      </c>
      <c r="R50" s="169">
        <f>Q52</f>
        <v>8590.523082159165</v>
      </c>
      <c r="S50" s="169">
        <f>R52</f>
        <v>8779.429026602438</v>
      </c>
      <c r="T50" s="169">
        <f>S52</f>
        <v>7069.164108927857</v>
      </c>
      <c r="U50" s="169">
        <f>T52</f>
        <v>7154.991476620562</v>
      </c>
      <c r="V50" s="169">
        <f>U52</f>
        <v>7448.354322602703</v>
      </c>
      <c r="W50" s="169">
        <f>V52</f>
        <v>7522.6926004248635</v>
      </c>
      <c r="X50" s="169">
        <f>W52</f>
        <v>6721.824852251506</v>
      </c>
      <c r="Y50" s="169">
        <f>X52</f>
        <v>6738.260584496618</v>
      </c>
      <c r="Z50" s="169">
        <f>Y52</f>
        <v>6910.665504366232</v>
      </c>
      <c r="AA50" s="169">
        <f>Z52</f>
        <v>6860.218239012494</v>
      </c>
      <c r="AB50" s="169">
        <f>AA52</f>
        <v>5448.033642434866</v>
      </c>
      <c r="AC50" s="169">
        <f>AB52</f>
        <v>5378.6480777498755</v>
      </c>
      <c r="AD50" s="169">
        <f>AC52</f>
        <v>5477.943994762998</v>
      </c>
      <c r="AE50" s="169">
        <f>AD52</f>
        <v>5171.310387006311</v>
      </c>
      <c r="AF50" s="169">
        <f>AE52</f>
        <v>4207.016711247181</v>
      </c>
      <c r="AG50" s="169">
        <f>AF52</f>
        <v>4036.2411276255834</v>
      </c>
      <c r="AH50" s="169">
        <f>AG52</f>
        <v>4072.6850891389518</v>
      </c>
      <c r="AI50" s="169">
        <f>AH52</f>
        <v>3866.5805968723707</v>
      </c>
      <c r="AJ50" s="169">
        <f>AI52</f>
        <v>3339.4261492610144</v>
      </c>
      <c r="AK50" s="169">
        <f>AJ52</f>
        <v>3087.9875796483075</v>
      </c>
      <c r="AL50" s="169">
        <f>AK52</f>
        <v>3038.1811821635883</v>
      </c>
      <c r="AM50" s="169">
        <f>AL52</f>
        <v>2753.2386114448245</v>
      </c>
      <c r="AN50" s="169">
        <f>AM52</f>
        <v>1472.0364582877064</v>
      </c>
      <c r="AO50" s="169">
        <f>AN52</f>
        <v>1079.6213903162434</v>
      </c>
      <c r="AP50" s="169">
        <f>AO52</f>
        <v>946.0003646148598</v>
      </c>
      <c r="AQ50" s="169">
        <f>AP52</f>
        <v>543.4894183343104</v>
      </c>
      <c r="AR50" s="169">
        <f>AQ52</f>
        <v>9.094947017729282e-13</v>
      </c>
      <c r="AS50" s="169">
        <f>AR52</f>
        <v>9.094947017729282e-13</v>
      </c>
      <c r="AT50" s="169">
        <f>AS52</f>
        <v>711.8114604008142</v>
      </c>
      <c r="AU50" s="169">
        <f>AT52</f>
        <v>2249.351964822785</v>
      </c>
      <c r="AV50" s="169">
        <f>AU52</f>
        <v>4016.1127479275983</v>
      </c>
      <c r="AW50" s="169">
        <f>AV52</f>
        <v>5433.73550551682</v>
      </c>
      <c r="AX50" s="169">
        <f>AW52</f>
        <v>7133.595692390353</v>
      </c>
      <c r="AY50" s="169">
        <f>AX52</f>
        <v>8313.162189022682</v>
      </c>
      <c r="AZ50" s="169">
        <f>AY52</f>
        <v>9984.423504955159</v>
      </c>
      <c r="BA50" s="169">
        <f>AZ52</f>
        <v>11304.96122811599</v>
      </c>
      <c r="BB50" s="169">
        <f>BA52</f>
        <v>12920.55389583999</v>
      </c>
      <c r="BC50" s="169">
        <f>BB52</f>
        <v>14244.17484708496</v>
      </c>
      <c r="BD50" s="169">
        <f>BC52</f>
        <v>15838.490196209163</v>
      </c>
      <c r="BE50" s="169">
        <f>BD52</f>
        <v>17077.075586816005</v>
      </c>
      <c r="BF50" s="169">
        <f>BE52</f>
        <v>18653.51468517526</v>
      </c>
      <c r="BG50" s="169">
        <f>BF52</f>
        <v>19915.92788966791</v>
      </c>
      <c r="BH50" s="169">
        <f>BG52</f>
        <v>21459.445892740652</v>
      </c>
      <c r="BI50" s="169">
        <f>BH52</f>
        <v>22779.271507489077</v>
      </c>
      <c r="BJ50" s="169">
        <f>BI52</f>
        <v>23977.200093095198</v>
      </c>
      <c r="BK50" s="169">
        <f>BJ52</f>
        <v>25481.401720318605</v>
      </c>
      <c r="BL50" s="169">
        <f>BK52</f>
        <v>26649.773969947877</v>
      </c>
      <c r="BM50" s="169">
        <f>BL52</f>
        <v>28062.022823464453</v>
      </c>
      <c r="BN50" s="169">
        <f>BM52</f>
        <v>29192.861441434554</v>
      </c>
      <c r="BO50" s="169">
        <f>BN52</f>
        <v>30640.760183530678</v>
      </c>
      <c r="BP50" s="169">
        <f>BO52</f>
        <v>31744.273613402034</v>
      </c>
      <c r="BQ50" s="169">
        <f>BP52</f>
        <v>33151.798047149285</v>
      </c>
      <c r="BR50" s="169">
        <f>BQ52</f>
        <v>34406.681785486835</v>
      </c>
      <c r="BS50" s="169">
        <f>BR52</f>
        <v>35505.8794849875</v>
      </c>
      <c r="BT50" s="169">
        <f>BS52</f>
        <v>36917.02813293644</v>
      </c>
      <c r="BU50" s="169">
        <f>BT52</f>
        <v>36787.747233978174</v>
      </c>
      <c r="BV50" s="169">
        <f>BU52</f>
        <v>37045.29568156926</v>
      </c>
      <c r="BW50" s="169">
        <f>BV52</f>
        <v>36955.64863992906</v>
      </c>
      <c r="BX50" s="169">
        <f>BW52</f>
        <v>37016.17128621793</v>
      </c>
      <c r="BY50" s="169">
        <f>BX52</f>
        <v>37036.970459609576</v>
      </c>
      <c r="BZ50" s="169">
        <f>BY52</f>
        <v>37108.33530311734</v>
      </c>
      <c r="CA50" s="169">
        <f>BZ52</f>
        <v>37176.21380389931</v>
      </c>
      <c r="CB50" s="169">
        <f>CA52</f>
        <v>37222.95734433822</v>
      </c>
      <c r="CC50" s="169">
        <f>CB52</f>
        <v>37229.56544695492</v>
      </c>
      <c r="CD50" s="169">
        <f>CC52</f>
        <v>37288.996942090074</v>
      </c>
      <c r="CE50" s="169">
        <f>CD52</f>
        <v>37345.54121890153</v>
      </c>
      <c r="CF50" s="169">
        <f>CE52</f>
        <v>37380.98501550935</v>
      </c>
      <c r="CG50" s="169">
        <f>CF52</f>
        <v>37395.03970358717</v>
      </c>
      <c r="CH50" s="169">
        <f>CG52</f>
        <v>37425.47525348676</v>
      </c>
      <c r="CI50" s="169">
        <f>CH52</f>
        <v>37472.825438445856</v>
      </c>
      <c r="CJ50" s="169">
        <f>CI52</f>
        <v>37498.986649803046</v>
      </c>
      <c r="CK50" s="169">
        <f>CJ52</f>
        <v>37483.73962570938</v>
      </c>
      <c r="CL50" s="169">
        <f>CK52</f>
        <v>37525.64581674652</v>
      </c>
      <c r="CM50" s="169">
        <f>CL52</f>
        <v>37565.54619197163</v>
      </c>
      <c r="CN50" s="169">
        <f>CM52</f>
        <v>0.0</v>
      </c>
      <c r="CO50" s="169">
        <f>CN52</f>
        <v>5.456968210637569e-10</v>
      </c>
    </row>
    <row r="51">
      <c r="D51" s="88" t="inlineStr">
        <is>
          <t>plus</t>
        </is>
      </c>
      <c r="E51" s="169" t="str">
        <f> E$48</f>
        <v>Net cash flow</v>
      </c>
      <c r="F51" s="169">
        <f> F$48</f>
        <v>0.0</v>
      </c>
      <c r="G51" s="169" t="inlineStr">
        <is>
          <t>$ 000s</t>
        </is>
      </c>
      <c r="H51" s="169">
        <f> H$48</f>
        <v>5.529054988073767e-10</v>
      </c>
      <c r="I51" s="169">
        <f> I$48</f>
        <v>0.0</v>
      </c>
      <c r="J51" s="169">
        <f> J$48</f>
        <v>0.0</v>
      </c>
      <c r="K51" s="169">
        <f> K$48</f>
        <v>0.0</v>
      </c>
      <c r="L51" s="169">
        <f> L$48</f>
        <v>2216.9509574024078</v>
      </c>
      <c r="M51" s="169">
        <f> M$48</f>
        <v>2692.1093931727073</v>
      </c>
      <c r="N51" s="169">
        <f> N$48</f>
        <v>2443.1850141019513</v>
      </c>
      <c r="O51" s="169">
        <f> O$48</f>
        <v>534.8944822432447</v>
      </c>
      <c r="P51" s="169">
        <f> P$48</f>
        <v>296.70148483297953</v>
      </c>
      <c r="Q51" s="169">
        <f> Q$48</f>
        <v>406.681750405874</v>
      </c>
      <c r="R51" s="169">
        <f> R$48</f>
        <v>188.9059444432728</v>
      </c>
      <c r="S51" s="169">
        <f> S$48</f>
        <v>-1710.2649176745808</v>
      </c>
      <c r="T51" s="169">
        <f> T$48</f>
        <v>85.82736769270423</v>
      </c>
      <c r="U51" s="169">
        <f> U$48</f>
        <v>293.36284598214115</v>
      </c>
      <c r="V51" s="169">
        <f> V$48</f>
        <v>74.33827782215985</v>
      </c>
      <c r="W51" s="169">
        <f> W$48</f>
        <v>-800.8677481733571</v>
      </c>
      <c r="X51" s="169">
        <f> X$48</f>
        <v>16.43573224511283</v>
      </c>
      <c r="Y51" s="169">
        <f> Y$48</f>
        <v>172.40491986961342</v>
      </c>
      <c r="Z51" s="169">
        <f> Z$48</f>
        <v>-50.44726535373775</v>
      </c>
      <c r="AA51" s="169">
        <f> AA$48</f>
        <v>-1412.1845965776279</v>
      </c>
      <c r="AB51" s="169">
        <f> AB$48</f>
        <v>-69.38556468499064</v>
      </c>
      <c r="AC51" s="169">
        <f> AC$48</f>
        <v>99.29591701312211</v>
      </c>
      <c r="AD51" s="169">
        <f> AD$48</f>
        <v>-306.63360775668616</v>
      </c>
      <c r="AE51" s="169">
        <f> AE$48</f>
        <v>-964.2936757591306</v>
      </c>
      <c r="AF51" s="169">
        <f> AF$48</f>
        <v>-170.77558362159743</v>
      </c>
      <c r="AG51" s="169">
        <f> AG$48</f>
        <v>36.44396151336832</v>
      </c>
      <c r="AH51" s="169">
        <f> AH$48</f>
        <v>-206.10449226658102</v>
      </c>
      <c r="AI51" s="169">
        <f> AI$48</f>
        <v>-527.1544476113563</v>
      </c>
      <c r="AJ51" s="169">
        <f> AJ$48</f>
        <v>-251.43856961270694</v>
      </c>
      <c r="AK51" s="169">
        <f> AK$48</f>
        <v>-49.80639748471913</v>
      </c>
      <c r="AL51" s="169">
        <f> AL$48</f>
        <v>-284.9425707187638</v>
      </c>
      <c r="AM51" s="169">
        <f> AM$48</f>
        <v>-1281.2021531571181</v>
      </c>
      <c r="AN51" s="169">
        <f> AN$48</f>
        <v>-392.41506797146303</v>
      </c>
      <c r="AO51" s="169">
        <f> AO$48</f>
        <v>-133.6210257013836</v>
      </c>
      <c r="AP51" s="169">
        <f> AP$48</f>
        <v>-402.51094628054943</v>
      </c>
      <c r="AQ51" s="169">
        <f> AQ$48</f>
        <v>-543.4894183343094</v>
      </c>
      <c r="AR51" s="169">
        <f> AR$48</f>
        <v>0.0</v>
      </c>
      <c r="AS51" s="169">
        <f> AS$48</f>
        <v>711.8114604008133</v>
      </c>
      <c r="AT51" s="169">
        <f> AT$48</f>
        <v>1537.5405044219706</v>
      </c>
      <c r="AU51" s="169">
        <f> AU$48</f>
        <v>1766.7607831048135</v>
      </c>
      <c r="AV51" s="169">
        <f> AV$48</f>
        <v>1417.6227575892217</v>
      </c>
      <c r="AW51" s="169">
        <f> AW$48</f>
        <v>1699.8601868735332</v>
      </c>
      <c r="AX51" s="169">
        <f> AX$48</f>
        <v>1179.5664966323275</v>
      </c>
      <c r="AY51" s="169">
        <f> AY$48</f>
        <v>1671.2613159324774</v>
      </c>
      <c r="AZ51" s="169">
        <f> AZ$48</f>
        <v>1320.5377231608309</v>
      </c>
      <c r="BA51" s="169">
        <f> BA$48</f>
        <v>1615.5926677240004</v>
      </c>
      <c r="BB51" s="169">
        <f> BB$48</f>
        <v>1323.6209512449695</v>
      </c>
      <c r="BC51" s="169">
        <f> BC$48</f>
        <v>1594.3153491242028</v>
      </c>
      <c r="BD51" s="169">
        <f> BD$48</f>
        <v>1238.5853906068414</v>
      </c>
      <c r="BE51" s="169">
        <f> BE$48</f>
        <v>1576.4390983592557</v>
      </c>
      <c r="BF51" s="169">
        <f> BF$48</f>
        <v>1262.4132044926473</v>
      </c>
      <c r="BG51" s="169">
        <f> BG$48</f>
        <v>1543.5180030727433</v>
      </c>
      <c r="BH51" s="169">
        <f> BH$48</f>
        <v>1319.8256147484235</v>
      </c>
      <c r="BI51" s="169">
        <f> BI$48</f>
        <v>1197.9285856061197</v>
      </c>
      <c r="BJ51" s="169">
        <f> BJ$48</f>
        <v>1504.2016272234077</v>
      </c>
      <c r="BK51" s="169">
        <f> BK$48</f>
        <v>1168.3722496292721</v>
      </c>
      <c r="BL51" s="169">
        <f> BL$48</f>
        <v>1412.2488535165776</v>
      </c>
      <c r="BM51" s="169">
        <f> BM$48</f>
        <v>1130.8386179701001</v>
      </c>
      <c r="BN51" s="169">
        <f> BN$48</f>
        <v>1447.898742096123</v>
      </c>
      <c r="BO51" s="169">
        <f> BO$48</f>
        <v>1103.5134298713565</v>
      </c>
      <c r="BP51" s="169">
        <f> BP$48</f>
        <v>1407.5244337472532</v>
      </c>
      <c r="BQ51" s="169">
        <f> BQ$48</f>
        <v>1254.8837383375485</v>
      </c>
      <c r="BR51" s="169">
        <f> BR$48</f>
        <v>1099.1976995006644</v>
      </c>
      <c r="BS51" s="169">
        <f> BS$48</f>
        <v>1411.148647948943</v>
      </c>
      <c r="BT51" s="169">
        <f> BT$48</f>
        <v>-129.28089895826452</v>
      </c>
      <c r="BU51" s="169">
        <f> BU$48</f>
        <v>257.5484475910853</v>
      </c>
      <c r="BV51" s="169">
        <f> BV$48</f>
        <v>-89.64704164019895</v>
      </c>
      <c r="BW51" s="169">
        <f> BW$48</f>
        <v>60.52264628887133</v>
      </c>
      <c r="BX51" s="169">
        <f> BX$48</f>
        <v>20.799173391649674</v>
      </c>
      <c r="BY51" s="169">
        <f> BY$48</f>
        <v>71.36484350776482</v>
      </c>
      <c r="BZ51" s="169">
        <f> BZ$48</f>
        <v>67.87850078196607</v>
      </c>
      <c r="CA51" s="169">
        <f> CA$48</f>
        <v>46.74354043891253</v>
      </c>
      <c r="CB51" s="169">
        <f> CB$48</f>
        <v>6.608102616704855</v>
      </c>
      <c r="CC51" s="169">
        <f> CC$48</f>
        <v>59.431495135151636</v>
      </c>
      <c r="CD51" s="169">
        <f> CD$48</f>
        <v>56.54427681146262</v>
      </c>
      <c r="CE51" s="169">
        <f> CE$48</f>
        <v>35.44379660782033</v>
      </c>
      <c r="CF51" s="169">
        <f> CF$48</f>
        <v>14.054688077816536</v>
      </c>
      <c r="CG51" s="169">
        <f> CG$48</f>
        <v>30.435549899590114</v>
      </c>
      <c r="CH51" s="169">
        <f> CH$48</f>
        <v>47.35018495909935</v>
      </c>
      <c r="CI51" s="169">
        <f> CI$48</f>
        <v>26.161211357186403</v>
      </c>
      <c r="CJ51" s="169">
        <f> CJ$48</f>
        <v>-15.247024093667278</v>
      </c>
      <c r="CK51" s="169">
        <f> CK$48</f>
        <v>41.90619103713834</v>
      </c>
      <c r="CL51" s="169">
        <f> CL$48</f>
        <v>39.90037522511557</v>
      </c>
      <c r="CM51" s="169">
        <f> CM$48</f>
        <v>-37565.54619197163</v>
      </c>
      <c r="CN51" s="169">
        <f> CN$48</f>
        <v>5.456968210637569e-10</v>
      </c>
      <c r="CO51" s="169">
        <f> CO$48</f>
        <v>-7.343237484747079e-12</v>
      </c>
    </row>
    <row r="52">
      <c r="E52" s="169" t="inlineStr">
        <is>
          <t>Retained cash balance</t>
        </is>
      </c>
      <c r="G52" s="169" t="inlineStr">
        <is>
          <t>$ 000s</t>
        </is>
      </c>
      <c r="I52" s="146" t="n"/>
      <c r="J52" s="169">
        <f> SUM(J50:J51)</f>
        <v>0.0</v>
      </c>
      <c r="K52" s="169">
        <f> SUM(K50:K51)</f>
        <v>0.0</v>
      </c>
      <c r="L52" s="169">
        <f> SUM(L50:L51)</f>
        <v>2216.9509574024078</v>
      </c>
      <c r="M52" s="169">
        <f> SUM(M50:M51)</f>
        <v>4909.060350575115</v>
      </c>
      <c r="N52" s="169">
        <f> SUM(N50:N51)</f>
        <v>7352.245364677066</v>
      </c>
      <c r="O52" s="169">
        <f> SUM(O50:O51)</f>
        <v>7887.139846920311</v>
      </c>
      <c r="P52" s="169">
        <f> SUM(P50:P51)</f>
        <v>8183.84133175329</v>
      </c>
      <c r="Q52" s="169">
        <f> SUM(Q50:Q51)</f>
        <v>8590.523082159165</v>
      </c>
      <c r="R52" s="169">
        <f> SUM(R50:R51)</f>
        <v>8779.429026602438</v>
      </c>
      <c r="S52" s="169">
        <f> SUM(S50:S51)</f>
        <v>7069.164108927857</v>
      </c>
      <c r="T52" s="169">
        <f> SUM(T50:T51)</f>
        <v>7154.991476620562</v>
      </c>
      <c r="U52" s="169">
        <f> SUM(U50:U51)</f>
        <v>7448.354322602703</v>
      </c>
      <c r="V52" s="169">
        <f> SUM(V50:V51)</f>
        <v>7522.6926004248635</v>
      </c>
      <c r="W52" s="169">
        <f> SUM(W50:W51)</f>
        <v>6721.824852251506</v>
      </c>
      <c r="X52" s="169">
        <f> SUM(X50:X51)</f>
        <v>6738.260584496618</v>
      </c>
      <c r="Y52" s="169">
        <f> SUM(Y50:Y51)</f>
        <v>6910.665504366232</v>
      </c>
      <c r="Z52" s="169">
        <f> SUM(Z50:Z51)</f>
        <v>6860.218239012494</v>
      </c>
      <c r="AA52" s="169">
        <f> SUM(AA50:AA51)</f>
        <v>5448.033642434866</v>
      </c>
      <c r="AB52" s="169">
        <f> SUM(AB50:AB51)</f>
        <v>5378.6480777498755</v>
      </c>
      <c r="AC52" s="169">
        <f> SUM(AC50:AC51)</f>
        <v>5477.943994762998</v>
      </c>
      <c r="AD52" s="169">
        <f> SUM(AD50:AD51)</f>
        <v>5171.310387006311</v>
      </c>
      <c r="AE52" s="169">
        <f> SUM(AE50:AE51)</f>
        <v>4207.016711247181</v>
      </c>
      <c r="AF52" s="169">
        <f> SUM(AF50:AF51)</f>
        <v>4036.2411276255834</v>
      </c>
      <c r="AG52" s="169">
        <f> SUM(AG50:AG51)</f>
        <v>4072.6850891389518</v>
      </c>
      <c r="AH52" s="169">
        <f> SUM(AH50:AH51)</f>
        <v>3866.5805968723707</v>
      </c>
      <c r="AI52" s="169">
        <f> SUM(AI50:AI51)</f>
        <v>3339.4261492610144</v>
      </c>
      <c r="AJ52" s="169">
        <f> SUM(AJ50:AJ51)</f>
        <v>3087.9875796483075</v>
      </c>
      <c r="AK52" s="169">
        <f> SUM(AK50:AK51)</f>
        <v>3038.1811821635883</v>
      </c>
      <c r="AL52" s="169">
        <f> SUM(AL50:AL51)</f>
        <v>2753.2386114448245</v>
      </c>
      <c r="AM52" s="169">
        <f> SUM(AM50:AM51)</f>
        <v>1472.0364582877064</v>
      </c>
      <c r="AN52" s="169">
        <f> SUM(AN50:AN51)</f>
        <v>1079.6213903162434</v>
      </c>
      <c r="AO52" s="169">
        <f> SUM(AO50:AO51)</f>
        <v>946.0003646148598</v>
      </c>
      <c r="AP52" s="169">
        <f> SUM(AP50:AP51)</f>
        <v>543.4894183343104</v>
      </c>
      <c r="AQ52" s="169">
        <f> SUM(AQ50:AQ51)</f>
        <v>9.094947017729282e-13</v>
      </c>
      <c r="AR52" s="169">
        <f> SUM(AR50:AR51)</f>
        <v>9.094947017729282e-13</v>
      </c>
      <c r="AS52" s="169">
        <f> SUM(AS50:AS51)</f>
        <v>711.8114604008142</v>
      </c>
      <c r="AT52" s="169">
        <f> SUM(AT50:AT51)</f>
        <v>2249.351964822785</v>
      </c>
      <c r="AU52" s="169">
        <f> SUM(AU50:AU51)</f>
        <v>4016.1127479275983</v>
      </c>
      <c r="AV52" s="169">
        <f> SUM(AV50:AV51)</f>
        <v>5433.73550551682</v>
      </c>
      <c r="AW52" s="169">
        <f> SUM(AW50:AW51)</f>
        <v>7133.595692390353</v>
      </c>
      <c r="AX52" s="169">
        <f> SUM(AX50:AX51)</f>
        <v>8313.162189022682</v>
      </c>
      <c r="AY52" s="169">
        <f> SUM(AY50:AY51)</f>
        <v>9984.423504955159</v>
      </c>
      <c r="AZ52" s="169">
        <f> SUM(AZ50:AZ51)</f>
        <v>11304.96122811599</v>
      </c>
      <c r="BA52" s="169">
        <f> SUM(BA50:BA51)</f>
        <v>12920.55389583999</v>
      </c>
      <c r="BB52" s="169">
        <f> SUM(BB50:BB51)</f>
        <v>14244.17484708496</v>
      </c>
      <c r="BC52" s="169">
        <f> SUM(BC50:BC51)</f>
        <v>15838.490196209163</v>
      </c>
      <c r="BD52" s="169">
        <f> SUM(BD50:BD51)</f>
        <v>17077.075586816005</v>
      </c>
      <c r="BE52" s="169">
        <f> SUM(BE50:BE51)</f>
        <v>18653.51468517526</v>
      </c>
      <c r="BF52" s="169">
        <f> SUM(BF50:BF51)</f>
        <v>19915.92788966791</v>
      </c>
      <c r="BG52" s="169">
        <f> SUM(BG50:BG51)</f>
        <v>21459.445892740652</v>
      </c>
      <c r="BH52" s="169">
        <f> SUM(BH50:BH51)</f>
        <v>22779.271507489077</v>
      </c>
      <c r="BI52" s="169">
        <f> SUM(BI50:BI51)</f>
        <v>23977.200093095198</v>
      </c>
      <c r="BJ52" s="169">
        <f> SUM(BJ50:BJ51)</f>
        <v>25481.401720318605</v>
      </c>
      <c r="BK52" s="169">
        <f> SUM(BK50:BK51)</f>
        <v>26649.773969947877</v>
      </c>
      <c r="BL52" s="169">
        <f> SUM(BL50:BL51)</f>
        <v>28062.022823464453</v>
      </c>
      <c r="BM52" s="169">
        <f> SUM(BM50:BM51)</f>
        <v>29192.861441434554</v>
      </c>
      <c r="BN52" s="169">
        <f> SUM(BN50:BN51)</f>
        <v>30640.760183530678</v>
      </c>
      <c r="BO52" s="169">
        <f> SUM(BO50:BO51)</f>
        <v>31744.273613402034</v>
      </c>
      <c r="BP52" s="169">
        <f> SUM(BP50:BP51)</f>
        <v>33151.798047149285</v>
      </c>
      <c r="BQ52" s="169">
        <f> SUM(BQ50:BQ51)</f>
        <v>34406.681785486835</v>
      </c>
      <c r="BR52" s="169">
        <f> SUM(BR50:BR51)</f>
        <v>35505.8794849875</v>
      </c>
      <c r="BS52" s="169">
        <f> SUM(BS50:BS51)</f>
        <v>36917.02813293644</v>
      </c>
      <c r="BT52" s="169">
        <f> SUM(BT50:BT51)</f>
        <v>36787.747233978174</v>
      </c>
      <c r="BU52" s="169">
        <f> SUM(BU50:BU51)</f>
        <v>37045.29568156926</v>
      </c>
      <c r="BV52" s="169">
        <f> SUM(BV50:BV51)</f>
        <v>36955.64863992906</v>
      </c>
      <c r="BW52" s="169">
        <f> SUM(BW50:BW51)</f>
        <v>37016.17128621793</v>
      </c>
      <c r="BX52" s="169">
        <f> SUM(BX50:BX51)</f>
        <v>37036.970459609576</v>
      </c>
      <c r="BY52" s="169">
        <f> SUM(BY50:BY51)</f>
        <v>37108.33530311734</v>
      </c>
      <c r="BZ52" s="169">
        <f> SUM(BZ50:BZ51)</f>
        <v>37176.21380389931</v>
      </c>
      <c r="CA52" s="169">
        <f> SUM(CA50:CA51)</f>
        <v>37222.95734433822</v>
      </c>
      <c r="CB52" s="169">
        <f> SUM(CB50:CB51)</f>
        <v>37229.56544695492</v>
      </c>
      <c r="CC52" s="169">
        <f> SUM(CC50:CC51)</f>
        <v>37288.996942090074</v>
      </c>
      <c r="CD52" s="169">
        <f> SUM(CD50:CD51)</f>
        <v>37345.54121890153</v>
      </c>
      <c r="CE52" s="169">
        <f> SUM(CE50:CE51)</f>
        <v>37380.98501550935</v>
      </c>
      <c r="CF52" s="169">
        <f> SUM(CF50:CF51)</f>
        <v>37395.03970358717</v>
      </c>
      <c r="CG52" s="169">
        <f> SUM(CG50:CG51)</f>
        <v>37425.47525348676</v>
      </c>
      <c r="CH52" s="169">
        <f> SUM(CH50:CH51)</f>
        <v>37472.825438445856</v>
      </c>
      <c r="CI52" s="169">
        <f> SUM(CI50:CI51)</f>
        <v>37498.986649803046</v>
      </c>
      <c r="CJ52" s="169">
        <f> SUM(CJ50:CJ51)</f>
        <v>37483.73962570938</v>
      </c>
      <c r="CK52" s="169">
        <f> SUM(CK50:CK51)</f>
        <v>37525.64581674652</v>
      </c>
      <c r="CL52" s="169">
        <f> SUM(CL50:CL51)</f>
        <v>37565.54619197163</v>
      </c>
      <c r="CM52" s="169">
        <f> SUM(CM50:CM51)</f>
        <v>0.0</v>
      </c>
      <c r="CN52" s="169">
        <f> SUM(CN50:CN51)</f>
        <v>5.456968210637569e-10</v>
      </c>
      <c r="CO52" s="169">
        <f> SUM(CO50:CO51)</f>
        <v>5.383535835790098e-10</v>
      </c>
    </row>
    <row r="54">
      <c r="J54" s="169" t="n"/>
      <c r="K54" s="169" t="n"/>
      <c r="L54" s="169" t="n"/>
      <c r="M54" s="169" t="n"/>
      <c r="N54" s="169" t="n"/>
      <c r="O54" s="169" t="n"/>
      <c r="P54" s="169" t="n"/>
      <c r="Q54" s="169" t="n"/>
      <c r="R54" s="169" t="n"/>
      <c r="S54" s="169" t="n"/>
      <c r="T54" s="169" t="n"/>
      <c r="U54" s="169" t="n"/>
      <c r="V54" s="169" t="n"/>
      <c r="W54" s="169" t="n"/>
      <c r="X54" s="169" t="n"/>
      <c r="Y54" s="169" t="n"/>
      <c r="Z54" s="169" t="n"/>
      <c r="AA54" s="169" t="n"/>
      <c r="AB54" s="169" t="n"/>
      <c r="AC54" s="169" t="n"/>
      <c r="AD54" s="169" t="n"/>
      <c r="AE54" s="169" t="n"/>
      <c r="AF54" s="169" t="n"/>
      <c r="AG54" s="169" t="n"/>
      <c r="AH54" s="169" t="n"/>
      <c r="AI54" s="169" t="n"/>
      <c r="AJ54" s="169" t="n"/>
      <c r="AK54" s="169" t="n"/>
      <c r="AL54" s="169" t="n"/>
      <c r="AM54" s="169" t="n"/>
      <c r="AN54" s="169" t="n"/>
      <c r="AO54" s="169" t="n"/>
      <c r="AP54" s="169" t="n"/>
      <c r="AQ54" s="169" t="n"/>
      <c r="AR54" s="169" t="n"/>
      <c r="AS54" s="169" t="n"/>
      <c r="AT54" s="169" t="n"/>
      <c r="AU54" s="169" t="n"/>
      <c r="AV54" s="169" t="n"/>
      <c r="AW54" s="169" t="n"/>
      <c r="AX54" s="169" t="n"/>
      <c r="AY54" s="169" t="n"/>
      <c r="AZ54" s="169" t="n"/>
      <c r="BA54" s="169" t="n"/>
      <c r="BB54" s="169" t="n"/>
      <c r="BC54" s="169" t="n"/>
      <c r="BD54" s="169" t="n"/>
      <c r="BE54" s="169" t="n"/>
      <c r="BF54" s="169" t="n"/>
      <c r="BG54" s="169" t="n"/>
      <c r="BH54" s="169" t="n"/>
      <c r="BI54" s="169" t="n"/>
      <c r="BJ54" s="169" t="n"/>
      <c r="BK54" s="169" t="n"/>
      <c r="BL54" s="169" t="n"/>
      <c r="BM54" s="169" t="n"/>
      <c r="BN54" s="169" t="n"/>
      <c r="BO54" s="169" t="n"/>
      <c r="BP54" s="169" t="n"/>
      <c r="BQ54" s="169" t="n"/>
      <c r="BR54" s="169" t="n"/>
      <c r="BS54" s="169" t="n"/>
      <c r="BT54" s="169" t="n"/>
      <c r="BU54" s="169" t="n"/>
      <c r="BV54" s="169" t="n"/>
      <c r="BW54" s="169" t="n"/>
      <c r="BX54" s="169" t="n"/>
      <c r="BY54" s="169" t="n"/>
      <c r="BZ54" s="169" t="n"/>
      <c r="CA54" s="169" t="n"/>
      <c r="CB54" s="169" t="n"/>
      <c r="CC54" s="169" t="n"/>
      <c r="CD54" s="169" t="n"/>
      <c r="CE54" s="169" t="n"/>
      <c r="CF54" s="169" t="n"/>
      <c r="CG54" s="169" t="n"/>
      <c r="CH54" s="169" t="n"/>
      <c r="CI54" s="169" t="n"/>
      <c r="CJ54" s="169" t="n"/>
      <c r="CK54" s="169" t="n"/>
      <c r="CL54" s="169" t="n"/>
      <c r="CM54" s="169" t="n"/>
      <c r="CN54" s="169" t="n"/>
      <c r="CO54" s="169" t="n"/>
    </row>
    <row r="55">
      <c r="A55" s="163" t="inlineStr">
        <is>
          <t>BALANCE SHEET</t>
        </is>
      </c>
    </row>
    <row r="56">
      <c r="K56" s="169" t="n"/>
    </row>
    <row r="57">
      <c r="B57" s="163" t="inlineStr">
        <is>
          <t>Assets</t>
        </is>
      </c>
    </row>
    <row r="58">
      <c r="E58" s="308" t="str">
        <f> NCA!E$64</f>
        <v>Non current asset balance</v>
      </c>
      <c r="F58" s="308" t="str">
        <f> NCA!F$64</f>
        <v> </v>
      </c>
      <c r="G58" s="308" t="str">
        <f> NCA!G$64</f>
        <v>$ 000s</v>
      </c>
      <c r="H58" s="308">
        <f> NCA!H$64</f>
        <v>0.0</v>
      </c>
      <c r="I58" s="308">
        <f> NCA!I$64</f>
        <v>0.0</v>
      </c>
      <c r="J58" s="308">
        <f> NCA!J$64</f>
        <v>0.0</v>
      </c>
      <c r="K58" s="308">
        <f> NCA!K$64</f>
        <v>100000.0</v>
      </c>
      <c r="L58" s="308">
        <f> NCA!L$64</f>
        <v>98333.33333333333</v>
      </c>
      <c r="M58" s="308">
        <f> NCA!M$64</f>
        <v>96666.66666666666</v>
      </c>
      <c r="N58" s="308">
        <f> NCA!N$64</f>
        <v>94999.99999999999</v>
      </c>
      <c r="O58" s="308">
        <f> NCA!O$64</f>
        <v>93333.33333333331</v>
      </c>
      <c r="P58" s="308">
        <f> NCA!P$64</f>
        <v>91666.66666666664</v>
      </c>
      <c r="Q58" s="308">
        <f> NCA!Q$64</f>
        <v>89999.99999999997</v>
      </c>
      <c r="R58" s="308">
        <f> NCA!R$64</f>
        <v>88333.3333333333</v>
      </c>
      <c r="S58" s="308">
        <f> NCA!S$64</f>
        <v>88666.66666666663</v>
      </c>
      <c r="T58" s="308">
        <f> NCA!T$64</f>
        <v>86899.99999999996</v>
      </c>
      <c r="U58" s="308">
        <f> NCA!U$64</f>
        <v>85133.33333333328</v>
      </c>
      <c r="V58" s="308">
        <f> NCA!V$64</f>
        <v>83366.66666666661</v>
      </c>
      <c r="W58" s="308">
        <f> NCA!W$64</f>
        <v>82599.99999999994</v>
      </c>
      <c r="X58" s="308">
        <f> NCA!X$64</f>
        <v>80783.33333333327</v>
      </c>
      <c r="Y58" s="308">
        <f> NCA!Y$64</f>
        <v>78966.6666666666</v>
      </c>
      <c r="Z58" s="308">
        <f> NCA!Z$64</f>
        <v>77149.99999999993</v>
      </c>
      <c r="AA58" s="308">
        <f> NCA!AA$64</f>
        <v>76833.33333333326</v>
      </c>
      <c r="AB58" s="308">
        <f> NCA!AB$64</f>
        <v>74941.66666666658</v>
      </c>
      <c r="AC58" s="308">
        <f> NCA!AC$64</f>
        <v>73049.99999999991</v>
      </c>
      <c r="AD58" s="308">
        <f> NCA!AD$64</f>
        <v>71158.33333333324</v>
      </c>
      <c r="AE58" s="308">
        <f> NCA!AE$64</f>
        <v>70266.66666666657</v>
      </c>
      <c r="AF58" s="308">
        <f> NCA!AF$64</f>
        <v>68324.9999999999</v>
      </c>
      <c r="AG58" s="308">
        <f> NCA!AG$64</f>
        <v>66383.33333333323</v>
      </c>
      <c r="AH58" s="308">
        <f> NCA!AH$64</f>
        <v>64441.66666666656</v>
      </c>
      <c r="AI58" s="308">
        <f> NCA!AI$64</f>
        <v>62999.9999999999</v>
      </c>
      <c r="AJ58" s="308">
        <f> NCA!AJ$64</f>
        <v>61033.333333333234</v>
      </c>
      <c r="AK58" s="308">
        <f> NCA!AK$64</f>
        <v>59066.66666666657</v>
      </c>
      <c r="AL58" s="308">
        <f> NCA!AL$64</f>
        <v>57099.999999999905</v>
      </c>
      <c r="AM58" s="308">
        <f> NCA!AM$64</f>
        <v>56133.33333333324</v>
      </c>
      <c r="AN58" s="308">
        <f> NCA!AN$64</f>
        <v>54216.66666666658</v>
      </c>
      <c r="AO58" s="308">
        <f> NCA!AO$64</f>
        <v>52299.99999999991</v>
      </c>
      <c r="AP58" s="308">
        <f> NCA!AP$64</f>
        <v>50383.33333333325</v>
      </c>
      <c r="AQ58" s="308">
        <f> NCA!AQ$64</f>
        <v>49466.666666666584</v>
      </c>
      <c r="AR58" s="308">
        <f> NCA!AR$64</f>
        <v>47549.99999999992</v>
      </c>
      <c r="AS58" s="308">
        <f> NCA!AS$64</f>
        <v>45633.333333333256</v>
      </c>
      <c r="AT58" s="308">
        <f> NCA!AT$64</f>
        <v>43716.66666666659</v>
      </c>
      <c r="AU58" s="308">
        <f> NCA!AU$64</f>
        <v>41799.99999999993</v>
      </c>
      <c r="AV58" s="308">
        <f> NCA!AV$64</f>
        <v>39958.33333333326</v>
      </c>
      <c r="AW58" s="308">
        <f> NCA!AW$64</f>
        <v>38116.6666666666</v>
      </c>
      <c r="AX58" s="308">
        <f> NCA!AX$64</f>
        <v>36274.999999999935</v>
      </c>
      <c r="AY58" s="308">
        <f> NCA!AY$64</f>
        <v>34433.33333333327</v>
      </c>
      <c r="AZ58" s="308">
        <f> NCA!AZ$64</f>
        <v>32641.666666666602</v>
      </c>
      <c r="BA58" s="308">
        <f> NCA!BA$64</f>
        <v>30849.999999999935</v>
      </c>
      <c r="BB58" s="308">
        <f> NCA!BB$64</f>
        <v>29058.333333333267</v>
      </c>
      <c r="BC58" s="308">
        <f> NCA!BC$64</f>
        <v>27266.6666666666</v>
      </c>
      <c r="BD58" s="308">
        <f> NCA!BD$64</f>
        <v>25499.99999999993</v>
      </c>
      <c r="BE58" s="308">
        <f> NCA!BE$64</f>
        <v>23733.333333333263</v>
      </c>
      <c r="BF58" s="308">
        <f> NCA!BF$64</f>
        <v>21966.666666666595</v>
      </c>
      <c r="BG58" s="308">
        <f> NCA!BG$64</f>
        <v>20199.999999999927</v>
      </c>
      <c r="BH58" s="308">
        <f> NCA!BH$64</f>
        <v>18483.33333333326</v>
      </c>
      <c r="BI58" s="308">
        <f> NCA!BI$64</f>
        <v>16766.66666666659</v>
      </c>
      <c r="BJ58" s="308">
        <f> NCA!BJ$64</f>
        <v>15049.999999999925</v>
      </c>
      <c r="BK58" s="308">
        <f> NCA!BK$64</f>
        <v>13333.33333333326</v>
      </c>
      <c r="BL58" s="308">
        <f> NCA!BL$64</f>
        <v>11666.666666666593</v>
      </c>
      <c r="BM58" s="308">
        <f> NCA!BM$64</f>
        <v>9999.999999999927</v>
      </c>
      <c r="BN58" s="308">
        <f> NCA!BN$64</f>
        <v>8333.333333333261</v>
      </c>
      <c r="BO58" s="308">
        <f> NCA!BO$64</f>
        <v>6666.666666666594</v>
      </c>
      <c r="BP58" s="308">
        <f> NCA!BP$64</f>
        <v>4999.999999999927</v>
      </c>
      <c r="BQ58" s="308">
        <f> NCA!BQ$64</f>
        <v>3333.3333333332603</v>
      </c>
      <c r="BR58" s="308">
        <f> NCA!BR$64</f>
        <v>1666.6666666665935</v>
      </c>
      <c r="BS58" s="308">
        <f> NCA!BS$64</f>
        <v>-7.321432349272072e-11</v>
      </c>
      <c r="BT58" s="308">
        <f> NCA!BT$64</f>
        <v>-7.321432349272072e-11</v>
      </c>
      <c r="BU58" s="308">
        <f> NCA!BU$64</f>
        <v>-7.321432349272072e-11</v>
      </c>
      <c r="BV58" s="308">
        <f> NCA!BV$64</f>
        <v>-7.321432349272072e-11</v>
      </c>
      <c r="BW58" s="308">
        <f> NCA!BW$64</f>
        <v>-7.321432349272072e-11</v>
      </c>
      <c r="BX58" s="308">
        <f> NCA!BX$64</f>
        <v>-7.321432349272072e-11</v>
      </c>
      <c r="BY58" s="308">
        <f> NCA!BY$64</f>
        <v>-7.321432349272072e-11</v>
      </c>
      <c r="BZ58" s="308">
        <f> NCA!BZ$64</f>
        <v>-7.321432349272072e-11</v>
      </c>
      <c r="CA58" s="308">
        <f> NCA!CA$64</f>
        <v>-7.321432349272072e-11</v>
      </c>
      <c r="CB58" s="308">
        <f> NCA!CB$64</f>
        <v>-7.321432349272072e-11</v>
      </c>
      <c r="CC58" s="308">
        <f> NCA!CC$64</f>
        <v>-7.321432349272072e-11</v>
      </c>
      <c r="CD58" s="308">
        <f> NCA!CD$64</f>
        <v>-7.321432349272072e-11</v>
      </c>
      <c r="CE58" s="308">
        <f> NCA!CE$64</f>
        <v>-7.321432349272072e-11</v>
      </c>
      <c r="CF58" s="308">
        <f> NCA!CF$64</f>
        <v>-7.321432349272072e-11</v>
      </c>
      <c r="CG58" s="308">
        <f> NCA!CG$64</f>
        <v>-7.321432349272072e-11</v>
      </c>
      <c r="CH58" s="308">
        <f> NCA!CH$64</f>
        <v>-7.321432349272072e-11</v>
      </c>
      <c r="CI58" s="308">
        <f> NCA!CI$64</f>
        <v>-7.321432349272072e-11</v>
      </c>
      <c r="CJ58" s="308">
        <f> NCA!CJ$64</f>
        <v>-7.321432349272072e-11</v>
      </c>
      <c r="CK58" s="308">
        <f> NCA!CK$64</f>
        <v>-7.321432349272072e-11</v>
      </c>
      <c r="CL58" s="308">
        <f> NCA!CL$64</f>
        <v>-7.321432349272072e-11</v>
      </c>
      <c r="CM58" s="308">
        <f> NCA!CM$64</f>
        <v>-7.321432349272072e-11</v>
      </c>
      <c r="CN58" s="308">
        <f> NCA!CN$64</f>
        <v>-7.321432349272072e-11</v>
      </c>
      <c r="CO58" s="308">
        <f> NCA!CO$64</f>
        <v>-7.321432349272072e-11</v>
      </c>
    </row>
    <row r="59">
      <c r="E59" s="308" t="str">
        <f> OpRev!E$65</f>
        <v>Account receivables balance</v>
      </c>
      <c r="F59" s="308" t="str">
        <f> OpRev!F$65</f>
        <v>BS</v>
      </c>
      <c r="G59" s="308" t="str">
        <f> OpRev!G$65</f>
        <v>$ 000s</v>
      </c>
      <c r="H59" s="308">
        <f> OpRev!H$65</f>
        <v>0.0</v>
      </c>
      <c r="I59" s="308">
        <f> OpRev!I$65</f>
        <v>0.0</v>
      </c>
      <c r="J59" s="308">
        <f> OpRev!J$65</f>
        <v>0.0</v>
      </c>
      <c r="K59" s="308">
        <f> OpRev!K$65</f>
        <v>0.0</v>
      </c>
      <c r="L59" s="308">
        <f> OpRev!L$65</f>
        <v>4361.5962440136755</v>
      </c>
      <c r="M59" s="308">
        <f> OpRev!M$65</f>
        <v>4171.776463590259</v>
      </c>
      <c r="N59" s="308">
        <f> OpRev!N$65</f>
        <v>4421.415146788249</v>
      </c>
      <c r="O59" s="308">
        <f> OpRev!O$65</f>
        <v>4260.654301630433</v>
      </c>
      <c r="P59" s="308">
        <f> OpRev!P$65</f>
        <v>4654.928901452386</v>
      </c>
      <c r="Q59" s="308">
        <f> OpRev!Q$65</f>
        <v>4413.848095693906</v>
      </c>
      <c r="R59" s="308">
        <f> OpRev!R$65</f>
        <v>4666.189624456794</v>
      </c>
      <c r="S59" s="308">
        <f> OpRev!S$65</f>
        <v>4473.68701671196</v>
      </c>
      <c r="T59" s="308">
        <f> OpRev!T$65</f>
        <v>4908.18657342167</v>
      </c>
      <c r="U59" s="308">
        <f> OpRev!U$65</f>
        <v>4694.354288347131</v>
      </c>
      <c r="V59" s="308">
        <f> OpRev!V$65</f>
        <v>4950.981433467474</v>
      </c>
      <c r="W59" s="308">
        <f> OpRev!W$65</f>
        <v>4735.284728086957</v>
      </c>
      <c r="X59" s="308">
        <f> OpRev!X$65</f>
        <v>5148.779065365416</v>
      </c>
      <c r="Y59" s="308">
        <f> OpRev!Y$65</f>
        <v>4858.599993008393</v>
      </c>
      <c r="Z59" s="308">
        <f> OpRev!Z$65</f>
        <v>5111.843520033632</v>
      </c>
      <c r="AA59" s="308">
        <f> OpRev!AA$65</f>
        <v>4877.343269929563</v>
      </c>
      <c r="AB59" s="308">
        <f> OpRev!AB$65</f>
        <v>5303.242437326378</v>
      </c>
      <c r="AC59" s="308">
        <f> OpRev!AC$65</f>
        <v>5004.357992798643</v>
      </c>
      <c r="AD59" s="308">
        <f> OpRev!AD$65</f>
        <v>5449.222157147022</v>
      </c>
      <c r="AE59" s="308">
        <f> OpRev!AE$65</f>
        <v>5199.030827540548</v>
      </c>
      <c r="AF59" s="308">
        <f> OpRev!AF$65</f>
        <v>5653.253289336044</v>
      </c>
      <c r="AG59" s="308">
        <f> OpRev!AG$65</f>
        <v>5334.422868494308</v>
      </c>
      <c r="AH59" s="308">
        <f> OpRev!AH$65</f>
        <v>5612.6988218614315</v>
      </c>
      <c r="AI59" s="308">
        <f> OpRev!AI$65</f>
        <v>5355.001752366759</v>
      </c>
      <c r="AJ59" s="308">
        <f> OpRev!AJ$65</f>
        <v>5758.863515620342</v>
      </c>
      <c r="AK59" s="308">
        <f> OpRev!AK$65</f>
        <v>5494.4555545491385</v>
      </c>
      <c r="AL59" s="308">
        <f> OpRev!AL$65</f>
        <v>5781.079786517272</v>
      </c>
      <c r="AM59" s="308">
        <f> OpRev!AM$65</f>
        <v>5701.698930555205</v>
      </c>
      <c r="AN59" s="308">
        <f> OpRev!AN$65</f>
        <v>6200.0766305008765</v>
      </c>
      <c r="AO59" s="308">
        <f> OpRev!AO$65</f>
        <v>5850.181345974339</v>
      </c>
      <c r="AP59" s="308">
        <f> OpRev!AP$65</f>
        <v>6155.599443086321</v>
      </c>
      <c r="AQ59" s="308">
        <f> OpRev!AQ$65</f>
        <v>5872.749898471862</v>
      </c>
      <c r="AR59" s="308">
        <f> OpRev!AR$65</f>
        <v>6386.0789294159</v>
      </c>
      <c r="AS59" s="308">
        <f> OpRev!AS$65</f>
        <v>6025.686786353566</v>
      </c>
      <c r="AT59" s="308">
        <f> OpRev!AT$65</f>
        <v>6340.267426378909</v>
      </c>
      <c r="AU59" s="308">
        <f> OpRev!AU$65</f>
        <v>6048.932395426014</v>
      </c>
      <c r="AV59" s="308">
        <f> OpRev!AV$65</f>
        <v>6577.661297298375</v>
      </c>
      <c r="AW59" s="308">
        <f> OpRev!AW$65</f>
        <v>6206.457389944175</v>
      </c>
      <c r="AX59" s="308">
        <f> OpRev!AX$65</f>
        <v>6772.802511017038</v>
      </c>
      <c r="AY59" s="308">
        <f> OpRev!AY$65</f>
        <v>6462.907716779271</v>
      </c>
      <c r="AZ59" s="308">
        <f> OpRev!AZ$65</f>
        <v>6949.178375165771</v>
      </c>
      <c r="BA59" s="308">
        <f> OpRev!BA$65</f>
        <v>6631.213367446959</v>
      </c>
      <c r="BB59" s="308">
        <f> OpRev!BB$65</f>
        <v>6975.986586347546</v>
      </c>
      <c r="BC59" s="308">
        <f> OpRev!BC$65</f>
        <v>6656.794948282648</v>
      </c>
      <c r="BD59" s="308">
        <f> OpRev!BD$65</f>
        <v>7237.1832122698615</v>
      </c>
      <c r="BE59" s="308">
        <f> OpRev!BE$65</f>
        <v>6830.1497684703645</v>
      </c>
      <c r="BF59" s="308">
        <f> OpRev!BF$65</f>
        <v>7185.2661839379725</v>
      </c>
      <c r="BG59" s="308">
        <f> OpRev!BG$65</f>
        <v>6856.4987967311245</v>
      </c>
      <c r="BH59" s="308">
        <f> OpRev!BH$65</f>
        <v>7060.850694682653</v>
      </c>
      <c r="BI59" s="308">
        <f> OpRev!BI$65</f>
        <v>7427.064834605848</v>
      </c>
      <c r="BJ59" s="308">
        <f> OpRev!BJ$65</f>
        <v>7010.198614334375</v>
      </c>
      <c r="BK59" s="308">
        <f> OpRev!BK$65</f>
        <v>7455.71661353534</v>
      </c>
      <c r="BL59" s="308">
        <f> OpRev!BL$65</f>
        <v>7272.676215523126</v>
      </c>
      <c r="BM59" s="308">
        <f> OpRev!BM$65</f>
        <v>7649.876779644026</v>
      </c>
      <c r="BN59" s="308">
        <f> OpRev!BN$65</f>
        <v>7220.504572764403</v>
      </c>
      <c r="BO59" s="308">
        <f> OpRev!BO$65</f>
        <v>7679.3881119414</v>
      </c>
      <c r="BP59" s="308">
        <f> OpRev!BP$65</f>
        <v>7408.539397571356</v>
      </c>
      <c r="BQ59" s="308">
        <f> OpRev!BQ$65</f>
        <v>7463.489066051305</v>
      </c>
      <c r="BR59" s="308">
        <f> OpRev!BR$65</f>
        <v>7851.534361375976</v>
      </c>
      <c r="BS59" s="308">
        <f> OpRev!BS$65</f>
        <v>7492.281360655608</v>
      </c>
      <c r="BT59" s="308">
        <f> OpRev!BT$65</f>
        <v>8145.513464993815</v>
      </c>
      <c r="BU59" s="308">
        <f> OpRev!BU$65</f>
        <v>7687.393738032846</v>
      </c>
      <c r="BV59" s="308">
        <f> OpRev!BV$65</f>
        <v>8087.080392217256</v>
      </c>
      <c r="BW59" s="308">
        <f> OpRev!BW$65</f>
        <v>8147.06284795863</v>
      </c>
      <c r="BX59" s="308">
        <f> OpRev!BX$65</f>
        <v>8389.878868943626</v>
      </c>
      <c r="BY59" s="308">
        <f> OpRev!BY$65</f>
        <v>8359.22690379007</v>
      </c>
      <c r="BZ59" s="308">
        <f> OpRev!BZ$65</f>
        <v>8329.69280398377</v>
      </c>
      <c r="CA59" s="308">
        <f> OpRev!CA$65</f>
        <v>8391.474733397383</v>
      </c>
      <c r="CB59" s="308">
        <f> OpRev!CB$65</f>
        <v>8641.57523501194</v>
      </c>
      <c r="CC59" s="308">
        <f> OpRev!CC$65</f>
        <v>8610.00371090377</v>
      </c>
      <c r="CD59" s="308">
        <f> OpRev!CD$65</f>
        <v>8579.58358810328</v>
      </c>
      <c r="CE59" s="308">
        <f> OpRev!CE$65</f>
        <v>8643.218975399304</v>
      </c>
      <c r="CF59" s="308">
        <f> OpRev!CF$65</f>
        <v>8803.01125588578</v>
      </c>
      <c r="CG59" s="308">
        <f> OpRev!CG$65</f>
        <v>8868.303822230875</v>
      </c>
      <c r="CH59" s="308">
        <f> OpRev!CH$65</f>
        <v>8836.971095746376</v>
      </c>
      <c r="CI59" s="308">
        <f> OpRev!CI$65</f>
        <v>8902.51554466128</v>
      </c>
      <c r="CJ59" s="308">
        <f> OpRev!CJ$65</f>
        <v>9167.847166824162</v>
      </c>
      <c r="CK59" s="308">
        <f> OpRev!CK$65</f>
        <v>9134.352936897798</v>
      </c>
      <c r="CL59" s="308">
        <f> OpRev!CL$65</f>
        <v>9102.080228618768</v>
      </c>
      <c r="CM59" s="308">
        <f> OpRev!CM$65</f>
        <v>9169.591011001117</v>
      </c>
      <c r="CN59" s="308">
        <f> OpRev!CN$65</f>
        <v>0.0</v>
      </c>
      <c r="CO59" s="308">
        <f> OpRev!CO$65</f>
        <v>0.0</v>
      </c>
    </row>
    <row r="60" customFormat="1" s="150">
      <c r="A60" s="348" t="n"/>
      <c r="B60" s="348" t="n"/>
      <c r="C60" s="349" t="n"/>
      <c r="D60" s="193" t="n"/>
      <c r="E60" s="308" t="str">
        <f> Equity!E$50</f>
        <v>Retained cash balance</v>
      </c>
      <c r="F60" s="308" t="str">
        <f> Equity!F$50</f>
        <v>BS</v>
      </c>
      <c r="G60" s="308" t="str">
        <f> Equity!G$50</f>
        <v>$ 000s</v>
      </c>
      <c r="H60" s="308">
        <f> Equity!H$50</f>
        <v>0.0</v>
      </c>
      <c r="I60" s="308">
        <f> Equity!I$50</f>
        <v>0.0</v>
      </c>
      <c r="J60" s="308">
        <f> Equity!J$50</f>
        <v>0.0</v>
      </c>
      <c r="K60" s="308">
        <f> Equity!K$50</f>
        <v>0.0</v>
      </c>
      <c r="L60" s="308">
        <f> Equity!L$50</f>
        <v>2216.9509574024078</v>
      </c>
      <c r="M60" s="308">
        <f> Equity!M$50</f>
        <v>4909.060350575115</v>
      </c>
      <c r="N60" s="308">
        <f> Equity!N$50</f>
        <v>7352.245364677066</v>
      </c>
      <c r="O60" s="308">
        <f> Equity!O$50</f>
        <v>7887.13984692031</v>
      </c>
      <c r="P60" s="308">
        <f> Equity!P$50</f>
        <v>8183.84133175329</v>
      </c>
      <c r="Q60" s="308">
        <f> Equity!Q$50</f>
        <v>8590.523082159165</v>
      </c>
      <c r="R60" s="308">
        <f> Equity!R$50</f>
        <v>8779.429026602438</v>
      </c>
      <c r="S60" s="308">
        <f> Equity!S$50</f>
        <v>7069.164108927858</v>
      </c>
      <c r="T60" s="308">
        <f> Equity!T$50</f>
        <v>7154.991476620562</v>
      </c>
      <c r="U60" s="308">
        <f> Equity!U$50</f>
        <v>7448.354322602702</v>
      </c>
      <c r="V60" s="308">
        <f> Equity!V$50</f>
        <v>7522.692600424862</v>
      </c>
      <c r="W60" s="308">
        <f> Equity!W$50</f>
        <v>6721.824852251504</v>
      </c>
      <c r="X60" s="308">
        <f> Equity!X$50</f>
        <v>6738.2605844966165</v>
      </c>
      <c r="Y60" s="308">
        <f> Equity!Y$50</f>
        <v>6910.6655043662295</v>
      </c>
      <c r="Z60" s="308">
        <f> Equity!Z$50</f>
        <v>6860.218239012492</v>
      </c>
      <c r="AA60" s="308">
        <f> Equity!AA$50</f>
        <v>5448.033642434864</v>
      </c>
      <c r="AB60" s="308">
        <f> Equity!AB$50</f>
        <v>5378.648077749874</v>
      </c>
      <c r="AC60" s="308">
        <f> Equity!AC$50</f>
        <v>5477.943994762996</v>
      </c>
      <c r="AD60" s="308">
        <f> Equity!AD$50</f>
        <v>5171.3103870063105</v>
      </c>
      <c r="AE60" s="308">
        <f> Equity!AE$50</f>
        <v>4207.01671124718</v>
      </c>
      <c r="AF60" s="308">
        <f> Equity!AF$50</f>
        <v>4036.241127625582</v>
      </c>
      <c r="AG60" s="308">
        <f> Equity!AG$50</f>
        <v>4072.6850891389504</v>
      </c>
      <c r="AH60" s="308">
        <f> Equity!AH$50</f>
        <v>3866.58059687237</v>
      </c>
      <c r="AI60" s="308">
        <f> Equity!AI$50</f>
        <v>3339.426149261013</v>
      </c>
      <c r="AJ60" s="308">
        <f> Equity!AJ$50</f>
        <v>3087.9875796483066</v>
      </c>
      <c r="AK60" s="308">
        <f> Equity!AK$50</f>
        <v>3038.1811821635874</v>
      </c>
      <c r="AL60" s="308">
        <f> Equity!AL$50</f>
        <v>2753.2386114448236</v>
      </c>
      <c r="AM60" s="308">
        <f> Equity!AM$50</f>
        <v>1472.0364582877055</v>
      </c>
      <c r="AN60" s="308">
        <f> Equity!AN$50</f>
        <v>1079.6213903162425</v>
      </c>
      <c r="AO60" s="308">
        <f> Equity!AO$50</f>
        <v>946.0003646148589</v>
      </c>
      <c r="AP60" s="308">
        <f> Equity!AP$50</f>
        <v>543.4894183343094</v>
      </c>
      <c r="AQ60" s="308">
        <f> Equity!AQ$50</f>
        <v>0.0</v>
      </c>
      <c r="AR60" s="308">
        <f> Equity!AR$50</f>
        <v>0.0</v>
      </c>
      <c r="AS60" s="308">
        <f> Equity!AS$50</f>
        <v>711.8114604008133</v>
      </c>
      <c r="AT60" s="308">
        <f> Equity!AT$50</f>
        <v>2249.351964822784</v>
      </c>
      <c r="AU60" s="308">
        <f> Equity!AU$50</f>
        <v>4016.1127479275983</v>
      </c>
      <c r="AV60" s="308">
        <f> Equity!AV$50</f>
        <v>5433.735505516821</v>
      </c>
      <c r="AW60" s="308">
        <f> Equity!AW$50</f>
        <v>7133.595692390354</v>
      </c>
      <c r="AX60" s="308">
        <f> Equity!AX$50</f>
        <v>8313.162189022682</v>
      </c>
      <c r="AY60" s="308">
        <f> Equity!AY$50</f>
        <v>9984.423504955159</v>
      </c>
      <c r="AZ60" s="308">
        <f> Equity!AZ$50</f>
        <v>11304.96122811599</v>
      </c>
      <c r="BA60" s="308">
        <f> Equity!BA$50</f>
        <v>12920.553895839988</v>
      </c>
      <c r="BB60" s="308">
        <f> Equity!BB$50</f>
        <v>14244.174847084958</v>
      </c>
      <c r="BC60" s="308">
        <f> Equity!BC$50</f>
        <v>15838.49019620916</v>
      </c>
      <c r="BD60" s="308">
        <f> Equity!BD$50</f>
        <v>17077.075586816005</v>
      </c>
      <c r="BE60" s="308">
        <f> Equity!BE$50</f>
        <v>18653.514685175258</v>
      </c>
      <c r="BF60" s="308">
        <f> Equity!BF$50</f>
        <v>19915.927889667906</v>
      </c>
      <c r="BG60" s="308">
        <f> Equity!BG$50</f>
        <v>21459.44589274065</v>
      </c>
      <c r="BH60" s="308">
        <f> Equity!BH$50</f>
        <v>22779.271507489073</v>
      </c>
      <c r="BI60" s="308">
        <f> Equity!BI$50</f>
        <v>23977.20009309519</v>
      </c>
      <c r="BJ60" s="308">
        <f> Equity!BJ$50</f>
        <v>25481.401720318598</v>
      </c>
      <c r="BK60" s="308">
        <f> Equity!BK$50</f>
        <v>26649.77396994787</v>
      </c>
      <c r="BL60" s="308">
        <f> Equity!BL$50</f>
        <v>28062.02282346445</v>
      </c>
      <c r="BM60" s="308">
        <f> Equity!BM$50</f>
        <v>29192.861441434547</v>
      </c>
      <c r="BN60" s="308">
        <f> Equity!BN$50</f>
        <v>30640.76018353067</v>
      </c>
      <c r="BO60" s="308">
        <f> Equity!BO$50</f>
        <v>31744.273613402023</v>
      </c>
      <c r="BP60" s="308">
        <f> Equity!BP$50</f>
        <v>33151.79804714928</v>
      </c>
      <c r="BQ60" s="308">
        <f> Equity!BQ$50</f>
        <v>34406.68178548682</v>
      </c>
      <c r="BR60" s="308">
        <f> Equity!BR$50</f>
        <v>35505.87948498749</v>
      </c>
      <c r="BS60" s="308">
        <f> Equity!BS$50</f>
        <v>36917.02813293644</v>
      </c>
      <c r="BT60" s="308">
        <f> Equity!BT$50</f>
        <v>36787.747233978174</v>
      </c>
      <c r="BU60" s="308">
        <f> Equity!BU$50</f>
        <v>37045.29568156926</v>
      </c>
      <c r="BV60" s="308">
        <f> Equity!BV$50</f>
        <v>36955.64863992906</v>
      </c>
      <c r="BW60" s="308">
        <f> Equity!BW$50</f>
        <v>37016.17128621793</v>
      </c>
      <c r="BX60" s="308">
        <f> Equity!BX$50</f>
        <v>37036.97045960957</v>
      </c>
      <c r="BY60" s="308">
        <f> Equity!BY$50</f>
        <v>37108.33530311733</v>
      </c>
      <c r="BZ60" s="308">
        <f> Equity!BZ$50</f>
        <v>37176.2138038993</v>
      </c>
      <c r="CA60" s="308">
        <f> Equity!CA$50</f>
        <v>37222.95734433822</v>
      </c>
      <c r="CB60" s="308">
        <f> Equity!CB$50</f>
        <v>37229.56544695492</v>
      </c>
      <c r="CC60" s="308">
        <f> Equity!CC$50</f>
        <v>37288.996942090074</v>
      </c>
      <c r="CD60" s="308">
        <f> Equity!CD$50</f>
        <v>37345.54121890153</v>
      </c>
      <c r="CE60" s="308">
        <f> Equity!CE$50</f>
        <v>37380.98501550935</v>
      </c>
      <c r="CF60" s="308">
        <f> Equity!CF$50</f>
        <v>37395.03970358717</v>
      </c>
      <c r="CG60" s="308">
        <f> Equity!CG$50</f>
        <v>37425.47525348676</v>
      </c>
      <c r="CH60" s="308">
        <f> Equity!CH$50</f>
        <v>37472.825438445856</v>
      </c>
      <c r="CI60" s="308">
        <f> Equity!CI$50</f>
        <v>37498.986649803046</v>
      </c>
      <c r="CJ60" s="308">
        <f> Equity!CJ$50</f>
        <v>37483.73962570938</v>
      </c>
      <c r="CK60" s="308">
        <f> Equity!CK$50</f>
        <v>37525.64581674652</v>
      </c>
      <c r="CL60" s="308">
        <f> Equity!CL$50</f>
        <v>37565.54619197163</v>
      </c>
      <c r="CM60" s="308">
        <f> Equity!CM$50</f>
        <v>0.0</v>
      </c>
      <c r="CN60" s="308">
        <f> Equity!CN$50</f>
        <v>5.456968210637569e-10</v>
      </c>
      <c r="CO60" s="308">
        <f> Equity!CO$50</f>
        <v>5.383535835790098e-10</v>
      </c>
    </row>
    <row r="61">
      <c r="E61" s="168" t="inlineStr">
        <is>
          <t>Total assets</t>
        </is>
      </c>
      <c r="F61" s="168" t="n"/>
      <c r="G61" s="168" t="inlineStr">
        <is>
          <t>$ 000s</t>
        </is>
      </c>
      <c r="H61" s="168" t="n"/>
      <c r="I61" s="168" t="n"/>
      <c r="J61" s="168">
        <f> SUM(J58:J60)</f>
        <v>0.0</v>
      </c>
      <c r="K61" s="168">
        <f> SUM(K58:K60)</f>
        <v>100000.0</v>
      </c>
      <c r="L61" s="168">
        <f> SUM(L58:L60)</f>
        <v>104911.88053474942</v>
      </c>
      <c r="M61" s="168">
        <f> SUM(M58:M60)</f>
        <v>105747.50348083203</v>
      </c>
      <c r="N61" s="168">
        <f> SUM(N58:N60)</f>
        <v>106773.6605114653</v>
      </c>
      <c r="O61" s="168">
        <f> SUM(O58:O60)</f>
        <v>105481.12748188406</v>
      </c>
      <c r="P61" s="168">
        <f> SUM(P58:P60)</f>
        <v>104505.43689987232</v>
      </c>
      <c r="Q61" s="168">
        <f> SUM(Q58:Q60)</f>
        <v>103004.37117785304</v>
      </c>
      <c r="R61" s="168">
        <f> SUM(R58:R60)</f>
        <v>101778.95198439252</v>
      </c>
      <c r="S61" s="168">
        <f> SUM(S58:S60)</f>
        <v>100209.51779230645</v>
      </c>
      <c r="T61" s="168">
        <f> SUM(T58:T60)</f>
        <v>98963.17805004219</v>
      </c>
      <c r="U61" s="168">
        <f> SUM(U58:U60)</f>
        <v>97276.0419442831</v>
      </c>
      <c r="V61" s="168">
        <f> SUM(V58:V60)</f>
        <v>95840.34070055895</v>
      </c>
      <c r="W61" s="168">
        <f> SUM(W58:W60)</f>
        <v>94057.10958033841</v>
      </c>
      <c r="X61" s="168">
        <f> SUM(X58:X60)</f>
        <v>92670.37298319531</v>
      </c>
      <c r="Y61" s="168">
        <f> SUM(Y58:Y60)</f>
        <v>90735.93216404122</v>
      </c>
      <c r="Z61" s="168">
        <f> SUM(Z58:Z60)</f>
        <v>89122.06175904605</v>
      </c>
      <c r="AA61" s="168">
        <f> SUM(AA58:AA60)</f>
        <v>87158.71024569769</v>
      </c>
      <c r="AB61" s="168">
        <f> SUM(AB58:AB60)</f>
        <v>85623.55718174284</v>
      </c>
      <c r="AC61" s="168">
        <f> SUM(AC58:AC60)</f>
        <v>83532.30198756156</v>
      </c>
      <c r="AD61" s="168">
        <f> SUM(AD58:AD60)</f>
        <v>81778.86587748658</v>
      </c>
      <c r="AE61" s="168">
        <f> SUM(AE58:AE60)</f>
        <v>79672.71420545431</v>
      </c>
      <c r="AF61" s="168">
        <f> SUM(AF58:AF60)</f>
        <v>78014.49441696153</v>
      </c>
      <c r="AG61" s="168">
        <f> SUM(AG58:AG60)</f>
        <v>75790.44129096648</v>
      </c>
      <c r="AH61" s="168">
        <f> SUM(AH58:AH60)</f>
        <v>73920.94608540037</v>
      </c>
      <c r="AI61" s="168">
        <f> SUM(AI58:AI60)</f>
        <v>71694.42790162767</v>
      </c>
      <c r="AJ61" s="168">
        <f> SUM(AJ58:AJ60)</f>
        <v>69880.18442860189</v>
      </c>
      <c r="AK61" s="168">
        <f> SUM(AK58:AK60)</f>
        <v>67599.3034033793</v>
      </c>
      <c r="AL61" s="168">
        <f> SUM(AL58:AL60)</f>
        <v>65634.318397962</v>
      </c>
      <c r="AM61" s="168">
        <f> SUM(AM58:AM60)</f>
        <v>63307.068722176155</v>
      </c>
      <c r="AN61" s="168">
        <f> SUM(AN58:AN60)</f>
        <v>61496.3646874837</v>
      </c>
      <c r="AO61" s="168">
        <f> SUM(AO58:AO60)</f>
        <v>59096.18171058912</v>
      </c>
      <c r="AP61" s="168">
        <f> SUM(AP58:AP60)</f>
        <v>57082.422194753875</v>
      </c>
      <c r="AQ61" s="168">
        <f> SUM(AQ58:AQ60)</f>
        <v>55339.41656513845</v>
      </c>
      <c r="AR61" s="168">
        <f> SUM(AR58:AR60)</f>
        <v>53936.07892941582</v>
      </c>
      <c r="AS61" s="168">
        <f> SUM(AS58:AS60)</f>
        <v>52370.83158008764</v>
      </c>
      <c r="AT61" s="168">
        <f> SUM(AT58:AT60)</f>
        <v>52306.28605786828</v>
      </c>
      <c r="AU61" s="168">
        <f> SUM(AU58:AU60)</f>
        <v>51865.04514335354</v>
      </c>
      <c r="AV61" s="168">
        <f> SUM(AV58:AV60)</f>
        <v>51969.730136148464</v>
      </c>
      <c r="AW61" s="168">
        <f> SUM(AW58:AW60)</f>
        <v>51456.71974900113</v>
      </c>
      <c r="AX61" s="168">
        <f> SUM(AX58:AX60)</f>
        <v>51360.96470003965</v>
      </c>
      <c r="AY61" s="168">
        <f> SUM(AY58:AY60)</f>
        <v>50880.6645550677</v>
      </c>
      <c r="AZ61" s="168">
        <f> SUM(AZ58:AZ60)</f>
        <v>50895.80626994837</v>
      </c>
      <c r="BA61" s="168">
        <f> SUM(BA58:BA60)</f>
        <v>50401.76726328688</v>
      </c>
      <c r="BB61" s="168">
        <f> SUM(BB58:BB60)</f>
        <v>50278.49476676577</v>
      </c>
      <c r="BC61" s="168">
        <f> SUM(BC58:BC60)</f>
        <v>49761.95181115841</v>
      </c>
      <c r="BD61" s="168">
        <f> SUM(BD58:BD60)</f>
        <v>49814.2587990858</v>
      </c>
      <c r="BE61" s="168">
        <f> SUM(BE58:BE60)</f>
        <v>49216.997786978885</v>
      </c>
      <c r="BF61" s="168">
        <f> SUM(BF58:BF60)</f>
        <v>49067.860740272474</v>
      </c>
      <c r="BG61" s="168">
        <f> SUM(BG58:BG60)</f>
        <v>48515.9446894717</v>
      </c>
      <c r="BH61" s="168">
        <f> SUM(BH58:BH60)</f>
        <v>48323.45553550498</v>
      </c>
      <c r="BI61" s="168">
        <f> SUM(BI58:BI60)</f>
        <v>48170.931594367634</v>
      </c>
      <c r="BJ61" s="168">
        <f> SUM(BJ58:BJ60)</f>
        <v>47541.6003346529</v>
      </c>
      <c r="BK61" s="168">
        <f> SUM(BK58:BK60)</f>
        <v>47438.82391681647</v>
      </c>
      <c r="BL61" s="168">
        <f> SUM(BL58:BL60)</f>
        <v>47001.36570565417</v>
      </c>
      <c r="BM61" s="168">
        <f> SUM(BM58:BM60)</f>
        <v>46842.7382210785</v>
      </c>
      <c r="BN61" s="168">
        <f> SUM(BN58:BN60)</f>
        <v>46194.598089628336</v>
      </c>
      <c r="BO61" s="168">
        <f> SUM(BO58:BO60)</f>
        <v>46090.32839201002</v>
      </c>
      <c r="BP61" s="168">
        <f> SUM(BP58:BP60)</f>
        <v>45560.33744472056</v>
      </c>
      <c r="BQ61" s="168">
        <f> SUM(BQ58:BQ60)</f>
        <v>45203.50418487139</v>
      </c>
      <c r="BR61" s="168">
        <f> SUM(BR58:BR60)</f>
        <v>45024.08051303006</v>
      </c>
      <c r="BS61" s="168">
        <f> SUM(BS58:BS60)</f>
        <v>44409.30949359197</v>
      </c>
      <c r="BT61" s="168">
        <f> SUM(BT58:BT60)</f>
        <v>44933.26069897192</v>
      </c>
      <c r="BU61" s="168">
        <f> SUM(BU58:BU60)</f>
        <v>44732.68941960203</v>
      </c>
      <c r="BV61" s="168">
        <f> SUM(BV58:BV60)</f>
        <v>45042.72903214624</v>
      </c>
      <c r="BW61" s="168">
        <f> SUM(BW58:BW60)</f>
        <v>45163.234134176484</v>
      </c>
      <c r="BX61" s="168">
        <f> SUM(BX58:BX60)</f>
        <v>45426.84932855312</v>
      </c>
      <c r="BY61" s="168">
        <f> SUM(BY58:BY60)</f>
        <v>45467.56220690733</v>
      </c>
      <c r="BZ61" s="168">
        <f> SUM(BZ58:BZ60)</f>
        <v>45505.90660788299</v>
      </c>
      <c r="CA61" s="168">
        <f> SUM(CA58:CA60)</f>
        <v>45614.43207773553</v>
      </c>
      <c r="CB61" s="168">
        <f> SUM(CB58:CB60)</f>
        <v>45871.14068196679</v>
      </c>
      <c r="CC61" s="168">
        <f> SUM(CC58:CC60)</f>
        <v>45899.00065299377</v>
      </c>
      <c r="CD61" s="168">
        <f> SUM(CD58:CD60)</f>
        <v>45925.124807004744</v>
      </c>
      <c r="CE61" s="168">
        <f> SUM(CE58:CE60)</f>
        <v>46024.20399090859</v>
      </c>
      <c r="CF61" s="168">
        <f> SUM(CF58:CF60)</f>
        <v>46198.05095947288</v>
      </c>
      <c r="CG61" s="168">
        <f> SUM(CG58:CG60)</f>
        <v>46293.77907571756</v>
      </c>
      <c r="CH61" s="168">
        <f> SUM(CH58:CH60)</f>
        <v>46309.79653419216</v>
      </c>
      <c r="CI61" s="168">
        <f> SUM(CI58:CI60)</f>
        <v>46401.50219446425</v>
      </c>
      <c r="CJ61" s="168">
        <f> SUM(CJ58:CJ60)</f>
        <v>46651.58679253347</v>
      </c>
      <c r="CK61" s="168">
        <f> SUM(CK58:CK60)</f>
        <v>46659.99875364424</v>
      </c>
      <c r="CL61" s="168">
        <f> SUM(CL58:CL60)</f>
        <v>46667.62642059033</v>
      </c>
      <c r="CM61" s="168">
        <f> SUM(CM58:CM60)</f>
        <v>9169.591011001045</v>
      </c>
      <c r="CN61" s="168">
        <f> SUM(CN58:CN60)</f>
        <v>4.724824975710362e-10</v>
      </c>
      <c r="CO61" s="168">
        <f> SUM(CO58:CO60)</f>
        <v>4.651392600862891e-10</v>
      </c>
    </row>
    <row r="63">
      <c r="B63" s="163" t="inlineStr">
        <is>
          <t>Liabilities</t>
        </is>
      </c>
    </row>
    <row r="64">
      <c r="E64" s="308" t="str">
        <f> OpCost!E$62</f>
        <v>Account payables balance</v>
      </c>
      <c r="F64" s="308" t="str">
        <f> OpCost!F$62</f>
        <v>BS</v>
      </c>
      <c r="G64" s="308" t="str">
        <f> OpCost!G$62</f>
        <v>$ 000s</v>
      </c>
      <c r="H64" s="308">
        <f> OpCost!H$62</f>
        <v>0.0</v>
      </c>
      <c r="I64" s="308">
        <f> OpCost!I$62</f>
        <v>0.0</v>
      </c>
      <c r="J64" s="308">
        <f> OpCost!J$62</f>
        <v>0.0</v>
      </c>
      <c r="K64" s="308">
        <f> OpCost!K$62</f>
        <v>0.0</v>
      </c>
      <c r="L64" s="308">
        <f> OpCost!L$62</f>
        <v>3911.8805347494163</v>
      </c>
      <c r="M64" s="308">
        <f> OpCost!M$62</f>
        <v>3822.503480832038</v>
      </c>
      <c r="N64" s="308">
        <f> OpCost!N$62</f>
        <v>3994.910511465314</v>
      </c>
      <c r="O64" s="308">
        <f> OpCost!O$62</f>
        <v>3916.3149818840575</v>
      </c>
      <c r="P64" s="308">
        <f> OpCost!P$62</f>
        <v>4218.865024872304</v>
      </c>
      <c r="Q64" s="308">
        <f> OpCost!Q$62</f>
        <v>4057.127896603013</v>
      </c>
      <c r="R64" s="308">
        <f> OpCost!R$62</f>
        <v>4229.070867204988</v>
      </c>
      <c r="S64" s="308">
        <f> OpCost!S$62</f>
        <v>4112.1307309782605</v>
      </c>
      <c r="T64" s="308">
        <f> OpCost!T$62</f>
        <v>4370.660341780394</v>
      </c>
      <c r="U64" s="308">
        <f> OpCost!U$62</f>
        <v>4239.650121434395</v>
      </c>
      <c r="V64" s="308">
        <f> OpCost!V$62</f>
        <v>4408.768468852642</v>
      </c>
      <c r="W64" s="308">
        <f> OpCost!W$62</f>
        <v>4276.615960217392</v>
      </c>
      <c r="X64" s="308">
        <f> OpCost!X$62</f>
        <v>4584.904044080322</v>
      </c>
      <c r="Y64" s="308">
        <f> OpCost!Y$62</f>
        <v>4387.9866718819685</v>
      </c>
      <c r="Z64" s="308">
        <f> OpCost!Z$62</f>
        <v>4552.013541494738</v>
      </c>
      <c r="AA64" s="308">
        <f> OpCost!AA$62</f>
        <v>4404.914439023913</v>
      </c>
      <c r="AB64" s="308">
        <f> OpCost!AB$62</f>
        <v>4722.45116540273</v>
      </c>
      <c r="AC64" s="308">
        <f> OpCost!AC$62</f>
        <v>4519.626272038426</v>
      </c>
      <c r="AD64" s="308">
        <f> OpCost!AD$62</f>
        <v>4688.57394773958</v>
      </c>
      <c r="AE64" s="308">
        <f> OpCost!AE$62</f>
        <v>4537.061872194627</v>
      </c>
      <c r="AF64" s="308">
        <f> OpCost!AF$62</f>
        <v>4864.124700364808</v>
      </c>
      <c r="AG64" s="308">
        <f> OpCost!AG$62</f>
        <v>4655.215060199578</v>
      </c>
      <c r="AH64" s="308">
        <f> OpCost!AH$62</f>
        <v>4829.231166171765</v>
      </c>
      <c r="AI64" s="308">
        <f> OpCost!AI$62</f>
        <v>4673.173728360465</v>
      </c>
      <c r="AJ64" s="308">
        <f> OpCost!AJ$62</f>
        <v>4954.992963997996</v>
      </c>
      <c r="AK64" s="308">
        <f> OpCost!AK$62</f>
        <v>4794.871512005564</v>
      </c>
      <c r="AL64" s="308">
        <f> OpCost!AL$62</f>
        <v>4974.108101156915</v>
      </c>
      <c r="AM64" s="308">
        <f> OpCost!AM$62</f>
        <v>4813.36894021128</v>
      </c>
      <c r="AN64" s="308">
        <f> OpCost!AN$62</f>
        <v>5160.349894617024</v>
      </c>
      <c r="AO64" s="308">
        <f> OpCost!AO$62</f>
        <v>4938.717657365727</v>
      </c>
      <c r="AP64" s="308">
        <f> OpCost!AP$62</f>
        <v>5123.331344191618</v>
      </c>
      <c r="AQ64" s="308">
        <f> OpCost!AQ$62</f>
        <v>4957.770008417612</v>
      </c>
      <c r="AR64" s="308">
        <f> OpCost!AR$62</f>
        <v>5315.160391455533</v>
      </c>
      <c r="AS64" s="308">
        <f> OpCost!AS$62</f>
        <v>5086.879187086699</v>
      </c>
      <c r="AT64" s="308">
        <f> OpCost!AT$62</f>
        <v>5277.0312845173685</v>
      </c>
      <c r="AU64" s="308">
        <f> OpCost!AU$62</f>
        <v>5106.503108670138</v>
      </c>
      <c r="AV64" s="308">
        <f> OpCost!AV$62</f>
        <v>5474.615203199195</v>
      </c>
      <c r="AW64" s="308">
        <f> OpCost!AW$62</f>
        <v>5239.485562699298</v>
      </c>
      <c r="AX64" s="308">
        <f> OpCost!AX$62</f>
        <v>5435.342223052887</v>
      </c>
      <c r="AY64" s="308">
        <f> OpCost!AY$62</f>
        <v>5259.698201930241</v>
      </c>
      <c r="AZ64" s="308">
        <f> OpCost!AZ$62</f>
        <v>5576.8882344677495</v>
      </c>
      <c r="BA64" s="308">
        <f> OpCost!BA$62</f>
        <v>5396.670129580276</v>
      </c>
      <c r="BB64" s="308">
        <f> OpCost!BB$62</f>
        <v>5598.402489744471</v>
      </c>
      <c r="BC64" s="308">
        <f> OpCost!BC$62</f>
        <v>5417.48914798815</v>
      </c>
      <c r="BD64" s="308">
        <f> OpCost!BD$62</f>
        <v>5808.019269074026</v>
      </c>
      <c r="BE64" s="308">
        <f> OpCost!BE$62</f>
        <v>5558.570233467681</v>
      </c>
      <c r="BF64" s="308">
        <f> OpCost!BF$62</f>
        <v>5766.354564436804</v>
      </c>
      <c r="BG64" s="308">
        <f> OpCost!BG$62</f>
        <v>5580.013822427791</v>
      </c>
      <c r="BH64" s="308">
        <f> OpCost!BH$62</f>
        <v>5746.321211813247</v>
      </c>
      <c r="BI64" s="308">
        <f> OpCost!BI$62</f>
        <v>5960.403986860458</v>
      </c>
      <c r="BJ64" s="308">
        <f> OpCost!BJ$62</f>
        <v>5705.09910752106</v>
      </c>
      <c r="BK64" s="308">
        <f> OpCost!BK$62</f>
        <v>5983.3977510412005</v>
      </c>
      <c r="BL64" s="308">
        <f> OpCost!BL$62</f>
        <v>5918.710848167639</v>
      </c>
      <c r="BM64" s="308">
        <f> OpCost!BM$62</f>
        <v>6139.2161064662705</v>
      </c>
      <c r="BN64" s="308">
        <f> OpCost!BN$62</f>
        <v>5876.25208074669</v>
      </c>
      <c r="BO64" s="308">
        <f> OpCost!BO$62</f>
        <v>6162.899683572436</v>
      </c>
      <c r="BP64" s="308">
        <f> OpCost!BP$62</f>
        <v>6029.280171704837</v>
      </c>
      <c r="BQ64" s="308">
        <f> OpCost!BQ$62</f>
        <v>6073.999775506434</v>
      </c>
      <c r="BR64" s="308">
        <f> OpCost!BR$62</f>
        <v>6301.051324133328</v>
      </c>
      <c r="BS64" s="308">
        <f> OpCost!BS$62</f>
        <v>6097.431764140047</v>
      </c>
      <c r="BT64" s="308">
        <f> OpCost!BT$62</f>
        <v>6536.976855992563</v>
      </c>
      <c r="BU64" s="308">
        <f> OpCost!BU$62</f>
        <v>6256.219768771622</v>
      </c>
      <c r="BV64" s="308">
        <f> OpCost!BV$62</f>
        <v>6490.082863857329</v>
      </c>
      <c r="BW64" s="308">
        <f> OpCost!BW$62</f>
        <v>6538.220274301992</v>
      </c>
      <c r="BX64" s="308">
        <f> OpCost!BX$62</f>
        <v>6733.086161672341</v>
      </c>
      <c r="BY64" s="308">
        <f> OpCost!BY$62</f>
        <v>6708.487198370563</v>
      </c>
      <c r="BZ64" s="308">
        <f> OpCost!BZ$62</f>
        <v>6684.785349773047</v>
      </c>
      <c r="CA64" s="308">
        <f> OpCost!CA$62</f>
        <v>6734.366882531049</v>
      </c>
      <c r="CB64" s="308">
        <f> OpCost!CB$62</f>
        <v>6935.078746522508</v>
      </c>
      <c r="CC64" s="308">
        <f> OpCost!CC$62</f>
        <v>6909.741814321678</v>
      </c>
      <c r="CD64" s="308">
        <f> OpCost!CD$62</f>
        <v>6885.328910266235</v>
      </c>
      <c r="CE64" s="308">
        <f> OpCost!CE$62</f>
        <v>6936.397889006981</v>
      </c>
      <c r="CF64" s="308">
        <f> OpCost!CF$62</f>
        <v>7064.6351626663345</v>
      </c>
      <c r="CG64" s="308">
        <f> OpCost!CG$62</f>
        <v>7117.034068751327</v>
      </c>
      <c r="CH64" s="308">
        <f> OpCost!CH$62</f>
        <v>7091.888777574219</v>
      </c>
      <c r="CI64" s="308">
        <f> OpCost!CI$62</f>
        <v>7144.489825677185</v>
      </c>
      <c r="CJ64" s="308">
        <f> OpCost!CJ$62</f>
        <v>7357.425042185725</v>
      </c>
      <c r="CK64" s="308">
        <f> OpCost!CK$62</f>
        <v>7330.545090813863</v>
      </c>
      <c r="CL64" s="308">
        <f> OpCost!CL$62</f>
        <v>7304.645440901444</v>
      </c>
      <c r="CM64" s="308">
        <f> OpCost!CM$62</f>
        <v>7358.824520447502</v>
      </c>
      <c r="CN64" s="308">
        <f> OpCost!CN$62</f>
        <v>0.0</v>
      </c>
      <c r="CO64" s="308">
        <f> OpCost!CO$62</f>
        <v>0.0</v>
      </c>
    </row>
    <row r="65">
      <c r="E65" s="308" t="str">
        <f> Debt!E$44</f>
        <v>Senior debt balance</v>
      </c>
      <c r="F65" s="308" t="str">
        <f> Debt!F$44</f>
        <v>BS</v>
      </c>
      <c r="G65" s="308" t="str">
        <f> Debt!G$44</f>
        <v>$ 000s</v>
      </c>
      <c r="H65" s="308">
        <f> Debt!H$44</f>
        <v>0.0</v>
      </c>
      <c r="I65" s="308">
        <f> Debt!I$44</f>
        <v>0.0</v>
      </c>
      <c r="J65" s="308">
        <f> Debt!J$44</f>
        <v>0.0</v>
      </c>
      <c r="K65" s="308">
        <f> Debt!K$44</f>
        <v>60000.0</v>
      </c>
      <c r="L65" s="308">
        <f> Debt!L$44</f>
        <v>60000.0</v>
      </c>
      <c r="M65" s="308">
        <f> Debt!M$44</f>
        <v>60000.0</v>
      </c>
      <c r="N65" s="308">
        <f> Debt!N$44</f>
        <v>60000.0</v>
      </c>
      <c r="O65" s="308">
        <f> Debt!O$44</f>
        <v>58000.00000000002</v>
      </c>
      <c r="P65" s="308">
        <f> Debt!P$44</f>
        <v>56000.000000000044</v>
      </c>
      <c r="Q65" s="308">
        <f> Debt!Q$44</f>
        <v>54000.000000000065</v>
      </c>
      <c r="R65" s="308">
        <f> Debt!R$44</f>
        <v>52000.00000000009</v>
      </c>
      <c r="S65" s="308">
        <f> Debt!S$44</f>
        <v>50000.00000000011</v>
      </c>
      <c r="T65" s="308">
        <f> Debt!T$44</f>
        <v>48000.00000000013</v>
      </c>
      <c r="U65" s="308">
        <f> Debt!U$44</f>
        <v>46000.00000000015</v>
      </c>
      <c r="V65" s="308">
        <f> Debt!V$44</f>
        <v>44000.000000000175</v>
      </c>
      <c r="W65" s="308">
        <f> Debt!W$44</f>
        <v>42000.0000000002</v>
      </c>
      <c r="X65" s="308">
        <f> Debt!X$44</f>
        <v>40000.00000000022</v>
      </c>
      <c r="Y65" s="308">
        <f> Debt!Y$44</f>
        <v>38000.00000000024</v>
      </c>
      <c r="Z65" s="308">
        <f> Debt!Z$44</f>
        <v>36000.00000000026</v>
      </c>
      <c r="AA65" s="308">
        <f> Debt!AA$44</f>
        <v>34000.000000000284</v>
      </c>
      <c r="AB65" s="308">
        <f> Debt!AB$44</f>
        <v>32000.000000000306</v>
      </c>
      <c r="AC65" s="308">
        <f> Debt!AC$44</f>
        <v>30000.000000000327</v>
      </c>
      <c r="AD65" s="308">
        <f> Debt!AD$44</f>
        <v>28000.00000000035</v>
      </c>
      <c r="AE65" s="308">
        <f> Debt!AE$44</f>
        <v>26000.00000000037</v>
      </c>
      <c r="AF65" s="308">
        <f> Debt!AF$44</f>
        <v>24000.000000000393</v>
      </c>
      <c r="AG65" s="308">
        <f> Debt!AG$44</f>
        <v>22000.000000000415</v>
      </c>
      <c r="AH65" s="308">
        <f> Debt!AH$44</f>
        <v>20000.000000000437</v>
      </c>
      <c r="AI65" s="308">
        <f> Debt!AI$44</f>
        <v>18000.00000000046</v>
      </c>
      <c r="AJ65" s="308">
        <f> Debt!AJ$44</f>
        <v>16000.000000000478</v>
      </c>
      <c r="AK65" s="308">
        <f> Debt!AK$44</f>
        <v>14000.000000000498</v>
      </c>
      <c r="AL65" s="308">
        <f> Debt!AL$44</f>
        <v>12000.000000000518</v>
      </c>
      <c r="AM65" s="308">
        <f> Debt!AM$44</f>
        <v>10000.000000000538</v>
      </c>
      <c r="AN65" s="308">
        <f> Debt!AN$44</f>
        <v>8000.000000000558</v>
      </c>
      <c r="AO65" s="308">
        <f> Debt!AO$44</f>
        <v>6000.000000000578</v>
      </c>
      <c r="AP65" s="308">
        <f> Debt!AP$44</f>
        <v>4000.0000000005984</v>
      </c>
      <c r="AQ65" s="308">
        <f> Debt!AQ$44</f>
        <v>2000.0000000006185</v>
      </c>
      <c r="AR65" s="308">
        <f> Debt!AR$44</f>
        <v>6.384652806445956e-10</v>
      </c>
      <c r="AS65" s="308">
        <f> Debt!AS$44</f>
        <v>6.384652806445956e-10</v>
      </c>
      <c r="AT65" s="308">
        <f> Debt!AT$44</f>
        <v>6.384652806445956e-10</v>
      </c>
      <c r="AU65" s="308">
        <f> Debt!AU$44</f>
        <v>6.384652806445956e-10</v>
      </c>
      <c r="AV65" s="308">
        <f> Debt!AV$44</f>
        <v>6.384652806445956e-10</v>
      </c>
      <c r="AW65" s="308">
        <f> Debt!AW$44</f>
        <v>6.384652806445956e-10</v>
      </c>
      <c r="AX65" s="308">
        <f> Debt!AX$44</f>
        <v>6.384652806445956e-10</v>
      </c>
      <c r="AY65" s="308">
        <f> Debt!AY$44</f>
        <v>6.384652806445956e-10</v>
      </c>
      <c r="AZ65" s="308">
        <f> Debt!AZ$44</f>
        <v>6.384652806445956e-10</v>
      </c>
      <c r="BA65" s="308">
        <f> Debt!BA$44</f>
        <v>6.384652806445956e-10</v>
      </c>
      <c r="BB65" s="308">
        <f> Debt!BB$44</f>
        <v>6.384652806445956e-10</v>
      </c>
      <c r="BC65" s="308">
        <f> Debt!BC$44</f>
        <v>6.384652806445956e-10</v>
      </c>
      <c r="BD65" s="308">
        <f> Debt!BD$44</f>
        <v>6.384652806445956e-10</v>
      </c>
      <c r="BE65" s="308">
        <f> Debt!BE$44</f>
        <v>6.384652806445956e-10</v>
      </c>
      <c r="BF65" s="308">
        <f> Debt!BF$44</f>
        <v>6.384652806445956e-10</v>
      </c>
      <c r="BG65" s="308">
        <f> Debt!BG$44</f>
        <v>6.384652806445956e-10</v>
      </c>
      <c r="BH65" s="308">
        <f> Debt!BH$44</f>
        <v>6.384652806445956e-10</v>
      </c>
      <c r="BI65" s="308">
        <f> Debt!BI$44</f>
        <v>6.384652806445956e-10</v>
      </c>
      <c r="BJ65" s="308">
        <f> Debt!BJ$44</f>
        <v>6.384652806445956e-10</v>
      </c>
      <c r="BK65" s="308">
        <f> Debt!BK$44</f>
        <v>6.384652806445956e-10</v>
      </c>
      <c r="BL65" s="308">
        <f> Debt!BL$44</f>
        <v>6.384652806445956e-10</v>
      </c>
      <c r="BM65" s="308">
        <f> Debt!BM$44</f>
        <v>6.384652806445956e-10</v>
      </c>
      <c r="BN65" s="308">
        <f> Debt!BN$44</f>
        <v>6.384652806445956e-10</v>
      </c>
      <c r="BO65" s="308">
        <f> Debt!BO$44</f>
        <v>6.384652806445956e-10</v>
      </c>
      <c r="BP65" s="308">
        <f> Debt!BP$44</f>
        <v>6.384652806445956e-10</v>
      </c>
      <c r="BQ65" s="308">
        <f> Debt!BQ$44</f>
        <v>6.384652806445956e-10</v>
      </c>
      <c r="BR65" s="308">
        <f> Debt!BR$44</f>
        <v>6.384652806445956e-10</v>
      </c>
      <c r="BS65" s="308">
        <f> Debt!BS$44</f>
        <v>6.384652806445956e-10</v>
      </c>
      <c r="BT65" s="308">
        <f> Debt!BT$44</f>
        <v>6.384652806445956e-10</v>
      </c>
      <c r="BU65" s="308">
        <f> Debt!BU$44</f>
        <v>6.384652806445956e-10</v>
      </c>
      <c r="BV65" s="308">
        <f> Debt!BV$44</f>
        <v>6.384652806445956e-10</v>
      </c>
      <c r="BW65" s="308">
        <f> Debt!BW$44</f>
        <v>6.384652806445956e-10</v>
      </c>
      <c r="BX65" s="308">
        <f> Debt!BX$44</f>
        <v>6.384652806445956e-10</v>
      </c>
      <c r="BY65" s="308">
        <f> Debt!BY$44</f>
        <v>6.384652806445956e-10</v>
      </c>
      <c r="BZ65" s="308">
        <f> Debt!BZ$44</f>
        <v>6.384652806445956e-10</v>
      </c>
      <c r="CA65" s="308">
        <f> Debt!CA$44</f>
        <v>6.384652806445956e-10</v>
      </c>
      <c r="CB65" s="308">
        <f> Debt!CB$44</f>
        <v>6.384652806445956e-10</v>
      </c>
      <c r="CC65" s="308">
        <f> Debt!CC$44</f>
        <v>6.384652806445956e-10</v>
      </c>
      <c r="CD65" s="308">
        <f> Debt!CD$44</f>
        <v>6.384652806445956e-10</v>
      </c>
      <c r="CE65" s="308">
        <f> Debt!CE$44</f>
        <v>6.384652806445956e-10</v>
      </c>
      <c r="CF65" s="308">
        <f> Debt!CF$44</f>
        <v>6.384652806445956e-10</v>
      </c>
      <c r="CG65" s="308">
        <f> Debt!CG$44</f>
        <v>6.384652806445956e-10</v>
      </c>
      <c r="CH65" s="308">
        <f> Debt!CH$44</f>
        <v>6.384652806445956e-10</v>
      </c>
      <c r="CI65" s="308">
        <f> Debt!CI$44</f>
        <v>6.384652806445956e-10</v>
      </c>
      <c r="CJ65" s="308">
        <f> Debt!CJ$44</f>
        <v>6.384652806445956e-10</v>
      </c>
      <c r="CK65" s="308">
        <f> Debt!CK$44</f>
        <v>6.384652806445956e-10</v>
      </c>
      <c r="CL65" s="308">
        <f> Debt!CL$44</f>
        <v>6.384652806445956e-10</v>
      </c>
      <c r="CM65" s="308">
        <f> Debt!CM$44</f>
        <v>6.384652806445956e-10</v>
      </c>
      <c r="CN65" s="308">
        <f> Debt!CN$44</f>
        <v>6.384652806445956e-10</v>
      </c>
      <c r="CO65" s="308">
        <f> Debt!CO$44</f>
        <v>6.384652806445956e-10</v>
      </c>
    </row>
    <row r="66">
      <c r="E66" s="308" t="str">
        <f> Tax!E$49</f>
        <v>Deferred tax balance</v>
      </c>
      <c r="F66" s="308" t="str">
        <f> Tax!F$49</f>
        <v>BS</v>
      </c>
      <c r="G66" s="308" t="str">
        <f> Tax!G$49</f>
        <v>$ 000s</v>
      </c>
      <c r="H66" s="308">
        <f> Tax!H$49</f>
        <v>0.0</v>
      </c>
      <c r="I66" s="308">
        <f> Tax!I$49</f>
        <v>0.0</v>
      </c>
      <c r="J66" s="308">
        <f> Tax!J$49</f>
        <v>0.0</v>
      </c>
      <c r="K66" s="308">
        <f> Tax!K$49</f>
        <v>0.0</v>
      </c>
      <c r="L66" s="308">
        <f> Tax!L$49</f>
        <v>999.9999999999999</v>
      </c>
      <c r="M66" s="308">
        <f> Tax!M$49</f>
        <v>1924.9999999999998</v>
      </c>
      <c r="N66" s="308">
        <f> Tax!N$49</f>
        <v>2778.7499999999995</v>
      </c>
      <c r="O66" s="308">
        <f> Tax!O$49</f>
        <v>3564.812499999999</v>
      </c>
      <c r="P66" s="308">
        <f> Tax!P$49</f>
        <v>4286.571875</v>
      </c>
      <c r="Q66" s="308">
        <f> Tax!Q$49</f>
        <v>4947.24328125</v>
      </c>
      <c r="R66" s="308">
        <f> Tax!R$49</f>
        <v>5549.8811171874995</v>
      </c>
      <c r="S66" s="308">
        <f> Tax!S$49</f>
        <v>6097.387061328125</v>
      </c>
      <c r="T66" s="308">
        <f> Tax!T$49</f>
        <v>6592.517708261719</v>
      </c>
      <c r="U66" s="308">
        <f> Tax!U$49</f>
        <v>7036.391822848633</v>
      </c>
      <c r="V66" s="308">
        <f> Tax!V$49</f>
        <v>7431.572231706201</v>
      </c>
      <c r="W66" s="308">
        <f> Tax!W$49</f>
        <v>7780.493620120891</v>
      </c>
      <c r="X66" s="308">
        <f> Tax!X$49</f>
        <v>8085.468939114846</v>
      </c>
      <c r="Y66" s="308">
        <f> Tax!Y$49</f>
        <v>8347.945492159104</v>
      </c>
      <c r="Z66" s="308">
        <f> Tax!Z$49</f>
        <v>8570.048217551148</v>
      </c>
      <c r="AA66" s="308">
        <f> Tax!AA$49</f>
        <v>8753.79580667359</v>
      </c>
      <c r="AB66" s="308">
        <f> Tax!AB$49</f>
        <v>8901.106016339909</v>
      </c>
      <c r="AC66" s="308">
        <f> Tax!AC$49</f>
        <v>9012.675715522913</v>
      </c>
      <c r="AD66" s="308">
        <f> Tax!AD$49</f>
        <v>9090.291929746769</v>
      </c>
      <c r="AE66" s="308">
        <f> Tax!AE$49</f>
        <v>9135.65233325943</v>
      </c>
      <c r="AF66" s="308">
        <f> Tax!AF$49</f>
        <v>9150.369716596459</v>
      </c>
      <c r="AG66" s="308">
        <f> Tax!AG$49</f>
        <v>9135.226230766635</v>
      </c>
      <c r="AH66" s="308">
        <f> Tax!AH$49</f>
        <v>9091.714919228301</v>
      </c>
      <c r="AI66" s="308">
        <f> Tax!AI$49</f>
        <v>9021.254173266887</v>
      </c>
      <c r="AJ66" s="308">
        <f> Tax!AJ$49</f>
        <v>8925.191464603542</v>
      </c>
      <c r="AK66" s="308">
        <f> Tax!AK$49</f>
        <v>8804.431891373364</v>
      </c>
      <c r="AL66" s="308">
        <f> Tax!AL$49</f>
        <v>8660.210296804695</v>
      </c>
      <c r="AM66" s="308">
        <f> Tax!AM$49</f>
        <v>8493.69978196446</v>
      </c>
      <c r="AN66" s="308">
        <f> Tax!AN$49</f>
        <v>8336.014792866237</v>
      </c>
      <c r="AO66" s="308">
        <f> Tax!AO$49</f>
        <v>8157.464053222926</v>
      </c>
      <c r="AP66" s="308">
        <f> Tax!AP$49</f>
        <v>7959.090850561779</v>
      </c>
      <c r="AQ66" s="308">
        <f> Tax!AQ$49</f>
        <v>7741.8863080336905</v>
      </c>
      <c r="AR66" s="308">
        <f> Tax!AR$49</f>
        <v>7521.791992632005</v>
      </c>
      <c r="AS66" s="308">
        <f> Tax!AS$49</f>
        <v>7283.952393000405</v>
      </c>
      <c r="AT66" s="308">
        <f> Tax!AT$49</f>
        <v>7029.254773350384</v>
      </c>
      <c r="AU66" s="308">
        <f> Tax!AU$49</f>
        <v>6758.542034682865</v>
      </c>
      <c r="AV66" s="308">
        <f> Tax!AV$49</f>
        <v>6495.114932948722</v>
      </c>
      <c r="AW66" s="308">
        <f> Tax!AW$49</f>
        <v>6217.234186301286</v>
      </c>
      <c r="AX66" s="308">
        <f> Tax!AX$49</f>
        <v>5925.622476986222</v>
      </c>
      <c r="AY66" s="308">
        <f> Tax!AY$49</f>
        <v>5620.96635313691</v>
      </c>
      <c r="AZ66" s="308">
        <f> Tax!AZ$49</f>
        <v>5318.918035480065</v>
      </c>
      <c r="BA66" s="308">
        <f> Tax!BA$49</f>
        <v>5005.097133706062</v>
      </c>
      <c r="BB66" s="308">
        <f> Tax!BB$49</f>
        <v>4680.092277020758</v>
      </c>
      <c r="BC66" s="308">
        <f> Tax!BC$49</f>
        <v>4344.462663169719</v>
      </c>
      <c r="BD66" s="308">
        <f> Tax!BD$49</f>
        <v>4006.2395300112335</v>
      </c>
      <c r="BE66" s="308">
        <f> Tax!BE$49</f>
        <v>3658.4275535106717</v>
      </c>
      <c r="BF66" s="308">
        <f> Tax!BF$49</f>
        <v>3301.506175835138</v>
      </c>
      <c r="BG66" s="308">
        <f> Tax!BG$49</f>
        <v>2935.93086704338</v>
      </c>
      <c r="BH66" s="308">
        <f> Tax!BH$49</f>
        <v>2577.1343236912107</v>
      </c>
      <c r="BI66" s="308">
        <f> Tax!BI$49</f>
        <v>2210.527607506651</v>
      </c>
      <c r="BJ66" s="308">
        <f> Tax!BJ$49</f>
        <v>1836.501227131319</v>
      </c>
      <c r="BK66" s="308">
        <f> Tax!BK$49</f>
        <v>1455.4261657747534</v>
      </c>
      <c r="BL66" s="308">
        <f> Tax!BL$49</f>
        <v>1082.6548574860158</v>
      </c>
      <c r="BM66" s="308">
        <f> Tax!BM$49</f>
        <v>703.5221146117156</v>
      </c>
      <c r="BN66" s="308">
        <f> Tax!BN$49</f>
        <v>318.3460088811303</v>
      </c>
      <c r="BO66" s="308">
        <f> Tax!BO$49</f>
        <v>-72.57129156292604</v>
      </c>
      <c r="BP66" s="308">
        <f> Tax!BP$49</f>
        <v>-468.94272698477926</v>
      </c>
      <c r="BQ66" s="308">
        <f> Tax!BQ$49</f>
        <v>-870.4955906355403</v>
      </c>
      <c r="BR66" s="308">
        <f> Tax!BR$49</f>
        <v>-1276.970811103763</v>
      </c>
      <c r="BS66" s="308">
        <f> Tax!BS$49</f>
        <v>-1688.1222705485748</v>
      </c>
      <c r="BT66" s="308">
        <f> Tax!BT$49</f>
        <v>-1603.716157021146</v>
      </c>
      <c r="BU66" s="308">
        <f> Tax!BU$49</f>
        <v>-1523.5303491700884</v>
      </c>
      <c r="BV66" s="308">
        <f> Tax!BV$49</f>
        <v>-1447.353831711584</v>
      </c>
      <c r="BW66" s="308">
        <f> Tax!BW$49</f>
        <v>-1374.9861401260046</v>
      </c>
      <c r="BX66" s="308">
        <f> Tax!BX$49</f>
        <v>-1306.236833119704</v>
      </c>
      <c r="BY66" s="308">
        <f> Tax!BY$49</f>
        <v>-1240.9249914637185</v>
      </c>
      <c r="BZ66" s="308">
        <f> Tax!BZ$49</f>
        <v>-1178.8787418905326</v>
      </c>
      <c r="CA66" s="308">
        <f> Tax!CA$49</f>
        <v>-1119.9348047960061</v>
      </c>
      <c r="CB66" s="308">
        <f> Tax!CB$49</f>
        <v>-1063.9380645562055</v>
      </c>
      <c r="CC66" s="308">
        <f> Tax!CC$49</f>
        <v>-1010.7411613283948</v>
      </c>
      <c r="CD66" s="308">
        <f> Tax!CD$49</f>
        <v>-960.2041032619754</v>
      </c>
      <c r="CE66" s="308">
        <f> Tax!CE$49</f>
        <v>-912.1938980988766</v>
      </c>
      <c r="CF66" s="308">
        <f> Tax!CF$49</f>
        <v>-866.5842031939333</v>
      </c>
      <c r="CG66" s="308">
        <f> Tax!CG$49</f>
        <v>-823.254993034237</v>
      </c>
      <c r="CH66" s="308">
        <f> Tax!CH$49</f>
        <v>-782.0922433825249</v>
      </c>
      <c r="CI66" s="308">
        <f> Tax!CI$49</f>
        <v>-742.9876312133988</v>
      </c>
      <c r="CJ66" s="308">
        <f> Tax!CJ$49</f>
        <v>-705.8382496527288</v>
      </c>
      <c r="CK66" s="308">
        <f> Tax!CK$49</f>
        <v>-670.5463371700921</v>
      </c>
      <c r="CL66" s="308">
        <f> Tax!CL$49</f>
        <v>-637.0190203115876</v>
      </c>
      <c r="CM66" s="308">
        <f> Tax!CM$49</f>
        <v>9.094947017729282e-13</v>
      </c>
      <c r="CN66" s="308">
        <f> Tax!CN$49</f>
        <v>9.094947017729282e-13</v>
      </c>
      <c r="CO66" s="308">
        <f> Tax!CO$49</f>
        <v>9.094947017729282e-13</v>
      </c>
    </row>
    <row r="67">
      <c r="E67" s="308" t="str">
        <f> Equity!E$24</f>
        <v>Share capital balance</v>
      </c>
      <c r="F67" s="308" t="str">
        <f> Equity!F$24</f>
        <v>BS</v>
      </c>
      <c r="G67" s="308" t="str">
        <f> Equity!G$24</f>
        <v>$ 000s</v>
      </c>
      <c r="H67" s="308">
        <f> Equity!H$24</f>
        <v>0.0</v>
      </c>
      <c r="I67" s="308">
        <f> Equity!I$24</f>
        <v>0.0</v>
      </c>
      <c r="J67" s="308">
        <f> Equity!J$24</f>
        <v>0.0</v>
      </c>
      <c r="K67" s="308">
        <f> Equity!K$24</f>
        <v>40000.0</v>
      </c>
      <c r="L67" s="308">
        <f> Equity!L$24</f>
        <v>40000.0</v>
      </c>
      <c r="M67" s="308">
        <f> Equity!M$24</f>
        <v>40000.0</v>
      </c>
      <c r="N67" s="308">
        <f> Equity!N$24</f>
        <v>40000.0</v>
      </c>
      <c r="O67" s="308">
        <f> Equity!O$24</f>
        <v>40000.0</v>
      </c>
      <c r="P67" s="308">
        <f> Equity!P$24</f>
        <v>40000.0</v>
      </c>
      <c r="Q67" s="308">
        <f> Equity!Q$24</f>
        <v>40000.0</v>
      </c>
      <c r="R67" s="308">
        <f> Equity!R$24</f>
        <v>40000.0</v>
      </c>
      <c r="S67" s="308">
        <f> Equity!S$24</f>
        <v>40000.0</v>
      </c>
      <c r="T67" s="308">
        <f> Equity!T$24</f>
        <v>40000.0</v>
      </c>
      <c r="U67" s="308">
        <f> Equity!U$24</f>
        <v>40000.0</v>
      </c>
      <c r="V67" s="308">
        <f> Equity!V$24</f>
        <v>40000.0</v>
      </c>
      <c r="W67" s="308">
        <f> Equity!W$24</f>
        <v>40000.0</v>
      </c>
      <c r="X67" s="308">
        <f> Equity!X$24</f>
        <v>40000.0</v>
      </c>
      <c r="Y67" s="308">
        <f> Equity!Y$24</f>
        <v>40000.0</v>
      </c>
      <c r="Z67" s="308">
        <f> Equity!Z$24</f>
        <v>40000.0</v>
      </c>
      <c r="AA67" s="308">
        <f> Equity!AA$24</f>
        <v>40000.0</v>
      </c>
      <c r="AB67" s="308">
        <f> Equity!AB$24</f>
        <v>40000.0</v>
      </c>
      <c r="AC67" s="308">
        <f> Equity!AC$24</f>
        <v>40000.0</v>
      </c>
      <c r="AD67" s="308">
        <f> Equity!AD$24</f>
        <v>40000.0</v>
      </c>
      <c r="AE67" s="308">
        <f> Equity!AE$24</f>
        <v>40000.0</v>
      </c>
      <c r="AF67" s="308">
        <f> Equity!AF$24</f>
        <v>40000.0</v>
      </c>
      <c r="AG67" s="308">
        <f> Equity!AG$24</f>
        <v>40000.0</v>
      </c>
      <c r="AH67" s="308">
        <f> Equity!AH$24</f>
        <v>40000.0</v>
      </c>
      <c r="AI67" s="308">
        <f> Equity!AI$24</f>
        <v>40000.0</v>
      </c>
      <c r="AJ67" s="308">
        <f> Equity!AJ$24</f>
        <v>40000.0</v>
      </c>
      <c r="AK67" s="308">
        <f> Equity!AK$24</f>
        <v>40000.0</v>
      </c>
      <c r="AL67" s="308">
        <f> Equity!AL$24</f>
        <v>40000.0</v>
      </c>
      <c r="AM67" s="308">
        <f> Equity!AM$24</f>
        <v>40000.0</v>
      </c>
      <c r="AN67" s="308">
        <f> Equity!AN$24</f>
        <v>40000.0</v>
      </c>
      <c r="AO67" s="308">
        <f> Equity!AO$24</f>
        <v>40000.0</v>
      </c>
      <c r="AP67" s="308">
        <f> Equity!AP$24</f>
        <v>40000.0</v>
      </c>
      <c r="AQ67" s="308">
        <f> Equity!AQ$24</f>
        <v>40000.0</v>
      </c>
      <c r="AR67" s="308">
        <f> Equity!AR$24</f>
        <v>40000.0</v>
      </c>
      <c r="AS67" s="308">
        <f> Equity!AS$24</f>
        <v>40000.0</v>
      </c>
      <c r="AT67" s="308">
        <f> Equity!AT$24</f>
        <v>40000.0</v>
      </c>
      <c r="AU67" s="308">
        <f> Equity!AU$24</f>
        <v>40000.0</v>
      </c>
      <c r="AV67" s="308">
        <f> Equity!AV$24</f>
        <v>40000.0</v>
      </c>
      <c r="AW67" s="308">
        <f> Equity!AW$24</f>
        <v>40000.0</v>
      </c>
      <c r="AX67" s="308">
        <f> Equity!AX$24</f>
        <v>40000.0</v>
      </c>
      <c r="AY67" s="308">
        <f> Equity!AY$24</f>
        <v>40000.0</v>
      </c>
      <c r="AZ67" s="308">
        <f> Equity!AZ$24</f>
        <v>40000.0</v>
      </c>
      <c r="BA67" s="308">
        <f> Equity!BA$24</f>
        <v>40000.0</v>
      </c>
      <c r="BB67" s="308">
        <f> Equity!BB$24</f>
        <v>40000.0</v>
      </c>
      <c r="BC67" s="308">
        <f> Equity!BC$24</f>
        <v>40000.0</v>
      </c>
      <c r="BD67" s="308">
        <f> Equity!BD$24</f>
        <v>40000.0</v>
      </c>
      <c r="BE67" s="308">
        <f> Equity!BE$24</f>
        <v>40000.0</v>
      </c>
      <c r="BF67" s="308">
        <f> Equity!BF$24</f>
        <v>40000.0</v>
      </c>
      <c r="BG67" s="308">
        <f> Equity!BG$24</f>
        <v>40000.0</v>
      </c>
      <c r="BH67" s="308">
        <f> Equity!BH$24</f>
        <v>40000.0</v>
      </c>
      <c r="BI67" s="308">
        <f> Equity!BI$24</f>
        <v>40000.0</v>
      </c>
      <c r="BJ67" s="308">
        <f> Equity!BJ$24</f>
        <v>40000.0</v>
      </c>
      <c r="BK67" s="308">
        <f> Equity!BK$24</f>
        <v>40000.0</v>
      </c>
      <c r="BL67" s="308">
        <f> Equity!BL$24</f>
        <v>40000.0</v>
      </c>
      <c r="BM67" s="308">
        <f> Equity!BM$24</f>
        <v>40000.0</v>
      </c>
      <c r="BN67" s="308">
        <f> Equity!BN$24</f>
        <v>40000.0</v>
      </c>
      <c r="BO67" s="308">
        <f> Equity!BO$24</f>
        <v>40000.0</v>
      </c>
      <c r="BP67" s="308">
        <f> Equity!BP$24</f>
        <v>40000.0</v>
      </c>
      <c r="BQ67" s="308">
        <f> Equity!BQ$24</f>
        <v>40000.0</v>
      </c>
      <c r="BR67" s="308">
        <f> Equity!BR$24</f>
        <v>40000.0</v>
      </c>
      <c r="BS67" s="308">
        <f> Equity!BS$24</f>
        <v>40000.0</v>
      </c>
      <c r="BT67" s="308">
        <f> Equity!BT$24</f>
        <v>40000.0</v>
      </c>
      <c r="BU67" s="308">
        <f> Equity!BU$24</f>
        <v>40000.0</v>
      </c>
      <c r="BV67" s="308">
        <f> Equity!BV$24</f>
        <v>40000.0</v>
      </c>
      <c r="BW67" s="308">
        <f> Equity!BW$24</f>
        <v>40000.0</v>
      </c>
      <c r="BX67" s="308">
        <f> Equity!BX$24</f>
        <v>40000.0</v>
      </c>
      <c r="BY67" s="308">
        <f> Equity!BY$24</f>
        <v>40000.0</v>
      </c>
      <c r="BZ67" s="308">
        <f> Equity!BZ$24</f>
        <v>40000.0</v>
      </c>
      <c r="CA67" s="308">
        <f> Equity!CA$24</f>
        <v>40000.0</v>
      </c>
      <c r="CB67" s="308">
        <f> Equity!CB$24</f>
        <v>40000.0</v>
      </c>
      <c r="CC67" s="308">
        <f> Equity!CC$24</f>
        <v>40000.0</v>
      </c>
      <c r="CD67" s="308">
        <f> Equity!CD$24</f>
        <v>40000.0</v>
      </c>
      <c r="CE67" s="308">
        <f> Equity!CE$24</f>
        <v>40000.0</v>
      </c>
      <c r="CF67" s="308">
        <f> Equity!CF$24</f>
        <v>40000.0</v>
      </c>
      <c r="CG67" s="308">
        <f> Equity!CG$24</f>
        <v>40000.0</v>
      </c>
      <c r="CH67" s="308">
        <f> Equity!CH$24</f>
        <v>40000.0</v>
      </c>
      <c r="CI67" s="308">
        <f> Equity!CI$24</f>
        <v>40000.0</v>
      </c>
      <c r="CJ67" s="308">
        <f> Equity!CJ$24</f>
        <v>40000.0</v>
      </c>
      <c r="CK67" s="308">
        <f> Equity!CK$24</f>
        <v>40000.0</v>
      </c>
      <c r="CL67" s="308">
        <f> Equity!CL$24</f>
        <v>40000.0</v>
      </c>
      <c r="CM67" s="308">
        <f> Equity!CM$24</f>
        <v>0.0</v>
      </c>
      <c r="CN67" s="308">
        <f> Equity!CN$24</f>
        <v>0.0</v>
      </c>
      <c r="CO67" s="308">
        <f> Equity!CO$24</f>
        <v>0.0</v>
      </c>
    </row>
    <row r="68" customFormat="1" s="291">
      <c r="A68" s="288" t="n"/>
      <c r="B68" s="288" t="n"/>
      <c r="C68" s="289" t="n"/>
      <c r="D68" s="290" t="n"/>
      <c r="E68" s="308" t="str">
        <f> Equity!E$61</f>
        <v>Retained earnings balance</v>
      </c>
      <c r="F68" s="308" t="str">
        <f> Equity!F$61</f>
        <v>BS</v>
      </c>
      <c r="G68" s="308" t="str">
        <f> Equity!G$61</f>
        <v>$ 000s</v>
      </c>
      <c r="H68" s="308">
        <f> Equity!H$61</f>
        <v>0.0</v>
      </c>
      <c r="I68" s="308">
        <f> Equity!I$61</f>
        <v>0.0</v>
      </c>
      <c r="J68" s="308">
        <f> Equity!J$61</f>
        <v>0.0</v>
      </c>
      <c r="K68" s="308">
        <f> Equity!K$61</f>
        <v>0.0</v>
      </c>
      <c r="L68" s="308">
        <f> Equity!L$61</f>
        <v>0.0</v>
      </c>
      <c r="M68" s="308">
        <f> Equity!M$61</f>
        <v>0.0</v>
      </c>
      <c r="N68" s="308">
        <f> Equity!N$61</f>
        <v>0.0</v>
      </c>
      <c r="O68" s="308">
        <f> Equity!O$61</f>
        <v>0.0</v>
      </c>
      <c r="P68" s="308">
        <f> Equity!P$61</f>
        <v>0.0</v>
      </c>
      <c r="Q68" s="308">
        <f> Equity!Q$61</f>
        <v>0.0</v>
      </c>
      <c r="R68" s="308">
        <f> Equity!R$61</f>
        <v>0.0</v>
      </c>
      <c r="S68" s="308">
        <f> Equity!S$61</f>
        <v>0.0</v>
      </c>
      <c r="T68" s="308">
        <f> Equity!T$61</f>
        <v>0.0</v>
      </c>
      <c r="U68" s="308">
        <f> Equity!U$61</f>
        <v>0.0</v>
      </c>
      <c r="V68" s="308">
        <f> Equity!V$61</f>
        <v>0.0</v>
      </c>
      <c r="W68" s="308">
        <f> Equity!W$61</f>
        <v>0.0</v>
      </c>
      <c r="X68" s="308">
        <f> Equity!X$61</f>
        <v>0.0</v>
      </c>
      <c r="Y68" s="308">
        <f> Equity!Y$61</f>
        <v>0.0</v>
      </c>
      <c r="Z68" s="308">
        <f> Equity!Z$61</f>
        <v>0.0</v>
      </c>
      <c r="AA68" s="308">
        <f> Equity!AA$61</f>
        <v>0.0</v>
      </c>
      <c r="AB68" s="308">
        <f> Equity!AB$61</f>
        <v>0.0</v>
      </c>
      <c r="AC68" s="308">
        <f> Equity!AC$61</f>
        <v>0.0</v>
      </c>
      <c r="AD68" s="308">
        <f> Equity!AD$61</f>
        <v>0.0</v>
      </c>
      <c r="AE68" s="308">
        <f> Equity!AE$61</f>
        <v>0.0</v>
      </c>
      <c r="AF68" s="308">
        <f> Equity!AF$61</f>
        <v>0.0</v>
      </c>
      <c r="AG68" s="308">
        <f> Equity!AG$61</f>
        <v>0.0</v>
      </c>
      <c r="AH68" s="308">
        <f> Equity!AH$61</f>
        <v>0.0</v>
      </c>
      <c r="AI68" s="308">
        <f> Equity!AI$61</f>
        <v>0.0</v>
      </c>
      <c r="AJ68" s="308">
        <f> Equity!AJ$61</f>
        <v>0.0</v>
      </c>
      <c r="AK68" s="308">
        <f> Equity!AK$61</f>
        <v>0.0</v>
      </c>
      <c r="AL68" s="308">
        <f> Equity!AL$61</f>
        <v>0.0</v>
      </c>
      <c r="AM68" s="308">
        <f> Equity!AM$61</f>
        <v>0.0</v>
      </c>
      <c r="AN68" s="308">
        <f> Equity!AN$61</f>
        <v>0.0</v>
      </c>
      <c r="AO68" s="308">
        <f> Equity!AO$61</f>
        <v>0.0</v>
      </c>
      <c r="AP68" s="308">
        <f> Equity!AP$61</f>
        <v>0.0</v>
      </c>
      <c r="AQ68" s="308">
        <f> Equity!AQ$61</f>
        <v>639.7602486866372</v>
      </c>
      <c r="AR68" s="308">
        <f> Equity!AR$61</f>
        <v>1099.1265453277538</v>
      </c>
      <c r="AS68" s="308">
        <f> Equity!AS$61</f>
        <v>0.0</v>
      </c>
      <c r="AT68" s="308">
        <f> Equity!AT$61</f>
        <v>0.0</v>
      </c>
      <c r="AU68" s="308">
        <f> Equity!AU$61</f>
        <v>0.0</v>
      </c>
      <c r="AV68" s="308">
        <f> Equity!AV$61</f>
        <v>0.0</v>
      </c>
      <c r="AW68" s="308">
        <f> Equity!AW$61</f>
        <v>0.0</v>
      </c>
      <c r="AX68" s="308">
        <f> Equity!AX$61</f>
        <v>0.0</v>
      </c>
      <c r="AY68" s="308">
        <f> Equity!AY$61</f>
        <v>0.0</v>
      </c>
      <c r="AZ68" s="308">
        <f> Equity!AZ$61</f>
        <v>0.0</v>
      </c>
      <c r="BA68" s="308">
        <f> Equity!BA$61</f>
        <v>0.0</v>
      </c>
      <c r="BB68" s="308">
        <f> Equity!BB$61</f>
        <v>0.0</v>
      </c>
      <c r="BC68" s="308">
        <f> Equity!BC$61</f>
        <v>0.0</v>
      </c>
      <c r="BD68" s="308">
        <f> Equity!BD$61</f>
        <v>0.0</v>
      </c>
      <c r="BE68" s="308">
        <f> Equity!BE$61</f>
        <v>0.0</v>
      </c>
      <c r="BF68" s="308">
        <f> Equity!BF$61</f>
        <v>0.0</v>
      </c>
      <c r="BG68" s="308">
        <f> Equity!BG$61</f>
        <v>0.0</v>
      </c>
      <c r="BH68" s="308">
        <f> Equity!BH$61</f>
        <v>0.0</v>
      </c>
      <c r="BI68" s="308">
        <f> Equity!BI$61</f>
        <v>0.0</v>
      </c>
      <c r="BJ68" s="308">
        <f> Equity!BJ$61</f>
        <v>0.0</v>
      </c>
      <c r="BK68" s="308">
        <f> Equity!BK$61</f>
        <v>0.0</v>
      </c>
      <c r="BL68" s="308">
        <f> Equity!BL$61</f>
        <v>0.0</v>
      </c>
      <c r="BM68" s="308">
        <f> Equity!BM$61</f>
        <v>0.0</v>
      </c>
      <c r="BN68" s="308">
        <f> Equity!BN$61</f>
        <v>0.0</v>
      </c>
      <c r="BO68" s="308">
        <f> Equity!BO$61</f>
        <v>0.0</v>
      </c>
      <c r="BP68" s="308">
        <f> Equity!BP$61</f>
        <v>0.0</v>
      </c>
      <c r="BQ68" s="308">
        <f> Equity!BQ$61</f>
        <v>0.0</v>
      </c>
      <c r="BR68" s="308">
        <f> Equity!BR$61</f>
        <v>0.0</v>
      </c>
      <c r="BS68" s="308">
        <f> Equity!BS$61</f>
        <v>0.0</v>
      </c>
      <c r="BT68" s="308">
        <f> Equity!BT$61</f>
        <v>0.0</v>
      </c>
      <c r="BU68" s="308">
        <f> Equity!BU$61</f>
        <v>0.0</v>
      </c>
      <c r="BV68" s="308">
        <f> Equity!BV$61</f>
        <v>0.0</v>
      </c>
      <c r="BW68" s="308">
        <f> Equity!BW$61</f>
        <v>0.0</v>
      </c>
      <c r="BX68" s="308">
        <f> Equity!BX$61</f>
        <v>0.0</v>
      </c>
      <c r="BY68" s="308">
        <f> Equity!BY$61</f>
        <v>0.0</v>
      </c>
      <c r="BZ68" s="308">
        <f> Equity!BZ$61</f>
        <v>0.0</v>
      </c>
      <c r="CA68" s="308">
        <f> Equity!CA$61</f>
        <v>0.0</v>
      </c>
      <c r="CB68" s="308">
        <f> Equity!CB$61</f>
        <v>0.0</v>
      </c>
      <c r="CC68" s="308">
        <f> Equity!CC$61</f>
        <v>0.0</v>
      </c>
      <c r="CD68" s="308">
        <f> Equity!CD$61</f>
        <v>0.0</v>
      </c>
      <c r="CE68" s="308">
        <f> Equity!CE$61</f>
        <v>0.0</v>
      </c>
      <c r="CF68" s="308">
        <f> Equity!CF$61</f>
        <v>0.0</v>
      </c>
      <c r="CG68" s="308">
        <f> Equity!CG$61</f>
        <v>0.0</v>
      </c>
      <c r="CH68" s="308">
        <f> Equity!CH$61</f>
        <v>0.0</v>
      </c>
      <c r="CI68" s="308">
        <f> Equity!CI$61</f>
        <v>0.0</v>
      </c>
      <c r="CJ68" s="308">
        <f> Equity!CJ$61</f>
        <v>0.0</v>
      </c>
      <c r="CK68" s="308">
        <f> Equity!CK$61</f>
        <v>0.0</v>
      </c>
      <c r="CL68" s="308">
        <f> Equity!CL$61</f>
        <v>0.0</v>
      </c>
      <c r="CM68" s="308">
        <f> Equity!CM$61</f>
        <v>1810.7664905530692</v>
      </c>
      <c r="CN68" s="308">
        <f> Equity!CN$61</f>
        <v>0.0</v>
      </c>
      <c r="CO68" s="308">
        <f> Equity!CO$61</f>
        <v>-7.343237484747079e-12</v>
      </c>
    </row>
    <row r="69">
      <c r="E69" s="168" t="inlineStr">
        <is>
          <t>Total liabilities and shareholder funds</t>
        </is>
      </c>
      <c r="F69" s="168" t="n"/>
      <c r="G69" s="168" t="inlineStr">
        <is>
          <t>$ 000s</t>
        </is>
      </c>
      <c r="H69" s="168" t="n"/>
      <c r="I69" s="168" t="n"/>
      <c r="J69" s="168">
        <f> SUM(J64:J68)</f>
        <v>0.0</v>
      </c>
      <c r="K69" s="168">
        <f> SUM(K64:K68)</f>
        <v>100000.0</v>
      </c>
      <c r="L69" s="168">
        <f> SUM(L64:L68)</f>
        <v>104911.88053474942</v>
      </c>
      <c r="M69" s="168">
        <f> SUM(M64:M68)</f>
        <v>105747.50348083203</v>
      </c>
      <c r="N69" s="168">
        <f> SUM(N64:N68)</f>
        <v>106773.6605114653</v>
      </c>
      <c r="O69" s="168">
        <f> SUM(O64:O68)</f>
        <v>105481.12748188408</v>
      </c>
      <c r="P69" s="168">
        <f> SUM(P64:P68)</f>
        <v>104505.43689987235</v>
      </c>
      <c r="Q69" s="168">
        <f> SUM(Q64:Q68)</f>
        <v>103004.37117785309</v>
      </c>
      <c r="R69" s="168">
        <f> SUM(R64:R68)</f>
        <v>101778.95198439257</v>
      </c>
      <c r="S69" s="168">
        <f> SUM(S64:S68)</f>
        <v>100209.51779230649</v>
      </c>
      <c r="T69" s="168">
        <f> SUM(T64:T68)</f>
        <v>98963.17805004225</v>
      </c>
      <c r="U69" s="168">
        <f> SUM(U64:U68)</f>
        <v>97276.04194428318</v>
      </c>
      <c r="V69" s="168">
        <f> SUM(V64:V68)</f>
        <v>95840.34070055903</v>
      </c>
      <c r="W69" s="168">
        <f> SUM(W64:W68)</f>
        <v>94057.10958033848</v>
      </c>
      <c r="X69" s="168">
        <f> SUM(X64:X68)</f>
        <v>92670.37298319538</v>
      </c>
      <c r="Y69" s="168">
        <f> SUM(Y64:Y68)</f>
        <v>90735.93216404131</v>
      </c>
      <c r="Z69" s="168">
        <f> SUM(Z64:Z68)</f>
        <v>89122.06175904615</v>
      </c>
      <c r="AA69" s="168">
        <f> SUM(AA64:AA68)</f>
        <v>87158.71024569779</v>
      </c>
      <c r="AB69" s="168">
        <f> SUM(AB64:AB68)</f>
        <v>85623.55718174294</v>
      </c>
      <c r="AC69" s="168">
        <f> SUM(AC64:AC68)</f>
        <v>83532.30198756166</v>
      </c>
      <c r="AD69" s="168">
        <f> SUM(AD64:AD68)</f>
        <v>81778.8658774867</v>
      </c>
      <c r="AE69" s="168">
        <f> SUM(AE64:AE68)</f>
        <v>79672.71420545442</v>
      </c>
      <c r="AF69" s="168">
        <f> SUM(AF64:AF68)</f>
        <v>78014.49441696166</v>
      </c>
      <c r="AG69" s="168">
        <f> SUM(AG64:AG68)</f>
        <v>75790.44129096663</v>
      </c>
      <c r="AH69" s="168">
        <f> SUM(AH64:AH68)</f>
        <v>73920.9460854005</v>
      </c>
      <c r="AI69" s="168">
        <f> SUM(AI64:AI68)</f>
        <v>71694.42790162782</v>
      </c>
      <c r="AJ69" s="168">
        <f> SUM(AJ64:AJ68)</f>
        <v>69880.18442860202</v>
      </c>
      <c r="AK69" s="168">
        <f> SUM(AK64:AK68)</f>
        <v>67599.30340337942</v>
      </c>
      <c r="AL69" s="168">
        <f> SUM(AL64:AL68)</f>
        <v>65634.31839796214</v>
      </c>
      <c r="AM69" s="168">
        <f> SUM(AM64:AM68)</f>
        <v>63307.06872217628</v>
      </c>
      <c r="AN69" s="168">
        <f> SUM(AN64:AN68)</f>
        <v>61496.364687483816</v>
      </c>
      <c r="AO69" s="168">
        <f> SUM(AO64:AO68)</f>
        <v>59096.18171058923</v>
      </c>
      <c r="AP69" s="168">
        <f> SUM(AP64:AP68)</f>
        <v>57082.42219475399</v>
      </c>
      <c r="AQ69" s="168">
        <f> SUM(AQ64:AQ68)</f>
        <v>55339.416565138556</v>
      </c>
      <c r="AR69" s="168">
        <f> SUM(AR64:AR68)</f>
        <v>53936.078929415926</v>
      </c>
      <c r="AS69" s="168">
        <f> SUM(AS64:AS68)</f>
        <v>52370.831580087746</v>
      </c>
      <c r="AT69" s="168">
        <f> SUM(AT64:AT68)</f>
        <v>52306.28605786839</v>
      </c>
      <c r="AU69" s="168">
        <f> SUM(AU64:AU68)</f>
        <v>51865.045143353644</v>
      </c>
      <c r="AV69" s="168">
        <f> SUM(AV64:AV68)</f>
        <v>51969.73013614856</v>
      </c>
      <c r="AW69" s="168">
        <f> SUM(AW64:AW68)</f>
        <v>51456.71974900122</v>
      </c>
      <c r="AX69" s="168">
        <f> SUM(AX64:AX68)</f>
        <v>51360.964700039745</v>
      </c>
      <c r="AY69" s="168">
        <f> SUM(AY64:AY68)</f>
        <v>50880.66455506779</v>
      </c>
      <c r="AZ69" s="168">
        <f> SUM(AZ64:AZ68)</f>
        <v>50895.80626994845</v>
      </c>
      <c r="BA69" s="168">
        <f> SUM(BA64:BA68)</f>
        <v>50401.76726328698</v>
      </c>
      <c r="BB69" s="168">
        <f> SUM(BB64:BB68)</f>
        <v>50278.49476676587</v>
      </c>
      <c r="BC69" s="168">
        <f> SUM(BC64:BC68)</f>
        <v>49761.951811158506</v>
      </c>
      <c r="BD69" s="168">
        <f> SUM(BD64:BD68)</f>
        <v>49814.258799085896</v>
      </c>
      <c r="BE69" s="168">
        <f> SUM(BE64:BE68)</f>
        <v>49216.99778697899</v>
      </c>
      <c r="BF69" s="168">
        <f> SUM(BF64:BF68)</f>
        <v>49067.86074027258</v>
      </c>
      <c r="BG69" s="168">
        <f> SUM(BG64:BG68)</f>
        <v>48515.94468947181</v>
      </c>
      <c r="BH69" s="168">
        <f> SUM(BH64:BH68)</f>
        <v>48323.4555355051</v>
      </c>
      <c r="BI69" s="168">
        <f> SUM(BI64:BI68)</f>
        <v>48170.93159436775</v>
      </c>
      <c r="BJ69" s="168">
        <f> SUM(BJ64:BJ68)</f>
        <v>47541.60033465302</v>
      </c>
      <c r="BK69" s="168">
        <f> SUM(BK64:BK68)</f>
        <v>47438.82391681659</v>
      </c>
      <c r="BL69" s="168">
        <f> SUM(BL64:BL68)</f>
        <v>47001.365705654294</v>
      </c>
      <c r="BM69" s="168">
        <f> SUM(BM64:BM68)</f>
        <v>46842.73822107862</v>
      </c>
      <c r="BN69" s="168">
        <f> SUM(BN64:BN68)</f>
        <v>46194.59808962846</v>
      </c>
      <c r="BO69" s="168">
        <f> SUM(BO64:BO68)</f>
        <v>46090.328392010146</v>
      </c>
      <c r="BP69" s="168">
        <f> SUM(BP64:BP68)</f>
        <v>45560.337444720695</v>
      </c>
      <c r="BQ69" s="168">
        <f> SUM(BQ64:BQ68)</f>
        <v>45203.504184871534</v>
      </c>
      <c r="BR69" s="168">
        <f> SUM(BR64:BR68)</f>
        <v>45024.0805130302</v>
      </c>
      <c r="BS69" s="168">
        <f> SUM(BS64:BS68)</f>
        <v>44409.30949359211</v>
      </c>
      <c r="BT69" s="168">
        <f> SUM(BT64:BT68)</f>
        <v>44933.26069897205</v>
      </c>
      <c r="BU69" s="168">
        <f> SUM(BU64:BU68)</f>
        <v>44732.689419602175</v>
      </c>
      <c r="BV69" s="168">
        <f> SUM(BV64:BV68)</f>
        <v>45042.72903214638</v>
      </c>
      <c r="BW69" s="168">
        <f> SUM(BW64:BW68)</f>
        <v>45163.23413417663</v>
      </c>
      <c r="BX69" s="168">
        <f> SUM(BX64:BX68)</f>
        <v>45426.849328553275</v>
      </c>
      <c r="BY69" s="168">
        <f> SUM(BY64:BY68)</f>
        <v>45467.56220690748</v>
      </c>
      <c r="BZ69" s="168">
        <f> SUM(BZ64:BZ68)</f>
        <v>45505.90660788315</v>
      </c>
      <c r="CA69" s="168">
        <f> SUM(CA64:CA68)</f>
        <v>45614.43207773568</v>
      </c>
      <c r="CB69" s="168">
        <f> SUM(CB64:CB68)</f>
        <v>45871.14068196694</v>
      </c>
      <c r="CC69" s="168">
        <f> SUM(CC64:CC68)</f>
        <v>45899.00065299392</v>
      </c>
      <c r="CD69" s="168">
        <f> SUM(CD64:CD68)</f>
        <v>45925.1248070049</v>
      </c>
      <c r="CE69" s="168">
        <f> SUM(CE64:CE68)</f>
        <v>46024.20399090875</v>
      </c>
      <c r="CF69" s="168">
        <f> SUM(CF64:CF68)</f>
        <v>46198.05095947304</v>
      </c>
      <c r="CG69" s="168">
        <f> SUM(CG64:CG68)</f>
        <v>46293.77907571773</v>
      </c>
      <c r="CH69" s="168">
        <f> SUM(CH64:CH68)</f>
        <v>46309.796534192334</v>
      </c>
      <c r="CI69" s="168">
        <f> SUM(CI64:CI68)</f>
        <v>46401.502194464425</v>
      </c>
      <c r="CJ69" s="168">
        <f> SUM(CJ64:CJ68)</f>
        <v>46651.586792533635</v>
      </c>
      <c r="CK69" s="168">
        <f> SUM(CK64:CK68)</f>
        <v>46659.99875364441</v>
      </c>
      <c r="CL69" s="168">
        <f> SUM(CL64:CL68)</f>
        <v>46667.626420590495</v>
      </c>
      <c r="CM69" s="168">
        <f> SUM(CM64:CM68)</f>
        <v>9169.591011001212</v>
      </c>
      <c r="CN69" s="168">
        <f> SUM(CN64:CN68)</f>
        <v>6.393747753463686e-10</v>
      </c>
      <c r="CO69" s="168">
        <f> SUM(CO64:CO68)</f>
        <v>6.320315378616215e-10</v>
      </c>
    </row>
    <row r="70">
      <c r="E70" s="169" t="n"/>
      <c r="F70" s="169" t="n"/>
      <c r="G70" s="169" t="n"/>
      <c r="H70" s="169" t="n"/>
      <c r="I70" s="169" t="n"/>
      <c r="J70" s="169" t="n"/>
      <c r="K70" s="169" t="n"/>
      <c r="L70" s="169" t="n"/>
      <c r="M70" s="169" t="n"/>
      <c r="N70" s="169" t="n"/>
      <c r="O70" s="169" t="n"/>
      <c r="P70" s="169" t="n"/>
      <c r="Q70" s="169" t="n"/>
      <c r="R70" s="169" t="n"/>
      <c r="S70" s="169" t="n"/>
      <c r="T70" s="169" t="n"/>
      <c r="U70" s="169" t="n"/>
      <c r="V70" s="169" t="n"/>
      <c r="W70" s="169" t="n"/>
      <c r="X70" s="169" t="n"/>
      <c r="Y70" s="169" t="n"/>
      <c r="Z70" s="169" t="n"/>
      <c r="AA70" s="169" t="n"/>
      <c r="AB70" s="169" t="n"/>
      <c r="AC70" s="169" t="n"/>
      <c r="AD70" s="169" t="n"/>
      <c r="AE70" s="169" t="n"/>
      <c r="AF70" s="169" t="n"/>
      <c r="AG70" s="169" t="n"/>
      <c r="AH70" s="169" t="n"/>
      <c r="AI70" s="169" t="n"/>
      <c r="AJ70" s="169" t="n"/>
      <c r="AK70" s="169" t="n"/>
      <c r="AL70" s="169" t="n"/>
      <c r="AM70" s="169" t="n"/>
      <c r="AN70" s="169" t="n"/>
      <c r="AO70" s="169" t="n"/>
      <c r="AP70" s="169" t="n"/>
      <c r="AQ70" s="169" t="n"/>
      <c r="AR70" s="169" t="n"/>
      <c r="AS70" s="169" t="n"/>
      <c r="AT70" s="169" t="n"/>
      <c r="AU70" s="169" t="n"/>
      <c r="AV70" s="169" t="n"/>
      <c r="AW70" s="169" t="n"/>
      <c r="AX70" s="169" t="n"/>
      <c r="AY70" s="169" t="n"/>
      <c r="AZ70" s="169" t="n"/>
      <c r="BA70" s="169" t="n"/>
      <c r="BB70" s="169" t="n"/>
      <c r="BC70" s="169" t="n"/>
      <c r="BD70" s="169" t="n"/>
      <c r="BE70" s="169" t="n"/>
      <c r="BF70" s="169" t="n"/>
      <c r="BG70" s="169" t="n"/>
      <c r="BH70" s="169" t="n"/>
      <c r="BI70" s="169" t="n"/>
      <c r="BJ70" s="169" t="n"/>
      <c r="BK70" s="169" t="n"/>
      <c r="BL70" s="169" t="n"/>
      <c r="BM70" s="169" t="n"/>
      <c r="BN70" s="169" t="n"/>
      <c r="BO70" s="169" t="n"/>
      <c r="BP70" s="169" t="n"/>
      <c r="BQ70" s="169" t="n"/>
      <c r="BR70" s="169" t="n"/>
      <c r="BS70" s="169" t="n"/>
      <c r="BT70" s="169" t="n"/>
      <c r="BU70" s="169" t="n"/>
      <c r="BV70" s="169" t="n"/>
      <c r="BW70" s="169" t="n"/>
      <c r="BX70" s="169" t="n"/>
      <c r="BY70" s="169" t="n"/>
      <c r="BZ70" s="169" t="n"/>
      <c r="CA70" s="169" t="n"/>
      <c r="CB70" s="169" t="n"/>
      <c r="CC70" s="169" t="n"/>
      <c r="CD70" s="169" t="n"/>
      <c r="CE70" s="169" t="n"/>
      <c r="CF70" s="169" t="n"/>
      <c r="CG70" s="169" t="n"/>
      <c r="CH70" s="169" t="n"/>
      <c r="CI70" s="169" t="n"/>
      <c r="CJ70" s="169" t="n"/>
      <c r="CK70" s="169" t="n"/>
      <c r="CL70" s="169" t="n"/>
      <c r="CM70" s="169" t="n"/>
      <c r="CN70" s="169" t="n"/>
      <c r="CO70" s="169" t="n"/>
    </row>
    <row r="72" s="396">
      <c r="A72" s="163" t="inlineStr">
        <is>
          <t>FINANCIAL STATEMENT CHECKS</t>
        </is>
      </c>
      <c r="J72" s="169" t="n"/>
      <c r="K72" s="169" t="n"/>
      <c r="L72" s="169" t="n"/>
      <c r="M72" s="169" t="n"/>
      <c r="N72" s="169" t="n"/>
      <c r="O72" s="169" t="n"/>
      <c r="P72" s="169" t="n"/>
      <c r="Q72" s="169" t="n"/>
      <c r="R72" s="169" t="n"/>
      <c r="S72" s="169" t="n"/>
      <c r="T72" s="169" t="n"/>
      <c r="U72" s="169" t="n"/>
      <c r="V72" s="169" t="n"/>
      <c r="W72" s="169" t="n"/>
      <c r="X72" s="169" t="n"/>
      <c r="Y72" s="169" t="n"/>
      <c r="Z72" s="169" t="n"/>
      <c r="AA72" s="169" t="n"/>
      <c r="AB72" s="169" t="n"/>
      <c r="AC72" s="169" t="n"/>
      <c r="AD72" s="169" t="n"/>
      <c r="AE72" s="169" t="n"/>
      <c r="AF72" s="169" t="n"/>
      <c r="AG72" s="169" t="n"/>
      <c r="AH72" s="169" t="n"/>
      <c r="AI72" s="169" t="n"/>
      <c r="AJ72" s="169" t="n"/>
      <c r="AK72" s="169" t="n"/>
      <c r="AL72" s="169" t="n"/>
      <c r="AM72" s="169" t="n"/>
      <c r="AN72" s="169" t="n"/>
      <c r="AO72" s="169" t="n"/>
      <c r="AP72" s="169" t="n"/>
      <c r="AQ72" s="169" t="n"/>
      <c r="AR72" s="169" t="n"/>
      <c r="AS72" s="169" t="n"/>
      <c r="AT72" s="169" t="n"/>
      <c r="AU72" s="169" t="n"/>
      <c r="AV72" s="169" t="n"/>
      <c r="AW72" s="169" t="n"/>
      <c r="AX72" s="169" t="n"/>
      <c r="AY72" s="169" t="n"/>
      <c r="AZ72" s="169" t="n"/>
      <c r="BA72" s="169" t="n"/>
      <c r="BB72" s="169" t="n"/>
      <c r="BC72" s="169" t="n"/>
      <c r="BD72" s="169" t="n"/>
      <c r="BE72" s="169" t="n"/>
      <c r="BF72" s="169" t="n"/>
      <c r="BG72" s="169" t="n"/>
      <c r="BH72" s="169" t="n"/>
      <c r="BI72" s="169" t="n"/>
      <c r="BJ72" s="169" t="n"/>
      <c r="BK72" s="169" t="n"/>
      <c r="BL72" s="169" t="n"/>
      <c r="BM72" s="169" t="n"/>
      <c r="BN72" s="169" t="n"/>
      <c r="BO72" s="169" t="n"/>
      <c r="BP72" s="169" t="n"/>
      <c r="BQ72" s="169" t="n"/>
      <c r="BR72" s="169" t="n"/>
      <c r="BS72" s="169" t="n"/>
      <c r="BT72" s="169" t="n"/>
      <c r="BU72" s="169" t="n"/>
      <c r="BV72" s="169" t="n"/>
      <c r="BW72" s="169" t="n"/>
      <c r="BX72" s="169" t="n"/>
      <c r="BY72" s="169" t="n"/>
      <c r="BZ72" s="169" t="n"/>
      <c r="CA72" s="169" t="n"/>
      <c r="CB72" s="169" t="n"/>
      <c r="CC72" s="169" t="n"/>
      <c r="CD72" s="169" t="n"/>
      <c r="CE72" s="169" t="n"/>
      <c r="CF72" s="169" t="n"/>
      <c r="CG72" s="169" t="n"/>
      <c r="CH72" s="169" t="n"/>
      <c r="CI72" s="169" t="n"/>
      <c r="CJ72" s="169" t="n"/>
      <c r="CK72" s="169" t="n"/>
      <c r="CL72" s="169" t="n"/>
      <c r="CM72" s="169" t="n"/>
      <c r="CN72" s="169" t="n"/>
      <c r="CO72" s="169" t="n"/>
    </row>
    <row r="73">
      <c r="J73" s="169" t="n"/>
      <c r="K73" s="169" t="n"/>
      <c r="L73" s="169" t="n"/>
      <c r="M73" s="169" t="n"/>
      <c r="N73" s="169" t="n"/>
      <c r="O73" s="169" t="n"/>
      <c r="P73" s="169" t="n"/>
      <c r="Q73" s="169" t="n"/>
      <c r="R73" s="169" t="n"/>
      <c r="S73" s="169" t="n"/>
      <c r="T73" s="169" t="n"/>
      <c r="U73" s="169" t="n"/>
      <c r="V73" s="169" t="n"/>
      <c r="W73" s="169" t="n"/>
      <c r="X73" s="169" t="n"/>
      <c r="Y73" s="169" t="n"/>
      <c r="Z73" s="169" t="n"/>
      <c r="AA73" s="169" t="n"/>
      <c r="AB73" s="169" t="n"/>
      <c r="AC73" s="169" t="n"/>
      <c r="AD73" s="169" t="n"/>
      <c r="AE73" s="169" t="n"/>
      <c r="AF73" s="169" t="n"/>
      <c r="AG73" s="169" t="n"/>
      <c r="AH73" s="169" t="n"/>
      <c r="AI73" s="169" t="n"/>
      <c r="AJ73" s="169" t="n"/>
      <c r="AK73" s="169" t="n"/>
      <c r="AL73" s="169" t="n"/>
      <c r="AM73" s="169" t="n"/>
      <c r="AN73" s="169" t="n"/>
      <c r="AO73" s="169" t="n"/>
      <c r="AP73" s="169" t="n"/>
      <c r="AQ73" s="169" t="n"/>
      <c r="AR73" s="169" t="n"/>
      <c r="AS73" s="169" t="n"/>
      <c r="AT73" s="169" t="n"/>
      <c r="AU73" s="169" t="n"/>
      <c r="AV73" s="169" t="n"/>
      <c r="AW73" s="169" t="n"/>
      <c r="AX73" s="169" t="n"/>
      <c r="AY73" s="169" t="n"/>
      <c r="AZ73" s="169" t="n"/>
      <c r="BA73" s="169" t="n"/>
      <c r="BB73" s="169" t="n"/>
      <c r="BC73" s="169" t="n"/>
      <c r="BD73" s="169" t="n"/>
      <c r="BE73" s="169" t="n"/>
      <c r="BF73" s="169" t="n"/>
      <c r="BG73" s="169" t="n"/>
      <c r="BH73" s="169" t="n"/>
      <c r="BI73" s="169" t="n"/>
      <c r="BJ73" s="169" t="n"/>
      <c r="BK73" s="169" t="n"/>
      <c r="BL73" s="169" t="n"/>
      <c r="BM73" s="169" t="n"/>
      <c r="BN73" s="169" t="n"/>
      <c r="BO73" s="169" t="n"/>
      <c r="BP73" s="169" t="n"/>
      <c r="BQ73" s="169" t="n"/>
      <c r="BR73" s="169" t="n"/>
      <c r="BS73" s="169" t="n"/>
      <c r="BT73" s="169" t="n"/>
      <c r="BU73" s="169" t="n"/>
      <c r="BV73" s="169" t="n"/>
      <c r="BW73" s="169" t="n"/>
      <c r="BX73" s="169" t="n"/>
      <c r="BY73" s="169" t="n"/>
      <c r="BZ73" s="169" t="n"/>
      <c r="CA73" s="169" t="n"/>
      <c r="CB73" s="169" t="n"/>
      <c r="CC73" s="169" t="n"/>
      <c r="CD73" s="169" t="n"/>
      <c r="CE73" s="169" t="n"/>
      <c r="CF73" s="169" t="n"/>
      <c r="CG73" s="169" t="n"/>
      <c r="CH73" s="169" t="n"/>
      <c r="CI73" s="169" t="n"/>
      <c r="CJ73" s="169" t="n"/>
      <c r="CK73" s="169" t="n"/>
      <c r="CL73" s="169" t="n"/>
      <c r="CM73" s="169" t="n"/>
      <c r="CN73" s="169" t="n"/>
      <c r="CO73" s="169" t="n"/>
    </row>
    <row r="74">
      <c r="E74" s="169" t="inlineStr">
        <is>
          <t>FinStat - income statement check</t>
        </is>
      </c>
      <c r="F74" s="7">
        <f> IF(SUM(J74:CO74) &lt;&gt; 0, 1, 0)</f>
        <v>0.0</v>
      </c>
      <c r="G74" s="169" t="inlineStr">
        <is>
          <t>check</t>
        </is>
      </c>
      <c r="J74" s="7">
        <f> IF(ABS(J25 - J68) &gt; CHK_TOL, 1, 0)</f>
        <v>0.0</v>
      </c>
      <c r="K74" s="7">
        <f> IF(ABS(K25 - K68) &gt; CHK_TOL, 1, 0)</f>
        <v>0.0</v>
      </c>
      <c r="L74" s="7">
        <f> IF(ABS(L25 - L68) &gt; CHK_TOL, 1, 0)</f>
        <v>0.0</v>
      </c>
      <c r="M74" s="7">
        <f> IF(ABS(M25 - M68) &gt; CHK_TOL, 1, 0)</f>
        <v>0.0</v>
      </c>
      <c r="N74" s="7">
        <f> IF(ABS(N25 - N68) &gt; CHK_TOL, 1, 0)</f>
        <v>0.0</v>
      </c>
      <c r="O74" s="7">
        <f> IF(ABS(O25 - O68) &gt; CHK_TOL, 1, 0)</f>
        <v>0.0</v>
      </c>
      <c r="P74" s="7">
        <f> IF(ABS(P25 - P68) &gt; CHK_TOL, 1, 0)</f>
        <v>0.0</v>
      </c>
      <c r="Q74" s="7">
        <f> IF(ABS(Q25 - Q68) &gt; CHK_TOL, 1, 0)</f>
        <v>0.0</v>
      </c>
      <c r="R74" s="7">
        <f> IF(ABS(R25 - R68) &gt; CHK_TOL, 1, 0)</f>
        <v>0.0</v>
      </c>
      <c r="S74" s="7">
        <f> IF(ABS(S25 - S68) &gt; CHK_TOL, 1, 0)</f>
        <v>0.0</v>
      </c>
      <c r="T74" s="7">
        <f> IF(ABS(T25 - T68) &gt; CHK_TOL, 1, 0)</f>
        <v>0.0</v>
      </c>
      <c r="U74" s="7">
        <f> IF(ABS(U25 - U68) &gt; CHK_TOL, 1, 0)</f>
        <v>0.0</v>
      </c>
      <c r="V74" s="7">
        <f> IF(ABS(V25 - V68) &gt; CHK_TOL, 1, 0)</f>
        <v>0.0</v>
      </c>
      <c r="W74" s="7">
        <f> IF(ABS(W25 - W68) &gt; CHK_TOL, 1, 0)</f>
        <v>0.0</v>
      </c>
      <c r="X74" s="7">
        <f> IF(ABS(X25 - X68) &gt; CHK_TOL, 1, 0)</f>
        <v>0.0</v>
      </c>
      <c r="Y74" s="7">
        <f> IF(ABS(Y25 - Y68) &gt; CHK_TOL, 1, 0)</f>
        <v>0.0</v>
      </c>
      <c r="Z74" s="7">
        <f> IF(ABS(Z25 - Z68) &gt; CHK_TOL, 1, 0)</f>
        <v>0.0</v>
      </c>
      <c r="AA74" s="7">
        <f> IF(ABS(AA25 - AA68) &gt; CHK_TOL, 1, 0)</f>
        <v>0.0</v>
      </c>
      <c r="AB74" s="7">
        <f> IF(ABS(AB25 - AB68) &gt; CHK_TOL, 1, 0)</f>
        <v>0.0</v>
      </c>
      <c r="AC74" s="7">
        <f> IF(ABS(AC25 - AC68) &gt; CHK_TOL, 1, 0)</f>
        <v>0.0</v>
      </c>
      <c r="AD74" s="7">
        <f> IF(ABS(AD25 - AD68) &gt; CHK_TOL, 1, 0)</f>
        <v>0.0</v>
      </c>
      <c r="AE74" s="7">
        <f> IF(ABS(AE25 - AE68) &gt; CHK_TOL, 1, 0)</f>
        <v>0.0</v>
      </c>
      <c r="AF74" s="7">
        <f> IF(ABS(AF25 - AF68) &gt; CHK_TOL, 1, 0)</f>
        <v>0.0</v>
      </c>
      <c r="AG74" s="7">
        <f> IF(ABS(AG25 - AG68) &gt; CHK_TOL, 1, 0)</f>
        <v>0.0</v>
      </c>
      <c r="AH74" s="7">
        <f> IF(ABS(AH25 - AH68) &gt; CHK_TOL, 1, 0)</f>
        <v>0.0</v>
      </c>
      <c r="AI74" s="7">
        <f> IF(ABS(AI25 - AI68) &gt; CHK_TOL, 1, 0)</f>
        <v>0.0</v>
      </c>
      <c r="AJ74" s="7">
        <f> IF(ABS(AJ25 - AJ68) &gt; CHK_TOL, 1, 0)</f>
        <v>0.0</v>
      </c>
      <c r="AK74" s="7">
        <f> IF(ABS(AK25 - AK68) &gt; CHK_TOL, 1, 0)</f>
        <v>0.0</v>
      </c>
      <c r="AL74" s="7">
        <f> IF(ABS(AL25 - AL68) &gt; CHK_TOL, 1, 0)</f>
        <v>0.0</v>
      </c>
      <c r="AM74" s="7">
        <f> IF(ABS(AM25 - AM68) &gt; CHK_TOL, 1, 0)</f>
        <v>0.0</v>
      </c>
      <c r="AN74" s="7">
        <f> IF(ABS(AN25 - AN68) &gt; CHK_TOL, 1, 0)</f>
        <v>0.0</v>
      </c>
      <c r="AO74" s="7">
        <f> IF(ABS(AO25 - AO68) &gt; CHK_TOL, 1, 0)</f>
        <v>0.0</v>
      </c>
      <c r="AP74" s="7">
        <f> IF(ABS(AP25 - AP68) &gt; CHK_TOL, 1, 0)</f>
        <v>0.0</v>
      </c>
      <c r="AQ74" s="7">
        <f> IF(ABS(AQ25 - AQ68) &gt; CHK_TOL, 1, 0)</f>
        <v>0.0</v>
      </c>
      <c r="AR74" s="7">
        <f> IF(ABS(AR25 - AR68) &gt; CHK_TOL, 1, 0)</f>
        <v>0.0</v>
      </c>
      <c r="AS74" s="7">
        <f> IF(ABS(AS25 - AS68) &gt; CHK_TOL, 1, 0)</f>
        <v>0.0</v>
      </c>
      <c r="AT74" s="7">
        <f> IF(ABS(AT25 - AT68) &gt; CHK_TOL, 1, 0)</f>
        <v>0.0</v>
      </c>
      <c r="AU74" s="7">
        <f> IF(ABS(AU25 - AU68) &gt; CHK_TOL, 1, 0)</f>
        <v>0.0</v>
      </c>
      <c r="AV74" s="7">
        <f> IF(ABS(AV25 - AV68) &gt; CHK_TOL, 1, 0)</f>
        <v>0.0</v>
      </c>
      <c r="AW74" s="7">
        <f> IF(ABS(AW25 - AW68) &gt; CHK_TOL, 1, 0)</f>
        <v>0.0</v>
      </c>
      <c r="AX74" s="7">
        <f> IF(ABS(AX25 - AX68) &gt; CHK_TOL, 1, 0)</f>
        <v>0.0</v>
      </c>
      <c r="AY74" s="7">
        <f> IF(ABS(AY25 - AY68) &gt; CHK_TOL, 1, 0)</f>
        <v>0.0</v>
      </c>
      <c r="AZ74" s="7">
        <f> IF(ABS(AZ25 - AZ68) &gt; CHK_TOL, 1, 0)</f>
        <v>0.0</v>
      </c>
      <c r="BA74" s="7">
        <f> IF(ABS(BA25 - BA68) &gt; CHK_TOL, 1, 0)</f>
        <v>0.0</v>
      </c>
      <c r="BB74" s="7">
        <f> IF(ABS(BB25 - BB68) &gt; CHK_TOL, 1, 0)</f>
        <v>0.0</v>
      </c>
      <c r="BC74" s="7">
        <f> IF(ABS(BC25 - BC68) &gt; CHK_TOL, 1, 0)</f>
        <v>0.0</v>
      </c>
      <c r="BD74" s="7">
        <f> IF(ABS(BD25 - BD68) &gt; CHK_TOL, 1, 0)</f>
        <v>0.0</v>
      </c>
      <c r="BE74" s="7">
        <f> IF(ABS(BE25 - BE68) &gt; CHK_TOL, 1, 0)</f>
        <v>0.0</v>
      </c>
      <c r="BF74" s="7">
        <f> IF(ABS(BF25 - BF68) &gt; CHK_TOL, 1, 0)</f>
        <v>0.0</v>
      </c>
      <c r="BG74" s="7">
        <f> IF(ABS(BG25 - BG68) &gt; CHK_TOL, 1, 0)</f>
        <v>0.0</v>
      </c>
      <c r="BH74" s="7">
        <f> IF(ABS(BH25 - BH68) &gt; CHK_TOL, 1, 0)</f>
        <v>0.0</v>
      </c>
      <c r="BI74" s="7">
        <f> IF(ABS(BI25 - BI68) &gt; CHK_TOL, 1, 0)</f>
        <v>0.0</v>
      </c>
      <c r="BJ74" s="7">
        <f> IF(ABS(BJ25 - BJ68) &gt; CHK_TOL, 1, 0)</f>
        <v>0.0</v>
      </c>
      <c r="BK74" s="7">
        <f> IF(ABS(BK25 - BK68) &gt; CHK_TOL, 1, 0)</f>
        <v>0.0</v>
      </c>
      <c r="BL74" s="7">
        <f> IF(ABS(BL25 - BL68) &gt; CHK_TOL, 1, 0)</f>
        <v>0.0</v>
      </c>
      <c r="BM74" s="7">
        <f> IF(ABS(BM25 - BM68) &gt; CHK_TOL, 1, 0)</f>
        <v>0.0</v>
      </c>
      <c r="BN74" s="7">
        <f> IF(ABS(BN25 - BN68) &gt; CHK_TOL, 1, 0)</f>
        <v>0.0</v>
      </c>
      <c r="BO74" s="7">
        <f> IF(ABS(BO25 - BO68) &gt; CHK_TOL, 1, 0)</f>
        <v>0.0</v>
      </c>
      <c r="BP74" s="7">
        <f> IF(ABS(BP25 - BP68) &gt; CHK_TOL, 1, 0)</f>
        <v>0.0</v>
      </c>
      <c r="BQ74" s="7">
        <f> IF(ABS(BQ25 - BQ68) &gt; CHK_TOL, 1, 0)</f>
        <v>0.0</v>
      </c>
      <c r="BR74" s="7">
        <f> IF(ABS(BR25 - BR68) &gt; CHK_TOL, 1, 0)</f>
        <v>0.0</v>
      </c>
      <c r="BS74" s="7">
        <f> IF(ABS(BS25 - BS68) &gt; CHK_TOL, 1, 0)</f>
        <v>0.0</v>
      </c>
      <c r="BT74" s="7">
        <f> IF(ABS(BT25 - BT68) &gt; CHK_TOL, 1, 0)</f>
        <v>0.0</v>
      </c>
      <c r="BU74" s="7">
        <f> IF(ABS(BU25 - BU68) &gt; CHK_TOL, 1, 0)</f>
        <v>0.0</v>
      </c>
      <c r="BV74" s="7">
        <f> IF(ABS(BV25 - BV68) &gt; CHK_TOL, 1, 0)</f>
        <v>0.0</v>
      </c>
      <c r="BW74" s="7">
        <f> IF(ABS(BW25 - BW68) &gt; CHK_TOL, 1, 0)</f>
        <v>0.0</v>
      </c>
      <c r="BX74" s="7">
        <f> IF(ABS(BX25 - BX68) &gt; CHK_TOL, 1, 0)</f>
        <v>0.0</v>
      </c>
      <c r="BY74" s="7">
        <f> IF(ABS(BY25 - BY68) &gt; CHK_TOL, 1, 0)</f>
        <v>0.0</v>
      </c>
      <c r="BZ74" s="7">
        <f> IF(ABS(BZ25 - BZ68) &gt; CHK_TOL, 1, 0)</f>
        <v>0.0</v>
      </c>
      <c r="CA74" s="7">
        <f> IF(ABS(CA25 - CA68) &gt; CHK_TOL, 1, 0)</f>
        <v>0.0</v>
      </c>
      <c r="CB74" s="7">
        <f> IF(ABS(CB25 - CB68) &gt; CHK_TOL, 1, 0)</f>
        <v>0.0</v>
      </c>
      <c r="CC74" s="7">
        <f> IF(ABS(CC25 - CC68) &gt; CHK_TOL, 1, 0)</f>
        <v>0.0</v>
      </c>
      <c r="CD74" s="7">
        <f> IF(ABS(CD25 - CD68) &gt; CHK_TOL, 1, 0)</f>
        <v>0.0</v>
      </c>
      <c r="CE74" s="7">
        <f> IF(ABS(CE25 - CE68) &gt; CHK_TOL, 1, 0)</f>
        <v>0.0</v>
      </c>
      <c r="CF74" s="7">
        <f> IF(ABS(CF25 - CF68) &gt; CHK_TOL, 1, 0)</f>
        <v>0.0</v>
      </c>
      <c r="CG74" s="7">
        <f> IF(ABS(CG25 - CG68) &gt; CHK_TOL, 1, 0)</f>
        <v>0.0</v>
      </c>
      <c r="CH74" s="7">
        <f> IF(ABS(CH25 - CH68) &gt; CHK_TOL, 1, 0)</f>
        <v>0.0</v>
      </c>
      <c r="CI74" s="7">
        <f> IF(ABS(CI25 - CI68) &gt; CHK_TOL, 1, 0)</f>
        <v>0.0</v>
      </c>
      <c r="CJ74" s="7">
        <f> IF(ABS(CJ25 - CJ68) &gt; CHK_TOL, 1, 0)</f>
        <v>0.0</v>
      </c>
      <c r="CK74" s="7">
        <f> IF(ABS(CK25 - CK68) &gt; CHK_TOL, 1, 0)</f>
        <v>0.0</v>
      </c>
      <c r="CL74" s="7">
        <f> IF(ABS(CL25 - CL68) &gt; CHK_TOL, 1, 0)</f>
        <v>0.0</v>
      </c>
      <c r="CM74" s="7">
        <f> IF(ABS(CM25 - CM68) &gt; CHK_TOL, 1, 0)</f>
        <v>0.0</v>
      </c>
      <c r="CN74" s="7">
        <f> IF(ABS(CN25 - CN68) &gt; CHK_TOL, 1, 0)</f>
        <v>0.0</v>
      </c>
      <c r="CO74" s="7">
        <f> IF(ABS(CO25 - CO68) &gt; CHK_TOL, 1, 0)</f>
        <v>0.0</v>
      </c>
    </row>
    <row r="75">
      <c r="D75" s="169" t="n"/>
      <c r="E75" s="169" t="inlineStr">
        <is>
          <t>FinStat - income statement difference</t>
        </is>
      </c>
      <c r="G75" s="169" t="inlineStr">
        <is>
          <t>$ 000s</t>
        </is>
      </c>
      <c r="H75" s="169">
        <f> SUM(J75:CO75)</f>
        <v>0.0</v>
      </c>
      <c r="J75" s="169">
        <f> J25 - J68</f>
        <v>0.0</v>
      </c>
      <c r="K75" s="169">
        <f> K25 - K68</f>
        <v>0.0</v>
      </c>
      <c r="L75" s="169">
        <f> L25 - L68</f>
        <v>0.0</v>
      </c>
      <c r="M75" s="169">
        <f> M25 - M68</f>
        <v>0.0</v>
      </c>
      <c r="N75" s="169">
        <f> N25 - N68</f>
        <v>0.0</v>
      </c>
      <c r="O75" s="169">
        <f> O25 - O68</f>
        <v>0.0</v>
      </c>
      <c r="P75" s="169">
        <f> P25 - P68</f>
        <v>0.0</v>
      </c>
      <c r="Q75" s="169">
        <f> Q25 - Q68</f>
        <v>0.0</v>
      </c>
      <c r="R75" s="169">
        <f> R25 - R68</f>
        <v>0.0</v>
      </c>
      <c r="S75" s="169">
        <f> S25 - S68</f>
        <v>0.0</v>
      </c>
      <c r="T75" s="169">
        <f> T25 - T68</f>
        <v>0.0</v>
      </c>
      <c r="U75" s="169">
        <f> U25 - U68</f>
        <v>0.0</v>
      </c>
      <c r="V75" s="169">
        <f> V25 - V68</f>
        <v>0.0</v>
      </c>
      <c r="W75" s="169">
        <f> W25 - W68</f>
        <v>0.0</v>
      </c>
      <c r="X75" s="169">
        <f> X25 - X68</f>
        <v>0.0</v>
      </c>
      <c r="Y75" s="169">
        <f> Y25 - Y68</f>
        <v>0.0</v>
      </c>
      <c r="Z75" s="169">
        <f> Z25 - Z68</f>
        <v>0.0</v>
      </c>
      <c r="AA75" s="169">
        <f> AA25 - AA68</f>
        <v>0.0</v>
      </c>
      <c r="AB75" s="169">
        <f> AB25 - AB68</f>
        <v>0.0</v>
      </c>
      <c r="AC75" s="169">
        <f> AC25 - AC68</f>
        <v>0.0</v>
      </c>
      <c r="AD75" s="169">
        <f> AD25 - AD68</f>
        <v>0.0</v>
      </c>
      <c r="AE75" s="169">
        <f> AE25 - AE68</f>
        <v>0.0</v>
      </c>
      <c r="AF75" s="169">
        <f> AF25 - AF68</f>
        <v>0.0</v>
      </c>
      <c r="AG75" s="169">
        <f> AG25 - AG68</f>
        <v>0.0</v>
      </c>
      <c r="AH75" s="169">
        <f> AH25 - AH68</f>
        <v>0.0</v>
      </c>
      <c r="AI75" s="169">
        <f> AI25 - AI68</f>
        <v>0.0</v>
      </c>
      <c r="AJ75" s="169">
        <f> AJ25 - AJ68</f>
        <v>0.0</v>
      </c>
      <c r="AK75" s="169">
        <f> AK25 - AK68</f>
        <v>0.0</v>
      </c>
      <c r="AL75" s="169">
        <f> AL25 - AL68</f>
        <v>0.0</v>
      </c>
      <c r="AM75" s="169">
        <f> AM25 - AM68</f>
        <v>0.0</v>
      </c>
      <c r="AN75" s="169">
        <f> AN25 - AN68</f>
        <v>0.0</v>
      </c>
      <c r="AO75" s="169">
        <f> AO25 - AO68</f>
        <v>0.0</v>
      </c>
      <c r="AP75" s="169">
        <f> AP25 - AP68</f>
        <v>0.0</v>
      </c>
      <c r="AQ75" s="169">
        <f> AQ25 - AQ68</f>
        <v>0.0</v>
      </c>
      <c r="AR75" s="169">
        <f> AR25 - AR68</f>
        <v>0.0</v>
      </c>
      <c r="AS75" s="169">
        <f> AS25 - AS68</f>
        <v>0.0</v>
      </c>
      <c r="AT75" s="169">
        <f> AT25 - AT68</f>
        <v>0.0</v>
      </c>
      <c r="AU75" s="169">
        <f> AU25 - AU68</f>
        <v>0.0</v>
      </c>
      <c r="AV75" s="169">
        <f> AV25 - AV68</f>
        <v>0.0</v>
      </c>
      <c r="AW75" s="169">
        <f> AW25 - AW68</f>
        <v>0.0</v>
      </c>
      <c r="AX75" s="169">
        <f> AX25 - AX68</f>
        <v>0.0</v>
      </c>
      <c r="AY75" s="169">
        <f> AY25 - AY68</f>
        <v>0.0</v>
      </c>
      <c r="AZ75" s="169">
        <f> AZ25 - AZ68</f>
        <v>0.0</v>
      </c>
      <c r="BA75" s="169">
        <f> BA25 - BA68</f>
        <v>0.0</v>
      </c>
      <c r="BB75" s="169">
        <f> BB25 - BB68</f>
        <v>0.0</v>
      </c>
      <c r="BC75" s="169">
        <f> BC25 - BC68</f>
        <v>0.0</v>
      </c>
      <c r="BD75" s="169">
        <f> BD25 - BD68</f>
        <v>0.0</v>
      </c>
      <c r="BE75" s="169">
        <f> BE25 - BE68</f>
        <v>0.0</v>
      </c>
      <c r="BF75" s="169">
        <f> BF25 - BF68</f>
        <v>0.0</v>
      </c>
      <c r="BG75" s="169">
        <f> BG25 - BG68</f>
        <v>0.0</v>
      </c>
      <c r="BH75" s="169">
        <f> BH25 - BH68</f>
        <v>0.0</v>
      </c>
      <c r="BI75" s="169">
        <f> BI25 - BI68</f>
        <v>0.0</v>
      </c>
      <c r="BJ75" s="169">
        <f> BJ25 - BJ68</f>
        <v>0.0</v>
      </c>
      <c r="BK75" s="169">
        <f> BK25 - BK68</f>
        <v>0.0</v>
      </c>
      <c r="BL75" s="169">
        <f> BL25 - BL68</f>
        <v>0.0</v>
      </c>
      <c r="BM75" s="169">
        <f> BM25 - BM68</f>
        <v>0.0</v>
      </c>
      <c r="BN75" s="169">
        <f> BN25 - BN68</f>
        <v>0.0</v>
      </c>
      <c r="BO75" s="169">
        <f> BO25 - BO68</f>
        <v>0.0</v>
      </c>
      <c r="BP75" s="169">
        <f> BP25 - BP68</f>
        <v>0.0</v>
      </c>
      <c r="BQ75" s="169">
        <f> BQ25 - BQ68</f>
        <v>0.0</v>
      </c>
      <c r="BR75" s="169">
        <f> BR25 - BR68</f>
        <v>0.0</v>
      </c>
      <c r="BS75" s="169">
        <f> BS25 - BS68</f>
        <v>0.0</v>
      </c>
      <c r="BT75" s="169">
        <f> BT25 - BT68</f>
        <v>0.0</v>
      </c>
      <c r="BU75" s="169">
        <f> BU25 - BU68</f>
        <v>0.0</v>
      </c>
      <c r="BV75" s="169">
        <f> BV25 - BV68</f>
        <v>0.0</v>
      </c>
      <c r="BW75" s="169">
        <f> BW25 - BW68</f>
        <v>0.0</v>
      </c>
      <c r="BX75" s="169">
        <f> BX25 - BX68</f>
        <v>0.0</v>
      </c>
      <c r="BY75" s="169">
        <f> BY25 - BY68</f>
        <v>0.0</v>
      </c>
      <c r="BZ75" s="169">
        <f> BZ25 - BZ68</f>
        <v>0.0</v>
      </c>
      <c r="CA75" s="169">
        <f> CA25 - CA68</f>
        <v>0.0</v>
      </c>
      <c r="CB75" s="169">
        <f> CB25 - CB68</f>
        <v>0.0</v>
      </c>
      <c r="CC75" s="169">
        <f> CC25 - CC68</f>
        <v>0.0</v>
      </c>
      <c r="CD75" s="169">
        <f> CD25 - CD68</f>
        <v>0.0</v>
      </c>
      <c r="CE75" s="169">
        <f> CE25 - CE68</f>
        <v>0.0</v>
      </c>
      <c r="CF75" s="169">
        <f> CF25 - CF68</f>
        <v>0.0</v>
      </c>
      <c r="CG75" s="169">
        <f> CG25 - CG68</f>
        <v>0.0</v>
      </c>
      <c r="CH75" s="169">
        <f> CH25 - CH68</f>
        <v>0.0</v>
      </c>
      <c r="CI75" s="169">
        <f> CI25 - CI68</f>
        <v>0.0</v>
      </c>
      <c r="CJ75" s="169">
        <f> CJ25 - CJ68</f>
        <v>0.0</v>
      </c>
      <c r="CK75" s="169">
        <f> CK25 - CK68</f>
        <v>0.0</v>
      </c>
      <c r="CL75" s="169">
        <f> CL25 - CL68</f>
        <v>0.0</v>
      </c>
      <c r="CM75" s="169">
        <f> CM25 - CM68</f>
        <v>0.0</v>
      </c>
      <c r="CN75" s="169">
        <f> CN25 - CN68</f>
        <v>0.0</v>
      </c>
      <c r="CO75" s="169">
        <f> CO25 - CO68</f>
        <v>0.0</v>
      </c>
    </row>
    <row r="77">
      <c r="E77" s="169" t="inlineStr">
        <is>
          <t>FinStat - cash flow check</t>
        </is>
      </c>
      <c r="F77" s="7">
        <f> IF(SUM(J77:CO77) &lt;&gt; 0, 1, 0)</f>
        <v>0.0</v>
      </c>
      <c r="G77" s="169" t="inlineStr">
        <is>
          <t>check</t>
        </is>
      </c>
      <c r="J77" s="7">
        <f> IF(ABS(J60 - J52) &gt; CHK_TOL, 1, 0)</f>
        <v>0.0</v>
      </c>
      <c r="K77" s="7">
        <f> IF(ABS(K60 - K52) &gt; CHK_TOL, 1, 0)</f>
        <v>0.0</v>
      </c>
      <c r="L77" s="7">
        <f> IF(ABS(L60 - L52) &gt; CHK_TOL, 1, 0)</f>
        <v>0.0</v>
      </c>
      <c r="M77" s="7">
        <f> IF(ABS(M60 - M52) &gt; CHK_TOL, 1, 0)</f>
        <v>0.0</v>
      </c>
      <c r="N77" s="7">
        <f> IF(ABS(N60 - N52) &gt; CHK_TOL, 1, 0)</f>
        <v>0.0</v>
      </c>
      <c r="O77" s="7">
        <f> IF(ABS(O60 - O52) &gt; CHK_TOL, 1, 0)</f>
        <v>0.0</v>
      </c>
      <c r="P77" s="7">
        <f> IF(ABS(P60 - P52) &gt; CHK_TOL, 1, 0)</f>
        <v>0.0</v>
      </c>
      <c r="Q77" s="7">
        <f> IF(ABS(Q60 - Q52) &gt; CHK_TOL, 1, 0)</f>
        <v>0.0</v>
      </c>
      <c r="R77" s="7">
        <f> IF(ABS(R60 - R52) &gt; CHK_TOL, 1, 0)</f>
        <v>0.0</v>
      </c>
      <c r="S77" s="7">
        <f> IF(ABS(S60 - S52) &gt; CHK_TOL, 1, 0)</f>
        <v>0.0</v>
      </c>
      <c r="T77" s="7">
        <f> IF(ABS(T60 - T52) &gt; CHK_TOL, 1, 0)</f>
        <v>0.0</v>
      </c>
      <c r="U77" s="7">
        <f> IF(ABS(U60 - U52) &gt; CHK_TOL, 1, 0)</f>
        <v>0.0</v>
      </c>
      <c r="V77" s="7">
        <f> IF(ABS(V60 - V52) &gt; CHK_TOL, 1, 0)</f>
        <v>0.0</v>
      </c>
      <c r="W77" s="7">
        <f> IF(ABS(W60 - W52) &gt; CHK_TOL, 1, 0)</f>
        <v>0.0</v>
      </c>
      <c r="X77" s="7">
        <f> IF(ABS(X60 - X52) &gt; CHK_TOL, 1, 0)</f>
        <v>0.0</v>
      </c>
      <c r="Y77" s="7">
        <f> IF(ABS(Y60 - Y52) &gt; CHK_TOL, 1, 0)</f>
        <v>0.0</v>
      </c>
      <c r="Z77" s="7">
        <f> IF(ABS(Z60 - Z52) &gt; CHK_TOL, 1, 0)</f>
        <v>0.0</v>
      </c>
      <c r="AA77" s="7">
        <f> IF(ABS(AA60 - AA52) &gt; CHK_TOL, 1, 0)</f>
        <v>0.0</v>
      </c>
      <c r="AB77" s="7">
        <f> IF(ABS(AB60 - AB52) &gt; CHK_TOL, 1, 0)</f>
        <v>0.0</v>
      </c>
      <c r="AC77" s="7">
        <f> IF(ABS(AC60 - AC52) &gt; CHK_TOL, 1, 0)</f>
        <v>0.0</v>
      </c>
      <c r="AD77" s="7">
        <f> IF(ABS(AD60 - AD52) &gt; CHK_TOL, 1, 0)</f>
        <v>0.0</v>
      </c>
      <c r="AE77" s="7">
        <f> IF(ABS(AE60 - AE52) &gt; CHK_TOL, 1, 0)</f>
        <v>0.0</v>
      </c>
      <c r="AF77" s="7">
        <f> IF(ABS(AF60 - AF52) &gt; CHK_TOL, 1, 0)</f>
        <v>0.0</v>
      </c>
      <c r="AG77" s="7">
        <f> IF(ABS(AG60 - AG52) &gt; CHK_TOL, 1, 0)</f>
        <v>0.0</v>
      </c>
      <c r="AH77" s="7">
        <f> IF(ABS(AH60 - AH52) &gt; CHK_TOL, 1, 0)</f>
        <v>0.0</v>
      </c>
      <c r="AI77" s="7">
        <f> IF(ABS(AI60 - AI52) &gt; CHK_TOL, 1, 0)</f>
        <v>0.0</v>
      </c>
      <c r="AJ77" s="7">
        <f> IF(ABS(AJ60 - AJ52) &gt; CHK_TOL, 1, 0)</f>
        <v>0.0</v>
      </c>
      <c r="AK77" s="7">
        <f> IF(ABS(AK60 - AK52) &gt; CHK_TOL, 1, 0)</f>
        <v>0.0</v>
      </c>
      <c r="AL77" s="7">
        <f> IF(ABS(AL60 - AL52) &gt; CHK_TOL, 1, 0)</f>
        <v>0.0</v>
      </c>
      <c r="AM77" s="7">
        <f> IF(ABS(AM60 - AM52) &gt; CHK_TOL, 1, 0)</f>
        <v>0.0</v>
      </c>
      <c r="AN77" s="7">
        <f> IF(ABS(AN60 - AN52) &gt; CHK_TOL, 1, 0)</f>
        <v>0.0</v>
      </c>
      <c r="AO77" s="7">
        <f> IF(ABS(AO60 - AO52) &gt; CHK_TOL, 1, 0)</f>
        <v>0.0</v>
      </c>
      <c r="AP77" s="7">
        <f> IF(ABS(AP60 - AP52) &gt; CHK_TOL, 1, 0)</f>
        <v>0.0</v>
      </c>
      <c r="AQ77" s="7">
        <f> IF(ABS(AQ60 - AQ52) &gt; CHK_TOL, 1, 0)</f>
        <v>0.0</v>
      </c>
      <c r="AR77" s="7">
        <f> IF(ABS(AR60 - AR52) &gt; CHK_TOL, 1, 0)</f>
        <v>0.0</v>
      </c>
      <c r="AS77" s="7">
        <f> IF(ABS(AS60 - AS52) &gt; CHK_TOL, 1, 0)</f>
        <v>0.0</v>
      </c>
      <c r="AT77" s="7">
        <f> IF(ABS(AT60 - AT52) &gt; CHK_TOL, 1, 0)</f>
        <v>0.0</v>
      </c>
      <c r="AU77" s="7">
        <f> IF(ABS(AU60 - AU52) &gt; CHK_TOL, 1, 0)</f>
        <v>0.0</v>
      </c>
      <c r="AV77" s="7">
        <f> IF(ABS(AV60 - AV52) &gt; CHK_TOL, 1, 0)</f>
        <v>0.0</v>
      </c>
      <c r="AW77" s="7">
        <f> IF(ABS(AW60 - AW52) &gt; CHK_TOL, 1, 0)</f>
        <v>0.0</v>
      </c>
      <c r="AX77" s="7">
        <f> IF(ABS(AX60 - AX52) &gt; CHK_TOL, 1, 0)</f>
        <v>0.0</v>
      </c>
      <c r="AY77" s="7">
        <f> IF(ABS(AY60 - AY52) &gt; CHK_TOL, 1, 0)</f>
        <v>0.0</v>
      </c>
      <c r="AZ77" s="7">
        <f> IF(ABS(AZ60 - AZ52) &gt; CHK_TOL, 1, 0)</f>
        <v>0.0</v>
      </c>
      <c r="BA77" s="7">
        <f> IF(ABS(BA60 - BA52) &gt; CHK_TOL, 1, 0)</f>
        <v>0.0</v>
      </c>
      <c r="BB77" s="7">
        <f> IF(ABS(BB60 - BB52) &gt; CHK_TOL, 1, 0)</f>
        <v>0.0</v>
      </c>
      <c r="BC77" s="7">
        <f> IF(ABS(BC60 - BC52) &gt; CHK_TOL, 1, 0)</f>
        <v>0.0</v>
      </c>
      <c r="BD77" s="7">
        <f> IF(ABS(BD60 - BD52) &gt; CHK_TOL, 1, 0)</f>
        <v>0.0</v>
      </c>
      <c r="BE77" s="7">
        <f> IF(ABS(BE60 - BE52) &gt; CHK_TOL, 1, 0)</f>
        <v>0.0</v>
      </c>
      <c r="BF77" s="7">
        <f> IF(ABS(BF60 - BF52) &gt; CHK_TOL, 1, 0)</f>
        <v>0.0</v>
      </c>
      <c r="BG77" s="7">
        <f> IF(ABS(BG60 - BG52) &gt; CHK_TOL, 1, 0)</f>
        <v>0.0</v>
      </c>
      <c r="BH77" s="7">
        <f> IF(ABS(BH60 - BH52) &gt; CHK_TOL, 1, 0)</f>
        <v>0.0</v>
      </c>
      <c r="BI77" s="7">
        <f> IF(ABS(BI60 - BI52) &gt; CHK_TOL, 1, 0)</f>
        <v>0.0</v>
      </c>
      <c r="BJ77" s="7">
        <f> IF(ABS(BJ60 - BJ52) &gt; CHK_TOL, 1, 0)</f>
        <v>0.0</v>
      </c>
      <c r="BK77" s="7">
        <f> IF(ABS(BK60 - BK52) &gt; CHK_TOL, 1, 0)</f>
        <v>0.0</v>
      </c>
      <c r="BL77" s="7">
        <f> IF(ABS(BL60 - BL52) &gt; CHK_TOL, 1, 0)</f>
        <v>0.0</v>
      </c>
      <c r="BM77" s="7">
        <f> IF(ABS(BM60 - BM52) &gt; CHK_TOL, 1, 0)</f>
        <v>0.0</v>
      </c>
      <c r="BN77" s="7">
        <f> IF(ABS(BN60 - BN52) &gt; CHK_TOL, 1, 0)</f>
        <v>0.0</v>
      </c>
      <c r="BO77" s="7">
        <f> IF(ABS(BO60 - BO52) &gt; CHK_TOL, 1, 0)</f>
        <v>0.0</v>
      </c>
      <c r="BP77" s="7">
        <f> IF(ABS(BP60 - BP52) &gt; CHK_TOL, 1, 0)</f>
        <v>0.0</v>
      </c>
      <c r="BQ77" s="7">
        <f> IF(ABS(BQ60 - BQ52) &gt; CHK_TOL, 1, 0)</f>
        <v>0.0</v>
      </c>
      <c r="BR77" s="7">
        <f> IF(ABS(BR60 - BR52) &gt; CHK_TOL, 1, 0)</f>
        <v>0.0</v>
      </c>
      <c r="BS77" s="7">
        <f> IF(ABS(BS60 - BS52) &gt; CHK_TOL, 1, 0)</f>
        <v>0.0</v>
      </c>
      <c r="BT77" s="7">
        <f> IF(ABS(BT60 - BT52) &gt; CHK_TOL, 1, 0)</f>
        <v>0.0</v>
      </c>
      <c r="BU77" s="7">
        <f> IF(ABS(BU60 - BU52) &gt; CHK_TOL, 1, 0)</f>
        <v>0.0</v>
      </c>
      <c r="BV77" s="7">
        <f> IF(ABS(BV60 - BV52) &gt; CHK_TOL, 1, 0)</f>
        <v>0.0</v>
      </c>
      <c r="BW77" s="7">
        <f> IF(ABS(BW60 - BW52) &gt; CHK_TOL, 1, 0)</f>
        <v>0.0</v>
      </c>
      <c r="BX77" s="7">
        <f> IF(ABS(BX60 - BX52) &gt; CHK_TOL, 1, 0)</f>
        <v>0.0</v>
      </c>
      <c r="BY77" s="7">
        <f> IF(ABS(BY60 - BY52) &gt; CHK_TOL, 1, 0)</f>
        <v>0.0</v>
      </c>
      <c r="BZ77" s="7">
        <f> IF(ABS(BZ60 - BZ52) &gt; CHK_TOL, 1, 0)</f>
        <v>0.0</v>
      </c>
      <c r="CA77" s="7">
        <f> IF(ABS(CA60 - CA52) &gt; CHK_TOL, 1, 0)</f>
        <v>0.0</v>
      </c>
      <c r="CB77" s="7">
        <f> IF(ABS(CB60 - CB52) &gt; CHK_TOL, 1, 0)</f>
        <v>0.0</v>
      </c>
      <c r="CC77" s="7">
        <f> IF(ABS(CC60 - CC52) &gt; CHK_TOL, 1, 0)</f>
        <v>0.0</v>
      </c>
      <c r="CD77" s="7">
        <f> IF(ABS(CD60 - CD52) &gt; CHK_TOL, 1, 0)</f>
        <v>0.0</v>
      </c>
      <c r="CE77" s="7">
        <f> IF(ABS(CE60 - CE52) &gt; CHK_TOL, 1, 0)</f>
        <v>0.0</v>
      </c>
      <c r="CF77" s="7">
        <f> IF(ABS(CF60 - CF52) &gt; CHK_TOL, 1, 0)</f>
        <v>0.0</v>
      </c>
      <c r="CG77" s="7">
        <f> IF(ABS(CG60 - CG52) &gt; CHK_TOL, 1, 0)</f>
        <v>0.0</v>
      </c>
      <c r="CH77" s="7">
        <f> IF(ABS(CH60 - CH52) &gt; CHK_TOL, 1, 0)</f>
        <v>0.0</v>
      </c>
      <c r="CI77" s="7">
        <f> IF(ABS(CI60 - CI52) &gt; CHK_TOL, 1, 0)</f>
        <v>0.0</v>
      </c>
      <c r="CJ77" s="7">
        <f> IF(ABS(CJ60 - CJ52) &gt; CHK_TOL, 1, 0)</f>
        <v>0.0</v>
      </c>
      <c r="CK77" s="7">
        <f> IF(ABS(CK60 - CK52) &gt; CHK_TOL, 1, 0)</f>
        <v>0.0</v>
      </c>
      <c r="CL77" s="7">
        <f> IF(ABS(CL60 - CL52) &gt; CHK_TOL, 1, 0)</f>
        <v>0.0</v>
      </c>
      <c r="CM77" s="7">
        <f> IF(ABS(CM60 - CM52) &gt; CHK_TOL, 1, 0)</f>
        <v>0.0</v>
      </c>
      <c r="CN77" s="7">
        <f> IF(ABS(CN60 - CN52) &gt; CHK_TOL, 1, 0)</f>
        <v>0.0</v>
      </c>
      <c r="CO77" s="7">
        <f> IF(ABS(CO60 - CO52) &gt; CHK_TOL, 1, 0)</f>
        <v>0.0</v>
      </c>
    </row>
    <row r="78">
      <c r="D78" s="169" t="n"/>
      <c r="E78" s="169" t="inlineStr">
        <is>
          <t>FinStat - cash flow difference</t>
        </is>
      </c>
      <c r="G78" s="169" t="inlineStr">
        <is>
          <t>$ 000s</t>
        </is>
      </c>
      <c r="H78" s="169">
        <f> SUM(J78:CO78)</f>
        <v>-1.5415935195051134e-10</v>
      </c>
      <c r="J78" s="169">
        <f> J60 - J52</f>
        <v>0.0</v>
      </c>
      <c r="K78" s="169">
        <f> K60 - K52</f>
        <v>0.0</v>
      </c>
      <c r="L78" s="169">
        <f> L60 - L52</f>
        <v>0.0</v>
      </c>
      <c r="M78" s="169">
        <f> M60 - M52</f>
        <v>0.0</v>
      </c>
      <c r="N78" s="169">
        <f> N60 - N52</f>
        <v>0.0</v>
      </c>
      <c r="O78" s="169">
        <f> O60 - O52</f>
        <v>-9.094947017729282e-13</v>
      </c>
      <c r="P78" s="169">
        <f> P60 - P52</f>
        <v>0.0</v>
      </c>
      <c r="Q78" s="169">
        <f> Q60 - Q52</f>
        <v>0.0</v>
      </c>
      <c r="R78" s="169">
        <f> R60 - R52</f>
        <v>0.0</v>
      </c>
      <c r="S78" s="169">
        <f> S60 - S52</f>
        <v>9.094947017729282e-13</v>
      </c>
      <c r="T78" s="169">
        <f> T60 - T52</f>
        <v>0.0</v>
      </c>
      <c r="U78" s="169">
        <f> U60 - U52</f>
        <v>-9.094947017729282e-13</v>
      </c>
      <c r="V78" s="169">
        <f> V60 - V52</f>
        <v>-1.8189894035458565e-12</v>
      </c>
      <c r="W78" s="169">
        <f> W60 - W52</f>
        <v>-1.8189894035458565e-12</v>
      </c>
      <c r="X78" s="169">
        <f> X60 - X52</f>
        <v>-1.8189894035458565e-12</v>
      </c>
      <c r="Y78" s="169">
        <f> Y60 - Y52</f>
        <v>-2.7284841053187847e-12</v>
      </c>
      <c r="Z78" s="169">
        <f> Z60 - Z52</f>
        <v>-2.7284841053187847e-12</v>
      </c>
      <c r="AA78" s="169">
        <f> AA60 - AA52</f>
        <v>-1.8189894035458565e-12</v>
      </c>
      <c r="AB78" s="169">
        <f> AB60 - AB52</f>
        <v>-1.8189894035458565e-12</v>
      </c>
      <c r="AC78" s="169">
        <f> AC60 - AC52</f>
        <v>-1.8189894035458565e-12</v>
      </c>
      <c r="AD78" s="169">
        <f> AD60 - AD52</f>
        <v>-9.094947017729282e-13</v>
      </c>
      <c r="AE78" s="169">
        <f> AE60 - AE52</f>
        <v>-9.094947017729282e-13</v>
      </c>
      <c r="AF78" s="169">
        <f> AF60 - AF52</f>
        <v>-1.3642420526593924e-12</v>
      </c>
      <c r="AG78" s="169">
        <f> AG60 - AG52</f>
        <v>-1.3642420526593924e-12</v>
      </c>
      <c r="AH78" s="169">
        <f> AH60 - AH52</f>
        <v>-9.094947017729282e-13</v>
      </c>
      <c r="AI78" s="169">
        <f> AI60 - AI52</f>
        <v>-1.3642420526593924e-12</v>
      </c>
      <c r="AJ78" s="169">
        <f> AJ60 - AJ52</f>
        <v>-9.094947017729282e-13</v>
      </c>
      <c r="AK78" s="169">
        <f> AK60 - AK52</f>
        <v>-9.094947017729282e-13</v>
      </c>
      <c r="AL78" s="169">
        <f> AL60 - AL52</f>
        <v>-9.094947017729282e-13</v>
      </c>
      <c r="AM78" s="169">
        <f> AM60 - AM52</f>
        <v>-9.094947017729282e-13</v>
      </c>
      <c r="AN78" s="169">
        <f> AN60 - AN52</f>
        <v>-9.094947017729282e-13</v>
      </c>
      <c r="AO78" s="169">
        <f> AO60 - AO52</f>
        <v>-9.094947017729282e-13</v>
      </c>
      <c r="AP78" s="169">
        <f> AP60 - AP52</f>
        <v>-9.094947017729282e-13</v>
      </c>
      <c r="AQ78" s="169">
        <f> AQ60 - AQ52</f>
        <v>-9.094947017729282e-13</v>
      </c>
      <c r="AR78" s="169">
        <f> AR60 - AR52</f>
        <v>-9.094947017729282e-13</v>
      </c>
      <c r="AS78" s="169">
        <f> AS60 - AS52</f>
        <v>-9.094947017729282e-13</v>
      </c>
      <c r="AT78" s="169">
        <f> AT60 - AT52</f>
        <v>-9.094947017729282e-13</v>
      </c>
      <c r="AU78" s="169">
        <f> AU60 - AU52</f>
        <v>0.0</v>
      </c>
      <c r="AV78" s="169">
        <f> AV60 - AV52</f>
        <v>9.094947017729282e-13</v>
      </c>
      <c r="AW78" s="169">
        <f> AW60 - AW52</f>
        <v>9.094947017729282e-13</v>
      </c>
      <c r="AX78" s="169">
        <f> AX60 - AX52</f>
        <v>0.0</v>
      </c>
      <c r="AY78" s="169">
        <f> AY60 - AY52</f>
        <v>0.0</v>
      </c>
      <c r="AZ78" s="169">
        <f> AZ60 - AZ52</f>
        <v>0.0</v>
      </c>
      <c r="BA78" s="169">
        <f> BA60 - BA52</f>
        <v>-1.8189894035458565e-12</v>
      </c>
      <c r="BB78" s="169">
        <f> BB60 - BB52</f>
        <v>-1.8189894035458565e-12</v>
      </c>
      <c r="BC78" s="169">
        <f> BC60 - BC52</f>
        <v>-1.8189894035458565e-12</v>
      </c>
      <c r="BD78" s="169">
        <f> BD60 - BD52</f>
        <v>0.0</v>
      </c>
      <c r="BE78" s="169">
        <f> BE60 - BE52</f>
        <v>-3.637978807091713e-12</v>
      </c>
      <c r="BF78" s="169">
        <f> BF60 - BF52</f>
        <v>-3.637978807091713e-12</v>
      </c>
      <c r="BG78" s="169">
        <f> BG60 - BG52</f>
        <v>-3.637978807091713e-12</v>
      </c>
      <c r="BH78" s="169">
        <f> BH60 - BH52</f>
        <v>-3.637978807091713e-12</v>
      </c>
      <c r="BI78" s="169">
        <f> BI60 - BI52</f>
        <v>-7.275957614183426e-12</v>
      </c>
      <c r="BJ78" s="169">
        <f> BJ60 - BJ52</f>
        <v>-7.275957614183426e-12</v>
      </c>
      <c r="BK78" s="169">
        <f> BK60 - BK52</f>
        <v>-7.275957614183426e-12</v>
      </c>
      <c r="BL78" s="169">
        <f> BL60 - BL52</f>
        <v>-3.637978807091713e-12</v>
      </c>
      <c r="BM78" s="169">
        <f> BM60 - BM52</f>
        <v>-7.275957614183426e-12</v>
      </c>
      <c r="BN78" s="169">
        <f> BN60 - BN52</f>
        <v>-7.275957614183426e-12</v>
      </c>
      <c r="BO78" s="169">
        <f> BO60 - BO52</f>
        <v>-1.0913936421275139e-11</v>
      </c>
      <c r="BP78" s="169">
        <f> BP60 - BP52</f>
        <v>-7.275957614183426e-12</v>
      </c>
      <c r="BQ78" s="169">
        <f> BQ60 - BQ52</f>
        <v>-1.4551915228366852e-11</v>
      </c>
      <c r="BR78" s="169">
        <f> BR60 - BR52</f>
        <v>-7.275957614183426e-12</v>
      </c>
      <c r="BS78" s="169">
        <f> BS60 - BS52</f>
        <v>0.0</v>
      </c>
      <c r="BT78" s="169">
        <f> BT60 - BT52</f>
        <v>0.0</v>
      </c>
      <c r="BU78" s="169">
        <f> BU60 - BU52</f>
        <v>0.0</v>
      </c>
      <c r="BV78" s="169">
        <f> BV60 - BV52</f>
        <v>0.0</v>
      </c>
      <c r="BW78" s="169">
        <f> BW60 - BW52</f>
        <v>0.0</v>
      </c>
      <c r="BX78" s="169">
        <f> BX60 - BX52</f>
        <v>-7.275957614183426e-12</v>
      </c>
      <c r="BY78" s="169">
        <f> BY60 - BY52</f>
        <v>-7.275957614183426e-12</v>
      </c>
      <c r="BZ78" s="169">
        <f> BZ60 - BZ52</f>
        <v>-7.275957614183426e-12</v>
      </c>
      <c r="CA78" s="169">
        <f> CA60 - CA52</f>
        <v>0.0</v>
      </c>
      <c r="CB78" s="169">
        <f> CB60 - CB52</f>
        <v>0.0</v>
      </c>
      <c r="CC78" s="169">
        <f> CC60 - CC52</f>
        <v>0.0</v>
      </c>
      <c r="CD78" s="169">
        <f> CD60 - CD52</f>
        <v>0.0</v>
      </c>
      <c r="CE78" s="169">
        <f> CE60 - CE52</f>
        <v>0.0</v>
      </c>
      <c r="CF78" s="169">
        <f> CF60 - CF52</f>
        <v>0.0</v>
      </c>
      <c r="CG78" s="169">
        <f> CG60 - CG52</f>
        <v>0.0</v>
      </c>
      <c r="CH78" s="169">
        <f> CH60 - CH52</f>
        <v>0.0</v>
      </c>
      <c r="CI78" s="169">
        <f> CI60 - CI52</f>
        <v>0.0</v>
      </c>
      <c r="CJ78" s="169">
        <f> CJ60 - CJ52</f>
        <v>0.0</v>
      </c>
      <c r="CK78" s="169">
        <f> CK60 - CK52</f>
        <v>0.0</v>
      </c>
      <c r="CL78" s="169">
        <f> CL60 - CL52</f>
        <v>0.0</v>
      </c>
      <c r="CM78" s="169">
        <f> CM60 - CM52</f>
        <v>0.0</v>
      </c>
      <c r="CN78" s="169">
        <f> CN60 - CN52</f>
        <v>0.0</v>
      </c>
      <c r="CO78" s="169">
        <f> CO60 - CO52</f>
        <v>0.0</v>
      </c>
    </row>
    <row r="80" s="396">
      <c r="E80" s="169" t="inlineStr">
        <is>
          <t>FinStat - balance sheet check</t>
        </is>
      </c>
      <c r="F80" s="7">
        <f> IF(SUM(J80:CO80) &lt;&gt; 0, 1, 0)</f>
        <v>0.0</v>
      </c>
      <c r="G80" s="169" t="inlineStr">
        <is>
          <t>check</t>
        </is>
      </c>
      <c r="J80" s="7">
        <f> IF(ABS(J61 - J69) &gt; CHK_TOL, 1, 0)</f>
        <v>0.0</v>
      </c>
      <c r="K80" s="7">
        <f> IF(ABS(K61 - K69) &gt; CHK_TOL, 1, 0)</f>
        <v>0.0</v>
      </c>
      <c r="L80" s="7">
        <f> IF(ABS(L61 - L69) &gt; CHK_TOL, 1, 0)</f>
        <v>0.0</v>
      </c>
      <c r="M80" s="7">
        <f> IF(ABS(M61 - M69) &gt; CHK_TOL, 1, 0)</f>
        <v>0.0</v>
      </c>
      <c r="N80" s="7">
        <f> IF(ABS(N61 - N69) &gt; CHK_TOL, 1, 0)</f>
        <v>0.0</v>
      </c>
      <c r="O80" s="7">
        <f> IF(ABS(O61 - O69) &gt; CHK_TOL, 1, 0)</f>
        <v>0.0</v>
      </c>
      <c r="P80" s="7">
        <f> IF(ABS(P61 - P69) &gt; CHK_TOL, 1, 0)</f>
        <v>0.0</v>
      </c>
      <c r="Q80" s="7">
        <f> IF(ABS(Q61 - Q69) &gt; CHK_TOL, 1, 0)</f>
        <v>0.0</v>
      </c>
      <c r="R80" s="7">
        <f> IF(ABS(R61 - R69) &gt; CHK_TOL, 1, 0)</f>
        <v>0.0</v>
      </c>
      <c r="S80" s="7">
        <f> IF(ABS(S61 - S69) &gt; CHK_TOL, 1, 0)</f>
        <v>0.0</v>
      </c>
      <c r="T80" s="7">
        <f> IF(ABS(T61 - T69) &gt; CHK_TOL, 1, 0)</f>
        <v>0.0</v>
      </c>
      <c r="U80" s="7">
        <f> IF(ABS(U61 - U69) &gt; CHK_TOL, 1, 0)</f>
        <v>0.0</v>
      </c>
      <c r="V80" s="7">
        <f> IF(ABS(V61 - V69) &gt; CHK_TOL, 1, 0)</f>
        <v>0.0</v>
      </c>
      <c r="W80" s="7">
        <f> IF(ABS(W61 - W69) &gt; CHK_TOL, 1, 0)</f>
        <v>0.0</v>
      </c>
      <c r="X80" s="7">
        <f> IF(ABS(X61 - X69) &gt; CHK_TOL, 1, 0)</f>
        <v>0.0</v>
      </c>
      <c r="Y80" s="7">
        <f> IF(ABS(Y61 - Y69) &gt; CHK_TOL, 1, 0)</f>
        <v>0.0</v>
      </c>
      <c r="Z80" s="7">
        <f> IF(ABS(Z61 - Z69) &gt; CHK_TOL, 1, 0)</f>
        <v>0.0</v>
      </c>
      <c r="AA80" s="7">
        <f> IF(ABS(AA61 - AA69) &gt; CHK_TOL, 1, 0)</f>
        <v>0.0</v>
      </c>
      <c r="AB80" s="7">
        <f> IF(ABS(AB61 - AB69) &gt; CHK_TOL, 1, 0)</f>
        <v>0.0</v>
      </c>
      <c r="AC80" s="7">
        <f> IF(ABS(AC61 - AC69) &gt; CHK_TOL, 1, 0)</f>
        <v>0.0</v>
      </c>
      <c r="AD80" s="7">
        <f> IF(ABS(AD61 - AD69) &gt; CHK_TOL, 1, 0)</f>
        <v>0.0</v>
      </c>
      <c r="AE80" s="7">
        <f> IF(ABS(AE61 - AE69) &gt; CHK_TOL, 1, 0)</f>
        <v>0.0</v>
      </c>
      <c r="AF80" s="7">
        <f> IF(ABS(AF61 - AF69) &gt; CHK_TOL, 1, 0)</f>
        <v>0.0</v>
      </c>
      <c r="AG80" s="7">
        <f> IF(ABS(AG61 - AG69) &gt; CHK_TOL, 1, 0)</f>
        <v>0.0</v>
      </c>
      <c r="AH80" s="7">
        <f> IF(ABS(AH61 - AH69) &gt; CHK_TOL, 1, 0)</f>
        <v>0.0</v>
      </c>
      <c r="AI80" s="7">
        <f> IF(ABS(AI61 - AI69) &gt; CHK_TOL, 1, 0)</f>
        <v>0.0</v>
      </c>
      <c r="AJ80" s="7">
        <f> IF(ABS(AJ61 - AJ69) &gt; CHK_TOL, 1, 0)</f>
        <v>0.0</v>
      </c>
      <c r="AK80" s="7">
        <f> IF(ABS(AK61 - AK69) &gt; CHK_TOL, 1, 0)</f>
        <v>0.0</v>
      </c>
      <c r="AL80" s="7">
        <f> IF(ABS(AL61 - AL69) &gt; CHK_TOL, 1, 0)</f>
        <v>0.0</v>
      </c>
      <c r="AM80" s="7">
        <f> IF(ABS(AM61 - AM69) &gt; CHK_TOL, 1, 0)</f>
        <v>0.0</v>
      </c>
      <c r="AN80" s="7">
        <f> IF(ABS(AN61 - AN69) &gt; CHK_TOL, 1, 0)</f>
        <v>0.0</v>
      </c>
      <c r="AO80" s="7">
        <f> IF(ABS(AO61 - AO69) &gt; CHK_TOL, 1, 0)</f>
        <v>0.0</v>
      </c>
      <c r="AP80" s="7">
        <f> IF(ABS(AP61 - AP69) &gt; CHK_TOL, 1, 0)</f>
        <v>0.0</v>
      </c>
      <c r="AQ80" s="7">
        <f> IF(ABS(AQ61 - AQ69) &gt; CHK_TOL, 1, 0)</f>
        <v>0.0</v>
      </c>
      <c r="AR80" s="7">
        <f> IF(ABS(AR61 - AR69) &gt; CHK_TOL, 1, 0)</f>
        <v>0.0</v>
      </c>
      <c r="AS80" s="7">
        <f> IF(ABS(AS61 - AS69) &gt; CHK_TOL, 1, 0)</f>
        <v>0.0</v>
      </c>
      <c r="AT80" s="7">
        <f> IF(ABS(AT61 - AT69) &gt; CHK_TOL, 1, 0)</f>
        <v>0.0</v>
      </c>
      <c r="AU80" s="7">
        <f> IF(ABS(AU61 - AU69) &gt; CHK_TOL, 1, 0)</f>
        <v>0.0</v>
      </c>
      <c r="AV80" s="7">
        <f> IF(ABS(AV61 - AV69) &gt; CHK_TOL, 1, 0)</f>
        <v>0.0</v>
      </c>
      <c r="AW80" s="7">
        <f> IF(ABS(AW61 - AW69) &gt; CHK_TOL, 1, 0)</f>
        <v>0.0</v>
      </c>
      <c r="AX80" s="7">
        <f> IF(ABS(AX61 - AX69) &gt; CHK_TOL, 1, 0)</f>
        <v>0.0</v>
      </c>
      <c r="AY80" s="7">
        <f> IF(ABS(AY61 - AY69) &gt; CHK_TOL, 1, 0)</f>
        <v>0.0</v>
      </c>
      <c r="AZ80" s="7">
        <f> IF(ABS(AZ61 - AZ69) &gt; CHK_TOL, 1, 0)</f>
        <v>0.0</v>
      </c>
      <c r="BA80" s="7">
        <f> IF(ABS(BA61 - BA69) &gt; CHK_TOL, 1, 0)</f>
        <v>0.0</v>
      </c>
      <c r="BB80" s="7">
        <f> IF(ABS(BB61 - BB69) &gt; CHK_TOL, 1, 0)</f>
        <v>0.0</v>
      </c>
      <c r="BC80" s="7">
        <f> IF(ABS(BC61 - BC69) &gt; CHK_TOL, 1, 0)</f>
        <v>0.0</v>
      </c>
      <c r="BD80" s="7">
        <f> IF(ABS(BD61 - BD69) &gt; CHK_TOL, 1, 0)</f>
        <v>0.0</v>
      </c>
      <c r="BE80" s="7">
        <f> IF(ABS(BE61 - BE69) &gt; CHK_TOL, 1, 0)</f>
        <v>0.0</v>
      </c>
      <c r="BF80" s="7">
        <f> IF(ABS(BF61 - BF69) &gt; CHK_TOL, 1, 0)</f>
        <v>0.0</v>
      </c>
      <c r="BG80" s="7">
        <f> IF(ABS(BG61 - BG69) &gt; CHK_TOL, 1, 0)</f>
        <v>0.0</v>
      </c>
      <c r="BH80" s="7">
        <f> IF(ABS(BH61 - BH69) &gt; CHK_TOL, 1, 0)</f>
        <v>0.0</v>
      </c>
      <c r="BI80" s="7">
        <f> IF(ABS(BI61 - BI69) &gt; CHK_TOL, 1, 0)</f>
        <v>0.0</v>
      </c>
      <c r="BJ80" s="7">
        <f> IF(ABS(BJ61 - BJ69) &gt; CHK_TOL, 1, 0)</f>
        <v>0.0</v>
      </c>
      <c r="BK80" s="7">
        <f> IF(ABS(BK61 - BK69) &gt; CHK_TOL, 1, 0)</f>
        <v>0.0</v>
      </c>
      <c r="BL80" s="7">
        <f> IF(ABS(BL61 - BL69) &gt; CHK_TOL, 1, 0)</f>
        <v>0.0</v>
      </c>
      <c r="BM80" s="7">
        <f> IF(ABS(BM61 - BM69) &gt; CHK_TOL, 1, 0)</f>
        <v>0.0</v>
      </c>
      <c r="BN80" s="7">
        <f> IF(ABS(BN61 - BN69) &gt; CHK_TOL, 1, 0)</f>
        <v>0.0</v>
      </c>
      <c r="BO80" s="7">
        <f> IF(ABS(BO61 - BO69) &gt; CHK_TOL, 1, 0)</f>
        <v>0.0</v>
      </c>
      <c r="BP80" s="7">
        <f> IF(ABS(BP61 - BP69) &gt; CHK_TOL, 1, 0)</f>
        <v>0.0</v>
      </c>
      <c r="BQ80" s="7">
        <f> IF(ABS(BQ61 - BQ69) &gt; CHK_TOL, 1, 0)</f>
        <v>0.0</v>
      </c>
      <c r="BR80" s="7">
        <f> IF(ABS(BR61 - BR69) &gt; CHK_TOL, 1, 0)</f>
        <v>0.0</v>
      </c>
      <c r="BS80" s="7">
        <f> IF(ABS(BS61 - BS69) &gt; CHK_TOL, 1, 0)</f>
        <v>0.0</v>
      </c>
      <c r="BT80" s="7">
        <f> IF(ABS(BT61 - BT69) &gt; CHK_TOL, 1, 0)</f>
        <v>0.0</v>
      </c>
      <c r="BU80" s="7">
        <f> IF(ABS(BU61 - BU69) &gt; CHK_TOL, 1, 0)</f>
        <v>0.0</v>
      </c>
      <c r="BV80" s="7">
        <f> IF(ABS(BV61 - BV69) &gt; CHK_TOL, 1, 0)</f>
        <v>0.0</v>
      </c>
      <c r="BW80" s="7">
        <f> IF(ABS(BW61 - BW69) &gt; CHK_TOL, 1, 0)</f>
        <v>0.0</v>
      </c>
      <c r="BX80" s="7">
        <f> IF(ABS(BX61 - BX69) &gt; CHK_TOL, 1, 0)</f>
        <v>0.0</v>
      </c>
      <c r="BY80" s="7">
        <f> IF(ABS(BY61 - BY69) &gt; CHK_TOL, 1, 0)</f>
        <v>0.0</v>
      </c>
      <c r="BZ80" s="7">
        <f> IF(ABS(BZ61 - BZ69) &gt; CHK_TOL, 1, 0)</f>
        <v>0.0</v>
      </c>
      <c r="CA80" s="7">
        <f> IF(ABS(CA61 - CA69) &gt; CHK_TOL, 1, 0)</f>
        <v>0.0</v>
      </c>
      <c r="CB80" s="7">
        <f> IF(ABS(CB61 - CB69) &gt; CHK_TOL, 1, 0)</f>
        <v>0.0</v>
      </c>
      <c r="CC80" s="7">
        <f> IF(ABS(CC61 - CC69) &gt; CHK_TOL, 1, 0)</f>
        <v>0.0</v>
      </c>
      <c r="CD80" s="7">
        <f> IF(ABS(CD61 - CD69) &gt; CHK_TOL, 1, 0)</f>
        <v>0.0</v>
      </c>
      <c r="CE80" s="7">
        <f> IF(ABS(CE61 - CE69) &gt; CHK_TOL, 1, 0)</f>
        <v>0.0</v>
      </c>
      <c r="CF80" s="7">
        <f> IF(ABS(CF61 - CF69) &gt; CHK_TOL, 1, 0)</f>
        <v>0.0</v>
      </c>
      <c r="CG80" s="7">
        <f> IF(ABS(CG61 - CG69) &gt; CHK_TOL, 1, 0)</f>
        <v>0.0</v>
      </c>
      <c r="CH80" s="7">
        <f> IF(ABS(CH61 - CH69) &gt; CHK_TOL, 1, 0)</f>
        <v>0.0</v>
      </c>
      <c r="CI80" s="7">
        <f> IF(ABS(CI61 - CI69) &gt; CHK_TOL, 1, 0)</f>
        <v>0.0</v>
      </c>
      <c r="CJ80" s="7">
        <f> IF(ABS(CJ61 - CJ69) &gt; CHK_TOL, 1, 0)</f>
        <v>0.0</v>
      </c>
      <c r="CK80" s="7">
        <f> IF(ABS(CK61 - CK69) &gt; CHK_TOL, 1, 0)</f>
        <v>0.0</v>
      </c>
      <c r="CL80" s="7">
        <f> IF(ABS(CL61 - CL69) &gt; CHK_TOL, 1, 0)</f>
        <v>0.0</v>
      </c>
      <c r="CM80" s="7">
        <f> IF(ABS(CM61 - CM69) &gt; CHK_TOL, 1, 0)</f>
        <v>0.0</v>
      </c>
      <c r="CN80" s="7">
        <f> IF(ABS(CN61 - CN69) &gt; CHK_TOL, 1, 0)</f>
        <v>0.0</v>
      </c>
      <c r="CO80" s="7">
        <f> IF(ABS(CO61 - CO69) &gt; CHK_TOL, 1, 0)</f>
        <v>0.0</v>
      </c>
    </row>
    <row r="81">
      <c r="D81" s="169" t="n"/>
      <c r="E81" s="169" t="inlineStr">
        <is>
          <t>FinStat - balance sheet difference</t>
        </is>
      </c>
      <c r="G81" s="169" t="inlineStr">
        <is>
          <t>$ 000s</t>
        </is>
      </c>
      <c r="H81" s="169">
        <f> SUM(J81:CO81)</f>
        <v>-9.406903700437397e-09</v>
      </c>
      <c r="J81" s="169">
        <f> J61 - J69</f>
        <v>0.0</v>
      </c>
      <c r="K81" s="169">
        <f> K61 - K69</f>
        <v>0.0</v>
      </c>
      <c r="L81" s="169">
        <f> L61 - L69</f>
        <v>0.0</v>
      </c>
      <c r="M81" s="169">
        <f> M61 - M69</f>
        <v>0.0</v>
      </c>
      <c r="N81" s="169">
        <f> N61 - N69</f>
        <v>0.0</v>
      </c>
      <c r="O81" s="169">
        <f> O61 - O69</f>
        <v>-1.4551915228366852e-11</v>
      </c>
      <c r="P81" s="169">
        <f> P61 - P69</f>
        <v>-2.9103830456733704e-11</v>
      </c>
      <c r="Q81" s="169">
        <f> Q61 - Q69</f>
        <v>-4.3655745685100555e-11</v>
      </c>
      <c r="R81" s="169">
        <f> R61 - R69</f>
        <v>-4.3655745685100555e-11</v>
      </c>
      <c r="S81" s="169">
        <f> S61 - S69</f>
        <v>-4.3655745685100555e-11</v>
      </c>
      <c r="T81" s="169">
        <f> T61 - T69</f>
        <v>-5.820766091346741e-11</v>
      </c>
      <c r="U81" s="169">
        <f> U61 - U69</f>
        <v>-7.275957614183426e-11</v>
      </c>
      <c r="V81" s="169">
        <f> V61 - V69</f>
        <v>-7.275957614183426e-11</v>
      </c>
      <c r="W81" s="169">
        <f> W61 - W69</f>
        <v>-7.275957614183426e-11</v>
      </c>
      <c r="X81" s="169">
        <f> X61 - X69</f>
        <v>-7.275957614183426e-11</v>
      </c>
      <c r="Y81" s="169">
        <f> Y61 - Y69</f>
        <v>-8.731149137020111e-11</v>
      </c>
      <c r="Z81" s="169">
        <f> Z61 - Z69</f>
        <v>-1.0186340659856796e-10</v>
      </c>
      <c r="AA81" s="169">
        <f> AA61 - AA69</f>
        <v>-1.0186340659856796e-10</v>
      </c>
      <c r="AB81" s="169">
        <f> AB61 - AB69</f>
        <v>-1.0186340659856796e-10</v>
      </c>
      <c r="AC81" s="169">
        <f> AC61 - AC69</f>
        <v>-1.0186340659856796e-10</v>
      </c>
      <c r="AD81" s="169">
        <f> AD61 - AD69</f>
        <v>-1.3096723705530167e-10</v>
      </c>
      <c r="AE81" s="169">
        <f> AE61 - AE69</f>
        <v>-1.1641532182693481e-10</v>
      </c>
      <c r="AF81" s="169">
        <f> AF61 - AF69</f>
        <v>-1.3096723705530167e-10</v>
      </c>
      <c r="AG81" s="169">
        <f> AG61 - AG69</f>
        <v>-1.4551915228366852e-10</v>
      </c>
      <c r="AH81" s="169">
        <f> AH61 - AH69</f>
        <v>-1.3096723705530167e-10</v>
      </c>
      <c r="AI81" s="169">
        <f> AI61 - AI69</f>
        <v>-1.4551915228366852e-10</v>
      </c>
      <c r="AJ81" s="169">
        <f> AJ61 - AJ69</f>
        <v>-1.3096723705530167e-10</v>
      </c>
      <c r="AK81" s="169">
        <f> AK61 - AK69</f>
        <v>-1.3096723705530167e-10</v>
      </c>
      <c r="AL81" s="169">
        <f> AL61 - AL69</f>
        <v>-1.4551915228366852e-10</v>
      </c>
      <c r="AM81" s="169">
        <f> AM61 - AM69</f>
        <v>-1.2369127944111824e-10</v>
      </c>
      <c r="AN81" s="169">
        <f> AN61 - AN69</f>
        <v>-1.1641532182693481e-10</v>
      </c>
      <c r="AO81" s="169">
        <f> AO61 - AO69</f>
        <v>-1.1641532182693481e-10</v>
      </c>
      <c r="AP81" s="169">
        <f> AP61 - AP69</f>
        <v>-1.1641532182693481e-10</v>
      </c>
      <c r="AQ81" s="169">
        <f> AQ61 - AQ69</f>
        <v>-1.0913936421275139e-10</v>
      </c>
      <c r="AR81" s="169">
        <f> AR61 - AR69</f>
        <v>-1.0913936421275139e-10</v>
      </c>
      <c r="AS81" s="169">
        <f> AS61 - AS69</f>
        <v>-1.0913936421275139e-10</v>
      </c>
      <c r="AT81" s="169">
        <f> AT61 - AT69</f>
        <v>-1.0913936421275139e-10</v>
      </c>
      <c r="AU81" s="169">
        <f> AU61 - AU69</f>
        <v>-1.0186340659856796e-10</v>
      </c>
      <c r="AV81" s="169">
        <f> AV61 - AV69</f>
        <v>-9.458744898438454e-11</v>
      </c>
      <c r="AW81" s="169">
        <f> AW61 - AW69</f>
        <v>-8.731149137020111e-11</v>
      </c>
      <c r="AX81" s="169">
        <f> AX61 - AX69</f>
        <v>-9.458744898438454e-11</v>
      </c>
      <c r="AY81" s="169">
        <f> AY61 - AY69</f>
        <v>-9.458744898438454e-11</v>
      </c>
      <c r="AZ81" s="169">
        <f> AZ61 - AZ69</f>
        <v>-8.003553375601768e-11</v>
      </c>
      <c r="BA81" s="169">
        <f> BA61 - BA69</f>
        <v>-1.0186340659856796e-10</v>
      </c>
      <c r="BB81" s="169">
        <f> BB61 - BB69</f>
        <v>-1.0186340659856796e-10</v>
      </c>
      <c r="BC81" s="169">
        <f> BC61 - BC69</f>
        <v>-9.458744898438454e-11</v>
      </c>
      <c r="BD81" s="169">
        <f> BD61 - BD69</f>
        <v>-9.458744898438454e-11</v>
      </c>
      <c r="BE81" s="169">
        <f> BE61 - BE69</f>
        <v>-1.0186340659856796e-10</v>
      </c>
      <c r="BF81" s="169">
        <f> BF61 - BF69</f>
        <v>-1.0913936421275139e-10</v>
      </c>
      <c r="BG81" s="169">
        <f> BG61 - BG69</f>
        <v>-1.1641532182693481e-10</v>
      </c>
      <c r="BH81" s="169">
        <f> BH61 - BH69</f>
        <v>-1.1641532182693481e-10</v>
      </c>
      <c r="BI81" s="169">
        <f> BI61 - BI69</f>
        <v>-1.1641532182693481e-10</v>
      </c>
      <c r="BJ81" s="169">
        <f> BJ61 - BJ69</f>
        <v>-1.1641532182693481e-10</v>
      </c>
      <c r="BK81" s="169">
        <f> BK61 - BK69</f>
        <v>-1.1641532182693481e-10</v>
      </c>
      <c r="BL81" s="169">
        <f> BL61 - BL69</f>
        <v>-1.2369127944111824e-10</v>
      </c>
      <c r="BM81" s="169">
        <f> BM61 - BM69</f>
        <v>-1.2369127944111824e-10</v>
      </c>
      <c r="BN81" s="169">
        <f> BN61 - BN69</f>
        <v>-1.2369127944111824e-10</v>
      </c>
      <c r="BO81" s="169">
        <f> BO61 - BO69</f>
        <v>-1.2369127944111824e-10</v>
      </c>
      <c r="BP81" s="169">
        <f> BP61 - BP69</f>
        <v>-1.382431946694851e-10</v>
      </c>
      <c r="BQ81" s="169">
        <f> BQ61 - BQ69</f>
        <v>-1.4551915228366852e-10</v>
      </c>
      <c r="BR81" s="169">
        <f> BR61 - BR69</f>
        <v>-1.4551915228366852e-10</v>
      </c>
      <c r="BS81" s="169">
        <f> BS61 - BS69</f>
        <v>-1.382431946694851e-10</v>
      </c>
      <c r="BT81" s="169">
        <f> BT61 - BT69</f>
        <v>-1.3096723705530167e-10</v>
      </c>
      <c r="BU81" s="169">
        <f> BU61 - BU69</f>
        <v>-1.4551915228366852e-10</v>
      </c>
      <c r="BV81" s="169">
        <f> BV61 - BV69</f>
        <v>-1.382431946694851e-10</v>
      </c>
      <c r="BW81" s="169">
        <f> BW61 - BW69</f>
        <v>-1.4551915228366852e-10</v>
      </c>
      <c r="BX81" s="169">
        <f> BX61 - BX69</f>
        <v>-1.5279510989785194e-10</v>
      </c>
      <c r="BY81" s="169">
        <f> BY61 - BY69</f>
        <v>-1.5279510989785194e-10</v>
      </c>
      <c r="BZ81" s="169">
        <f> BZ61 - BZ69</f>
        <v>-1.6007106751203537e-10</v>
      </c>
      <c r="CA81" s="169">
        <f> CA61 - CA69</f>
        <v>-1.4551915228366852e-10</v>
      </c>
      <c r="CB81" s="169">
        <f> CB61 - CB69</f>
        <v>-1.5279510989785194e-10</v>
      </c>
      <c r="CC81" s="169">
        <f> CC61 - CC69</f>
        <v>-1.5279510989785194e-10</v>
      </c>
      <c r="CD81" s="169">
        <f> CD61 - CD69</f>
        <v>-1.5279510989785194e-10</v>
      </c>
      <c r="CE81" s="169">
        <f> CE61 - CE69</f>
        <v>-1.6007106751203537e-10</v>
      </c>
      <c r="CF81" s="169">
        <f> CF61 - CF69</f>
        <v>-1.6007106751203537e-10</v>
      </c>
      <c r="CG81" s="169">
        <f> CG61 - CG69</f>
        <v>-1.673470251262188e-10</v>
      </c>
      <c r="CH81" s="169">
        <f> CH61 - CH69</f>
        <v>-1.7462298274040222e-10</v>
      </c>
      <c r="CI81" s="169">
        <f> CI61 - CI69</f>
        <v>-1.7462298274040222e-10</v>
      </c>
      <c r="CJ81" s="169">
        <f> CJ61 - CJ69</f>
        <v>-1.673470251262188e-10</v>
      </c>
      <c r="CK81" s="169">
        <f> CK61 - CK69</f>
        <v>-1.673470251262188e-10</v>
      </c>
      <c r="CL81" s="169">
        <f> CL61 - CL69</f>
        <v>-1.673470251262188e-10</v>
      </c>
      <c r="CM81" s="169">
        <f> CM61 - CM69</f>
        <v>-1.673470251262188e-10</v>
      </c>
      <c r="CN81" s="169">
        <f> CN61 - CN69</f>
        <v>-1.6689227777533233e-10</v>
      </c>
      <c r="CO81" s="169">
        <f> CO61 - CO69</f>
        <v>-1.6689227777533233e-10</v>
      </c>
    </row>
    <row r="83">
      <c r="A83" s="163" t="inlineStr">
        <is>
          <t>SENIOR DEBT RATIOS</t>
        </is>
      </c>
      <c r="J83" s="169" t="n"/>
      <c r="K83" s="169" t="n"/>
      <c r="L83" s="169" t="n"/>
      <c r="M83" s="169" t="n"/>
      <c r="N83" s="169" t="n"/>
      <c r="O83" s="169" t="n"/>
      <c r="P83" s="169" t="n"/>
      <c r="Q83" s="169" t="n"/>
      <c r="R83" s="169" t="n"/>
      <c r="S83" s="169" t="n"/>
      <c r="T83" s="169" t="n"/>
      <c r="U83" s="169" t="n"/>
      <c r="V83" s="169" t="n"/>
      <c r="W83" s="169" t="n"/>
      <c r="X83" s="169" t="n"/>
      <c r="Y83" s="169" t="n"/>
      <c r="Z83" s="169" t="n"/>
      <c r="AA83" s="169" t="n"/>
      <c r="AB83" s="169" t="n"/>
      <c r="AC83" s="169" t="n"/>
      <c r="AD83" s="169" t="n"/>
      <c r="AE83" s="169" t="n"/>
      <c r="AF83" s="169" t="n"/>
      <c r="AG83" s="169" t="n"/>
      <c r="AH83" s="169" t="n"/>
      <c r="AI83" s="169" t="n"/>
      <c r="AJ83" s="169" t="n"/>
      <c r="AK83" s="169" t="n"/>
      <c r="AL83" s="169" t="n"/>
      <c r="AM83" s="169" t="n"/>
      <c r="AN83" s="169" t="n"/>
      <c r="AO83" s="169" t="n"/>
      <c r="AP83" s="169" t="n"/>
      <c r="AQ83" s="169" t="n"/>
      <c r="AR83" s="169" t="n"/>
      <c r="AS83" s="169" t="n"/>
      <c r="AT83" s="169" t="n"/>
      <c r="AU83" s="169" t="n"/>
      <c r="AV83" s="169" t="n"/>
      <c r="AW83" s="169" t="n"/>
      <c r="AX83" s="169" t="n"/>
      <c r="AY83" s="169" t="n"/>
      <c r="AZ83" s="169" t="n"/>
      <c r="BA83" s="169" t="n"/>
      <c r="BB83" s="169" t="n"/>
      <c r="BC83" s="169" t="n"/>
      <c r="BD83" s="169" t="n"/>
      <c r="BE83" s="169" t="n"/>
      <c r="BF83" s="169" t="n"/>
      <c r="BG83" s="169" t="n"/>
      <c r="BH83" s="169" t="n"/>
      <c r="BI83" s="169" t="n"/>
      <c r="BJ83" s="169" t="n"/>
      <c r="BK83" s="169" t="n"/>
      <c r="BL83" s="169" t="n"/>
      <c r="BM83" s="169" t="n"/>
      <c r="BN83" s="169" t="n"/>
      <c r="BO83" s="169" t="n"/>
      <c r="BP83" s="169" t="n"/>
      <c r="BQ83" s="169" t="n"/>
      <c r="BR83" s="169" t="n"/>
      <c r="BS83" s="169" t="n"/>
      <c r="BT83" s="169" t="n"/>
      <c r="BU83" s="169" t="n"/>
      <c r="BV83" s="169" t="n"/>
      <c r="BW83" s="169" t="n"/>
      <c r="BX83" s="169" t="n"/>
      <c r="BY83" s="169" t="n"/>
      <c r="BZ83" s="169" t="n"/>
      <c r="CA83" s="169" t="n"/>
      <c r="CB83" s="169" t="n"/>
      <c r="CC83" s="169" t="n"/>
      <c r="CD83" s="169" t="n"/>
      <c r="CE83" s="169" t="n"/>
      <c r="CF83" s="169" t="n"/>
      <c r="CG83" s="169" t="n"/>
      <c r="CH83" s="169" t="n"/>
      <c r="CI83" s="169" t="n"/>
      <c r="CJ83" s="169" t="n"/>
      <c r="CK83" s="169" t="n"/>
      <c r="CL83" s="169" t="n"/>
      <c r="CM83" s="169" t="n"/>
      <c r="CN83" s="169" t="n"/>
      <c r="CO83" s="169" t="n"/>
    </row>
    <row r="84">
      <c r="E84" s="169" t="n"/>
      <c r="F84" s="7" t="n"/>
      <c r="G84" s="169"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c r="AL84" s="7" t="n"/>
      <c r="AM84" s="7" t="n"/>
      <c r="AN84" s="7" t="n"/>
      <c r="AO84" s="7" t="n"/>
      <c r="AP84" s="7" t="n"/>
      <c r="AQ84" s="7" t="n"/>
      <c r="AR84" s="7" t="n"/>
      <c r="AS84" s="7" t="n"/>
      <c r="AT84" s="7" t="n"/>
      <c r="AU84" s="7" t="n"/>
      <c r="AV84" s="7" t="n"/>
      <c r="AW84" s="7" t="n"/>
      <c r="AX84" s="7" t="n"/>
      <c r="AY84" s="7" t="n"/>
      <c r="AZ84" s="7" t="n"/>
      <c r="BA84" s="7" t="n"/>
      <c r="BB84" s="7" t="n"/>
      <c r="BC84" s="7" t="n"/>
      <c r="BD84" s="7" t="n"/>
      <c r="BE84" s="7" t="n"/>
      <c r="BF84" s="7" t="n"/>
      <c r="BG84" s="7" t="n"/>
      <c r="BH84" s="7" t="n"/>
      <c r="BI84" s="7" t="n"/>
      <c r="BJ84" s="7" t="n"/>
      <c r="BK84" s="7" t="n"/>
      <c r="BL84" s="7" t="n"/>
      <c r="BM84" s="7" t="n"/>
      <c r="BN84" s="7" t="n"/>
      <c r="BO84" s="7" t="n"/>
      <c r="BP84" s="7" t="n"/>
      <c r="BQ84" s="7" t="n"/>
      <c r="BR84" s="7" t="n"/>
      <c r="BS84" s="7" t="n"/>
      <c r="BT84" s="7" t="n"/>
      <c r="BU84" s="7" t="n"/>
      <c r="BV84" s="7" t="n"/>
      <c r="BW84" s="7" t="n"/>
      <c r="BX84" s="7" t="n"/>
      <c r="BY84" s="7" t="n"/>
      <c r="BZ84" s="7" t="n"/>
      <c r="CA84" s="7" t="n"/>
      <c r="CB84" s="7" t="n"/>
      <c r="CC84" s="7" t="n"/>
      <c r="CD84" s="7" t="n"/>
      <c r="CE84" s="7" t="n"/>
      <c r="CF84" s="7" t="n"/>
      <c r="CG84" s="7" t="n"/>
      <c r="CH84" s="7" t="n"/>
      <c r="CI84" s="7" t="n"/>
      <c r="CJ84" s="7" t="n"/>
      <c r="CK84" s="7" t="n"/>
      <c r="CL84" s="7" t="n"/>
      <c r="CM84" s="7" t="n"/>
      <c r="CN84" s="7" t="n"/>
      <c r="CO84" s="7" t="n"/>
    </row>
    <row r="85">
      <c r="A85" s="163" t="n"/>
      <c r="B85" s="163" t="n"/>
      <c r="C85" s="172" t="n"/>
      <c r="D85" s="88" t="n"/>
      <c r="E85" s="117" t="str">
        <f>Debt!E$21</f>
        <v>Senior debt principal repayment POS</v>
      </c>
      <c r="F85" s="117">
        <f>Debt!F$21</f>
        <v>0.0</v>
      </c>
      <c r="G85" s="117" t="str">
        <f>Debt!G$21</f>
        <v>$ 000s</v>
      </c>
      <c r="H85" s="117">
        <f>Debt!H$21</f>
        <v>59999.9999999994</v>
      </c>
      <c r="I85" s="117" t="n"/>
      <c r="J85" s="117">
        <f>Debt!J$21</f>
        <v>0.0</v>
      </c>
      <c r="K85" s="117">
        <f>Debt!K$21</f>
        <v>0.0</v>
      </c>
      <c r="L85" s="117">
        <f>Debt!L$21</f>
        <v>0.0</v>
      </c>
      <c r="M85" s="117">
        <f>Debt!M$21</f>
        <v>0.0</v>
      </c>
      <c r="N85" s="117">
        <f>Debt!N$21</f>
        <v>0.0</v>
      </c>
      <c r="O85" s="117">
        <f>Debt!O$21</f>
        <v>1999.99999999998</v>
      </c>
      <c r="P85" s="117">
        <f>Debt!P$21</f>
        <v>1999.99999999998</v>
      </c>
      <c r="Q85" s="117">
        <f>Debt!Q$21</f>
        <v>1999.99999999998</v>
      </c>
      <c r="R85" s="117">
        <f>Debt!R$21</f>
        <v>1999.99999999998</v>
      </c>
      <c r="S85" s="117">
        <f>Debt!S$21</f>
        <v>1999.99999999998</v>
      </c>
      <c r="T85" s="117">
        <f>Debt!T$21</f>
        <v>1999.99999999998</v>
      </c>
      <c r="U85" s="117">
        <f>Debt!U$21</f>
        <v>1999.99999999998</v>
      </c>
      <c r="V85" s="117">
        <f>Debt!V$21</f>
        <v>1999.99999999998</v>
      </c>
      <c r="W85" s="117">
        <f>Debt!W$21</f>
        <v>1999.99999999998</v>
      </c>
      <c r="X85" s="117">
        <f>Debt!X$21</f>
        <v>1999.99999999998</v>
      </c>
      <c r="Y85" s="117">
        <f>Debt!Y$21</f>
        <v>1999.99999999998</v>
      </c>
      <c r="Z85" s="117">
        <f>Debt!Z$21</f>
        <v>1999.99999999998</v>
      </c>
      <c r="AA85" s="117">
        <f>Debt!AA$21</f>
        <v>1999.99999999998</v>
      </c>
      <c r="AB85" s="117">
        <f>Debt!AB$21</f>
        <v>1999.99999999998</v>
      </c>
      <c r="AC85" s="117">
        <f>Debt!AC$21</f>
        <v>1999.99999999998</v>
      </c>
      <c r="AD85" s="117">
        <f>Debt!AD$21</f>
        <v>1999.99999999998</v>
      </c>
      <c r="AE85" s="117">
        <f>Debt!AE$21</f>
        <v>1999.99999999998</v>
      </c>
      <c r="AF85" s="117">
        <f>Debt!AF$21</f>
        <v>1999.99999999998</v>
      </c>
      <c r="AG85" s="117">
        <f>Debt!AG$21</f>
        <v>1999.99999999998</v>
      </c>
      <c r="AH85" s="117">
        <f>Debt!AH$21</f>
        <v>1999.99999999998</v>
      </c>
      <c r="AI85" s="117">
        <f>Debt!AI$21</f>
        <v>1999.99999999998</v>
      </c>
      <c r="AJ85" s="117">
        <f>Debt!AJ$21</f>
        <v>1999.99999999998</v>
      </c>
      <c r="AK85" s="117">
        <f>Debt!AK$21</f>
        <v>1999.99999999998</v>
      </c>
      <c r="AL85" s="117">
        <f>Debt!AL$21</f>
        <v>1999.99999999998</v>
      </c>
      <c r="AM85" s="117">
        <f>Debt!AM$21</f>
        <v>1999.99999999998</v>
      </c>
      <c r="AN85" s="117">
        <f>Debt!AN$21</f>
        <v>1999.99999999998</v>
      </c>
      <c r="AO85" s="117">
        <f>Debt!AO$21</f>
        <v>1999.99999999998</v>
      </c>
      <c r="AP85" s="117">
        <f>Debt!AP$21</f>
        <v>1999.99999999998</v>
      </c>
      <c r="AQ85" s="117">
        <f>Debt!AQ$21</f>
        <v>1999.99999999998</v>
      </c>
      <c r="AR85" s="117">
        <f>Debt!AR$21</f>
        <v>1999.99999999998</v>
      </c>
      <c r="AS85" s="117">
        <f>Debt!AS$21</f>
        <v>0.0</v>
      </c>
      <c r="AT85" s="117">
        <f>Debt!AT$21</f>
        <v>0.0</v>
      </c>
      <c r="AU85" s="117">
        <f>Debt!AU$21</f>
        <v>0.0</v>
      </c>
      <c r="AV85" s="117">
        <f>Debt!AV$21</f>
        <v>0.0</v>
      </c>
      <c r="AW85" s="117">
        <f>Debt!AW$21</f>
        <v>0.0</v>
      </c>
      <c r="AX85" s="117">
        <f>Debt!AX$21</f>
        <v>0.0</v>
      </c>
      <c r="AY85" s="117">
        <f>Debt!AY$21</f>
        <v>0.0</v>
      </c>
      <c r="AZ85" s="117">
        <f>Debt!AZ$21</f>
        <v>0.0</v>
      </c>
      <c r="BA85" s="117">
        <f>Debt!BA$21</f>
        <v>0.0</v>
      </c>
      <c r="BB85" s="117">
        <f>Debt!BB$21</f>
        <v>0.0</v>
      </c>
      <c r="BC85" s="117">
        <f>Debt!BC$21</f>
        <v>0.0</v>
      </c>
      <c r="BD85" s="117">
        <f>Debt!BD$21</f>
        <v>0.0</v>
      </c>
      <c r="BE85" s="117">
        <f>Debt!BE$21</f>
        <v>0.0</v>
      </c>
      <c r="BF85" s="117">
        <f>Debt!BF$21</f>
        <v>0.0</v>
      </c>
      <c r="BG85" s="117">
        <f>Debt!BG$21</f>
        <v>0.0</v>
      </c>
      <c r="BH85" s="117">
        <f>Debt!BH$21</f>
        <v>0.0</v>
      </c>
      <c r="BI85" s="117">
        <f>Debt!BI$21</f>
        <v>0.0</v>
      </c>
      <c r="BJ85" s="117">
        <f>Debt!BJ$21</f>
        <v>0.0</v>
      </c>
      <c r="BK85" s="117">
        <f>Debt!BK$21</f>
        <v>0.0</v>
      </c>
      <c r="BL85" s="117">
        <f>Debt!BL$21</f>
        <v>0.0</v>
      </c>
      <c r="BM85" s="117">
        <f>Debt!BM$21</f>
        <v>0.0</v>
      </c>
      <c r="BN85" s="117">
        <f>Debt!BN$21</f>
        <v>0.0</v>
      </c>
      <c r="BO85" s="117">
        <f>Debt!BO$21</f>
        <v>0.0</v>
      </c>
      <c r="BP85" s="117">
        <f>Debt!BP$21</f>
        <v>0.0</v>
      </c>
      <c r="BQ85" s="117">
        <f>Debt!BQ$21</f>
        <v>0.0</v>
      </c>
      <c r="BR85" s="117">
        <f>Debt!BR$21</f>
        <v>0.0</v>
      </c>
      <c r="BS85" s="117">
        <f>Debt!BS$21</f>
        <v>0.0</v>
      </c>
      <c r="BT85" s="117">
        <f>Debt!BT$21</f>
        <v>0.0</v>
      </c>
      <c r="BU85" s="117">
        <f>Debt!BU$21</f>
        <v>0.0</v>
      </c>
      <c r="BV85" s="117">
        <f>Debt!BV$21</f>
        <v>0.0</v>
      </c>
      <c r="BW85" s="117">
        <f>Debt!BW$21</f>
        <v>0.0</v>
      </c>
      <c r="BX85" s="117">
        <f>Debt!BX$21</f>
        <v>0.0</v>
      </c>
      <c r="BY85" s="117">
        <f>Debt!BY$21</f>
        <v>0.0</v>
      </c>
      <c r="BZ85" s="117">
        <f>Debt!BZ$21</f>
        <v>0.0</v>
      </c>
      <c r="CA85" s="117">
        <f>Debt!CA$21</f>
        <v>0.0</v>
      </c>
      <c r="CB85" s="117">
        <f>Debt!CB$21</f>
        <v>0.0</v>
      </c>
      <c r="CC85" s="117">
        <f>Debt!CC$21</f>
        <v>0.0</v>
      </c>
      <c r="CD85" s="117">
        <f>Debt!CD$21</f>
        <v>0.0</v>
      </c>
      <c r="CE85" s="117">
        <f>Debt!CE$21</f>
        <v>0.0</v>
      </c>
      <c r="CF85" s="117">
        <f>Debt!CF$21</f>
        <v>0.0</v>
      </c>
      <c r="CG85" s="117">
        <f>Debt!CG$21</f>
        <v>0.0</v>
      </c>
      <c r="CH85" s="117">
        <f>Debt!CH$21</f>
        <v>0.0</v>
      </c>
      <c r="CI85" s="117">
        <f>Debt!CI$21</f>
        <v>0.0</v>
      </c>
      <c r="CJ85" s="117">
        <f>Debt!CJ$21</f>
        <v>0.0</v>
      </c>
      <c r="CK85" s="117">
        <f>Debt!CK$21</f>
        <v>0.0</v>
      </c>
      <c r="CL85" s="117">
        <f>Debt!CL$21</f>
        <v>0.0</v>
      </c>
      <c r="CM85" s="117">
        <f>Debt!CM$21</f>
        <v>0.0</v>
      </c>
      <c r="CN85" s="117">
        <f>Debt!CN$21</f>
        <v>0.0</v>
      </c>
      <c r="CO85" s="117">
        <f>Debt!CO$21</f>
        <v>0.0</v>
      </c>
    </row>
    <row r="86">
      <c r="A86" s="163" t="n"/>
      <c r="B86" s="163" t="n"/>
      <c r="C86" s="172" t="n"/>
      <c r="D86" s="88" t="n"/>
      <c r="E86" s="117" t="str">
        <f>Debt!E$32</f>
        <v>Senior debt interest payment POS</v>
      </c>
      <c r="F86" s="117">
        <f>Debt!F$32</f>
        <v>0.0</v>
      </c>
      <c r="G86" s="117" t="str">
        <f>Debt!G$32</f>
        <v>$ 000s</v>
      </c>
      <c r="H86" s="117">
        <f>Debt!H$32</f>
        <v>18291.000000000673</v>
      </c>
      <c r="I86" s="117" t="n"/>
      <c r="J86" s="117">
        <f>Debt!J$32</f>
        <v>0.0</v>
      </c>
      <c r="K86" s="117">
        <f>Debt!K$32</f>
        <v>0.0</v>
      </c>
      <c r="L86" s="117">
        <f>Debt!L$32</f>
        <v>975.0</v>
      </c>
      <c r="M86" s="117">
        <f>Debt!M$32</f>
        <v>985.8333333333334</v>
      </c>
      <c r="N86" s="117">
        <f>Debt!N$32</f>
        <v>996.6666666666666</v>
      </c>
      <c r="O86" s="117">
        <f>Debt!O$32</f>
        <v>996.6666666666666</v>
      </c>
      <c r="P86" s="117">
        <f>Debt!P$32</f>
        <v>942.5000000000003</v>
      </c>
      <c r="Q86" s="117">
        <f>Debt!Q$32</f>
        <v>920.1111111111119</v>
      </c>
      <c r="R86" s="117">
        <f>Debt!R$32</f>
        <v>897.0000000000011</v>
      </c>
      <c r="S86" s="117">
        <f>Debt!S$32</f>
        <v>863.7777777777792</v>
      </c>
      <c r="T86" s="117">
        <f>Debt!T$32</f>
        <v>821.5277777777795</v>
      </c>
      <c r="U86" s="117">
        <f>Debt!U$32</f>
        <v>788.6666666666688</v>
      </c>
      <c r="V86" s="117">
        <f>Debt!V$32</f>
        <v>764.1111111111137</v>
      </c>
      <c r="W86" s="117">
        <f>Debt!W$32</f>
        <v>730.8888888888918</v>
      </c>
      <c r="X86" s="117">
        <f>Debt!X$32</f>
        <v>682.5000000000032</v>
      </c>
      <c r="Y86" s="117">
        <f>Debt!Y$32</f>
        <v>657.2222222222258</v>
      </c>
      <c r="Z86" s="117">
        <f>Debt!Z$32</f>
        <v>631.2222222222263</v>
      </c>
      <c r="AA86" s="117">
        <f>Debt!AA$32</f>
        <v>598.0000000000043</v>
      </c>
      <c r="AB86" s="117">
        <f>Debt!AB$32</f>
        <v>552.5000000000047</v>
      </c>
      <c r="AC86" s="117">
        <f>Debt!AC$32</f>
        <v>525.7777777777828</v>
      </c>
      <c r="AD86" s="117">
        <f>Debt!AD$32</f>
        <v>498.33333333333877</v>
      </c>
      <c r="AE86" s="117">
        <f>Debt!AE$32</f>
        <v>465.11111111111694</v>
      </c>
      <c r="AF86" s="117">
        <f>Debt!AF$32</f>
        <v>422.500000000006</v>
      </c>
      <c r="AG86" s="117">
        <f>Debt!AG$32</f>
        <v>394.3333333333398</v>
      </c>
      <c r="AH86" s="117">
        <f>Debt!AH$32</f>
        <v>365.44444444445134</v>
      </c>
      <c r="AI86" s="117">
        <f>Debt!AI$32</f>
        <v>332.22222222222945</v>
      </c>
      <c r="AJ86" s="117">
        <f>Debt!AJ$32</f>
        <v>295.75000000000756</v>
      </c>
      <c r="AK86" s="117">
        <f>Debt!AK$32</f>
        <v>262.88888888889676</v>
      </c>
      <c r="AL86" s="117">
        <f>Debt!AL$32</f>
        <v>232.55555555556384</v>
      </c>
      <c r="AM86" s="117">
        <f>Debt!AM$32</f>
        <v>199.33333333334195</v>
      </c>
      <c r="AN86" s="117">
        <f>Debt!AN$32</f>
        <v>162.50000000000875</v>
      </c>
      <c r="AO86" s="117">
        <f>Debt!AO$32</f>
        <v>131.4444444444536</v>
      </c>
      <c r="AP86" s="117">
        <f>Debt!AP$32</f>
        <v>99.66666666667628</v>
      </c>
      <c r="AQ86" s="117">
        <f>Debt!AQ$32</f>
        <v>66.44444444445439</v>
      </c>
      <c r="AR86" s="117">
        <f>Debt!AR$32</f>
        <v>32.500000000010054</v>
      </c>
      <c r="AS86" s="117">
        <f>Debt!AS$32</f>
        <v>1.0490339263924398e-11</v>
      </c>
      <c r="AT86" s="117">
        <f>Debt!AT$32</f>
        <v>1.0605617717374116e-11</v>
      </c>
      <c r="AU86" s="117">
        <f>Debt!AU$32</f>
        <v>1.0605617717374116e-11</v>
      </c>
      <c r="AV86" s="117">
        <f>Debt!AV$32</f>
        <v>1.037506081047468e-11</v>
      </c>
      <c r="AW86" s="117">
        <f>Debt!AW$32</f>
        <v>1.0490339263924398e-11</v>
      </c>
      <c r="AX86" s="117">
        <f>Debt!AX$32</f>
        <v>1.0605617717374116e-11</v>
      </c>
      <c r="AY86" s="117">
        <f>Debt!AY$32</f>
        <v>1.0605617717374116e-11</v>
      </c>
      <c r="AZ86" s="117">
        <f>Debt!AZ$32</f>
        <v>1.0490339263924398e-11</v>
      </c>
      <c r="BA86" s="117">
        <f>Debt!BA$32</f>
        <v>1.0490339263924398e-11</v>
      </c>
      <c r="BB86" s="117">
        <f>Debt!BB$32</f>
        <v>1.0605617717374116e-11</v>
      </c>
      <c r="BC86" s="117">
        <f>Debt!BC$32</f>
        <v>1.0605617717374116e-11</v>
      </c>
      <c r="BD86" s="117">
        <f>Debt!BD$32</f>
        <v>1.037506081047468e-11</v>
      </c>
      <c r="BE86" s="117">
        <f>Debt!BE$32</f>
        <v>1.0490339263924398e-11</v>
      </c>
      <c r="BF86" s="117">
        <f>Debt!BF$32</f>
        <v>1.0605617717374116e-11</v>
      </c>
      <c r="BG86" s="117">
        <f>Debt!BG$32</f>
        <v>1.0605617717374116e-11</v>
      </c>
      <c r="BH86" s="117">
        <f>Debt!BH$32</f>
        <v>1.037506081047468e-11</v>
      </c>
      <c r="BI86" s="117">
        <f>Debt!BI$32</f>
        <v>1.0490339263924398e-11</v>
      </c>
      <c r="BJ86" s="117">
        <f>Debt!BJ$32</f>
        <v>1.0605617717374116e-11</v>
      </c>
      <c r="BK86" s="117">
        <f>Debt!BK$32</f>
        <v>1.0605617717374116e-11</v>
      </c>
      <c r="BL86" s="117">
        <f>Debt!BL$32</f>
        <v>1.037506081047468e-11</v>
      </c>
      <c r="BM86" s="117">
        <f>Debt!BM$32</f>
        <v>1.0490339263924398e-11</v>
      </c>
      <c r="BN86" s="117">
        <f>Debt!BN$32</f>
        <v>1.0605617717374116e-11</v>
      </c>
      <c r="BO86" s="117">
        <f>Debt!BO$32</f>
        <v>1.0605617717374116e-11</v>
      </c>
      <c r="BP86" s="117">
        <f>Debt!BP$32</f>
        <v>1.0490339263924398e-11</v>
      </c>
      <c r="BQ86" s="117">
        <f>Debt!BQ$32</f>
        <v>1.0490339263924398e-11</v>
      </c>
      <c r="BR86" s="117">
        <f>Debt!BR$32</f>
        <v>1.0605617717374116e-11</v>
      </c>
      <c r="BS86" s="117">
        <f>Debt!BS$32</f>
        <v>1.0605617717374116e-11</v>
      </c>
      <c r="BT86" s="117">
        <f>Debt!BT$32</f>
        <v>1.037506081047468e-11</v>
      </c>
      <c r="BU86" s="117">
        <f>Debt!BU$32</f>
        <v>1.0490339263924398e-11</v>
      </c>
      <c r="BV86" s="117">
        <f>Debt!BV$32</f>
        <v>1.0605617717374116e-11</v>
      </c>
      <c r="BW86" s="117">
        <f>Debt!BW$32</f>
        <v>1.0605617717374116e-11</v>
      </c>
      <c r="BX86" s="117">
        <f>Debt!BX$32</f>
        <v>1.037506081047468e-11</v>
      </c>
      <c r="BY86" s="117">
        <f>Debt!BY$32</f>
        <v>1.0490339263924398e-11</v>
      </c>
      <c r="BZ86" s="117">
        <f>Debt!BZ$32</f>
        <v>1.0605617717374116e-11</v>
      </c>
      <c r="CA86" s="117">
        <f>Debt!CA$32</f>
        <v>1.0605617717374116e-11</v>
      </c>
      <c r="CB86" s="117">
        <f>Debt!CB$32</f>
        <v>1.037506081047468e-11</v>
      </c>
      <c r="CC86" s="117">
        <f>Debt!CC$32</f>
        <v>1.0490339263924398e-11</v>
      </c>
      <c r="CD86" s="117">
        <f>Debt!CD$32</f>
        <v>1.0605617717374116e-11</v>
      </c>
      <c r="CE86" s="117">
        <f>Debt!CE$32</f>
        <v>1.0605617717374116e-11</v>
      </c>
      <c r="CF86" s="117">
        <f>Debt!CF$32</f>
        <v>1.0490339263924398e-11</v>
      </c>
      <c r="CG86" s="117">
        <f>Debt!CG$32</f>
        <v>1.0490339263924398e-11</v>
      </c>
      <c r="CH86" s="117">
        <f>Debt!CH$32</f>
        <v>1.0605617717374116e-11</v>
      </c>
      <c r="CI86" s="117">
        <f>Debt!CI$32</f>
        <v>1.0605617717374116e-11</v>
      </c>
      <c r="CJ86" s="117">
        <f>Debt!CJ$32</f>
        <v>1.037506081047468e-11</v>
      </c>
      <c r="CK86" s="117">
        <f>Debt!CK$32</f>
        <v>1.0490339263924398e-11</v>
      </c>
      <c r="CL86" s="117">
        <f>Debt!CL$32</f>
        <v>1.0605617717374116e-11</v>
      </c>
      <c r="CM86" s="117">
        <f>Debt!CM$32</f>
        <v>1.0605617717374116e-11</v>
      </c>
      <c r="CN86" s="117">
        <f>Debt!CN$32</f>
        <v>1.037506081047468e-11</v>
      </c>
      <c r="CO86" s="117">
        <f>Debt!CO$32</f>
        <v>1.0490339263924398e-11</v>
      </c>
    </row>
    <row r="87">
      <c r="A87" s="163" t="n"/>
      <c r="B87" s="163" t="n"/>
      <c r="C87" s="172" t="n"/>
      <c r="D87" s="88" t="n"/>
      <c r="E87" s="117" t="str">
        <f>E$38</f>
        <v>Cash flow available for debt service (CFADS)</v>
      </c>
      <c r="F87" s="117">
        <f>F$38</f>
        <v>0.0</v>
      </c>
      <c r="G87" s="117" t="str">
        <f>G$38</f>
        <v>$ 000s</v>
      </c>
      <c r="H87" s="117">
        <f> H$38</f>
        <v>582323.9405780912</v>
      </c>
      <c r="I87" s="117" t="n"/>
      <c r="J87" s="117">
        <f>J$38</f>
        <v>0.0</v>
      </c>
      <c r="K87" s="117">
        <f>K$38</f>
        <v>0.0</v>
      </c>
      <c r="L87" s="117">
        <f>L$38</f>
        <v>5292.621863101254</v>
      </c>
      <c r="M87" s="117">
        <f>M$38</f>
        <v>5493.922820619706</v>
      </c>
      <c r="N87" s="117">
        <f>N$38</f>
        <v>5614.4484244656405</v>
      </c>
      <c r="O87" s="117">
        <f>O$38</f>
        <v>5436.653729909892</v>
      </c>
      <c r="P87" s="117">
        <f>P$38</f>
        <v>5549.248605056158</v>
      </c>
      <c r="Q87" s="117">
        <f>Q$38</f>
        <v>5378.5605930831125</v>
      </c>
      <c r="R87" s="117">
        <f>R$38</f>
        <v>5529.953354720113</v>
      </c>
      <c r="S87" s="117">
        <f>S$38</f>
        <v>3340.098959042068</v>
      </c>
      <c r="T87" s="117">
        <f>T$38</f>
        <v>5647.0766013974435</v>
      </c>
      <c r="U87" s="117">
        <f>U$38</f>
        <v>5538.347685013352</v>
      </c>
      <c r="V87" s="117">
        <f>V$38</f>
        <v>5708.499134412163</v>
      </c>
      <c r="W87" s="117">
        <f>W$38</f>
        <v>4510.852344578623</v>
      </c>
      <c r="X87" s="117">
        <f>X$38</f>
        <v>5671.615030954694</v>
      </c>
      <c r="Y87" s="117">
        <f>Y$38</f>
        <v>5491.481959229797</v>
      </c>
      <c r="Z87" s="117">
        <f>Z$38</f>
        <v>5659.656725902562</v>
      </c>
      <c r="AA87" s="117">
        <f>AA$38</f>
        <v>3954.542432290245</v>
      </c>
      <c r="AB87" s="117">
        <f>AB$38</f>
        <v>5635.956612985877</v>
      </c>
      <c r="AC87" s="117">
        <f>AC$38</f>
        <v>5458.246934220778</v>
      </c>
      <c r="AD87" s="117">
        <f>AD$38</f>
        <v>5928.919938546535</v>
      </c>
      <c r="AE87" s="117">
        <f>AE$38</f>
        <v>4895.582557813854</v>
      </c>
      <c r="AF87" s="117">
        <f>AF$38</f>
        <v>6087.581578181889</v>
      </c>
      <c r="AG87" s="117">
        <f>AG$38</f>
        <v>5915.195354206953</v>
      </c>
      <c r="AH87" s="117">
        <f>AH$38</f>
        <v>6116.888993759071</v>
      </c>
      <c r="AI87" s="117">
        <f>AI$38</f>
        <v>5409.190406302149</v>
      </c>
      <c r="AJ87" s="117">
        <f>AJ$38</f>
        <v>6116.116807044884</v>
      </c>
      <c r="AK87" s="117">
        <f>AK$38</f>
        <v>5925.600203656336</v>
      </c>
      <c r="AL87" s="117">
        <f>AL$38</f>
        <v>6147.86005322099</v>
      </c>
      <c r="AM87" s="117">
        <f>AM$38</f>
        <v>5232.908775297663</v>
      </c>
      <c r="AN87" s="117">
        <f>AN$38</f>
        <v>6650.2315639134185</v>
      </c>
      <c r="AO87" s="117">
        <f>AO$38</f>
        <v>6481.9415741022585</v>
      </c>
      <c r="AP87" s="117">
        <f>AP$38</f>
        <v>6715.61687913055</v>
      </c>
      <c r="AQ87" s="117">
        <f>AQ$38</f>
        <v>5500.923922620808</v>
      </c>
      <c r="AR87" s="117">
        <f>AR$38</f>
        <v>6734.3472342003115</v>
      </c>
      <c r="AS87" s="117">
        <f>AS$38</f>
        <v>6564.601150193004</v>
      </c>
      <c r="AT87" s="117">
        <f>AT$38</f>
        <v>6818.665164595423</v>
      </c>
      <c r="AU87" s="117">
        <f>AU$38</f>
        <v>6611.178247102507</v>
      </c>
      <c r="AV87" s="117">
        <f>AV$38</f>
        <v>6849.8551943559105</v>
      </c>
      <c r="AW87" s="117">
        <f>AW$38</f>
        <v>6688.8832256719</v>
      </c>
      <c r="AX87" s="117">
        <f>AX$38</f>
        <v>7336.109407928245</v>
      </c>
      <c r="AY87" s="117">
        <f>AY$38</f>
        <v>7352.700236137576</v>
      </c>
      <c r="AZ87" s="117">
        <f>AZ$38</f>
        <v>7622.9409696852435</v>
      </c>
      <c r="BA87" s="117">
        <f>BA$38</f>
        <v>7435.8180254760855</v>
      </c>
      <c r="BB87" s="117">
        <f>BB$38</f>
        <v>7738.535149879761</v>
      </c>
      <c r="BC87" s="117">
        <f>BC$38</f>
        <v>7519.872436935451</v>
      </c>
      <c r="BD87" s="117">
        <f>BD$38</f>
        <v>7785.185734526984</v>
      </c>
      <c r="BE87" s="117">
        <f>BE$38</f>
        <v>7626.396216843904</v>
      </c>
      <c r="BF87" s="117">
        <f>BF$38</f>
        <v>7924.89982908648</v>
      </c>
      <c r="BG87" s="117">
        <f>BG$38</f>
        <v>7701.966803518328</v>
      </c>
      <c r="BH87" s="117">
        <f>BH$38</f>
        <v>7568.1245174182</v>
      </c>
      <c r="BI87" s="117">
        <f>BI$38</f>
        <v>8072.48786142913</v>
      </c>
      <c r="BJ87" s="117">
        <f>BJ$38</f>
        <v>7863.424233243348</v>
      </c>
      <c r="BK87" s="117">
        <f>BK$38</f>
        <v>8163.179717513847</v>
      </c>
      <c r="BL87" s="117">
        <f>BL$38</f>
        <v>7919.046723266445</v>
      </c>
      <c r="BM87" s="117">
        <f>BM$38</f>
        <v>8282.684672067797</v>
      </c>
      <c r="BN87" s="117">
        <f>BN$38</f>
        <v>8068.94802629666</v>
      </c>
      <c r="BO87" s="117">
        <f>BO$38</f>
        <v>8379.215121792467</v>
      </c>
      <c r="BP87" s="117">
        <f>BP$38</f>
        <v>8144.526239589615</v>
      </c>
      <c r="BQ87" s="117">
        <f>BQ$38</f>
        <v>8050.507620547913</v>
      </c>
      <c r="BR87" s="117">
        <f>BR$38</f>
        <v>8564.149111333201</v>
      </c>
      <c r="BS87" s="117">
        <f>BS$38</f>
        <v>8325.324320313435</v>
      </c>
      <c r="BT87" s="117">
        <f>BT$38</f>
        <v>8630.854692039542</v>
      </c>
      <c r="BU87" s="117">
        <f>BU$38</f>
        <v>8458.707712934425</v>
      </c>
      <c r="BV87" s="117">
        <f>BV$38</f>
        <v>8800.919579213976</v>
      </c>
      <c r="BW87" s="117">
        <f>BW$38</f>
        <v>9017.031237914638</v>
      </c>
      <c r="BX87" s="117">
        <f>BX$38</f>
        <v>9043.738832119387</v>
      </c>
      <c r="BY87" s="117">
        <f>BY$38</f>
        <v>9161.228293330438</v>
      </c>
      <c r="BZ87" s="117">
        <f>BZ$38</f>
        <v>9225.162120261763</v>
      </c>
      <c r="CA87" s="117">
        <f>CA$38</f>
        <v>9271.947389813453</v>
      </c>
      <c r="CB87" s="117">
        <f>CB$38</f>
        <v>9300.235951106271</v>
      </c>
      <c r="CC87" s="117">
        <f>CC$38</f>
        <v>9421.9908484525</v>
      </c>
      <c r="CD87" s="117">
        <f>CD$38</f>
        <v>9488.546404875651</v>
      </c>
      <c r="CE87" s="117">
        <f>CE$38</f>
        <v>9537.403761463589</v>
      </c>
      <c r="CF87" s="117">
        <f>CF$38</f>
        <v>9586.491372022068</v>
      </c>
      <c r="CG87" s="117">
        <f>CG$38</f>
        <v>9673.871683816458</v>
      </c>
      <c r="CH87" s="117">
        <f>CH$38</f>
        <v>9762.312376865211</v>
      </c>
      <c r="CI87" s="117">
        <f>CI$38</f>
        <v>9813.179975158626</v>
      </c>
      <c r="CJ87" s="117">
        <f>CJ$38</f>
        <v>9844.362760368907</v>
      </c>
      <c r="CK87" s="117">
        <f>CK$38</f>
        <v>9974.645408971512</v>
      </c>
      <c r="CL87" s="117">
        <f>CL$38</f>
        <v>10046.311432888411</v>
      </c>
      <c r="CM87" s="117">
        <f>CM$38</f>
        <v>10704.316644190778</v>
      </c>
      <c r="CN87" s="117">
        <f>CN$38</f>
        <v>1810.766490553618</v>
      </c>
      <c r="CO87" s="117">
        <f>CO$38</f>
        <v>3.147101779177319e-12</v>
      </c>
    </row>
    <row r="88">
      <c r="E88" s="168" t="inlineStr">
        <is>
          <t>Senior debt service</t>
        </is>
      </c>
      <c r="F88" s="168" t="n"/>
      <c r="G88" s="168" t="inlineStr">
        <is>
          <t>$ 000s</t>
        </is>
      </c>
      <c r="H88" s="168">
        <f> SUM(J88:CO88)</f>
        <v>78291.0000000001</v>
      </c>
      <c r="I88" s="168" t="n"/>
      <c r="J88" s="168">
        <f>SUM(J85:J86)</f>
        <v>0.0</v>
      </c>
      <c r="K88" s="168">
        <f>SUM(K85:K86)</f>
        <v>0.0</v>
      </c>
      <c r="L88" s="168">
        <f>SUM(L85:L86)</f>
        <v>975.0</v>
      </c>
      <c r="M88" s="168">
        <f>SUM(M85:M86)</f>
        <v>985.8333333333334</v>
      </c>
      <c r="N88" s="168">
        <f>SUM(N85:N86)</f>
        <v>996.6666666666666</v>
      </c>
      <c r="O88" s="168">
        <f>SUM(O85:O86)</f>
        <v>2996.6666666666465</v>
      </c>
      <c r="P88" s="168">
        <f>SUM(P85:P86)</f>
        <v>2942.4999999999804</v>
      </c>
      <c r="Q88" s="168">
        <f>SUM(Q85:Q86)</f>
        <v>2920.1111111110918</v>
      </c>
      <c r="R88" s="168">
        <f>SUM(R85:R86)</f>
        <v>2896.999999999981</v>
      </c>
      <c r="S88" s="168">
        <f>SUM(S85:S86)</f>
        <v>2863.777777777759</v>
      </c>
      <c r="T88" s="168">
        <f>SUM(T85:T86)</f>
        <v>2821.5277777777596</v>
      </c>
      <c r="U88" s="168">
        <f>SUM(U85:U86)</f>
        <v>2788.666666666649</v>
      </c>
      <c r="V88" s="168">
        <f>SUM(V85:V86)</f>
        <v>2764.1111111110936</v>
      </c>
      <c r="W88" s="168">
        <f>SUM(W85:W86)</f>
        <v>2730.888888888872</v>
      </c>
      <c r="X88" s="168">
        <f>SUM(X85:X86)</f>
        <v>2682.499999999983</v>
      </c>
      <c r="Y88" s="168">
        <f>SUM(Y85:Y86)</f>
        <v>2657.222222222206</v>
      </c>
      <c r="Z88" s="168">
        <f>SUM(Z85:Z86)</f>
        <v>2631.2222222222063</v>
      </c>
      <c r="AA88" s="168">
        <f>SUM(AA85:AA86)</f>
        <v>2597.9999999999845</v>
      </c>
      <c r="AB88" s="168">
        <f>SUM(AB85:AB86)</f>
        <v>2552.4999999999845</v>
      </c>
      <c r="AC88" s="168">
        <f>SUM(AC85:AC86)</f>
        <v>2525.777777777763</v>
      </c>
      <c r="AD88" s="168">
        <f>SUM(AD85:AD86)</f>
        <v>2498.333333333319</v>
      </c>
      <c r="AE88" s="168">
        <f>SUM(AE85:AE86)</f>
        <v>2465.1111111110968</v>
      </c>
      <c r="AF88" s="168">
        <f>SUM(AF85:AF86)</f>
        <v>2422.499999999986</v>
      </c>
      <c r="AG88" s="168">
        <f>SUM(AG85:AG86)</f>
        <v>2394.33333333332</v>
      </c>
      <c r="AH88" s="168">
        <f>SUM(AH85:AH86)</f>
        <v>2365.444444444431</v>
      </c>
      <c r="AI88" s="168">
        <f>SUM(AI85:AI86)</f>
        <v>2332.2222222222094</v>
      </c>
      <c r="AJ88" s="168">
        <f>SUM(AJ85:AJ86)</f>
        <v>2295.7499999999877</v>
      </c>
      <c r="AK88" s="168">
        <f>SUM(AK85:AK86)</f>
        <v>2262.888888888877</v>
      </c>
      <c r="AL88" s="168">
        <f>SUM(AL85:AL86)</f>
        <v>2232.555555555544</v>
      </c>
      <c r="AM88" s="168">
        <f>SUM(AM85:AM86)</f>
        <v>2199.333333333322</v>
      </c>
      <c r="AN88" s="168">
        <f>SUM(AN85:AN86)</f>
        <v>2162.4999999999886</v>
      </c>
      <c r="AO88" s="168">
        <f>SUM(AO85:AO86)</f>
        <v>2131.4444444444334</v>
      </c>
      <c r="AP88" s="168">
        <f>SUM(AP85:AP86)</f>
        <v>2099.666666666656</v>
      </c>
      <c r="AQ88" s="168">
        <f>SUM(AQ85:AQ86)</f>
        <v>2066.4444444444343</v>
      </c>
      <c r="AR88" s="168">
        <f>SUM(AR85:AR86)</f>
        <v>2032.49999999999</v>
      </c>
      <c r="AS88" s="168">
        <f>SUM(AS85:AS86)</f>
        <v>1.0490339263924398e-11</v>
      </c>
      <c r="AT88" s="168">
        <f>SUM(AT85:AT86)</f>
        <v>1.0605617717374116e-11</v>
      </c>
      <c r="AU88" s="168">
        <f>SUM(AU85:AU86)</f>
        <v>1.0605617717374116e-11</v>
      </c>
      <c r="AV88" s="168">
        <f>SUM(AV85:AV86)</f>
        <v>1.037506081047468e-11</v>
      </c>
      <c r="AW88" s="168">
        <f>SUM(AW85:AW86)</f>
        <v>1.0490339263924398e-11</v>
      </c>
      <c r="AX88" s="168">
        <f>SUM(AX85:AX86)</f>
        <v>1.0605617717374116e-11</v>
      </c>
      <c r="AY88" s="168">
        <f>SUM(AY85:AY86)</f>
        <v>1.0605617717374116e-11</v>
      </c>
      <c r="AZ88" s="168">
        <f>SUM(AZ85:AZ86)</f>
        <v>1.0490339263924398e-11</v>
      </c>
      <c r="BA88" s="168">
        <f>SUM(BA85:BA86)</f>
        <v>1.0490339263924398e-11</v>
      </c>
      <c r="BB88" s="168">
        <f>SUM(BB85:BB86)</f>
        <v>1.0605617717374116e-11</v>
      </c>
      <c r="BC88" s="168">
        <f>SUM(BC85:BC86)</f>
        <v>1.0605617717374116e-11</v>
      </c>
      <c r="BD88" s="168">
        <f>SUM(BD85:BD86)</f>
        <v>1.037506081047468e-11</v>
      </c>
      <c r="BE88" s="168">
        <f>SUM(BE85:BE86)</f>
        <v>1.0490339263924398e-11</v>
      </c>
      <c r="BF88" s="168">
        <f>SUM(BF85:BF86)</f>
        <v>1.0605617717374116e-11</v>
      </c>
      <c r="BG88" s="168">
        <f>SUM(BG85:BG86)</f>
        <v>1.0605617717374116e-11</v>
      </c>
      <c r="BH88" s="168">
        <f>SUM(BH85:BH86)</f>
        <v>1.037506081047468e-11</v>
      </c>
      <c r="BI88" s="168">
        <f>SUM(BI85:BI86)</f>
        <v>1.0490339263924398e-11</v>
      </c>
      <c r="BJ88" s="168">
        <f>SUM(BJ85:BJ86)</f>
        <v>1.0605617717374116e-11</v>
      </c>
      <c r="BK88" s="168">
        <f>SUM(BK85:BK86)</f>
        <v>1.0605617717374116e-11</v>
      </c>
      <c r="BL88" s="168">
        <f>SUM(BL85:BL86)</f>
        <v>1.037506081047468e-11</v>
      </c>
      <c r="BM88" s="168">
        <f>SUM(BM85:BM86)</f>
        <v>1.0490339263924398e-11</v>
      </c>
      <c r="BN88" s="168">
        <f>SUM(BN85:BN86)</f>
        <v>1.0605617717374116e-11</v>
      </c>
      <c r="BO88" s="168">
        <f>SUM(BO85:BO86)</f>
        <v>1.0605617717374116e-11</v>
      </c>
      <c r="BP88" s="168">
        <f>SUM(BP85:BP86)</f>
        <v>1.0490339263924398e-11</v>
      </c>
      <c r="BQ88" s="168">
        <f>SUM(BQ85:BQ86)</f>
        <v>1.0490339263924398e-11</v>
      </c>
      <c r="BR88" s="168">
        <f>SUM(BR85:BR86)</f>
        <v>1.0605617717374116e-11</v>
      </c>
      <c r="BS88" s="168">
        <f>SUM(BS85:BS86)</f>
        <v>1.0605617717374116e-11</v>
      </c>
      <c r="BT88" s="168">
        <f>SUM(BT85:BT86)</f>
        <v>1.037506081047468e-11</v>
      </c>
      <c r="BU88" s="168">
        <f>SUM(BU85:BU86)</f>
        <v>1.0490339263924398e-11</v>
      </c>
      <c r="BV88" s="168">
        <f>SUM(BV85:BV86)</f>
        <v>1.0605617717374116e-11</v>
      </c>
      <c r="BW88" s="168">
        <f>SUM(BW85:BW86)</f>
        <v>1.0605617717374116e-11</v>
      </c>
      <c r="BX88" s="168">
        <f>SUM(BX85:BX86)</f>
        <v>1.037506081047468e-11</v>
      </c>
      <c r="BY88" s="168">
        <f>SUM(BY85:BY86)</f>
        <v>1.0490339263924398e-11</v>
      </c>
      <c r="BZ88" s="168">
        <f>SUM(BZ85:BZ86)</f>
        <v>1.0605617717374116e-11</v>
      </c>
      <c r="CA88" s="168">
        <f>SUM(CA85:CA86)</f>
        <v>1.0605617717374116e-11</v>
      </c>
      <c r="CB88" s="168">
        <f>SUM(CB85:CB86)</f>
        <v>1.037506081047468e-11</v>
      </c>
      <c r="CC88" s="168">
        <f>SUM(CC85:CC86)</f>
        <v>1.0490339263924398e-11</v>
      </c>
      <c r="CD88" s="168">
        <f>SUM(CD85:CD86)</f>
        <v>1.0605617717374116e-11</v>
      </c>
      <c r="CE88" s="168">
        <f>SUM(CE85:CE86)</f>
        <v>1.0605617717374116e-11</v>
      </c>
      <c r="CF88" s="168">
        <f>SUM(CF85:CF86)</f>
        <v>1.0490339263924398e-11</v>
      </c>
      <c r="CG88" s="168">
        <f>SUM(CG85:CG86)</f>
        <v>1.0490339263924398e-11</v>
      </c>
      <c r="CH88" s="168">
        <f>SUM(CH85:CH86)</f>
        <v>1.0605617717374116e-11</v>
      </c>
      <c r="CI88" s="168">
        <f>SUM(CI85:CI86)</f>
        <v>1.0605617717374116e-11</v>
      </c>
      <c r="CJ88" s="168">
        <f>SUM(CJ85:CJ86)</f>
        <v>1.037506081047468e-11</v>
      </c>
      <c r="CK88" s="168">
        <f>SUM(CK85:CK86)</f>
        <v>1.0490339263924398e-11</v>
      </c>
      <c r="CL88" s="168">
        <f>SUM(CL85:CL86)</f>
        <v>1.0605617717374116e-11</v>
      </c>
      <c r="CM88" s="168">
        <f>SUM(CM85:CM86)</f>
        <v>1.0605617717374116e-11</v>
      </c>
      <c r="CN88" s="168">
        <f>SUM(CN85:CN86)</f>
        <v>1.037506081047468e-11</v>
      </c>
      <c r="CO88" s="168">
        <f>SUM(CO85:CO86)</f>
        <v>1.0490339263924398e-11</v>
      </c>
    </row>
    <row r="89">
      <c r="E89" s="168" t="inlineStr">
        <is>
          <t>Debt service period flag</t>
        </is>
      </c>
      <c r="F89" s="168" t="n"/>
      <c r="G89" s="168" t="inlineStr">
        <is>
          <t>flag</t>
        </is>
      </c>
      <c r="H89" s="168">
        <f> SUM(J89:CO89)</f>
        <v>33.0</v>
      </c>
      <c r="I89" s="168" t="n"/>
      <c r="J89" s="168">
        <f>IF(J88&gt;CHK_TOL,1,0)</f>
        <v>0.0</v>
      </c>
      <c r="K89" s="168">
        <f>IF(K88&gt;CHK_TOL,1,0)</f>
        <v>0.0</v>
      </c>
      <c r="L89" s="168">
        <f>IF(L88&gt;CHK_TOL,1,0)</f>
        <v>1.0</v>
      </c>
      <c r="M89" s="168">
        <f>IF(M88&gt;CHK_TOL,1,0)</f>
        <v>1.0</v>
      </c>
      <c r="N89" s="168">
        <f>IF(N88&gt;CHK_TOL,1,0)</f>
        <v>1.0</v>
      </c>
      <c r="O89" s="168">
        <f>IF(O88&gt;CHK_TOL,1,0)</f>
        <v>1.0</v>
      </c>
      <c r="P89" s="168">
        <f>IF(P88&gt;CHK_TOL,1,0)</f>
        <v>1.0</v>
      </c>
      <c r="Q89" s="168">
        <f>IF(Q88&gt;CHK_TOL,1,0)</f>
        <v>1.0</v>
      </c>
      <c r="R89" s="168">
        <f>IF(R88&gt;CHK_TOL,1,0)</f>
        <v>1.0</v>
      </c>
      <c r="S89" s="168">
        <f>IF(S88&gt;CHK_TOL,1,0)</f>
        <v>1.0</v>
      </c>
      <c r="T89" s="168">
        <f>IF(T88&gt;CHK_TOL,1,0)</f>
        <v>1.0</v>
      </c>
      <c r="U89" s="168">
        <f>IF(U88&gt;CHK_TOL,1,0)</f>
        <v>1.0</v>
      </c>
      <c r="V89" s="168">
        <f>IF(V88&gt;CHK_TOL,1,0)</f>
        <v>1.0</v>
      </c>
      <c r="W89" s="168">
        <f>IF(W88&gt;CHK_TOL,1,0)</f>
        <v>1.0</v>
      </c>
      <c r="X89" s="168">
        <f>IF(X88&gt;CHK_TOL,1,0)</f>
        <v>1.0</v>
      </c>
      <c r="Y89" s="168">
        <f>IF(Y88&gt;CHK_TOL,1,0)</f>
        <v>1.0</v>
      </c>
      <c r="Z89" s="168">
        <f>IF(Z88&gt;CHK_TOL,1,0)</f>
        <v>1.0</v>
      </c>
      <c r="AA89" s="168">
        <f>IF(AA88&gt;CHK_TOL,1,0)</f>
        <v>1.0</v>
      </c>
      <c r="AB89" s="168">
        <f>IF(AB88&gt;CHK_TOL,1,0)</f>
        <v>1.0</v>
      </c>
      <c r="AC89" s="168">
        <f>IF(AC88&gt;CHK_TOL,1,0)</f>
        <v>1.0</v>
      </c>
      <c r="AD89" s="168">
        <f>IF(AD88&gt;CHK_TOL,1,0)</f>
        <v>1.0</v>
      </c>
      <c r="AE89" s="168">
        <f>IF(AE88&gt;CHK_TOL,1,0)</f>
        <v>1.0</v>
      </c>
      <c r="AF89" s="168">
        <f>IF(AF88&gt;CHK_TOL,1,0)</f>
        <v>1.0</v>
      </c>
      <c r="AG89" s="168">
        <f>IF(AG88&gt;CHK_TOL,1,0)</f>
        <v>1.0</v>
      </c>
      <c r="AH89" s="168">
        <f>IF(AH88&gt;CHK_TOL,1,0)</f>
        <v>1.0</v>
      </c>
      <c r="AI89" s="168">
        <f>IF(AI88&gt;CHK_TOL,1,0)</f>
        <v>1.0</v>
      </c>
      <c r="AJ89" s="168">
        <f>IF(AJ88&gt;CHK_TOL,1,0)</f>
        <v>1.0</v>
      </c>
      <c r="AK89" s="168">
        <f>IF(AK88&gt;CHK_TOL,1,0)</f>
        <v>1.0</v>
      </c>
      <c r="AL89" s="168">
        <f>IF(AL88&gt;CHK_TOL,1,0)</f>
        <v>1.0</v>
      </c>
      <c r="AM89" s="168">
        <f>IF(AM88&gt;CHK_TOL,1,0)</f>
        <v>1.0</v>
      </c>
      <c r="AN89" s="168">
        <f>IF(AN88&gt;CHK_TOL,1,0)</f>
        <v>1.0</v>
      </c>
      <c r="AO89" s="168">
        <f>IF(AO88&gt;CHK_TOL,1,0)</f>
        <v>1.0</v>
      </c>
      <c r="AP89" s="168">
        <f>IF(AP88&gt;CHK_TOL,1,0)</f>
        <v>1.0</v>
      </c>
      <c r="AQ89" s="168">
        <f>IF(AQ88&gt;CHK_TOL,1,0)</f>
        <v>1.0</v>
      </c>
      <c r="AR89" s="168">
        <f>IF(AR88&gt;CHK_TOL,1,0)</f>
        <v>1.0</v>
      </c>
      <c r="AS89" s="168">
        <f>IF(AS88&gt;CHK_TOL,1,0)</f>
        <v>0.0</v>
      </c>
      <c r="AT89" s="168">
        <f>IF(AT88&gt;CHK_TOL,1,0)</f>
        <v>0.0</v>
      </c>
      <c r="AU89" s="168">
        <f>IF(AU88&gt;CHK_TOL,1,0)</f>
        <v>0.0</v>
      </c>
      <c r="AV89" s="168">
        <f>IF(AV88&gt;CHK_TOL,1,0)</f>
        <v>0.0</v>
      </c>
      <c r="AW89" s="168">
        <f>IF(AW88&gt;CHK_TOL,1,0)</f>
        <v>0.0</v>
      </c>
      <c r="AX89" s="168">
        <f>IF(AX88&gt;CHK_TOL,1,0)</f>
        <v>0.0</v>
      </c>
      <c r="AY89" s="168">
        <f>IF(AY88&gt;CHK_TOL,1,0)</f>
        <v>0.0</v>
      </c>
      <c r="AZ89" s="168">
        <f>IF(AZ88&gt;CHK_TOL,1,0)</f>
        <v>0.0</v>
      </c>
      <c r="BA89" s="168">
        <f>IF(BA88&gt;CHK_TOL,1,0)</f>
        <v>0.0</v>
      </c>
      <c r="BB89" s="168">
        <f>IF(BB88&gt;CHK_TOL,1,0)</f>
        <v>0.0</v>
      </c>
      <c r="BC89" s="168">
        <f>IF(BC88&gt;CHK_TOL,1,0)</f>
        <v>0.0</v>
      </c>
      <c r="BD89" s="168">
        <f>IF(BD88&gt;CHK_TOL,1,0)</f>
        <v>0.0</v>
      </c>
      <c r="BE89" s="168">
        <f>IF(BE88&gt;CHK_TOL,1,0)</f>
        <v>0.0</v>
      </c>
      <c r="BF89" s="168">
        <f>IF(BF88&gt;CHK_TOL,1,0)</f>
        <v>0.0</v>
      </c>
      <c r="BG89" s="168">
        <f>IF(BG88&gt;CHK_TOL,1,0)</f>
        <v>0.0</v>
      </c>
      <c r="BH89" s="168">
        <f>IF(BH88&gt;CHK_TOL,1,0)</f>
        <v>0.0</v>
      </c>
      <c r="BI89" s="168">
        <f>IF(BI88&gt;CHK_TOL,1,0)</f>
        <v>0.0</v>
      </c>
      <c r="BJ89" s="168">
        <f>IF(BJ88&gt;CHK_TOL,1,0)</f>
        <v>0.0</v>
      </c>
      <c r="BK89" s="168">
        <f>IF(BK88&gt;CHK_TOL,1,0)</f>
        <v>0.0</v>
      </c>
      <c r="BL89" s="168">
        <f>IF(BL88&gt;CHK_TOL,1,0)</f>
        <v>0.0</v>
      </c>
      <c r="BM89" s="168">
        <f>IF(BM88&gt;CHK_TOL,1,0)</f>
        <v>0.0</v>
      </c>
      <c r="BN89" s="168">
        <f>IF(BN88&gt;CHK_TOL,1,0)</f>
        <v>0.0</v>
      </c>
      <c r="BO89" s="168">
        <f>IF(BO88&gt;CHK_TOL,1,0)</f>
        <v>0.0</v>
      </c>
      <c r="BP89" s="168">
        <f>IF(BP88&gt;CHK_TOL,1,0)</f>
        <v>0.0</v>
      </c>
      <c r="BQ89" s="168">
        <f>IF(BQ88&gt;CHK_TOL,1,0)</f>
        <v>0.0</v>
      </c>
      <c r="BR89" s="168">
        <f>IF(BR88&gt;CHK_TOL,1,0)</f>
        <v>0.0</v>
      </c>
      <c r="BS89" s="168">
        <f>IF(BS88&gt;CHK_TOL,1,0)</f>
        <v>0.0</v>
      </c>
      <c r="BT89" s="168">
        <f>IF(BT88&gt;CHK_TOL,1,0)</f>
        <v>0.0</v>
      </c>
      <c r="BU89" s="168">
        <f>IF(BU88&gt;CHK_TOL,1,0)</f>
        <v>0.0</v>
      </c>
      <c r="BV89" s="168">
        <f>IF(BV88&gt;CHK_TOL,1,0)</f>
        <v>0.0</v>
      </c>
      <c r="BW89" s="168">
        <f>IF(BW88&gt;CHK_TOL,1,0)</f>
        <v>0.0</v>
      </c>
      <c r="BX89" s="168">
        <f>IF(BX88&gt;CHK_TOL,1,0)</f>
        <v>0.0</v>
      </c>
      <c r="BY89" s="168">
        <f>IF(BY88&gt;CHK_TOL,1,0)</f>
        <v>0.0</v>
      </c>
      <c r="BZ89" s="168">
        <f>IF(BZ88&gt;CHK_TOL,1,0)</f>
        <v>0.0</v>
      </c>
      <c r="CA89" s="168">
        <f>IF(CA88&gt;CHK_TOL,1,0)</f>
        <v>0.0</v>
      </c>
      <c r="CB89" s="168">
        <f>IF(CB88&gt;CHK_TOL,1,0)</f>
        <v>0.0</v>
      </c>
      <c r="CC89" s="168">
        <f>IF(CC88&gt;CHK_TOL,1,0)</f>
        <v>0.0</v>
      </c>
      <c r="CD89" s="168">
        <f>IF(CD88&gt;CHK_TOL,1,0)</f>
        <v>0.0</v>
      </c>
      <c r="CE89" s="168">
        <f>IF(CE88&gt;CHK_TOL,1,0)</f>
        <v>0.0</v>
      </c>
      <c r="CF89" s="168">
        <f>IF(CF88&gt;CHK_TOL,1,0)</f>
        <v>0.0</v>
      </c>
      <c r="CG89" s="168">
        <f>IF(CG88&gt;CHK_TOL,1,0)</f>
        <v>0.0</v>
      </c>
      <c r="CH89" s="168">
        <f>IF(CH88&gt;CHK_TOL,1,0)</f>
        <v>0.0</v>
      </c>
      <c r="CI89" s="168">
        <f>IF(CI88&gt;CHK_TOL,1,0)</f>
        <v>0.0</v>
      </c>
      <c r="CJ89" s="168">
        <f>IF(CJ88&gt;CHK_TOL,1,0)</f>
        <v>0.0</v>
      </c>
      <c r="CK89" s="168">
        <f>IF(CK88&gt;CHK_TOL,1,0)</f>
        <v>0.0</v>
      </c>
      <c r="CL89" s="168">
        <f>IF(CL88&gt;CHK_TOL,1,0)</f>
        <v>0.0</v>
      </c>
      <c r="CM89" s="168">
        <f>IF(CM88&gt;CHK_TOL,1,0)</f>
        <v>0.0</v>
      </c>
      <c r="CN89" s="168">
        <f>IF(CN88&gt;CHK_TOL,1,0)</f>
        <v>0.0</v>
      </c>
      <c r="CO89" s="168">
        <f>IF(CO88&gt;CHK_TOL,1,0)</f>
        <v>0.0</v>
      </c>
    </row>
    <row r="90">
      <c r="E90" s="168" t="inlineStr">
        <is>
          <t>DSCR (CFADS / debt service)</t>
        </is>
      </c>
      <c r="F90" s="168" t="n"/>
      <c r="G90" s="168" t="inlineStr">
        <is>
          <t>x</t>
        </is>
      </c>
      <c r="H90" s="168" t="n"/>
      <c r="I90" s="168" t="n"/>
      <c r="J90" s="400">
        <f>IF(J89=1,J87/J88,0)</f>
        <v>0.0</v>
      </c>
      <c r="K90" s="400">
        <f>IF(K89=1,K87/K88,0)</f>
        <v>0.0</v>
      </c>
      <c r="L90" s="400">
        <f>IF(L89=1,L87/L88,0)</f>
        <v>5.428330116001287</v>
      </c>
      <c r="M90" s="400">
        <f>IF(M89=1,M87/M88,0)</f>
        <v>5.572871838329371</v>
      </c>
      <c r="N90" s="400">
        <f>IF(N89=1,N87/N88,0)</f>
        <v>5.633225843945459</v>
      </c>
      <c r="O90" s="400">
        <f>IF(O89=1,O87/O88,0)</f>
        <v>1.8142337252202207</v>
      </c>
      <c r="P90" s="400">
        <f>IF(P89=1,P87/P88,0)</f>
        <v>1.885895872576447</v>
      </c>
      <c r="Q90" s="400">
        <f>IF(Q89=1,Q87/Q88,0)</f>
        <v>1.841902718227934</v>
      </c>
      <c r="R90" s="400">
        <f>IF(R89=1,R87/R88,0)</f>
        <v>1.9088551448809628</v>
      </c>
      <c r="S90" s="400">
        <f>IF(S89=1,S87/S88,0)</f>
        <v>1.1663261671210836</v>
      </c>
      <c r="T90" s="400">
        <f>IF(T89=1,T87/T88,0)</f>
        <v>2.0014251306946518</v>
      </c>
      <c r="U90" s="400">
        <f>IF(U89=1,U87/U88,0)</f>
        <v>1.9860199683289699</v>
      </c>
      <c r="V90" s="400">
        <f>IF(V89=1,V87/V88,0)</f>
        <v>2.0652205736105556</v>
      </c>
      <c r="W90" s="400">
        <f>IF(W89=1,W87/W88,0)</f>
        <v>1.6517890430957711</v>
      </c>
      <c r="X90" s="400">
        <f>IF(X89=1,X87/X88,0)</f>
        <v>2.114301968669051</v>
      </c>
      <c r="Y90" s="400">
        <f>IF(Y89=1,Y87/Y88,0)</f>
        <v>2.066625031698452</v>
      </c>
      <c r="Z90" s="400">
        <f>IF(Z89=1,Z87/Z88,0)</f>
        <v>2.15096113057402</v>
      </c>
      <c r="AA90" s="400">
        <f>IF(AA89=1,AA87/AA88,0)</f>
        <v>1.5221487422210425</v>
      </c>
      <c r="AB90" s="400">
        <f>IF(AB89=1,AB87/AB88,0)</f>
        <v>2.208014343970974</v>
      </c>
      <c r="AC90" s="400">
        <f>IF(AC89=1,AC87/AC88,0)</f>
        <v>2.161016294562172</v>
      </c>
      <c r="AD90" s="400">
        <f>IF(AD89=1,AD87/AD88,0)</f>
        <v>2.3731500754689403</v>
      </c>
      <c r="AE90" s="400">
        <f>IF(AE89=1,AE87/AE88,0)</f>
        <v>1.9859480312054874</v>
      </c>
      <c r="AF90" s="400">
        <f>IF(AF89=1,AF87/AF88,0)</f>
        <v>2.5129335720049224</v>
      </c>
      <c r="AG90" s="400">
        <f>IF(AG89=1,AG87/AG88,0)</f>
        <v>2.4704978508451845</v>
      </c>
      <c r="AH90" s="400">
        <f>IF(AH89=1,AH87/AH88,0)</f>
        <v>2.5859364434135914</v>
      </c>
      <c r="AI90" s="400">
        <f>IF(AI89=1,AI87/AI88,0)</f>
        <v>2.3193289021781616</v>
      </c>
      <c r="AJ90" s="400">
        <f>IF(AJ89=1,AJ87/AJ88,0)</f>
        <v>2.6641040213633524</v>
      </c>
      <c r="AK90" s="400">
        <f>IF(AK89=1,AK87/AK88,0)</f>
        <v>2.6185997168274233</v>
      </c>
      <c r="AL90" s="400">
        <f>IF(AL89=1,AL87/AL88,0)</f>
        <v>2.753732169361927</v>
      </c>
      <c r="AM90" s="400">
        <f>IF(AM89=1,AM87/AM88,0)</f>
        <v>2.3793159026815807</v>
      </c>
      <c r="AN90" s="400">
        <f>IF(AN89=1,AN87/AN88,0)</f>
        <v>3.0752515902489956</v>
      </c>
      <c r="AO90" s="400">
        <f>IF(AO89=1,AO87/AO88,0)</f>
        <v>3.041102755925592</v>
      </c>
      <c r="AP90" s="400">
        <f>IF(AP89=1,AP87/AP88,0)</f>
        <v>3.198420485377322</v>
      </c>
      <c r="AQ90" s="400">
        <f>IF(AQ89=1,AQ87/AQ88,0)</f>
        <v>2.662023621012341</v>
      </c>
      <c r="AR90" s="400">
        <f>IF(AR89=1,AR87/AR88,0)</f>
        <v>3.313331972546295</v>
      </c>
      <c r="AS90" s="400">
        <f>IF(AS89=1,AS87/AS88,0)</f>
        <v>0.0</v>
      </c>
      <c r="AT90" s="400">
        <f>IF(AT89=1,AT87/AT88,0)</f>
        <v>0.0</v>
      </c>
      <c r="AU90" s="400">
        <f>IF(AU89=1,AU87/AU88,0)</f>
        <v>0.0</v>
      </c>
      <c r="AV90" s="400">
        <f>IF(AV89=1,AV87/AV88,0)</f>
        <v>0.0</v>
      </c>
      <c r="AW90" s="400">
        <f>IF(AW89=1,AW87/AW88,0)</f>
        <v>0.0</v>
      </c>
      <c r="AX90" s="400">
        <f>IF(AX89=1,AX87/AX88,0)</f>
        <v>0.0</v>
      </c>
      <c r="AY90" s="400">
        <f>IF(AY89=1,AY87/AY88,0)</f>
        <v>0.0</v>
      </c>
      <c r="AZ90" s="400">
        <f>IF(AZ89=1,AZ87/AZ88,0)</f>
        <v>0.0</v>
      </c>
      <c r="BA90" s="400">
        <f>IF(BA89=1,BA87/BA88,0)</f>
        <v>0.0</v>
      </c>
      <c r="BB90" s="400">
        <f>IF(BB89=1,BB87/BB88,0)</f>
        <v>0.0</v>
      </c>
      <c r="BC90" s="400">
        <f>IF(BC89=1,BC87/BC88,0)</f>
        <v>0.0</v>
      </c>
      <c r="BD90" s="400">
        <f>IF(BD89=1,BD87/BD88,0)</f>
        <v>0.0</v>
      </c>
      <c r="BE90" s="400">
        <f>IF(BE89=1,BE87/BE88,0)</f>
        <v>0.0</v>
      </c>
      <c r="BF90" s="400">
        <f>IF(BF89=1,BF87/BF88,0)</f>
        <v>0.0</v>
      </c>
      <c r="BG90" s="400">
        <f>IF(BG89=1,BG87/BG88,0)</f>
        <v>0.0</v>
      </c>
      <c r="BH90" s="400">
        <f>IF(BH89=1,BH87/BH88,0)</f>
        <v>0.0</v>
      </c>
      <c r="BI90" s="400">
        <f>IF(BI89=1,BI87/BI88,0)</f>
        <v>0.0</v>
      </c>
      <c r="BJ90" s="400">
        <f>IF(BJ89=1,BJ87/BJ88,0)</f>
        <v>0.0</v>
      </c>
      <c r="BK90" s="400">
        <f>IF(BK89=1,BK87/BK88,0)</f>
        <v>0.0</v>
      </c>
      <c r="BL90" s="400">
        <f>IF(BL89=1,BL87/BL88,0)</f>
        <v>0.0</v>
      </c>
      <c r="BM90" s="400">
        <f>IF(BM89=1,BM87/BM88,0)</f>
        <v>0.0</v>
      </c>
      <c r="BN90" s="400">
        <f>IF(BN89=1,BN87/BN88,0)</f>
        <v>0.0</v>
      </c>
      <c r="BO90" s="400">
        <f>IF(BO89=1,BO87/BO88,0)</f>
        <v>0.0</v>
      </c>
      <c r="BP90" s="400">
        <f>IF(BP89=1,BP87/BP88,0)</f>
        <v>0.0</v>
      </c>
      <c r="BQ90" s="400">
        <f>IF(BQ89=1,BQ87/BQ88,0)</f>
        <v>0.0</v>
      </c>
      <c r="BR90" s="400">
        <f>IF(BR89=1,BR87/BR88,0)</f>
        <v>0.0</v>
      </c>
      <c r="BS90" s="400">
        <f>IF(BS89=1,BS87/BS88,0)</f>
        <v>0.0</v>
      </c>
      <c r="BT90" s="400">
        <f>IF(BT89=1,BT87/BT88,0)</f>
        <v>0.0</v>
      </c>
      <c r="BU90" s="400">
        <f>IF(BU89=1,BU87/BU88,0)</f>
        <v>0.0</v>
      </c>
      <c r="BV90" s="400">
        <f>IF(BV89=1,BV87/BV88,0)</f>
        <v>0.0</v>
      </c>
      <c r="BW90" s="400">
        <f>IF(BW89=1,BW87/BW88,0)</f>
        <v>0.0</v>
      </c>
      <c r="BX90" s="400">
        <f>IF(BX89=1,BX87/BX88,0)</f>
        <v>0.0</v>
      </c>
      <c r="BY90" s="400">
        <f>IF(BY89=1,BY87/BY88,0)</f>
        <v>0.0</v>
      </c>
      <c r="BZ90" s="400">
        <f>IF(BZ89=1,BZ87/BZ88,0)</f>
        <v>0.0</v>
      </c>
      <c r="CA90" s="400">
        <f>IF(CA89=1,CA87/CA88,0)</f>
        <v>0.0</v>
      </c>
      <c r="CB90" s="400">
        <f>IF(CB89=1,CB87/CB88,0)</f>
        <v>0.0</v>
      </c>
      <c r="CC90" s="400">
        <f>IF(CC89=1,CC87/CC88,0)</f>
        <v>0.0</v>
      </c>
      <c r="CD90" s="400">
        <f>IF(CD89=1,CD87/CD88,0)</f>
        <v>0.0</v>
      </c>
      <c r="CE90" s="400">
        <f>IF(CE89=1,CE87/CE88,0)</f>
        <v>0.0</v>
      </c>
      <c r="CF90" s="400">
        <f>IF(CF89=1,CF87/CF88,0)</f>
        <v>0.0</v>
      </c>
      <c r="CG90" s="400">
        <f>IF(CG89=1,CG87/CG88,0)</f>
        <v>0.0</v>
      </c>
      <c r="CH90" s="400">
        <f>IF(CH89=1,CH87/CH88,0)</f>
        <v>0.0</v>
      </c>
      <c r="CI90" s="400">
        <f>IF(CI89=1,CI87/CI88,0)</f>
        <v>0.0</v>
      </c>
      <c r="CJ90" s="400">
        <f>IF(CJ89=1,CJ87/CJ88,0)</f>
        <v>0.0</v>
      </c>
      <c r="CK90" s="400">
        <f>IF(CK89=1,CK87/CK88,0)</f>
        <v>0.0</v>
      </c>
      <c r="CL90" s="400">
        <f>IF(CL89=1,CL87/CL88,0)</f>
        <v>0.0</v>
      </c>
      <c r="CM90" s="400">
        <f>IF(CM89=1,CM87/CM88,0)</f>
        <v>0.0</v>
      </c>
      <c r="CN90" s="400">
        <f>IF(CN89=1,CN87/CN88,0)</f>
        <v>0.0</v>
      </c>
      <c r="CO90" s="400">
        <f>IF(CO89=1,CO87/CO88,0)</f>
        <v>0.0</v>
      </c>
    </row>
    <row r="91">
      <c r="E91" s="169" t="n"/>
      <c r="F91" s="7" t="n"/>
      <c r="G91" s="169"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c r="BA91" s="7" t="n"/>
      <c r="BB91" s="7" t="n"/>
      <c r="BC91" s="7" t="n"/>
      <c r="BD91" s="7" t="n"/>
      <c r="BE91" s="7" t="n"/>
      <c r="BF91" s="7" t="n"/>
      <c r="BG91" s="7" t="n"/>
      <c r="BH91" s="7" t="n"/>
      <c r="BI91" s="7" t="n"/>
      <c r="BJ91" s="7" t="n"/>
      <c r="BK91" s="7" t="n"/>
      <c r="BL91" s="7" t="n"/>
      <c r="BM91" s="7" t="n"/>
      <c r="BN91" s="7" t="n"/>
      <c r="BO91" s="7" t="n"/>
      <c r="BP91" s="7" t="n"/>
      <c r="BQ91" s="7" t="n"/>
      <c r="BR91" s="7" t="n"/>
      <c r="BS91" s="7" t="n"/>
      <c r="BT91" s="7" t="n"/>
      <c r="BU91" s="7" t="n"/>
      <c r="BV91" s="7" t="n"/>
      <c r="BW91" s="7" t="n"/>
      <c r="BX91" s="7" t="n"/>
      <c r="BY91" s="7" t="n"/>
      <c r="BZ91" s="7" t="n"/>
      <c r="CA91" s="7" t="n"/>
      <c r="CB91" s="7" t="n"/>
      <c r="CC91" s="7" t="n"/>
      <c r="CD91" s="7" t="n"/>
      <c r="CE91" s="7" t="n"/>
      <c r="CF91" s="7" t="n"/>
      <c r="CG91" s="7" t="n"/>
      <c r="CH91" s="7" t="n"/>
      <c r="CI91" s="7" t="n"/>
      <c r="CJ91" s="7" t="n"/>
      <c r="CK91" s="7" t="n"/>
      <c r="CL91" s="7" t="n"/>
      <c r="CM91" s="7" t="n"/>
      <c r="CN91" s="7" t="n"/>
      <c r="CO91" s="7" t="n"/>
    </row>
    <row r="92">
      <c r="E92" s="168" t="inlineStr">
        <is>
          <t>Minimum DSCR</t>
        </is>
      </c>
      <c r="F92" s="401">
        <f>_xlfn.MINIFS(J90:CO90,J89:CO89,1)</f>
        <v>1.1663261671210836</v>
      </c>
      <c r="G92" s="168" t="inlineStr">
        <is>
          <t>x</t>
        </is>
      </c>
      <c r="H92" s="168" t="n"/>
      <c r="I92" s="168" t="n"/>
      <c r="J92" s="168" t="n"/>
      <c r="K92" s="168" t="n"/>
      <c r="L92" s="168" t="n"/>
      <c r="M92" s="168" t="n"/>
      <c r="N92" s="168" t="n"/>
      <c r="O92" s="168" t="n"/>
      <c r="P92" s="168" t="n"/>
      <c r="Q92" s="168" t="n"/>
      <c r="R92" s="168" t="n"/>
      <c r="S92" s="168" t="n"/>
      <c r="T92" s="168" t="n"/>
      <c r="U92" s="168" t="n"/>
      <c r="V92" s="168" t="n"/>
      <c r="W92" s="168" t="n"/>
      <c r="X92" s="168" t="n"/>
      <c r="Y92" s="168" t="n"/>
      <c r="Z92" s="168" t="n"/>
      <c r="AA92" s="168" t="n"/>
      <c r="AB92" s="168" t="n"/>
      <c r="AC92" s="168" t="n"/>
      <c r="AD92" s="168" t="n"/>
      <c r="AE92" s="168" t="n"/>
      <c r="AF92" s="168" t="n"/>
      <c r="AG92" s="168" t="n"/>
      <c r="AH92" s="168" t="n"/>
      <c r="AI92" s="168" t="n"/>
      <c r="AJ92" s="168" t="n"/>
      <c r="AK92" s="168" t="n"/>
      <c r="AL92" s="168" t="n"/>
      <c r="AM92" s="168" t="n"/>
      <c r="AN92" s="168" t="n"/>
      <c r="AO92" s="168" t="n"/>
      <c r="AP92" s="168" t="n"/>
      <c r="AQ92" s="168" t="n"/>
      <c r="AR92" s="168" t="n"/>
      <c r="AS92" s="168" t="n"/>
      <c r="AT92" s="168" t="n"/>
      <c r="AU92" s="168" t="n"/>
      <c r="AV92" s="168" t="n"/>
      <c r="AW92" s="168" t="n"/>
      <c r="AX92" s="168" t="n"/>
      <c r="AY92" s="168" t="n"/>
      <c r="AZ92" s="168" t="n"/>
      <c r="BA92" s="168" t="n"/>
      <c r="BB92" s="168" t="n"/>
      <c r="BC92" s="168" t="n"/>
      <c r="BD92" s="168" t="n"/>
      <c r="BE92" s="168" t="n"/>
      <c r="BF92" s="168" t="n"/>
      <c r="BG92" s="168" t="n"/>
      <c r="BH92" s="168" t="n"/>
      <c r="BI92" s="168" t="n"/>
      <c r="BJ92" s="168" t="n"/>
      <c r="BK92" s="168" t="n"/>
      <c r="BL92" s="168" t="n"/>
      <c r="BM92" s="168" t="n"/>
      <c r="BN92" s="168" t="n"/>
      <c r="BO92" s="168" t="n"/>
      <c r="BP92" s="168" t="n"/>
      <c r="BQ92" s="168" t="n"/>
      <c r="BR92" s="168" t="n"/>
      <c r="BS92" s="168" t="n"/>
      <c r="BT92" s="168" t="n"/>
      <c r="BU92" s="168" t="n"/>
      <c r="BV92" s="168" t="n"/>
      <c r="BW92" s="168" t="n"/>
      <c r="BX92" s="168" t="n"/>
      <c r="BY92" s="168" t="n"/>
      <c r="BZ92" s="168" t="n"/>
      <c r="CA92" s="168" t="n"/>
      <c r="CB92" s="168" t="n"/>
      <c r="CC92" s="168" t="n"/>
      <c r="CD92" s="168" t="n"/>
      <c r="CE92" s="168" t="n"/>
      <c r="CF92" s="168" t="n"/>
      <c r="CG92" s="168" t="n"/>
      <c r="CH92" s="168" t="n"/>
      <c r="CI92" s="168" t="n"/>
      <c r="CJ92" s="168" t="n"/>
      <c r="CK92" s="168" t="n"/>
      <c r="CL92" s="168" t="n"/>
      <c r="CM92" s="168" t="n"/>
      <c r="CN92" s="168" t="n"/>
      <c r="CO92" s="168" t="n"/>
    </row>
    <row r="93">
      <c r="E93" s="168" t="inlineStr">
        <is>
          <t>Average DSCR</t>
        </is>
      </c>
      <c r="F93" s="401">
        <f>AVERAGEIFS(J90:CO90,J89:CO89,1)</f>
        <v>2.579783053460289</v>
      </c>
      <c r="G93" s="168" t="inlineStr">
        <is>
          <t>x</t>
        </is>
      </c>
      <c r="H93" s="168" t="n"/>
      <c r="I93" s="168" t="n"/>
      <c r="J93" s="168" t="n"/>
      <c r="K93" s="168" t="n"/>
      <c r="L93" s="168" t="n"/>
      <c r="M93" s="168" t="n"/>
      <c r="N93" s="168" t="n"/>
      <c r="O93" s="168" t="n"/>
      <c r="P93" s="168" t="n"/>
      <c r="Q93" s="168" t="n"/>
      <c r="R93" s="168" t="n"/>
      <c r="S93" s="168" t="n"/>
      <c r="T93" s="168" t="n"/>
      <c r="U93" s="168" t="n"/>
      <c r="V93" s="168" t="n"/>
      <c r="W93" s="168" t="n"/>
      <c r="X93" s="168" t="n"/>
      <c r="Y93" s="168" t="n"/>
      <c r="Z93" s="168" t="n"/>
      <c r="AA93" s="168" t="n"/>
      <c r="AB93" s="168" t="n"/>
      <c r="AC93" s="168" t="n"/>
      <c r="AD93" s="168" t="n"/>
      <c r="AE93" s="168" t="n"/>
      <c r="AF93" s="168" t="n"/>
      <c r="AG93" s="168" t="n"/>
      <c r="AH93" s="168" t="n"/>
      <c r="AI93" s="168" t="n"/>
      <c r="AJ93" s="168" t="n"/>
      <c r="AK93" s="168" t="n"/>
      <c r="AL93" s="168" t="n"/>
      <c r="AM93" s="168" t="n"/>
      <c r="AN93" s="168" t="n"/>
      <c r="AO93" s="168" t="n"/>
      <c r="AP93" s="168" t="n"/>
      <c r="AQ93" s="168" t="n"/>
      <c r="AR93" s="168" t="n"/>
      <c r="AS93" s="168" t="n"/>
      <c r="AT93" s="168" t="n"/>
      <c r="AU93" s="168" t="n"/>
      <c r="AV93" s="168" t="n"/>
      <c r="AW93" s="168" t="n"/>
      <c r="AX93" s="168" t="n"/>
      <c r="AY93" s="168" t="n"/>
      <c r="AZ93" s="168" t="n"/>
      <c r="BA93" s="168" t="n"/>
      <c r="BB93" s="168" t="n"/>
      <c r="BC93" s="168" t="n"/>
      <c r="BD93" s="168" t="n"/>
      <c r="BE93" s="168" t="n"/>
      <c r="BF93" s="168" t="n"/>
      <c r="BG93" s="168" t="n"/>
      <c r="BH93" s="168" t="n"/>
      <c r="BI93" s="168" t="n"/>
      <c r="BJ93" s="168" t="n"/>
      <c r="BK93" s="168" t="n"/>
      <c r="BL93" s="168" t="n"/>
      <c r="BM93" s="168" t="n"/>
      <c r="BN93" s="168" t="n"/>
      <c r="BO93" s="168" t="n"/>
      <c r="BP93" s="168" t="n"/>
      <c r="BQ93" s="168" t="n"/>
      <c r="BR93" s="168" t="n"/>
      <c r="BS93" s="168" t="n"/>
      <c r="BT93" s="168" t="n"/>
      <c r="BU93" s="168" t="n"/>
      <c r="BV93" s="168" t="n"/>
      <c r="BW93" s="168" t="n"/>
      <c r="BX93" s="168" t="n"/>
      <c r="BY93" s="168" t="n"/>
      <c r="BZ93" s="168" t="n"/>
      <c r="CA93" s="168" t="n"/>
      <c r="CB93" s="168" t="n"/>
      <c r="CC93" s="168" t="n"/>
      <c r="CD93" s="168" t="n"/>
      <c r="CE93" s="168" t="n"/>
      <c r="CF93" s="168" t="n"/>
      <c r="CG93" s="168" t="n"/>
      <c r="CH93" s="168" t="n"/>
      <c r="CI93" s="168" t="n"/>
      <c r="CJ93" s="168" t="n"/>
      <c r="CK93" s="168" t="n"/>
      <c r="CL93" s="168" t="n"/>
      <c r="CM93" s="168" t="n"/>
      <c r="CN93" s="168" t="n"/>
      <c r="CO93" s="168" t="n"/>
    </row>
    <row r="94">
      <c r="E94" s="168" t="inlineStr">
        <is>
          <t>Whole-life cover (CFADS / debt service)</t>
        </is>
      </c>
      <c r="F94" s="401">
        <f>IF(H88=0,0,H87/H88)</f>
        <v>7.437942299601365</v>
      </c>
      <c r="G94" s="168" t="inlineStr">
        <is>
          <t>x</t>
        </is>
      </c>
      <c r="H94" s="168" t="n"/>
      <c r="I94" s="168" t="n"/>
      <c r="J94" s="168" t="n"/>
      <c r="K94" s="168" t="n"/>
      <c r="L94" s="168" t="n"/>
      <c r="M94" s="168" t="n"/>
      <c r="N94" s="168" t="n"/>
      <c r="O94" s="168" t="n"/>
      <c r="P94" s="168" t="n"/>
      <c r="Q94" s="168" t="n"/>
      <c r="R94" s="168" t="n"/>
      <c r="S94" s="168" t="n"/>
      <c r="T94" s="168" t="n"/>
      <c r="U94" s="168" t="n"/>
      <c r="V94" s="168" t="n"/>
      <c r="W94" s="168" t="n"/>
      <c r="X94" s="168" t="n"/>
      <c r="Y94" s="168" t="n"/>
      <c r="Z94" s="168" t="n"/>
      <c r="AA94" s="168" t="n"/>
      <c r="AB94" s="168" t="n"/>
      <c r="AC94" s="168" t="n"/>
      <c r="AD94" s="168" t="n"/>
      <c r="AE94" s="168" t="n"/>
      <c r="AF94" s="168" t="n"/>
      <c r="AG94" s="168" t="n"/>
      <c r="AH94" s="168" t="n"/>
      <c r="AI94" s="168" t="n"/>
      <c r="AJ94" s="168" t="n"/>
      <c r="AK94" s="168" t="n"/>
      <c r="AL94" s="168" t="n"/>
      <c r="AM94" s="168" t="n"/>
      <c r="AN94" s="168" t="n"/>
      <c r="AO94" s="168" t="n"/>
      <c r="AP94" s="168" t="n"/>
      <c r="AQ94" s="168" t="n"/>
      <c r="AR94" s="168" t="n"/>
      <c r="AS94" s="168" t="n"/>
      <c r="AT94" s="168" t="n"/>
      <c r="AU94" s="168" t="n"/>
      <c r="AV94" s="168" t="n"/>
      <c r="AW94" s="168" t="n"/>
      <c r="AX94" s="168" t="n"/>
      <c r="AY94" s="168" t="n"/>
      <c r="AZ94" s="168" t="n"/>
      <c r="BA94" s="168" t="n"/>
      <c r="BB94" s="168" t="n"/>
      <c r="BC94" s="168" t="n"/>
      <c r="BD94" s="168" t="n"/>
      <c r="BE94" s="168" t="n"/>
      <c r="BF94" s="168" t="n"/>
      <c r="BG94" s="168" t="n"/>
      <c r="BH94" s="168" t="n"/>
      <c r="BI94" s="168" t="n"/>
      <c r="BJ94" s="168" t="n"/>
      <c r="BK94" s="168" t="n"/>
      <c r="BL94" s="168" t="n"/>
      <c r="BM94" s="168" t="n"/>
      <c r="BN94" s="168" t="n"/>
      <c r="BO94" s="168" t="n"/>
      <c r="BP94" s="168" t="n"/>
      <c r="BQ94" s="168" t="n"/>
      <c r="BR94" s="168" t="n"/>
      <c r="BS94" s="168" t="n"/>
      <c r="BT94" s="168" t="n"/>
      <c r="BU94" s="168" t="n"/>
      <c r="BV94" s="168" t="n"/>
      <c r="BW94" s="168" t="n"/>
      <c r="BX94" s="168" t="n"/>
      <c r="BY94" s="168" t="n"/>
      <c r="BZ94" s="168" t="n"/>
      <c r="CA94" s="168" t="n"/>
      <c r="CB94" s="168" t="n"/>
      <c r="CC94" s="168" t="n"/>
      <c r="CD94" s="168" t="n"/>
      <c r="CE94" s="168" t="n"/>
      <c r="CF94" s="168" t="n"/>
      <c r="CG94" s="168" t="n"/>
      <c r="CH94" s="168" t="n"/>
      <c r="CI94" s="168" t="n"/>
      <c r="CJ94" s="168" t="n"/>
      <c r="CK94" s="168" t="n"/>
      <c r="CL94" s="168" t="n"/>
      <c r="CM94" s="168" t="n"/>
      <c r="CN94" s="168" t="n"/>
      <c r="CO94" s="168" t="n"/>
    </row>
    <row r="95">
      <c r="E95" s="169" t="n"/>
      <c r="F95" s="7" t="n"/>
      <c r="G95" s="169"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c r="BA95" s="7" t="n"/>
      <c r="BB95" s="7" t="n"/>
      <c r="BC95" s="7" t="n"/>
      <c r="BD95" s="7" t="n"/>
      <c r="BE95" s="7" t="n"/>
      <c r="BF95" s="7" t="n"/>
      <c r="BG95" s="7" t="n"/>
      <c r="BH95" s="7" t="n"/>
      <c r="BI95" s="7" t="n"/>
      <c r="BJ95" s="7" t="n"/>
      <c r="BK95" s="7" t="n"/>
      <c r="BL95" s="7" t="n"/>
      <c r="BM95" s="7" t="n"/>
      <c r="BN95" s="7" t="n"/>
      <c r="BO95" s="7" t="n"/>
      <c r="BP95" s="7" t="n"/>
      <c r="BQ95" s="7" t="n"/>
      <c r="BR95" s="7" t="n"/>
      <c r="BS95" s="7" t="n"/>
      <c r="BT95" s="7" t="n"/>
      <c r="BU95" s="7" t="n"/>
      <c r="BV95" s="7" t="n"/>
      <c r="BW95" s="7" t="n"/>
      <c r="BX95" s="7" t="n"/>
      <c r="BY95" s="7" t="n"/>
      <c r="BZ95" s="7" t="n"/>
      <c r="CA95" s="7" t="n"/>
      <c r="CB95" s="7" t="n"/>
      <c r="CC95" s="7" t="n"/>
      <c r="CD95" s="7" t="n"/>
      <c r="CE95" s="7" t="n"/>
      <c r="CF95" s="7" t="n"/>
      <c r="CG95" s="7" t="n"/>
      <c r="CH95" s="7" t="n"/>
      <c r="CI95" s="7" t="n"/>
      <c r="CJ95" s="7" t="n"/>
      <c r="CK95" s="7" t="n"/>
      <c r="CL95" s="7" t="n"/>
      <c r="CM95" s="7" t="n"/>
      <c r="CN95" s="7" t="n"/>
      <c r="CO95" s="7" t="n"/>
    </row>
    <row r="96">
      <c r="E96" s="169" t="n"/>
      <c r="F96" s="7" t="n"/>
      <c r="G96" s="169"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c r="AL96" s="7" t="n"/>
      <c r="AM96" s="7" t="n"/>
      <c r="AN96" s="7" t="n"/>
      <c r="AO96" s="7" t="n"/>
      <c r="AP96" s="7" t="n"/>
      <c r="AQ96" s="7" t="n"/>
      <c r="AR96" s="7" t="n"/>
      <c r="AS96" s="7" t="n"/>
      <c r="AT96" s="7" t="n"/>
      <c r="AU96" s="7" t="n"/>
      <c r="AV96" s="7" t="n"/>
      <c r="AW96" s="7" t="n"/>
      <c r="AX96" s="7" t="n"/>
      <c r="AY96" s="7" t="n"/>
      <c r="AZ96" s="7" t="n"/>
      <c r="BA96" s="7" t="n"/>
      <c r="BB96" s="7" t="n"/>
      <c r="BC96" s="7" t="n"/>
      <c r="BD96" s="7" t="n"/>
      <c r="BE96" s="7" t="n"/>
      <c r="BF96" s="7" t="n"/>
      <c r="BG96" s="7" t="n"/>
      <c r="BH96" s="7" t="n"/>
      <c r="BI96" s="7" t="n"/>
      <c r="BJ96" s="7" t="n"/>
      <c r="BK96" s="7" t="n"/>
      <c r="BL96" s="7" t="n"/>
      <c r="BM96" s="7" t="n"/>
      <c r="BN96" s="7" t="n"/>
      <c r="BO96" s="7" t="n"/>
      <c r="BP96" s="7" t="n"/>
      <c r="BQ96" s="7" t="n"/>
      <c r="BR96" s="7" t="n"/>
      <c r="BS96" s="7" t="n"/>
      <c r="BT96" s="7" t="n"/>
      <c r="BU96" s="7" t="n"/>
      <c r="BV96" s="7" t="n"/>
      <c r="BW96" s="7" t="n"/>
      <c r="BX96" s="7" t="n"/>
      <c r="BY96" s="7" t="n"/>
      <c r="BZ96" s="7" t="n"/>
      <c r="CA96" s="7" t="n"/>
      <c r="CB96" s="7" t="n"/>
      <c r="CC96" s="7" t="n"/>
      <c r="CD96" s="7" t="n"/>
      <c r="CE96" s="7" t="n"/>
      <c r="CF96" s="7" t="n"/>
      <c r="CG96" s="7" t="n"/>
      <c r="CH96" s="7" t="n"/>
      <c r="CI96" s="7" t="n"/>
      <c r="CJ96" s="7" t="n"/>
      <c r="CK96" s="7" t="n"/>
      <c r="CL96" s="7" t="n"/>
      <c r="CM96" s="7" t="n"/>
      <c r="CN96" s="7" t="n"/>
      <c r="CO96" s="7" t="n"/>
    </row>
  </sheetData>
  <conditionalFormatting sqref="F74 F77 F80 J74:CS74 J77:CS77 J80:CS80">
    <cfRule type="cellIs" priority="40" operator="equal" dxfId="10" stopIfTrue="1">
      <formula>""</formula>
    </cfRule>
    <cfRule type="cellIs" priority="39" operator="notEqual" dxfId="10" stopIfTrue="1">
      <formula>0</formula>
    </cfRule>
  </conditionalFormatting>
  <conditionalFormatting sqref="J3:CS3">
    <cfRule type="cellIs" priority="13" operator="equal" dxfId="1" stopIfTrue="1">
      <formula>"Pre-fcst"</formula>
    </cfRule>
    <cfRule type="cellIs" priority="14" operator="equal" dxfId="0" stopIfTrue="1">
      <formula>"Forecast"</formula>
    </cfRule>
  </conditionalFormatting>
  <conditionalFormatting sqref="AJ74:CS74 AJ77:CS77 AJ80:CS80">
    <cfRule type="cellIs" priority="17" operator="notEqual" dxfId="10" stopIfTrue="1">
      <formula>0</formula>
    </cfRule>
    <cfRule type="cellIs" priority="18" operator="equal" dxfId="10" stopIfTrue="1">
      <formula>""</formula>
    </cfRule>
  </conditionalFormatting>
  <conditionalFormatting sqref="BR74:BW74 BR77:BW77 BR80:BW80">
    <cfRule type="cellIs" priority="35" operator="notEqual" dxfId="10" stopIfTrue="1">
      <formula>0</formula>
    </cfRule>
    <cfRule type="cellIs" priority="36" operator="equal" dxfId="10" stopIfTrue="1">
      <formula>""</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orizontalDpi="300" verticalDpi="300"/>
  <headerFooter alignWithMargins="0">
    <oddHeader>&amp;L&amp;"Arial,Bold"&amp;14 PROJECT AIRCO&amp;C&amp;"Arial,Bold"&amp;14 Sheet: &amp;A&amp;R&amp;"Arial,Bold"&amp;14 STRICTLY CONFIDENTIAL</oddHeader>
    <oddFooter>&amp;L&amp;12 &amp;F (Printed on &amp;D at &amp;T) &amp;R&amp;12 Page &amp;P of &amp;N</oddFooter>
    <evenHeader/>
    <evenFooter/>
    <firstHeader/>
    <firstFooter/>
  </headerFooter>
  <rowBreaks count="1" manualBreakCount="1">
    <brk id="70" min="0" max="16383" man="1"/>
  </rowBreaks>
</worksheet>
</file>

<file path=xl/worksheets/sheet14.xml><?xml version="1.0" encoding="utf-8"?>
<worksheet xmlns="http://schemas.openxmlformats.org/spreadsheetml/2006/main">
  <sheetPr>
    <tabColor rgb="00141B4D"/>
    <outlinePr summaryBelow="0" summaryRight="0"/>
    <pageSetUpPr/>
  </sheetPr>
  <dimension ref="A1:CO49"/>
  <sheetViews>
    <sheetView showGridLines="0" defaultGridColor="0" colorId="22" zoomScale="110" zoomScaleNormal="110" workbookViewId="0">
      <pane xSplit="9" ySplit="5" topLeftCell="J38" activePane="bottomRight" state="frozen"/>
      <selection activeCell="I34" sqref="I34"/>
      <selection pane="topRight" activeCell="I34" sqref="I34"/>
      <selection pane="bottomLeft" activeCell="I34" sqref="I34"/>
      <selection pane="bottomRight" activeCell="F49" sqref="F49"/>
    </sheetView>
  </sheetViews>
  <sheetFormatPr baseColWidth="10" defaultColWidth="0" defaultRowHeight="13"/>
  <cols>
    <col width="1.1640625" customWidth="1" style="294" min="1" max="2"/>
    <col width="1.1640625" customWidth="1" style="212" min="3" max="3"/>
    <col width="1.1640625" customWidth="1" style="244" min="4" max="4"/>
    <col width="40.83203125" customWidth="1" style="61" min="5" max="5"/>
    <col width="12.83203125" customWidth="1" style="61" min="6" max="6"/>
    <col width="11.6640625" customWidth="1" style="61" min="7" max="8"/>
    <col width="2.6640625" customWidth="1" style="61" min="9" max="9"/>
    <col width="11.6640625" customWidth="1" style="61" min="10" max="93"/>
  </cols>
  <sheetData>
    <row r="1" ht="25" customFormat="1" customHeight="1" s="61">
      <c r="A1" s="1">
        <f> RIGHT(CELL("filename", A1), LEN(CELL("filename", A1)) - SEARCH("]", CELL("filename", A1)))</f>
        <v/>
      </c>
      <c r="B1" s="294" t="n"/>
      <c r="C1" s="212" t="n"/>
      <c r="D1" s="244" t="n"/>
    </row>
    <row r="2" ht="15" customFormat="1" customHeight="1" s="167">
      <c r="C2" s="237" t="n"/>
      <c r="D2" s="18" t="n"/>
      <c r="E2" s="205" t="str">
        <f> Time!E$25</f>
        <v>Model period ending </v>
      </c>
      <c r="F2" s="0" t="n"/>
      <c r="G2" s="0" t="n"/>
      <c r="H2" s="170" t="n"/>
      <c r="J2" s="167">
        <f> Time!J$25</f>
        <v>44469.0</v>
      </c>
      <c r="K2" s="167">
        <f> Time!K$25</f>
        <v>44561.0</v>
      </c>
      <c r="L2" s="167">
        <f> Time!L$25</f>
        <v>44651.0</v>
      </c>
      <c r="M2" s="167">
        <f> Time!M$25</f>
        <v>44742.0</v>
      </c>
      <c r="N2" s="167">
        <f> Time!N$25</f>
        <v>44834.0</v>
      </c>
      <c r="O2" s="167">
        <f> Time!O$25</f>
        <v>44926.0</v>
      </c>
      <c r="P2" s="167">
        <f> Time!P$25</f>
        <v>45016.0</v>
      </c>
      <c r="Q2" s="167">
        <f> Time!Q$25</f>
        <v>45107.0</v>
      </c>
      <c r="R2" s="167">
        <f> Time!R$25</f>
        <v>45199.0</v>
      </c>
      <c r="S2" s="167">
        <f> Time!S$25</f>
        <v>45291.0</v>
      </c>
      <c r="T2" s="167">
        <f> Time!T$25</f>
        <v>45382.0</v>
      </c>
      <c r="U2" s="167">
        <f> Time!U$25</f>
        <v>45473.0</v>
      </c>
      <c r="V2" s="167">
        <f> Time!V$25</f>
        <v>45565.0</v>
      </c>
      <c r="W2" s="167">
        <f> Time!W$25</f>
        <v>45657.0</v>
      </c>
      <c r="X2" s="167">
        <f> Time!X$25</f>
        <v>45747.0</v>
      </c>
      <c r="Y2" s="167">
        <f> Time!Y$25</f>
        <v>45838.0</v>
      </c>
      <c r="Z2" s="167">
        <f> Time!Z$25</f>
        <v>45930.0</v>
      </c>
      <c r="AA2" s="167">
        <f> Time!AA$25</f>
        <v>46022.0</v>
      </c>
      <c r="AB2" s="167">
        <f> Time!AB$25</f>
        <v>46112.0</v>
      </c>
      <c r="AC2" s="167">
        <f> Time!AC$25</f>
        <v>46203.0</v>
      </c>
      <c r="AD2" s="167">
        <f> Time!AD$25</f>
        <v>46295.0</v>
      </c>
      <c r="AE2" s="167">
        <f> Time!AE$25</f>
        <v>46387.0</v>
      </c>
      <c r="AF2" s="167">
        <f> Time!AF$25</f>
        <v>46477.0</v>
      </c>
      <c r="AG2" s="167">
        <f> Time!AG$25</f>
        <v>46568.0</v>
      </c>
      <c r="AH2" s="167">
        <f> Time!AH$25</f>
        <v>46660.0</v>
      </c>
      <c r="AI2" s="167">
        <f> Time!AI$25</f>
        <v>46752.0</v>
      </c>
      <c r="AJ2" s="167">
        <f> Time!AJ$25</f>
        <v>46843.0</v>
      </c>
      <c r="AK2" s="167">
        <f> Time!AK$25</f>
        <v>46934.0</v>
      </c>
      <c r="AL2" s="167">
        <f> Time!AL$25</f>
        <v>47026.0</v>
      </c>
      <c r="AM2" s="167">
        <f> Time!AM$25</f>
        <v>47118.0</v>
      </c>
      <c r="AN2" s="167">
        <f> Time!AN$25</f>
        <v>47208.0</v>
      </c>
      <c r="AO2" s="167">
        <f> Time!AO$25</f>
        <v>47299.0</v>
      </c>
      <c r="AP2" s="167">
        <f> Time!AP$25</f>
        <v>47391.0</v>
      </c>
      <c r="AQ2" s="167">
        <f> Time!AQ$25</f>
        <v>47483.0</v>
      </c>
      <c r="AR2" s="167">
        <f> Time!AR$25</f>
        <v>47573.0</v>
      </c>
      <c r="AS2" s="167">
        <f> Time!AS$25</f>
        <v>47664.0</v>
      </c>
      <c r="AT2" s="167">
        <f> Time!AT$25</f>
        <v>47756.0</v>
      </c>
      <c r="AU2" s="167">
        <f> Time!AU$25</f>
        <v>47848.0</v>
      </c>
      <c r="AV2" s="167">
        <f> Time!AV$25</f>
        <v>47938.0</v>
      </c>
      <c r="AW2" s="167">
        <f> Time!AW$25</f>
        <v>48029.0</v>
      </c>
      <c r="AX2" s="167">
        <f> Time!AX$25</f>
        <v>48121.0</v>
      </c>
      <c r="AY2" s="167">
        <f> Time!AY$25</f>
        <v>48213.0</v>
      </c>
      <c r="AZ2" s="167">
        <f> Time!AZ$25</f>
        <v>48304.0</v>
      </c>
      <c r="BA2" s="167">
        <f> Time!BA$25</f>
        <v>48395.0</v>
      </c>
      <c r="BB2" s="167">
        <f> Time!BB$25</f>
        <v>48487.0</v>
      </c>
      <c r="BC2" s="167">
        <f> Time!BC$25</f>
        <v>48579.0</v>
      </c>
      <c r="BD2" s="167">
        <f> Time!BD$25</f>
        <v>48669.0</v>
      </c>
      <c r="BE2" s="167">
        <f> Time!BE$25</f>
        <v>48760.0</v>
      </c>
      <c r="BF2" s="167">
        <f> Time!BF$25</f>
        <v>48852.0</v>
      </c>
      <c r="BG2" s="167">
        <f> Time!BG$25</f>
        <v>48944.0</v>
      </c>
      <c r="BH2" s="167">
        <f> Time!BH$25</f>
        <v>49034.0</v>
      </c>
      <c r="BI2" s="167">
        <f> Time!BI$25</f>
        <v>49125.0</v>
      </c>
      <c r="BJ2" s="167">
        <f> Time!BJ$25</f>
        <v>49217.0</v>
      </c>
      <c r="BK2" s="167">
        <f> Time!BK$25</f>
        <v>49309.0</v>
      </c>
      <c r="BL2" s="167">
        <f> Time!BL$25</f>
        <v>49399.0</v>
      </c>
      <c r="BM2" s="167">
        <f> Time!BM$25</f>
        <v>49490.0</v>
      </c>
      <c r="BN2" s="167">
        <f> Time!BN$25</f>
        <v>49582.0</v>
      </c>
      <c r="BO2" s="167">
        <f> Time!BO$25</f>
        <v>49674.0</v>
      </c>
      <c r="BP2" s="167">
        <f> Time!BP$25</f>
        <v>49765.0</v>
      </c>
      <c r="BQ2" s="167">
        <f> Time!BQ$25</f>
        <v>49856.0</v>
      </c>
      <c r="BR2" s="167">
        <f> Time!BR$25</f>
        <v>49948.0</v>
      </c>
      <c r="BS2" s="167">
        <f> Time!BS$25</f>
        <v>50040.0</v>
      </c>
      <c r="BT2" s="167">
        <f> Time!BT$25</f>
        <v>50130.0</v>
      </c>
      <c r="BU2" s="167">
        <f> Time!BU$25</f>
        <v>50221.0</v>
      </c>
      <c r="BV2" s="167">
        <f> Time!BV$25</f>
        <v>50313.0</v>
      </c>
      <c r="BW2" s="167">
        <f> Time!BW$25</f>
        <v>50405.0</v>
      </c>
      <c r="BX2" s="167">
        <f> Time!BX$25</f>
        <v>50495.0</v>
      </c>
      <c r="BY2" s="167">
        <f> Time!BY$25</f>
        <v>50586.0</v>
      </c>
      <c r="BZ2" s="167">
        <f> Time!BZ$25</f>
        <v>50678.0</v>
      </c>
      <c r="CA2" s="167">
        <f> Time!CA$25</f>
        <v>50770.0</v>
      </c>
      <c r="CB2" s="167">
        <f> Time!CB$25</f>
        <v>50860.0</v>
      </c>
      <c r="CC2" s="167">
        <f> Time!CC$25</f>
        <v>50951.0</v>
      </c>
      <c r="CD2" s="167">
        <f> Time!CD$25</f>
        <v>51043.0</v>
      </c>
      <c r="CE2" s="167">
        <f> Time!CE$25</f>
        <v>51135.0</v>
      </c>
      <c r="CF2" s="167">
        <f> Time!CF$25</f>
        <v>51226.0</v>
      </c>
      <c r="CG2" s="167">
        <f> Time!CG$25</f>
        <v>51317.0</v>
      </c>
      <c r="CH2" s="167">
        <f> Time!CH$25</f>
        <v>51409.0</v>
      </c>
      <c r="CI2" s="167">
        <f> Time!CI$25</f>
        <v>51501.0</v>
      </c>
      <c r="CJ2" s="167">
        <f> Time!CJ$25</f>
        <v>51591.0</v>
      </c>
      <c r="CK2" s="167">
        <f> Time!CK$25</f>
        <v>51682.0</v>
      </c>
      <c r="CL2" s="167">
        <f> Time!CL$25</f>
        <v>51774.0</v>
      </c>
      <c r="CM2" s="167">
        <f> Time!CM$25</f>
        <v>51866.0</v>
      </c>
      <c r="CN2" s="167">
        <f> Time!CN$25</f>
        <v>51956.0</v>
      </c>
      <c r="CO2" s="167">
        <f> Time!CO$25</f>
        <v>52047.0</v>
      </c>
    </row>
    <row r="3" ht="15" customFormat="1" customHeight="1" s="167">
      <c r="C3" s="237" t="n"/>
      <c r="D3" s="18" t="n"/>
      <c r="E3" s="205" t="str">
        <f> Time!E$111</f>
        <v>Timeline label</v>
      </c>
      <c r="F3" s="0" t="n"/>
      <c r="G3" s="0" t="n"/>
      <c r="H3" s="170" t="n"/>
      <c r="J3" s="81" t="str">
        <f> Time!J$111</f>
        <v>Pre-fcst</v>
      </c>
      <c r="K3" s="81" t="str">
        <f> Time!K$111</f>
        <v>Fin close</v>
      </c>
      <c r="L3" s="81" t="str">
        <f> Time!L$111</f>
        <v>Forecast</v>
      </c>
      <c r="M3" s="81" t="str">
        <f> Time!M$111</f>
        <v>Forecast</v>
      </c>
      <c r="N3" s="81" t="str">
        <f> Time!N$111</f>
        <v>Forecast</v>
      </c>
      <c r="O3" s="81" t="str">
        <f> Time!O$111</f>
        <v>Forecast</v>
      </c>
      <c r="P3" s="81" t="str">
        <f> Time!P$111</f>
        <v>Forecast</v>
      </c>
      <c r="Q3" s="81" t="str">
        <f> Time!Q$111</f>
        <v>Forecast</v>
      </c>
      <c r="R3" s="81" t="str">
        <f> Time!R$111</f>
        <v>Forecast</v>
      </c>
      <c r="S3" s="81" t="str">
        <f> Time!S$111</f>
        <v>Forecast</v>
      </c>
      <c r="T3" s="81" t="str">
        <f> Time!T$111</f>
        <v>Forecast</v>
      </c>
      <c r="U3" s="81" t="str">
        <f> Time!U$111</f>
        <v>Forecast</v>
      </c>
      <c r="V3" s="81" t="str">
        <f> Time!V$111</f>
        <v>Forecast</v>
      </c>
      <c r="W3" s="81" t="str">
        <f> Time!W$111</f>
        <v>Forecast</v>
      </c>
      <c r="X3" s="81" t="str">
        <f> Time!X$111</f>
        <v>Forecast</v>
      </c>
      <c r="Y3" s="81" t="str">
        <f> Time!Y$111</f>
        <v>Forecast</v>
      </c>
      <c r="Z3" s="81" t="str">
        <f> Time!Z$111</f>
        <v>Forecast</v>
      </c>
      <c r="AA3" s="81" t="str">
        <f> Time!AA$111</f>
        <v>Forecast</v>
      </c>
      <c r="AB3" s="81" t="str">
        <f> Time!AB$111</f>
        <v>Forecast</v>
      </c>
      <c r="AC3" s="81" t="str">
        <f> Time!AC$111</f>
        <v>Forecast</v>
      </c>
      <c r="AD3" s="81" t="str">
        <f> Time!AD$111</f>
        <v>Forecast</v>
      </c>
      <c r="AE3" s="81" t="str">
        <f> Time!AE$111</f>
        <v>Forecast</v>
      </c>
      <c r="AF3" s="81" t="str">
        <f> Time!AF$111</f>
        <v>Forecast</v>
      </c>
      <c r="AG3" s="81" t="str">
        <f> Time!AG$111</f>
        <v>Forecast</v>
      </c>
      <c r="AH3" s="81" t="str">
        <f> Time!AH$111</f>
        <v>Forecast</v>
      </c>
      <c r="AI3" s="81" t="str">
        <f> Time!AI$111</f>
        <v>Forecast</v>
      </c>
      <c r="AJ3" s="81" t="str">
        <f> Time!AJ$111</f>
        <v>Forecast</v>
      </c>
      <c r="AK3" s="81" t="str">
        <f> Time!AK$111</f>
        <v>Forecast</v>
      </c>
      <c r="AL3" s="81" t="str">
        <f> Time!AL$111</f>
        <v>Forecast</v>
      </c>
      <c r="AM3" s="81" t="str">
        <f> Time!AM$111</f>
        <v>Forecast</v>
      </c>
      <c r="AN3" s="81" t="str">
        <f> Time!AN$111</f>
        <v>Forecast</v>
      </c>
      <c r="AO3" s="81" t="str">
        <f> Time!AO$111</f>
        <v>Forecast</v>
      </c>
      <c r="AP3" s="81" t="str">
        <f> Time!AP$111</f>
        <v>Forecast</v>
      </c>
      <c r="AQ3" s="81" t="str">
        <f> Time!AQ$111</f>
        <v>Forecast</v>
      </c>
      <c r="AR3" s="81" t="str">
        <f> Time!AR$111</f>
        <v>Forecast</v>
      </c>
      <c r="AS3" s="81" t="str">
        <f> Time!AS$111</f>
        <v>Forecast</v>
      </c>
      <c r="AT3" s="81" t="str">
        <f> Time!AT$111</f>
        <v>Forecast</v>
      </c>
      <c r="AU3" s="81" t="str">
        <f> Time!AU$111</f>
        <v>Forecast</v>
      </c>
      <c r="AV3" s="81" t="str">
        <f> Time!AV$111</f>
        <v>Forecast</v>
      </c>
      <c r="AW3" s="81" t="str">
        <f> Time!AW$111</f>
        <v>Forecast</v>
      </c>
      <c r="AX3" s="81" t="str">
        <f> Time!AX$111</f>
        <v>Forecast</v>
      </c>
      <c r="AY3" s="81" t="str">
        <f> Time!AY$111</f>
        <v>Forecast</v>
      </c>
      <c r="AZ3" s="81" t="str">
        <f> Time!AZ$111</f>
        <v>Forecast</v>
      </c>
      <c r="BA3" s="81" t="str">
        <f> Time!BA$111</f>
        <v>Forecast</v>
      </c>
      <c r="BB3" s="81" t="str">
        <f> Time!BB$111</f>
        <v>Forecast</v>
      </c>
      <c r="BC3" s="81" t="str">
        <f> Time!BC$111</f>
        <v>Forecast</v>
      </c>
      <c r="BD3" s="81" t="str">
        <f> Time!BD$111</f>
        <v>Forecast</v>
      </c>
      <c r="BE3" s="81" t="str">
        <f> Time!BE$111</f>
        <v>Forecast</v>
      </c>
      <c r="BF3" s="81" t="str">
        <f> Time!BF$111</f>
        <v>Forecast</v>
      </c>
      <c r="BG3" s="81" t="str">
        <f> Time!BG$111</f>
        <v>Forecast</v>
      </c>
      <c r="BH3" s="81" t="str">
        <f> Time!BH$111</f>
        <v>Forecast</v>
      </c>
      <c r="BI3" s="81" t="str">
        <f> Time!BI$111</f>
        <v>Forecast</v>
      </c>
      <c r="BJ3" s="81" t="str">
        <f> Time!BJ$111</f>
        <v>Forecast</v>
      </c>
      <c r="BK3" s="81" t="str">
        <f> Time!BK$111</f>
        <v>Forecast</v>
      </c>
      <c r="BL3" s="81" t="str">
        <f> Time!BL$111</f>
        <v>Forecast</v>
      </c>
      <c r="BM3" s="81" t="str">
        <f> Time!BM$111</f>
        <v>Forecast</v>
      </c>
      <c r="BN3" s="81" t="str">
        <f> Time!BN$111</f>
        <v>Forecast</v>
      </c>
      <c r="BO3" s="81" t="str">
        <f> Time!BO$111</f>
        <v>Forecast</v>
      </c>
      <c r="BP3" s="81" t="str">
        <f> Time!BP$111</f>
        <v>Forecast</v>
      </c>
      <c r="BQ3" s="81" t="str">
        <f> Time!BQ$111</f>
        <v>Forecast</v>
      </c>
      <c r="BR3" s="81" t="str">
        <f> Time!BR$111</f>
        <v>Forecast</v>
      </c>
      <c r="BS3" s="81" t="str">
        <f> Time!BS$111</f>
        <v>Forecast</v>
      </c>
      <c r="BT3" s="81" t="str">
        <f> Time!BT$111</f>
        <v>Forecast</v>
      </c>
      <c r="BU3" s="81" t="str">
        <f> Time!BU$111</f>
        <v>Forecast</v>
      </c>
      <c r="BV3" s="81" t="str">
        <f> Time!BV$111</f>
        <v>Forecast</v>
      </c>
      <c r="BW3" s="81" t="str">
        <f> Time!BW$111</f>
        <v>Forecast</v>
      </c>
      <c r="BX3" s="81" t="str">
        <f> Time!BX$111</f>
        <v>Forecast</v>
      </c>
      <c r="BY3" s="81" t="str">
        <f> Time!BY$111</f>
        <v>Forecast</v>
      </c>
      <c r="BZ3" s="81" t="str">
        <f> Time!BZ$111</f>
        <v>Forecast</v>
      </c>
      <c r="CA3" s="81" t="str">
        <f> Time!CA$111</f>
        <v>Forecast</v>
      </c>
      <c r="CB3" s="81" t="str">
        <f> Time!CB$111</f>
        <v>Forecast</v>
      </c>
      <c r="CC3" s="81" t="str">
        <f> Time!CC$111</f>
        <v>Forecast</v>
      </c>
      <c r="CD3" s="81" t="str">
        <f> Time!CD$111</f>
        <v>Forecast</v>
      </c>
      <c r="CE3" s="81" t="str">
        <f> Time!CE$111</f>
        <v>Forecast</v>
      </c>
      <c r="CF3" s="81" t="str">
        <f> Time!CF$111</f>
        <v>Forecast</v>
      </c>
      <c r="CG3" s="81" t="str">
        <f> Time!CG$111</f>
        <v>Forecast</v>
      </c>
      <c r="CH3" s="81" t="str">
        <f> Time!CH$111</f>
        <v>Forecast</v>
      </c>
      <c r="CI3" s="81" t="str">
        <f> Time!CI$111</f>
        <v>Forecast</v>
      </c>
      <c r="CJ3" s="81" t="str">
        <f> Time!CJ$111</f>
        <v>Forecast</v>
      </c>
      <c r="CK3" s="81" t="str">
        <f> Time!CK$111</f>
        <v>Forecast</v>
      </c>
      <c r="CL3" s="81" t="str">
        <f> Time!CL$111</f>
        <v>Forecast</v>
      </c>
      <c r="CM3" s="81" t="str">
        <f> Time!CM$111</f>
        <v>Forecast</v>
      </c>
      <c r="CN3" s="81" t="str">
        <f> Time!CN$111</f>
        <v>Post-fcst</v>
      </c>
      <c r="CO3" s="81" t="str">
        <f> Time!CO$111</f>
        <v>Post-fcst</v>
      </c>
    </row>
    <row r="4" ht="15" customFormat="1" customHeight="1" s="85">
      <c r="A4" s="82" t="n"/>
      <c r="B4" s="82" t="n"/>
      <c r="C4" s="83" t="n"/>
      <c r="D4" s="84" t="n"/>
      <c r="E4" s="205" t="str">
        <f> Time!E$37</f>
        <v>Financial year ending</v>
      </c>
      <c r="F4" s="0" t="n"/>
      <c r="G4" s="0" t="n"/>
      <c r="J4" s="86">
        <f> Time!J$37</f>
        <v>2021.0</v>
      </c>
      <c r="K4" s="86">
        <f> Time!K$37</f>
        <v>2021.0</v>
      </c>
      <c r="L4" s="86">
        <f> Time!L$37</f>
        <v>2022.0</v>
      </c>
      <c r="M4" s="86">
        <f> Time!M$37</f>
        <v>2022.0</v>
      </c>
      <c r="N4" s="86">
        <f> Time!N$37</f>
        <v>2022.0</v>
      </c>
      <c r="O4" s="86">
        <f> Time!O$37</f>
        <v>2022.0</v>
      </c>
      <c r="P4" s="86">
        <f> Time!P$37</f>
        <v>2023.0</v>
      </c>
      <c r="Q4" s="86">
        <f> Time!Q$37</f>
        <v>2023.0</v>
      </c>
      <c r="R4" s="86">
        <f> Time!R$37</f>
        <v>2023.0</v>
      </c>
      <c r="S4" s="86">
        <f> Time!S$37</f>
        <v>2023.0</v>
      </c>
      <c r="T4" s="86">
        <f> Time!T$37</f>
        <v>2024.0</v>
      </c>
      <c r="U4" s="86">
        <f> Time!U$37</f>
        <v>2024.0</v>
      </c>
      <c r="V4" s="86">
        <f> Time!V$37</f>
        <v>2024.0</v>
      </c>
      <c r="W4" s="86">
        <f> Time!W$37</f>
        <v>2024.0</v>
      </c>
      <c r="X4" s="86">
        <f> Time!X$37</f>
        <v>2025.0</v>
      </c>
      <c r="Y4" s="86">
        <f> Time!Y$37</f>
        <v>2025.0</v>
      </c>
      <c r="Z4" s="86">
        <f> Time!Z$37</f>
        <v>2025.0</v>
      </c>
      <c r="AA4" s="86">
        <f> Time!AA$37</f>
        <v>2025.0</v>
      </c>
      <c r="AB4" s="86">
        <f> Time!AB$37</f>
        <v>2026.0</v>
      </c>
      <c r="AC4" s="86">
        <f> Time!AC$37</f>
        <v>2026.0</v>
      </c>
      <c r="AD4" s="86">
        <f> Time!AD$37</f>
        <v>2026.0</v>
      </c>
      <c r="AE4" s="86">
        <f> Time!AE$37</f>
        <v>2026.0</v>
      </c>
      <c r="AF4" s="86">
        <f> Time!AF$37</f>
        <v>2027.0</v>
      </c>
      <c r="AG4" s="86">
        <f> Time!AG$37</f>
        <v>2027.0</v>
      </c>
      <c r="AH4" s="86">
        <f> Time!AH$37</f>
        <v>2027.0</v>
      </c>
      <c r="AI4" s="86">
        <f> Time!AI$37</f>
        <v>2027.0</v>
      </c>
      <c r="AJ4" s="86">
        <f> Time!AJ$37</f>
        <v>2028.0</v>
      </c>
      <c r="AK4" s="86">
        <f> Time!AK$37</f>
        <v>2028.0</v>
      </c>
      <c r="AL4" s="86">
        <f> Time!AL$37</f>
        <v>2028.0</v>
      </c>
      <c r="AM4" s="86">
        <f> Time!AM$37</f>
        <v>2028.0</v>
      </c>
      <c r="AN4" s="86">
        <f> Time!AN$37</f>
        <v>2029.0</v>
      </c>
      <c r="AO4" s="86">
        <f> Time!AO$37</f>
        <v>2029.0</v>
      </c>
      <c r="AP4" s="86">
        <f> Time!AP$37</f>
        <v>2029.0</v>
      </c>
      <c r="AQ4" s="86">
        <f> Time!AQ$37</f>
        <v>2029.0</v>
      </c>
      <c r="AR4" s="86">
        <f> Time!AR$37</f>
        <v>2030.0</v>
      </c>
      <c r="AS4" s="86">
        <f> Time!AS$37</f>
        <v>2030.0</v>
      </c>
      <c r="AT4" s="86">
        <f> Time!AT$37</f>
        <v>2030.0</v>
      </c>
      <c r="AU4" s="86">
        <f> Time!AU$37</f>
        <v>2030.0</v>
      </c>
      <c r="AV4" s="86">
        <f> Time!AV$37</f>
        <v>2031.0</v>
      </c>
      <c r="AW4" s="86">
        <f> Time!AW$37</f>
        <v>2031.0</v>
      </c>
      <c r="AX4" s="86">
        <f> Time!AX$37</f>
        <v>2031.0</v>
      </c>
      <c r="AY4" s="86">
        <f> Time!AY$37</f>
        <v>2031.0</v>
      </c>
      <c r="AZ4" s="86">
        <f> Time!AZ$37</f>
        <v>2032.0</v>
      </c>
      <c r="BA4" s="86">
        <f> Time!BA$37</f>
        <v>2032.0</v>
      </c>
      <c r="BB4" s="86">
        <f> Time!BB$37</f>
        <v>2032.0</v>
      </c>
      <c r="BC4" s="86">
        <f> Time!BC$37</f>
        <v>2032.0</v>
      </c>
      <c r="BD4" s="86">
        <f> Time!BD$37</f>
        <v>2033.0</v>
      </c>
      <c r="BE4" s="86">
        <f> Time!BE$37</f>
        <v>2033.0</v>
      </c>
      <c r="BF4" s="86">
        <f> Time!BF$37</f>
        <v>2033.0</v>
      </c>
      <c r="BG4" s="86">
        <f> Time!BG$37</f>
        <v>2033.0</v>
      </c>
      <c r="BH4" s="86">
        <f> Time!BH$37</f>
        <v>2034.0</v>
      </c>
      <c r="BI4" s="86">
        <f> Time!BI$37</f>
        <v>2034.0</v>
      </c>
      <c r="BJ4" s="86">
        <f> Time!BJ$37</f>
        <v>2034.0</v>
      </c>
      <c r="BK4" s="86">
        <f> Time!BK$37</f>
        <v>2034.0</v>
      </c>
      <c r="BL4" s="86">
        <f> Time!BL$37</f>
        <v>2035.0</v>
      </c>
      <c r="BM4" s="86">
        <f> Time!BM$37</f>
        <v>2035.0</v>
      </c>
      <c r="BN4" s="86">
        <f> Time!BN$37</f>
        <v>2035.0</v>
      </c>
      <c r="BO4" s="86">
        <f> Time!BO$37</f>
        <v>2035.0</v>
      </c>
      <c r="BP4" s="86">
        <f> Time!BP$37</f>
        <v>2036.0</v>
      </c>
      <c r="BQ4" s="86">
        <f> Time!BQ$37</f>
        <v>2036.0</v>
      </c>
      <c r="BR4" s="86">
        <f> Time!BR$37</f>
        <v>2036.0</v>
      </c>
      <c r="BS4" s="86">
        <f> Time!BS$37</f>
        <v>2036.0</v>
      </c>
      <c r="BT4" s="86">
        <f> Time!BT$37</f>
        <v>2037.0</v>
      </c>
      <c r="BU4" s="86">
        <f> Time!BU$37</f>
        <v>2037.0</v>
      </c>
      <c r="BV4" s="86">
        <f> Time!BV$37</f>
        <v>2037.0</v>
      </c>
      <c r="BW4" s="86">
        <f> Time!BW$37</f>
        <v>2037.0</v>
      </c>
      <c r="BX4" s="86">
        <f> Time!BX$37</f>
        <v>2038.0</v>
      </c>
      <c r="BY4" s="86">
        <f> Time!BY$37</f>
        <v>2038.0</v>
      </c>
      <c r="BZ4" s="86">
        <f> Time!BZ$37</f>
        <v>2038.0</v>
      </c>
      <c r="CA4" s="86">
        <f> Time!CA$37</f>
        <v>2038.0</v>
      </c>
      <c r="CB4" s="86">
        <f> Time!CB$37</f>
        <v>2039.0</v>
      </c>
      <c r="CC4" s="86">
        <f> Time!CC$37</f>
        <v>2039.0</v>
      </c>
      <c r="CD4" s="86">
        <f> Time!CD$37</f>
        <v>2039.0</v>
      </c>
      <c r="CE4" s="86">
        <f> Time!CE$37</f>
        <v>2039.0</v>
      </c>
      <c r="CF4" s="86">
        <f> Time!CF$37</f>
        <v>2040.0</v>
      </c>
      <c r="CG4" s="86">
        <f> Time!CG$37</f>
        <v>2040.0</v>
      </c>
      <c r="CH4" s="86">
        <f> Time!CH$37</f>
        <v>2040.0</v>
      </c>
      <c r="CI4" s="86">
        <f> Time!CI$37</f>
        <v>2040.0</v>
      </c>
      <c r="CJ4" s="86">
        <f> Time!CJ$37</f>
        <v>2041.0</v>
      </c>
      <c r="CK4" s="86">
        <f> Time!CK$37</f>
        <v>2041.0</v>
      </c>
      <c r="CL4" s="86">
        <f> Time!CL$37</f>
        <v>2041.0</v>
      </c>
      <c r="CM4" s="86">
        <f> Time!CM$37</f>
        <v>2041.0</v>
      </c>
      <c r="CN4" s="86">
        <f> Time!CN$37</f>
        <v>2042.0</v>
      </c>
      <c r="CO4" s="86">
        <f> Time!CO$37</f>
        <v>2042.0</v>
      </c>
    </row>
    <row r="5" customFormat="1" s="61">
      <c r="A5" s="294" t="n"/>
      <c r="B5" s="294" t="n"/>
      <c r="C5" s="212" t="n"/>
      <c r="D5" s="244" t="n"/>
      <c r="E5" s="205" t="str">
        <f> Time!E$10</f>
        <v>Model column counter</v>
      </c>
      <c r="F5" s="20" t="inlineStr">
        <is>
          <t>Constant</t>
        </is>
      </c>
      <c r="G5" s="294" t="inlineStr">
        <is>
          <t>Unit</t>
        </is>
      </c>
      <c r="H5" s="20" t="inlineStr">
        <is>
          <t>Total</t>
        </is>
      </c>
      <c r="J5" s="61">
        <f> Time!J$10</f>
        <v>1.0</v>
      </c>
      <c r="K5" s="61">
        <f> Time!K$10</f>
        <v>2.0</v>
      </c>
      <c r="L5" s="61">
        <f> Time!L$10</f>
        <v>3.0</v>
      </c>
      <c r="M5" s="61">
        <f> Time!M$10</f>
        <v>4.0</v>
      </c>
      <c r="N5" s="61">
        <f> Time!N$10</f>
        <v>5.0</v>
      </c>
      <c r="O5" s="61">
        <f> Time!O$10</f>
        <v>6.0</v>
      </c>
      <c r="P5" s="61">
        <f> Time!P$10</f>
        <v>7.0</v>
      </c>
      <c r="Q5" s="61">
        <f> Time!Q$10</f>
        <v>8.0</v>
      </c>
      <c r="R5" s="61">
        <f> Time!R$10</f>
        <v>9.0</v>
      </c>
      <c r="S5" s="61">
        <f> Time!S$10</f>
        <v>10.0</v>
      </c>
      <c r="T5" s="61">
        <f> Time!T$10</f>
        <v>11.0</v>
      </c>
      <c r="U5" s="61">
        <f> Time!U$10</f>
        <v>12.0</v>
      </c>
      <c r="V5" s="61">
        <f> Time!V$10</f>
        <v>13.0</v>
      </c>
      <c r="W5" s="61">
        <f> Time!W$10</f>
        <v>14.0</v>
      </c>
      <c r="X5" s="61">
        <f> Time!X$10</f>
        <v>15.0</v>
      </c>
      <c r="Y5" s="61">
        <f> Time!Y$10</f>
        <v>16.0</v>
      </c>
      <c r="Z5" s="61">
        <f> Time!Z$10</f>
        <v>17.0</v>
      </c>
      <c r="AA5" s="61">
        <f> Time!AA$10</f>
        <v>18.0</v>
      </c>
      <c r="AB5" s="61">
        <f> Time!AB$10</f>
        <v>19.0</v>
      </c>
      <c r="AC5" s="61">
        <f> Time!AC$10</f>
        <v>20.0</v>
      </c>
      <c r="AD5" s="61">
        <f> Time!AD$10</f>
        <v>21.0</v>
      </c>
      <c r="AE5" s="61">
        <f> Time!AE$10</f>
        <v>22.0</v>
      </c>
      <c r="AF5" s="61">
        <f> Time!AF$10</f>
        <v>23.0</v>
      </c>
      <c r="AG5" s="61">
        <f> Time!AG$10</f>
        <v>24.0</v>
      </c>
      <c r="AH5" s="61">
        <f> Time!AH$10</f>
        <v>25.0</v>
      </c>
      <c r="AI5" s="61">
        <f> Time!AI$10</f>
        <v>26.0</v>
      </c>
      <c r="AJ5" s="61">
        <f> Time!AJ$10</f>
        <v>27.0</v>
      </c>
      <c r="AK5" s="61">
        <f> Time!AK$10</f>
        <v>28.0</v>
      </c>
      <c r="AL5" s="61">
        <f> Time!AL$10</f>
        <v>29.0</v>
      </c>
      <c r="AM5" s="61">
        <f> Time!AM$10</f>
        <v>30.0</v>
      </c>
      <c r="AN5" s="61">
        <f> Time!AN$10</f>
        <v>31.0</v>
      </c>
      <c r="AO5" s="61">
        <f> Time!AO$10</f>
        <v>32.0</v>
      </c>
      <c r="AP5" s="61">
        <f> Time!AP$10</f>
        <v>33.0</v>
      </c>
      <c r="AQ5" s="61">
        <f> Time!AQ$10</f>
        <v>34.0</v>
      </c>
      <c r="AR5" s="61">
        <f> Time!AR$10</f>
        <v>35.0</v>
      </c>
      <c r="AS5" s="61">
        <f> Time!AS$10</f>
        <v>36.0</v>
      </c>
      <c r="AT5" s="61">
        <f> Time!AT$10</f>
        <v>37.0</v>
      </c>
      <c r="AU5" s="61">
        <f> Time!AU$10</f>
        <v>38.0</v>
      </c>
      <c r="AV5" s="61">
        <f> Time!AV$10</f>
        <v>39.0</v>
      </c>
      <c r="AW5" s="61">
        <f> Time!AW$10</f>
        <v>40.0</v>
      </c>
      <c r="AX5" s="61">
        <f> Time!AX$10</f>
        <v>41.0</v>
      </c>
      <c r="AY5" s="61">
        <f> Time!AY$10</f>
        <v>42.0</v>
      </c>
      <c r="AZ5" s="61">
        <f> Time!AZ$10</f>
        <v>43.0</v>
      </c>
      <c r="BA5" s="61">
        <f> Time!BA$10</f>
        <v>44.0</v>
      </c>
      <c r="BB5" s="61">
        <f> Time!BB$10</f>
        <v>45.0</v>
      </c>
      <c r="BC5" s="61">
        <f> Time!BC$10</f>
        <v>46.0</v>
      </c>
      <c r="BD5" s="61">
        <f> Time!BD$10</f>
        <v>47.0</v>
      </c>
      <c r="BE5" s="61">
        <f> Time!BE$10</f>
        <v>48.0</v>
      </c>
      <c r="BF5" s="61">
        <f> Time!BF$10</f>
        <v>49.0</v>
      </c>
      <c r="BG5" s="61">
        <f> Time!BG$10</f>
        <v>50.0</v>
      </c>
      <c r="BH5" s="61">
        <f> Time!BH$10</f>
        <v>51.0</v>
      </c>
      <c r="BI5" s="61">
        <f> Time!BI$10</f>
        <v>52.0</v>
      </c>
      <c r="BJ5" s="61">
        <f> Time!BJ$10</f>
        <v>53.0</v>
      </c>
      <c r="BK5" s="61">
        <f> Time!BK$10</f>
        <v>54.0</v>
      </c>
      <c r="BL5" s="61">
        <f> Time!BL$10</f>
        <v>55.0</v>
      </c>
      <c r="BM5" s="61">
        <f> Time!BM$10</f>
        <v>56.0</v>
      </c>
      <c r="BN5" s="61">
        <f> Time!BN$10</f>
        <v>57.0</v>
      </c>
      <c r="BO5" s="61">
        <f> Time!BO$10</f>
        <v>58.0</v>
      </c>
      <c r="BP5" s="61">
        <f> Time!BP$10</f>
        <v>59.0</v>
      </c>
      <c r="BQ5" s="61">
        <f> Time!BQ$10</f>
        <v>60.0</v>
      </c>
      <c r="BR5" s="61">
        <f> Time!BR$10</f>
        <v>61.0</v>
      </c>
      <c r="BS5" s="61">
        <f> Time!BS$10</f>
        <v>62.0</v>
      </c>
      <c r="BT5" s="61">
        <f> Time!BT$10</f>
        <v>63.0</v>
      </c>
      <c r="BU5" s="61">
        <f> Time!BU$10</f>
        <v>64.0</v>
      </c>
      <c r="BV5" s="61">
        <f> Time!BV$10</f>
        <v>65.0</v>
      </c>
      <c r="BW5" s="61">
        <f> Time!BW$10</f>
        <v>66.0</v>
      </c>
      <c r="BX5" s="61">
        <f> Time!BX$10</f>
        <v>67.0</v>
      </c>
      <c r="BY5" s="61">
        <f> Time!BY$10</f>
        <v>68.0</v>
      </c>
      <c r="BZ5" s="61">
        <f> Time!BZ$10</f>
        <v>69.0</v>
      </c>
      <c r="CA5" s="61">
        <f> Time!CA$10</f>
        <v>70.0</v>
      </c>
      <c r="CB5" s="61">
        <f> Time!CB$10</f>
        <v>71.0</v>
      </c>
      <c r="CC5" s="61">
        <f> Time!CC$10</f>
        <v>72.0</v>
      </c>
      <c r="CD5" s="61">
        <f> Time!CD$10</f>
        <v>73.0</v>
      </c>
      <c r="CE5" s="61">
        <f> Time!CE$10</f>
        <v>74.0</v>
      </c>
      <c r="CF5" s="61">
        <f> Time!CF$10</f>
        <v>75.0</v>
      </c>
      <c r="CG5" s="61">
        <f> Time!CG$10</f>
        <v>76.0</v>
      </c>
      <c r="CH5" s="61">
        <f> Time!CH$10</f>
        <v>77.0</v>
      </c>
      <c r="CI5" s="61">
        <f> Time!CI$10</f>
        <v>78.0</v>
      </c>
      <c r="CJ5" s="61">
        <f> Time!CJ$10</f>
        <v>79.0</v>
      </c>
      <c r="CK5" s="61">
        <f> Time!CK$10</f>
        <v>80.0</v>
      </c>
      <c r="CL5" s="61">
        <f> Time!CL$10</f>
        <v>81.0</v>
      </c>
      <c r="CM5" s="61">
        <f> Time!CM$10</f>
        <v>82.0</v>
      </c>
      <c r="CN5" s="61">
        <f> Time!CN$10</f>
        <v>83.0</v>
      </c>
      <c r="CO5" s="61">
        <f> Time!CO$10</f>
        <v>84.0</v>
      </c>
    </row>
    <row r="7" customFormat="1" s="169">
      <c r="A7" s="163" t="inlineStr">
        <is>
          <t>VALUATION</t>
        </is>
      </c>
      <c r="B7" s="163" t="n"/>
      <c r="C7" s="172" t="n"/>
      <c r="D7" s="88" t="n"/>
      <c r="E7" s="169" t="n"/>
      <c r="F7" s="169" t="n"/>
      <c r="G7" s="169" t="n"/>
      <c r="H7" s="169" t="n"/>
      <c r="I7" s="169" t="n"/>
      <c r="J7" s="169" t="n"/>
      <c r="K7" s="169" t="n"/>
      <c r="L7" s="169" t="n"/>
      <c r="M7" s="169" t="n"/>
      <c r="N7" s="169" t="n"/>
      <c r="O7" s="169" t="n"/>
      <c r="P7" s="169" t="n"/>
      <c r="Q7" s="169" t="n"/>
      <c r="R7" s="169" t="n"/>
      <c r="S7" s="169" t="n"/>
      <c r="T7" s="169" t="n"/>
      <c r="U7" s="169" t="n"/>
      <c r="V7" s="169" t="n"/>
      <c r="W7" s="169" t="n"/>
      <c r="X7" s="169" t="n"/>
      <c r="Y7" s="169" t="n"/>
      <c r="Z7" s="169" t="n"/>
      <c r="AA7" s="169" t="n"/>
      <c r="AB7" s="169" t="n"/>
      <c r="AC7" s="169" t="n"/>
      <c r="AD7" s="169" t="n"/>
      <c r="AE7" s="169" t="n"/>
      <c r="AF7" s="169" t="n"/>
      <c r="AG7" s="169" t="n"/>
    </row>
    <row r="9">
      <c r="B9" s="294" t="inlineStr">
        <is>
          <t>Shareholder discount factor</t>
        </is>
      </c>
    </row>
    <row r="10">
      <c r="E10" s="338" t="str">
        <f> InpC!E$90</f>
        <v>Shareholders valuation date</v>
      </c>
      <c r="F10" s="338">
        <f> InpC!F$90</f>
        <v>44561.0</v>
      </c>
      <c r="G10" s="338" t="str">
        <f> InpC!G$90</f>
        <v>date</v>
      </c>
    </row>
    <row r="11">
      <c r="E11" s="325" t="str">
        <f> InpC!E$91</f>
        <v>Days in shareholder discount year</v>
      </c>
      <c r="F11" s="325">
        <f> InpC!F$91</f>
        <v>365.0</v>
      </c>
      <c r="G11" s="325" t="str">
        <f> InpC!G$91</f>
        <v>days</v>
      </c>
    </row>
    <row r="12">
      <c r="E12" s="343" t="str">
        <f> Time!E$25</f>
        <v>Model period ending </v>
      </c>
      <c r="F12" s="343">
        <f> Time!F$25</f>
        <v>0.0</v>
      </c>
      <c r="G12" s="343" t="str">
        <f> Time!G$25</f>
        <v>date</v>
      </c>
      <c r="H12" s="343">
        <f> Time!H$25</f>
        <v>0.0</v>
      </c>
      <c r="I12" s="343">
        <f> Time!I$25</f>
        <v>0.0</v>
      </c>
      <c r="J12" s="343">
        <f> Time!J$25</f>
        <v>44469.0</v>
      </c>
      <c r="K12" s="340">
        <f> Time!K$25</f>
        <v>44561.0</v>
      </c>
      <c r="L12" s="340">
        <f> Time!L$25</f>
        <v>44651.0</v>
      </c>
      <c r="M12" s="340">
        <f> Time!M$25</f>
        <v>44742.0</v>
      </c>
      <c r="N12" s="340">
        <f> Time!N$25</f>
        <v>44834.0</v>
      </c>
      <c r="O12" s="340">
        <f> Time!O$25</f>
        <v>44926.0</v>
      </c>
      <c r="P12" s="340">
        <f> Time!P$25</f>
        <v>45016.0</v>
      </c>
      <c r="Q12" s="340">
        <f> Time!Q$25</f>
        <v>45107.0</v>
      </c>
      <c r="R12" s="340">
        <f> Time!R$25</f>
        <v>45199.0</v>
      </c>
      <c r="S12" s="340">
        <f> Time!S$25</f>
        <v>45291.0</v>
      </c>
      <c r="T12" s="340">
        <f> Time!T$25</f>
        <v>45382.0</v>
      </c>
      <c r="U12" s="340">
        <f> Time!U$25</f>
        <v>45473.0</v>
      </c>
      <c r="V12" s="340">
        <f> Time!V$25</f>
        <v>45565.0</v>
      </c>
      <c r="W12" s="340">
        <f> Time!W$25</f>
        <v>45657.0</v>
      </c>
      <c r="X12" s="340">
        <f> Time!X$25</f>
        <v>45747.0</v>
      </c>
      <c r="Y12" s="340">
        <f> Time!Y$25</f>
        <v>45838.0</v>
      </c>
      <c r="Z12" s="340">
        <f> Time!Z$25</f>
        <v>45930.0</v>
      </c>
      <c r="AA12" s="340">
        <f> Time!AA$25</f>
        <v>46022.0</v>
      </c>
      <c r="AB12" s="340">
        <f> Time!AB$25</f>
        <v>46112.0</v>
      </c>
      <c r="AC12" s="340">
        <f> Time!AC$25</f>
        <v>46203.0</v>
      </c>
      <c r="AD12" s="340">
        <f> Time!AD$25</f>
        <v>46295.0</v>
      </c>
      <c r="AE12" s="340">
        <f> Time!AE$25</f>
        <v>46387.0</v>
      </c>
      <c r="AF12" s="340">
        <f> Time!AF$25</f>
        <v>46477.0</v>
      </c>
      <c r="AG12" s="340">
        <f> Time!AG$25</f>
        <v>46568.0</v>
      </c>
      <c r="AH12" s="340">
        <f> Time!AH$25</f>
        <v>46660.0</v>
      </c>
      <c r="AI12" s="340">
        <f> Time!AI$25</f>
        <v>46752.0</v>
      </c>
      <c r="AJ12" s="340">
        <f> Time!AJ$25</f>
        <v>46843.0</v>
      </c>
      <c r="AK12" s="340">
        <f> Time!AK$25</f>
        <v>46934.0</v>
      </c>
      <c r="AL12" s="340">
        <f> Time!AL$25</f>
        <v>47026.0</v>
      </c>
      <c r="AM12" s="340">
        <f> Time!AM$25</f>
        <v>47118.0</v>
      </c>
      <c r="AN12" s="340">
        <f> Time!AN$25</f>
        <v>47208.0</v>
      </c>
      <c r="AO12" s="340">
        <f> Time!AO$25</f>
        <v>47299.0</v>
      </c>
      <c r="AP12" s="340">
        <f> Time!AP$25</f>
        <v>47391.0</v>
      </c>
      <c r="AQ12" s="340">
        <f> Time!AQ$25</f>
        <v>47483.0</v>
      </c>
      <c r="AR12" s="340">
        <f> Time!AR$25</f>
        <v>47573.0</v>
      </c>
      <c r="AS12" s="340">
        <f> Time!AS$25</f>
        <v>47664.0</v>
      </c>
      <c r="AT12" s="340">
        <f> Time!AT$25</f>
        <v>47756.0</v>
      </c>
      <c r="AU12" s="340">
        <f> Time!AU$25</f>
        <v>47848.0</v>
      </c>
      <c r="AV12" s="340">
        <f> Time!AV$25</f>
        <v>47938.0</v>
      </c>
      <c r="AW12" s="340">
        <f> Time!AW$25</f>
        <v>48029.0</v>
      </c>
      <c r="AX12" s="340">
        <f> Time!AX$25</f>
        <v>48121.0</v>
      </c>
      <c r="AY12" s="340">
        <f> Time!AY$25</f>
        <v>48213.0</v>
      </c>
      <c r="AZ12" s="340">
        <f> Time!AZ$25</f>
        <v>48304.0</v>
      </c>
      <c r="BA12" s="340">
        <f> Time!BA$25</f>
        <v>48395.0</v>
      </c>
      <c r="BB12" s="340">
        <f> Time!BB$25</f>
        <v>48487.0</v>
      </c>
      <c r="BC12" s="340">
        <f> Time!BC$25</f>
        <v>48579.0</v>
      </c>
      <c r="BD12" s="340">
        <f> Time!BD$25</f>
        <v>48669.0</v>
      </c>
      <c r="BE12" s="340">
        <f> Time!BE$25</f>
        <v>48760.0</v>
      </c>
      <c r="BF12" s="340">
        <f> Time!BF$25</f>
        <v>48852.0</v>
      </c>
      <c r="BG12" s="340">
        <f> Time!BG$25</f>
        <v>48944.0</v>
      </c>
      <c r="BH12" s="340">
        <f> Time!BH$25</f>
        <v>49034.0</v>
      </c>
      <c r="BI12" s="340">
        <f> Time!BI$25</f>
        <v>49125.0</v>
      </c>
      <c r="BJ12" s="340">
        <f> Time!BJ$25</f>
        <v>49217.0</v>
      </c>
      <c r="BK12" s="340">
        <f> Time!BK$25</f>
        <v>49309.0</v>
      </c>
      <c r="BL12" s="340">
        <f> Time!BL$25</f>
        <v>49399.0</v>
      </c>
      <c r="BM12" s="340">
        <f> Time!BM$25</f>
        <v>49490.0</v>
      </c>
      <c r="BN12" s="340">
        <f> Time!BN$25</f>
        <v>49582.0</v>
      </c>
      <c r="BO12" s="340">
        <f> Time!BO$25</f>
        <v>49674.0</v>
      </c>
      <c r="BP12" s="340">
        <f> Time!BP$25</f>
        <v>49765.0</v>
      </c>
      <c r="BQ12" s="340">
        <f> Time!BQ$25</f>
        <v>49856.0</v>
      </c>
      <c r="BR12" s="340">
        <f> Time!BR$25</f>
        <v>49948.0</v>
      </c>
      <c r="BS12" s="340">
        <f> Time!BS$25</f>
        <v>50040.0</v>
      </c>
      <c r="BT12" s="340">
        <f> Time!BT$25</f>
        <v>50130.0</v>
      </c>
      <c r="BU12" s="340">
        <f> Time!BU$25</f>
        <v>50221.0</v>
      </c>
      <c r="BV12" s="340">
        <f> Time!BV$25</f>
        <v>50313.0</v>
      </c>
      <c r="BW12" s="340">
        <f> Time!BW$25</f>
        <v>50405.0</v>
      </c>
      <c r="BX12" s="340">
        <f> Time!BX$25</f>
        <v>50495.0</v>
      </c>
      <c r="BY12" s="340">
        <f> Time!BY$25</f>
        <v>50586.0</v>
      </c>
      <c r="BZ12" s="340">
        <f> Time!BZ$25</f>
        <v>50678.0</v>
      </c>
      <c r="CA12" s="340">
        <f> Time!CA$25</f>
        <v>50770.0</v>
      </c>
      <c r="CB12" s="340">
        <f> Time!CB$25</f>
        <v>50860.0</v>
      </c>
      <c r="CC12" s="340">
        <f> Time!CC$25</f>
        <v>50951.0</v>
      </c>
      <c r="CD12" s="340">
        <f> Time!CD$25</f>
        <v>51043.0</v>
      </c>
      <c r="CE12" s="340">
        <f> Time!CE$25</f>
        <v>51135.0</v>
      </c>
      <c r="CF12" s="340">
        <f> Time!CF$25</f>
        <v>51226.0</v>
      </c>
      <c r="CG12" s="340">
        <f> Time!CG$25</f>
        <v>51317.0</v>
      </c>
      <c r="CH12" s="340">
        <f> Time!CH$25</f>
        <v>51409.0</v>
      </c>
      <c r="CI12" s="340">
        <f> Time!CI$25</f>
        <v>51501.0</v>
      </c>
      <c r="CJ12" s="340">
        <f> Time!CJ$25</f>
        <v>51591.0</v>
      </c>
      <c r="CK12" s="340">
        <f> Time!CK$25</f>
        <v>51682.0</v>
      </c>
      <c r="CL12" s="340">
        <f> Time!CL$25</f>
        <v>51774.0</v>
      </c>
      <c r="CM12" s="340">
        <f> Time!CM$25</f>
        <v>51866.0</v>
      </c>
      <c r="CN12" s="340">
        <f> Time!CN$25</f>
        <v>51956.0</v>
      </c>
      <c r="CO12" s="340">
        <f> Time!CO$25</f>
        <v>52047.0</v>
      </c>
    </row>
    <row r="13">
      <c r="E13" s="61" t="inlineStr">
        <is>
          <t>Years from shareholder valuation date</t>
        </is>
      </c>
      <c r="G13" s="61" t="inlineStr">
        <is>
          <t>years</t>
        </is>
      </c>
      <c r="J13" s="277">
        <f>( J12 - $F10) /$F11</f>
        <v>-0.25205479452054796</v>
      </c>
      <c r="K13" s="277">
        <f>( K12 - $F10) /$F11</f>
        <v>0.0</v>
      </c>
      <c r="L13" s="277">
        <f>( L12 - $F10) /$F11</f>
        <v>0.2465753424657534</v>
      </c>
      <c r="M13" s="277">
        <f>( M12 - $F10) /$F11</f>
        <v>0.4958904109589041</v>
      </c>
      <c r="N13" s="277">
        <f>( N12 - $F10) /$F11</f>
        <v>0.7479452054794521</v>
      </c>
      <c r="O13" s="277">
        <f>( O12 - $F10) /$F11</f>
        <v>1.0</v>
      </c>
      <c r="P13" s="277">
        <f>( P12 - $F10) /$F11</f>
        <v>1.2465753424657535</v>
      </c>
      <c r="Q13" s="277">
        <f>( Q12 - $F10) /$F11</f>
        <v>1.4958904109589042</v>
      </c>
      <c r="R13" s="277">
        <f>( R12 - $F10) /$F11</f>
        <v>1.747945205479452</v>
      </c>
      <c r="S13" s="277">
        <f>( S12 - $F10) /$F11</f>
        <v>2.0</v>
      </c>
      <c r="T13" s="277">
        <f>( T12 - $F10) /$F11</f>
        <v>2.249315068493151</v>
      </c>
      <c r="U13" s="277">
        <f>( U12 - $F10) /$F11</f>
        <v>2.4986301369863013</v>
      </c>
      <c r="V13" s="277">
        <f>( V12 - $F10) /$F11</f>
        <v>2.750684931506849</v>
      </c>
      <c r="W13" s="277">
        <f>( W12 - $F10) /$F11</f>
        <v>3.0027397260273974</v>
      </c>
      <c r="X13" s="277">
        <f>( X12 - $F10) /$F11</f>
        <v>3.249315068493151</v>
      </c>
      <c r="Y13" s="277">
        <f>( Y12 - $F10) /$F11</f>
        <v>3.4986301369863013</v>
      </c>
      <c r="Z13" s="277">
        <f>( Z12 - $F10) /$F11</f>
        <v>3.750684931506849</v>
      </c>
      <c r="AA13" s="277">
        <f>( AA12 - $F10) /$F11</f>
        <v>4.002739726027397</v>
      </c>
      <c r="AB13" s="277">
        <f>( AB12 - $F10) /$F11</f>
        <v>4.249315068493151</v>
      </c>
      <c r="AC13" s="277">
        <f>( AC12 - $F10) /$F11</f>
        <v>4.498630136986302</v>
      </c>
      <c r="AD13" s="277">
        <f>( AD12 - $F10) /$F11</f>
        <v>4.750684931506849</v>
      </c>
      <c r="AE13" s="277">
        <f>( AE12 - $F10) /$F11</f>
        <v>5.002739726027397</v>
      </c>
      <c r="AF13" s="277">
        <f>( AF12 - $F10) /$F11</f>
        <v>5.249315068493151</v>
      </c>
      <c r="AG13" s="277">
        <f>( AG12 - $F10) /$F11</f>
        <v>5.498630136986302</v>
      </c>
      <c r="AH13" s="277">
        <f>( AH12 - $F10) /$F11</f>
        <v>5.750684931506849</v>
      </c>
      <c r="AI13" s="277">
        <f>( AI12 - $F10) /$F11</f>
        <v>6.002739726027397</v>
      </c>
      <c r="AJ13" s="277">
        <f>( AJ12 - $F10) /$F11</f>
        <v>6.252054794520548</v>
      </c>
      <c r="AK13" s="277">
        <f>( AK12 - $F10) /$F11</f>
        <v>6.501369863013698</v>
      </c>
      <c r="AL13" s="277">
        <f>( AL12 - $F10) /$F11</f>
        <v>6.7534246575342465</v>
      </c>
      <c r="AM13" s="277">
        <f>( AM12 - $F10) /$F11</f>
        <v>7.005479452054795</v>
      </c>
      <c r="AN13" s="277">
        <f>( AN12 - $F10) /$F11</f>
        <v>7.252054794520548</v>
      </c>
      <c r="AO13" s="277">
        <f>( AO12 - $F10) /$F11</f>
        <v>7.501369863013698</v>
      </c>
      <c r="AP13" s="277">
        <f>( AP12 - $F10) /$F11</f>
        <v>7.7534246575342465</v>
      </c>
      <c r="AQ13" s="277">
        <f>( AQ12 - $F10) /$F11</f>
        <v>8.005479452054795</v>
      </c>
      <c r="AR13" s="277">
        <f>( AR12 - $F10) /$F11</f>
        <v>8.252054794520548</v>
      </c>
      <c r="AS13" s="277">
        <f>( AS12 - $F10) /$F11</f>
        <v>8.501369863013698</v>
      </c>
      <c r="AT13" s="277">
        <f>( AT12 - $F10) /$F11</f>
        <v>8.753424657534246</v>
      </c>
      <c r="AU13" s="277">
        <f>( AU12 - $F10) /$F11</f>
        <v>9.005479452054795</v>
      </c>
      <c r="AV13" s="277">
        <f>( AV12 - $F10) /$F11</f>
        <v>9.252054794520548</v>
      </c>
      <c r="AW13" s="277">
        <f>( AW12 - $F10) /$F11</f>
        <v>9.501369863013698</v>
      </c>
      <c r="AX13" s="277">
        <f>( AX12 - $F10) /$F11</f>
        <v>9.753424657534246</v>
      </c>
      <c r="AY13" s="277">
        <f>( AY12 - $F10) /$F11</f>
        <v>10.005479452054795</v>
      </c>
      <c r="AZ13" s="277">
        <f>( AZ12 - $F10) /$F11</f>
        <v>10.254794520547945</v>
      </c>
      <c r="BA13" s="277">
        <f>( BA12 - $F10) /$F11</f>
        <v>10.504109589041096</v>
      </c>
      <c r="BB13" s="277">
        <f>( BB12 - $F10) /$F11</f>
        <v>10.756164383561643</v>
      </c>
      <c r="BC13" s="277">
        <f>( BC12 - $F10) /$F11</f>
        <v>11.008219178082191</v>
      </c>
      <c r="BD13" s="277">
        <f>( BD12 - $F10) /$F11</f>
        <v>11.254794520547945</v>
      </c>
      <c r="BE13" s="277">
        <f>( BE12 - $F10) /$F11</f>
        <v>11.504109589041096</v>
      </c>
      <c r="BF13" s="277">
        <f>( BF12 - $F10) /$F11</f>
        <v>11.756164383561643</v>
      </c>
      <c r="BG13" s="277">
        <f>( BG12 - $F10) /$F11</f>
        <v>12.008219178082191</v>
      </c>
      <c r="BH13" s="277">
        <f>( BH12 - $F10) /$F11</f>
        <v>12.254794520547945</v>
      </c>
      <c r="BI13" s="277">
        <f>( BI12 - $F10) /$F11</f>
        <v>12.504109589041096</v>
      </c>
      <c r="BJ13" s="277">
        <f>( BJ12 - $F10) /$F11</f>
        <v>12.756164383561643</v>
      </c>
      <c r="BK13" s="277">
        <f>( BK12 - $F10) /$F11</f>
        <v>13.008219178082191</v>
      </c>
      <c r="BL13" s="277">
        <f>( BL12 - $F10) /$F11</f>
        <v>13.254794520547945</v>
      </c>
      <c r="BM13" s="277">
        <f>( BM12 - $F10) /$F11</f>
        <v>13.504109589041096</v>
      </c>
      <c r="BN13" s="277">
        <f>( BN12 - $F10) /$F11</f>
        <v>13.756164383561643</v>
      </c>
      <c r="BO13" s="277">
        <f>( BO12 - $F10) /$F11</f>
        <v>14.008219178082191</v>
      </c>
      <c r="BP13" s="277">
        <f>( BP12 - $F10) /$F11</f>
        <v>14.257534246575343</v>
      </c>
      <c r="BQ13" s="277">
        <f>( BQ12 - $F10) /$F11</f>
        <v>14.506849315068493</v>
      </c>
      <c r="BR13" s="277">
        <f>( BR12 - $F10) /$F11</f>
        <v>14.758904109589041</v>
      </c>
      <c r="BS13" s="277">
        <f>( BS12 - $F10) /$F11</f>
        <v>15.01095890410959</v>
      </c>
      <c r="BT13" s="277">
        <f>( BT12 - $F10) /$F11</f>
        <v>15.257534246575343</v>
      </c>
      <c r="BU13" s="277">
        <f>( BU12 - $F10) /$F11</f>
        <v>15.506849315068493</v>
      </c>
      <c r="BV13" s="277">
        <f>( BV12 - $F10) /$F11</f>
        <v>15.758904109589041</v>
      </c>
      <c r="BW13" s="277">
        <f>( BW12 - $F10) /$F11</f>
        <v>16.01095890410959</v>
      </c>
      <c r="BX13" s="277">
        <f>( BX12 - $F10) /$F11</f>
        <v>16.257534246575343</v>
      </c>
      <c r="BY13" s="277">
        <f>( BY12 - $F10) /$F11</f>
        <v>16.506849315068493</v>
      </c>
      <c r="BZ13" s="277">
        <f>( BZ12 - $F10) /$F11</f>
        <v>16.75890410958904</v>
      </c>
      <c r="CA13" s="277">
        <f>( CA12 - $F10) /$F11</f>
        <v>17.01095890410959</v>
      </c>
      <c r="CB13" s="277">
        <f>( CB12 - $F10) /$F11</f>
        <v>17.257534246575343</v>
      </c>
      <c r="CC13" s="277">
        <f>( CC12 - $F10) /$F11</f>
        <v>17.506849315068493</v>
      </c>
      <c r="CD13" s="277">
        <f>( CD12 - $F10) /$F11</f>
        <v>17.75890410958904</v>
      </c>
      <c r="CE13" s="277">
        <f>( CE12 - $F10) /$F11</f>
        <v>18.01095890410959</v>
      </c>
      <c r="CF13" s="277">
        <f>( CF12 - $F10) /$F11</f>
        <v>18.26027397260274</v>
      </c>
      <c r="CG13" s="277">
        <f>( CG12 - $F10) /$F11</f>
        <v>18.50958904109589</v>
      </c>
      <c r="CH13" s="277">
        <f>( CH12 - $F10) /$F11</f>
        <v>18.76164383561644</v>
      </c>
      <c r="CI13" s="277">
        <f>( CI12 - $F10) /$F11</f>
        <v>19.013698630136986</v>
      </c>
      <c r="CJ13" s="277">
        <f>( CJ12 - $F10) /$F11</f>
        <v>19.26027397260274</v>
      </c>
      <c r="CK13" s="277">
        <f>( CK12 - $F10) /$F11</f>
        <v>19.50958904109589</v>
      </c>
      <c r="CL13" s="277">
        <f>( CL12 - $F10) /$F11</f>
        <v>19.76164383561644</v>
      </c>
      <c r="CM13" s="277">
        <f>( CM12 - $F10) /$F11</f>
        <v>20.013698630136986</v>
      </c>
      <c r="CN13" s="277">
        <f>( CN12 - $F10) /$F11</f>
        <v>20.26027397260274</v>
      </c>
      <c r="CO13" s="277">
        <f>( CO12 - $F10) /$F11</f>
        <v>20.50958904109589</v>
      </c>
    </row>
    <row r="15">
      <c r="E15" s="336" t="str">
        <f> InpC!E$93</f>
        <v>Shareholder required rate of return per annum</v>
      </c>
      <c r="F15" s="336">
        <f> InpC!F$93</f>
        <v>0.2525</v>
      </c>
      <c r="G15" s="336" t="str">
        <f> InpC!G$93</f>
        <v>% p.a</v>
      </c>
    </row>
    <row r="16">
      <c r="E16" s="277" t="str">
        <f> E$13</f>
        <v>Years from shareholder valuation date</v>
      </c>
      <c r="F16" s="277">
        <f> F$13</f>
        <v>0.0</v>
      </c>
      <c r="G16" s="277" t="str">
        <f> G$13</f>
        <v>years</v>
      </c>
      <c r="H16" s="277">
        <f> H$13</f>
        <v>0.0</v>
      </c>
      <c r="I16" s="277">
        <f> I$13</f>
        <v>0.0</v>
      </c>
      <c r="J16" s="277">
        <f> J$13</f>
        <v>-0.25205479452054796</v>
      </c>
      <c r="K16" s="277">
        <f> K$13</f>
        <v>0.0</v>
      </c>
      <c r="L16" s="277">
        <f> L$13</f>
        <v>0.2465753424657534</v>
      </c>
      <c r="M16" s="277">
        <f> M$13</f>
        <v>0.4958904109589041</v>
      </c>
      <c r="N16" s="277">
        <f> N$13</f>
        <v>0.7479452054794521</v>
      </c>
      <c r="O16" s="277">
        <f> O$13</f>
        <v>1.0</v>
      </c>
      <c r="P16" s="277">
        <f> P$13</f>
        <v>1.2465753424657535</v>
      </c>
      <c r="Q16" s="277">
        <f> Q$13</f>
        <v>1.4958904109589042</v>
      </c>
      <c r="R16" s="277">
        <f> R$13</f>
        <v>1.747945205479452</v>
      </c>
      <c r="S16" s="277">
        <f> S$13</f>
        <v>2.0</v>
      </c>
      <c r="T16" s="277">
        <f> T$13</f>
        <v>2.249315068493151</v>
      </c>
      <c r="U16" s="277">
        <f> U$13</f>
        <v>2.4986301369863013</v>
      </c>
      <c r="V16" s="277">
        <f> V$13</f>
        <v>2.750684931506849</v>
      </c>
      <c r="W16" s="277">
        <f> W$13</f>
        <v>3.0027397260273974</v>
      </c>
      <c r="X16" s="277">
        <f> X$13</f>
        <v>3.249315068493151</v>
      </c>
      <c r="Y16" s="277">
        <f> Y$13</f>
        <v>3.4986301369863013</v>
      </c>
      <c r="Z16" s="277">
        <f> Z$13</f>
        <v>3.750684931506849</v>
      </c>
      <c r="AA16" s="277">
        <f> AA$13</f>
        <v>4.002739726027397</v>
      </c>
      <c r="AB16" s="277">
        <f> AB$13</f>
        <v>4.249315068493151</v>
      </c>
      <c r="AC16" s="277">
        <f> AC$13</f>
        <v>4.498630136986302</v>
      </c>
      <c r="AD16" s="277">
        <f> AD$13</f>
        <v>4.750684931506849</v>
      </c>
      <c r="AE16" s="277">
        <f> AE$13</f>
        <v>5.002739726027397</v>
      </c>
      <c r="AF16" s="277">
        <f> AF$13</f>
        <v>5.249315068493151</v>
      </c>
      <c r="AG16" s="277">
        <f> AG$13</f>
        <v>5.498630136986302</v>
      </c>
      <c r="AH16" s="277">
        <f> AH$13</f>
        <v>5.750684931506849</v>
      </c>
      <c r="AI16" s="277">
        <f> AI$13</f>
        <v>6.002739726027397</v>
      </c>
      <c r="AJ16" s="277">
        <f> AJ$13</f>
        <v>6.252054794520548</v>
      </c>
      <c r="AK16" s="277">
        <f> AK$13</f>
        <v>6.501369863013698</v>
      </c>
      <c r="AL16" s="277">
        <f> AL$13</f>
        <v>6.7534246575342465</v>
      </c>
      <c r="AM16" s="277">
        <f> AM$13</f>
        <v>7.005479452054795</v>
      </c>
      <c r="AN16" s="277">
        <f> AN$13</f>
        <v>7.252054794520548</v>
      </c>
      <c r="AO16" s="277">
        <f> AO$13</f>
        <v>7.501369863013698</v>
      </c>
      <c r="AP16" s="277">
        <f> AP$13</f>
        <v>7.7534246575342465</v>
      </c>
      <c r="AQ16" s="277">
        <f> AQ$13</f>
        <v>8.005479452054795</v>
      </c>
      <c r="AR16" s="277">
        <f> AR$13</f>
        <v>8.252054794520548</v>
      </c>
      <c r="AS16" s="277">
        <f> AS$13</f>
        <v>8.501369863013698</v>
      </c>
      <c r="AT16" s="277">
        <f> AT$13</f>
        <v>8.753424657534246</v>
      </c>
      <c r="AU16" s="277">
        <f> AU$13</f>
        <v>9.005479452054795</v>
      </c>
      <c r="AV16" s="277">
        <f> AV$13</f>
        <v>9.252054794520548</v>
      </c>
      <c r="AW16" s="277">
        <f> AW$13</f>
        <v>9.501369863013698</v>
      </c>
      <c r="AX16" s="277">
        <f> AX$13</f>
        <v>9.753424657534246</v>
      </c>
      <c r="AY16" s="277">
        <f> AY$13</f>
        <v>10.005479452054795</v>
      </c>
      <c r="AZ16" s="277">
        <f> AZ$13</f>
        <v>10.254794520547945</v>
      </c>
      <c r="BA16" s="277">
        <f> BA$13</f>
        <v>10.504109589041096</v>
      </c>
      <c r="BB16" s="277">
        <f> BB$13</f>
        <v>10.756164383561643</v>
      </c>
      <c r="BC16" s="277">
        <f> BC$13</f>
        <v>11.008219178082191</v>
      </c>
      <c r="BD16" s="277">
        <f> BD$13</f>
        <v>11.254794520547945</v>
      </c>
      <c r="BE16" s="277">
        <f> BE$13</f>
        <v>11.504109589041096</v>
      </c>
      <c r="BF16" s="277">
        <f> BF$13</f>
        <v>11.756164383561643</v>
      </c>
      <c r="BG16" s="277">
        <f> BG$13</f>
        <v>12.008219178082191</v>
      </c>
      <c r="BH16" s="277">
        <f> BH$13</f>
        <v>12.254794520547945</v>
      </c>
      <c r="BI16" s="277">
        <f> BI$13</f>
        <v>12.504109589041096</v>
      </c>
      <c r="BJ16" s="277">
        <f> BJ$13</f>
        <v>12.756164383561643</v>
      </c>
      <c r="BK16" s="277">
        <f> BK$13</f>
        <v>13.008219178082191</v>
      </c>
      <c r="BL16" s="277">
        <f> BL$13</f>
        <v>13.254794520547945</v>
      </c>
      <c r="BM16" s="277">
        <f> BM$13</f>
        <v>13.504109589041096</v>
      </c>
      <c r="BN16" s="277">
        <f> BN$13</f>
        <v>13.756164383561643</v>
      </c>
      <c r="BO16" s="277">
        <f> BO$13</f>
        <v>14.008219178082191</v>
      </c>
      <c r="BP16" s="277">
        <f> BP$13</f>
        <v>14.257534246575343</v>
      </c>
      <c r="BQ16" s="277">
        <f> BQ$13</f>
        <v>14.506849315068493</v>
      </c>
      <c r="BR16" s="277">
        <f> BR$13</f>
        <v>14.758904109589041</v>
      </c>
      <c r="BS16" s="277">
        <f> BS$13</f>
        <v>15.01095890410959</v>
      </c>
      <c r="BT16" s="277">
        <f> BT$13</f>
        <v>15.257534246575343</v>
      </c>
      <c r="BU16" s="277">
        <f> BU$13</f>
        <v>15.506849315068493</v>
      </c>
      <c r="BV16" s="277">
        <f> BV$13</f>
        <v>15.758904109589041</v>
      </c>
      <c r="BW16" s="277">
        <f> BW$13</f>
        <v>16.01095890410959</v>
      </c>
      <c r="BX16" s="277">
        <f> BX$13</f>
        <v>16.257534246575343</v>
      </c>
      <c r="BY16" s="277">
        <f> BY$13</f>
        <v>16.506849315068493</v>
      </c>
      <c r="BZ16" s="277">
        <f> BZ$13</f>
        <v>16.75890410958904</v>
      </c>
      <c r="CA16" s="277">
        <f> CA$13</f>
        <v>17.01095890410959</v>
      </c>
      <c r="CB16" s="277">
        <f> CB$13</f>
        <v>17.257534246575343</v>
      </c>
      <c r="CC16" s="277">
        <f> CC$13</f>
        <v>17.506849315068493</v>
      </c>
      <c r="CD16" s="277">
        <f> CD$13</f>
        <v>17.75890410958904</v>
      </c>
      <c r="CE16" s="277">
        <f> CE$13</f>
        <v>18.01095890410959</v>
      </c>
      <c r="CF16" s="277">
        <f> CF$13</f>
        <v>18.26027397260274</v>
      </c>
      <c r="CG16" s="277">
        <f> CG$13</f>
        <v>18.50958904109589</v>
      </c>
      <c r="CH16" s="277">
        <f> CH$13</f>
        <v>18.76164383561644</v>
      </c>
      <c r="CI16" s="277">
        <f> CI$13</f>
        <v>19.013698630136986</v>
      </c>
      <c r="CJ16" s="277">
        <f> CJ$13</f>
        <v>19.26027397260274</v>
      </c>
      <c r="CK16" s="277">
        <f> CK$13</f>
        <v>19.50958904109589</v>
      </c>
      <c r="CL16" s="277">
        <f> CL$13</f>
        <v>19.76164383561644</v>
      </c>
      <c r="CM16" s="277">
        <f> CM$13</f>
        <v>20.013698630136986</v>
      </c>
      <c r="CN16" s="277">
        <f> CN$13</f>
        <v>20.26027397260274</v>
      </c>
      <c r="CO16" s="277">
        <f> CO$13</f>
        <v>20.50958904109589</v>
      </c>
    </row>
    <row r="17">
      <c r="E17" s="61" t="inlineStr">
        <is>
          <t>Shareholder discount factor</t>
        </is>
      </c>
      <c r="G17" s="61" t="inlineStr">
        <is>
          <t>factor</t>
        </is>
      </c>
      <c r="J17" s="277">
        <f> 1 /(1 + $F15) ^ J16</f>
        <v>1.0583890713430273</v>
      </c>
      <c r="K17" s="277">
        <f> 1 /(1 + $F15) ^ K16</f>
        <v>1.0</v>
      </c>
      <c r="L17" s="277">
        <f> 1 /(1 + $F15) ^ L16</f>
        <v>0.9459984430320407</v>
      </c>
      <c r="M17" s="277">
        <f> 1 /(1 + $F15) ^ M16</f>
        <v>0.8943612186334177</v>
      </c>
      <c r="N17" s="277">
        <f> 1 /(1 + $F15) ^ N16</f>
        <v>0.8450212146451316</v>
      </c>
      <c r="O17" s="277">
        <f> 1 /(1 + $F15) ^ O16</f>
        <v>0.7984031936127745</v>
      </c>
      <c r="P17" s="277">
        <f> 1 /(1 + $F15) ^ P16</f>
        <v>0.7552881780694938</v>
      </c>
      <c r="Q17" s="277">
        <f> 1 /(1 + $F15) ^ Q16</f>
        <v>0.7140608532003334</v>
      </c>
      <c r="R17" s="277">
        <f> 1 /(1 + $F15) ^ R16</f>
        <v>0.6746676364432189</v>
      </c>
      <c r="S17" s="277">
        <f> 1 /(1 + $F15) ^ S16</f>
        <v>0.6374476595710775</v>
      </c>
      <c r="T17" s="277">
        <f> 1 /(1 + $F15) ^ T16</f>
        <v>0.6026526468708989</v>
      </c>
      <c r="U17" s="277">
        <f> 1 /(1 + $F15) ^ U16</f>
        <v>0.56975691623824</v>
      </c>
      <c r="V17" s="277">
        <f> 1 /(1 + $F15) ^ V16</f>
        <v>0.5383246404039823</v>
      </c>
      <c r="W17" s="277">
        <f> 1 /(1 + $F15) ^ W16</f>
        <v>0.508626416295931</v>
      </c>
      <c r="X17" s="277">
        <f> 1 /(1 + $F15) ^ X16</f>
        <v>0.48115979790091734</v>
      </c>
      <c r="Y17" s="277">
        <f> 1 /(1 + $F15) ^ Y16</f>
        <v>0.45489574150757683</v>
      </c>
      <c r="Z17" s="277">
        <f> 1 /(1 + $F15) ^ Z16</f>
        <v>0.42980011209898794</v>
      </c>
      <c r="AA17" s="277">
        <f> 1 /(1 + $F15) ^ AA16</f>
        <v>0.4060889551264918</v>
      </c>
      <c r="AB17" s="277">
        <f> 1 /(1 + $F15) ^ AB16</f>
        <v>0.3841595192821695</v>
      </c>
      <c r="AC17" s="277">
        <f> 1 /(1 + $F15) ^ AC16</f>
        <v>0.36319021278050045</v>
      </c>
      <c r="AD17" s="277">
        <f> 1 /(1 + $F15) ^ AD16</f>
        <v>0.34315378211496045</v>
      </c>
      <c r="AE17" s="277">
        <f> 1 /(1 + $F15) ^ AE16</f>
        <v>0.3242227186638657</v>
      </c>
      <c r="AF17" s="277">
        <f> 1 /(1 + $F15) ^ AF16</f>
        <v>0.3067141870516324</v>
      </c>
      <c r="AG17" s="277">
        <f> 1 /(1 + $F15) ^ AG16</f>
        <v>0.28997222577285464</v>
      </c>
      <c r="AH17" s="277">
        <f> 1 /(1 + $F15) ^ AH16</f>
        <v>0.27397507554088657</v>
      </c>
      <c r="AI17" s="277">
        <f> 1 /(1 + $F15) ^ AI16</f>
        <v>0.2588604540230465</v>
      </c>
      <c r="AJ17" s="277">
        <f> 1 /(1 + $F15) ^ AJ16</f>
        <v>0.244730583672018</v>
      </c>
      <c r="AK17" s="277">
        <f> 1 /(1 + $F15) ^ AK16</f>
        <v>0.231371990791279</v>
      </c>
      <c r="AL17" s="277">
        <f> 1 /(1 + $F15) ^ AL16</f>
        <v>0.21860769074049763</v>
      </c>
      <c r="AM17" s="277">
        <f> 1 /(1 + $F15) ^ AM16</f>
        <v>0.20654756994334666</v>
      </c>
      <c r="AN17" s="277">
        <f> 1 /(1 + $F15) ^ AN16</f>
        <v>0.1953936795784575</v>
      </c>
      <c r="AO17" s="277">
        <f> 1 /(1 + $F15) ^ AO16</f>
        <v>0.1847281363603026</v>
      </c>
      <c r="AP17" s="277">
        <f> 1 /(1 + $F15) ^ AP16</f>
        <v>0.17453707843552707</v>
      </c>
      <c r="AQ17" s="277">
        <f> 1 /(1 + $F15) ^ AQ16</f>
        <v>0.1649082394757259</v>
      </c>
      <c r="AR17" s="277">
        <f> 1 /(1 + $F15) ^ AR16</f>
        <v>0.15600293778719163</v>
      </c>
      <c r="AS17" s="277">
        <f> 1 /(1 + $F15) ^ AS16</f>
        <v>0.1474875340202017</v>
      </c>
      <c r="AT17" s="277">
        <f> 1 /(1 + $F15) ^ AT16</f>
        <v>0.13935096082676812</v>
      </c>
      <c r="AU17" s="277">
        <f> 1 /(1 + $F15) ^ AU16</f>
        <v>0.13166326505047976</v>
      </c>
      <c r="AV17" s="277">
        <f> 1 /(1 + $F15) ^ AV16</f>
        <v>0.12455324374226877</v>
      </c>
      <c r="AW17" s="277">
        <f> 1 /(1 + $F15) ^ AW16</f>
        <v>0.11775451817980176</v>
      </c>
      <c r="AX17" s="277">
        <f> 1 /(1 + $F15) ^ AX16</f>
        <v>0.1112582521571003</v>
      </c>
      <c r="AY17" s="277">
        <f> 1 /(1 + $F15) ^ AY16</f>
        <v>0.10512037129778823</v>
      </c>
      <c r="AZ17" s="277">
        <f> 1 /(1 + $F15) ^ AZ16</f>
        <v>0.0993823870108663</v>
      </c>
      <c r="BA17" s="277">
        <f> 1 /(1 + $F15) ^ BA16</f>
        <v>0.09395760998596675</v>
      </c>
      <c r="BB17" s="277">
        <f> 1 /(1 + $F15) ^ BB16</f>
        <v>0.08877416871542397</v>
      </c>
      <c r="BC17" s="277">
        <f> 1 /(1 + $F15) ^ BC16</f>
        <v>0.08387668686220964</v>
      </c>
      <c r="BD17" s="277">
        <f> 1 /(1 + $F15) ^ BD16</f>
        <v>0.07934721517833636</v>
      </c>
      <c r="BE17" s="277">
        <f> 1 /(1 + $F15) ^ BE16</f>
        <v>0.07501605587701937</v>
      </c>
      <c r="BF17" s="277">
        <f> 1 /(1 + $F15) ^ BF16</f>
        <v>0.07087757981271375</v>
      </c>
      <c r="BG17" s="277">
        <f> 1 /(1 + $F15) ^ BG16</f>
        <v>0.06696741466044683</v>
      </c>
      <c r="BH17" s="277">
        <f> 1 /(1 + $F15) ^ BH16</f>
        <v>0.06335107000266377</v>
      </c>
      <c r="BI17" s="277">
        <f> 1 /(1 + $F15) ^ BI16</f>
        <v>0.05989305858444661</v>
      </c>
      <c r="BJ17" s="277">
        <f> 1 /(1 + $F15) ^ BJ16</f>
        <v>0.05658888607801497</v>
      </c>
      <c r="BK17" s="277">
        <f> 1 /(1 + $F15) ^ BK16</f>
        <v>0.05346699773289169</v>
      </c>
      <c r="BL17" s="277">
        <f> 1 /(1 + $F15) ^ BL16</f>
        <v>0.05057969660891319</v>
      </c>
      <c r="BM17" s="277">
        <f> 1 /(1 + $F15) ^ BM16</f>
        <v>0.047818809249059166</v>
      </c>
      <c r="BN17" s="277">
        <f> 1 /(1 + $F15) ^ BN16</f>
        <v>0.04518074736767662</v>
      </c>
      <c r="BO17" s="277">
        <f> 1 /(1 + $F15) ^ BO16</f>
        <v>0.04268822174282769</v>
      </c>
      <c r="BP17" s="277">
        <f> 1 /(1 + $F15) ^ BP16</f>
        <v>0.040358089699219314</v>
      </c>
      <c r="BQ17" s="277">
        <f> 1 /(1 + $F15) ^ BQ16</f>
        <v>0.03815514766538368</v>
      </c>
      <c r="BR17" s="277">
        <f> 1 /(1 + $F15) ^ BR16</f>
        <v>0.03605020941586941</v>
      </c>
      <c r="BS17" s="277">
        <f> 1 /(1 + $F15) ^ BS16</f>
        <v>0.03406139612734665</v>
      </c>
      <c r="BT17" s="277">
        <f> 1 /(1 + $F15) ^ BT16</f>
        <v>0.03222202770396752</v>
      </c>
      <c r="BU17" s="277">
        <f> 1 /(1 + $F15) ^ BU16</f>
        <v>0.030463191748809328</v>
      </c>
      <c r="BV17" s="277">
        <f> 1 /(1 + $F15) ^ BV16</f>
        <v>0.02878260232803945</v>
      </c>
      <c r="BW17" s="277">
        <f> 1 /(1 + $F15) ^ BW16</f>
        <v>0.027194727446983355</v>
      </c>
      <c r="BX17" s="277">
        <f> 1 /(1 + $F15) ^ BX16</f>
        <v>0.02572616982352696</v>
      </c>
      <c r="BY17" s="277">
        <f> 1 /(1 + $F15) ^ BY16</f>
        <v>0.02432190957988769</v>
      </c>
      <c r="BZ17" s="277">
        <f> 1 /(1 + $F15) ^ BZ16</f>
        <v>0.022980121619193182</v>
      </c>
      <c r="CA17" s="277">
        <f> 1 /(1 + $F15) ^ CA16</f>
        <v>0.021712357243100486</v>
      </c>
      <c r="CB17" s="277">
        <f> 1 /(1 + $F15) ^ CB16</f>
        <v>0.020539856146528514</v>
      </c>
      <c r="CC17" s="277">
        <f> 1 /(1 + $F15) ^ CC16</f>
        <v>0.019418690283343466</v>
      </c>
      <c r="CD17" s="277">
        <f> 1 /(1 + $F15) ^ CD16</f>
        <v>0.0183474024903738</v>
      </c>
      <c r="CE17" s="277">
        <f> 1 /(1 + $F15) ^ CE16</f>
        <v>0.017335215363752883</v>
      </c>
      <c r="CF17" s="277">
        <f> 1 /(1 + $F15) ^ CF16</f>
        <v>0.016388974476857207</v>
      </c>
      <c r="CG17" s="277">
        <f> 1 /(1 + $F15) ^ CG16</f>
        <v>0.015494384048132666</v>
      </c>
      <c r="CH17" s="277">
        <f> 1 /(1 + $F15) ^ CH16</f>
        <v>0.01463959187378162</v>
      </c>
      <c r="CI17" s="277">
        <f> 1 /(1 + $F15) ^ CI16</f>
        <v>0.013831956763503739</v>
      </c>
      <c r="CJ17" s="277">
        <f> 1 /(1 + $F15) ^ CJ16</f>
        <v>0.013085009562361045</v>
      </c>
      <c r="CK17" s="277">
        <f> 1 /(1 + $F15) ^ CK16</f>
        <v>0.012370765707091948</v>
      </c>
      <c r="CL17" s="277">
        <f> 1 /(1 + $F15) ^ CL16</f>
        <v>0.011688296905214867</v>
      </c>
      <c r="CM17" s="277">
        <f> 1 /(1 + $F15) ^ CM16</f>
        <v>0.011043478453895202</v>
      </c>
      <c r="CN17" s="277">
        <f> 1 /(1 + $F15) ^ CN16</f>
        <v>0.01044711342304275</v>
      </c>
      <c r="CO17" s="277">
        <f> 1 /(1 + $F15) ^ CO16</f>
        <v>0.009876858847977604</v>
      </c>
    </row>
    <row r="19">
      <c r="B19" s="294" t="inlineStr">
        <is>
          <t>Shareholder cashflow</t>
        </is>
      </c>
    </row>
    <row r="21">
      <c r="E21" s="325" t="str">
        <f> Equity!E$39</f>
        <v>Dividend declared and paid POS</v>
      </c>
      <c r="F21" s="325">
        <f> Equity!F$39</f>
        <v>0.0</v>
      </c>
      <c r="G21" s="325" t="str">
        <f> Equity!G$39</f>
        <v>$ 000s</v>
      </c>
      <c r="H21" s="325">
        <f> Equity!H$39</f>
        <v>464032.94057809055</v>
      </c>
      <c r="I21" s="325">
        <f> Equity!I$39</f>
        <v>0.0</v>
      </c>
      <c r="J21" s="325">
        <f> Equity!J$39</f>
        <v>0.0</v>
      </c>
      <c r="K21" s="325">
        <f> Equity!K$39</f>
        <v>0.0</v>
      </c>
      <c r="L21" s="325">
        <f> Equity!L$39</f>
        <v>2100.6709056988466</v>
      </c>
      <c r="M21" s="325">
        <f> Equity!M$39</f>
        <v>1815.9800941136655</v>
      </c>
      <c r="N21" s="325">
        <f> Equity!N$39</f>
        <v>2174.5967436970222</v>
      </c>
      <c r="O21" s="325">
        <f> Equity!O$39</f>
        <v>1905.0925810000006</v>
      </c>
      <c r="P21" s="325">
        <f> Equity!P$39</f>
        <v>2310.0471202231984</v>
      </c>
      <c r="Q21" s="325">
        <f> Equity!Q$39</f>
        <v>2051.7677315661467</v>
      </c>
      <c r="R21" s="325">
        <f> Equity!R$39</f>
        <v>2444.047410276859</v>
      </c>
      <c r="S21" s="325">
        <f> Equity!S$39</f>
        <v>2186.58609893889</v>
      </c>
      <c r="T21" s="325">
        <f> Equity!T$39</f>
        <v>2739.7214559269796</v>
      </c>
      <c r="U21" s="325">
        <f> Equity!U$39</f>
        <v>2456.318172364562</v>
      </c>
      <c r="V21" s="325">
        <f> Equity!V$39</f>
        <v>2870.0497454789092</v>
      </c>
      <c r="W21" s="325">
        <f> Equity!W$39</f>
        <v>2580.8312038631084</v>
      </c>
      <c r="X21" s="325">
        <f> Equity!X$39</f>
        <v>2972.679298709598</v>
      </c>
      <c r="Y21" s="325">
        <f> Equity!Y$39</f>
        <v>2661.854817137978</v>
      </c>
      <c r="Z21" s="325">
        <f> Equity!Z$39</f>
        <v>3078.881769034094</v>
      </c>
      <c r="AA21" s="325">
        <f> Equity!AA$39</f>
        <v>2768.7270288678883</v>
      </c>
      <c r="AB21" s="325">
        <f> Equity!AB$39</f>
        <v>3152.842177670883</v>
      </c>
      <c r="AC21" s="325">
        <f> Equity!AC$39</f>
        <v>2833.173239429893</v>
      </c>
      <c r="AD21" s="325">
        <f> Equity!AD$39</f>
        <v>3737.2202129699026</v>
      </c>
      <c r="AE21" s="325">
        <f> Equity!AE$39</f>
        <v>3394.7651224618876</v>
      </c>
      <c r="AF21" s="325">
        <f> Equity!AF$39</f>
        <v>3835.8571618035007</v>
      </c>
      <c r="AG21" s="325">
        <f> Equity!AG$39</f>
        <v>3484.418059360265</v>
      </c>
      <c r="AH21" s="325">
        <f> Equity!AH$39</f>
        <v>3957.549041581221</v>
      </c>
      <c r="AI21" s="325">
        <f> Equity!AI$39</f>
        <v>3604.122631691296</v>
      </c>
      <c r="AJ21" s="325">
        <f> Equity!AJ$39</f>
        <v>4071.805376657603</v>
      </c>
      <c r="AK21" s="325">
        <f> Equity!AK$39</f>
        <v>3712.517712252178</v>
      </c>
      <c r="AL21" s="325">
        <f> Equity!AL$39</f>
        <v>4200.24706838421</v>
      </c>
      <c r="AM21" s="325">
        <f> Equity!AM$39</f>
        <v>4314.777595121459</v>
      </c>
      <c r="AN21" s="325">
        <f> Equity!AN$39</f>
        <v>4880.146631884893</v>
      </c>
      <c r="AO21" s="325">
        <f> Equity!AO$39</f>
        <v>4484.118155359209</v>
      </c>
      <c r="AP21" s="325">
        <f> Equity!AP$39</f>
        <v>5018.461158744443</v>
      </c>
      <c r="AQ21" s="325">
        <f> Equity!AQ$39</f>
        <v>3977.9688965106834</v>
      </c>
      <c r="AR21" s="325">
        <f> Equity!AR$39</f>
        <v>4701.8472342003215</v>
      </c>
      <c r="AS21" s="325">
        <f> Equity!AS$39</f>
        <v>5852.78968979218</v>
      </c>
      <c r="AT21" s="325">
        <f> Equity!AT$39</f>
        <v>5281.124660173442</v>
      </c>
      <c r="AU21" s="325">
        <f> Equity!AU$39</f>
        <v>4844.417463997683</v>
      </c>
      <c r="AV21" s="325">
        <f> Equity!AV$39</f>
        <v>5432.232436766679</v>
      </c>
      <c r="AW21" s="325">
        <f> Equity!AW$39</f>
        <v>4989.023038798356</v>
      </c>
      <c r="AX21" s="325">
        <f> Equity!AX$39</f>
        <v>6156.542911295906</v>
      </c>
      <c r="AY21" s="325">
        <f> Equity!AY$39</f>
        <v>5681.438920205088</v>
      </c>
      <c r="AZ21" s="325">
        <f> Equity!AZ$39</f>
        <v>6302.403246524402</v>
      </c>
      <c r="BA21" s="325">
        <f> Equity!BA$39</f>
        <v>5820.225357752074</v>
      </c>
      <c r="BB21" s="325">
        <f> Equity!BB$39</f>
        <v>6414.91419863478</v>
      </c>
      <c r="BC21" s="325">
        <f> Equity!BC$39</f>
        <v>5925.557087811238</v>
      </c>
      <c r="BD21" s="325">
        <f> Equity!BD$39</f>
        <v>6546.600343920132</v>
      </c>
      <c r="BE21" s="325">
        <f> Equity!BE$39</f>
        <v>6049.957118484637</v>
      </c>
      <c r="BF21" s="325">
        <f> Equity!BF$39</f>
        <v>6662.486624593822</v>
      </c>
      <c r="BG21" s="325">
        <f> Equity!BG$39</f>
        <v>6158.448800445573</v>
      </c>
      <c r="BH21" s="325">
        <f> Equity!BH$39</f>
        <v>6248.298902669767</v>
      </c>
      <c r="BI21" s="325">
        <f> Equity!BI$39</f>
        <v>6874.559275823</v>
      </c>
      <c r="BJ21" s="325">
        <f> Equity!BJ$39</f>
        <v>6359.222606019929</v>
      </c>
      <c r="BK21" s="325">
        <f> Equity!BK$39</f>
        <v>6994.807467884564</v>
      </c>
      <c r="BL21" s="325">
        <f> Equity!BL$39</f>
        <v>6506.797869749857</v>
      </c>
      <c r="BM21" s="325">
        <f> Equity!BM$39</f>
        <v>7151.846054097686</v>
      </c>
      <c r="BN21" s="325">
        <f> Equity!BN$39</f>
        <v>6621.049284200526</v>
      </c>
      <c r="BO21" s="325">
        <f> Equity!BO$39</f>
        <v>7275.7016919211</v>
      </c>
      <c r="BP21" s="325">
        <f> Equity!BP$39</f>
        <v>6737.001805842351</v>
      </c>
      <c r="BQ21" s="325">
        <f> Equity!BQ$39</f>
        <v>6795.623882210353</v>
      </c>
      <c r="BR21" s="325">
        <f> Equity!BR$39</f>
        <v>7464.951411832526</v>
      </c>
      <c r="BS21" s="325">
        <f> Equity!BS$39</f>
        <v>6914.175672364481</v>
      </c>
      <c r="BT21" s="325">
        <f> Equity!BT$39</f>
        <v>8760.135590997796</v>
      </c>
      <c r="BU21" s="325">
        <f> Equity!BU$39</f>
        <v>8201.159265343329</v>
      </c>
      <c r="BV21" s="325">
        <f> Equity!BV$39</f>
        <v>8890.566620854164</v>
      </c>
      <c r="BW21" s="325">
        <f> Equity!BW$39</f>
        <v>8956.508591625756</v>
      </c>
      <c r="BX21" s="325">
        <f> Equity!BX$39</f>
        <v>9022.939658727726</v>
      </c>
      <c r="BY21" s="325">
        <f> Equity!BY$39</f>
        <v>9089.863449822662</v>
      </c>
      <c r="BZ21" s="325">
        <f> Equity!BZ$39</f>
        <v>9157.283619479786</v>
      </c>
      <c r="CA21" s="325">
        <f> Equity!CA$39</f>
        <v>9225.20384937453</v>
      </c>
      <c r="CB21" s="325">
        <f> Equity!CB$39</f>
        <v>9293.627848489556</v>
      </c>
      <c r="CC21" s="325">
        <f> Equity!CC$39</f>
        <v>9362.559353317338</v>
      </c>
      <c r="CD21" s="325">
        <f> Equity!CD$39</f>
        <v>9432.002128064178</v>
      </c>
      <c r="CE21" s="325">
        <f> Equity!CE$39</f>
        <v>9501.959964855758</v>
      </c>
      <c r="CF21" s="325">
        <f> Equity!CF$39</f>
        <v>9572.436683944241</v>
      </c>
      <c r="CG21" s="325">
        <f> Equity!CG$39</f>
        <v>9643.436133916857</v>
      </c>
      <c r="CH21" s="325">
        <f> Equity!CH$39</f>
        <v>9714.962191906101</v>
      </c>
      <c r="CI21" s="325">
        <f> Equity!CI$39</f>
        <v>9787.018763801429</v>
      </c>
      <c r="CJ21" s="325">
        <f> Equity!CJ$39</f>
        <v>9859.609784462564</v>
      </c>
      <c r="CK21" s="325">
        <f> Equity!CK$39</f>
        <v>9932.739217934362</v>
      </c>
      <c r="CL21" s="325">
        <f> Equity!CL$39</f>
        <v>10006.411057663285</v>
      </c>
      <c r="CM21" s="325">
        <f> Equity!CM$39</f>
        <v>8269.8628361624</v>
      </c>
      <c r="CN21" s="325">
        <f> Equity!CN$39</f>
        <v>1810.7664905530619</v>
      </c>
      <c r="CO21" s="325">
        <f> Equity!CO$39</f>
        <v>0.0</v>
      </c>
    </row>
    <row r="22" s="396">
      <c r="E22" s="325" t="str">
        <f> Equity!E$10</f>
        <v>Share capital redemption POS</v>
      </c>
      <c r="F22" s="325">
        <f> Equity!F$10</f>
        <v>0.0</v>
      </c>
      <c r="G22" s="325" t="str">
        <f> Equity!G$10</f>
        <v>$ 000s</v>
      </c>
      <c r="H22" s="325">
        <f> Equity!H$10</f>
        <v>40000.0</v>
      </c>
      <c r="I22" s="325">
        <f> Equity!I$10</f>
        <v>0.0</v>
      </c>
      <c r="J22" s="325">
        <f> Equity!J$10</f>
        <v>0.0</v>
      </c>
      <c r="K22" s="325">
        <f> Equity!K$10</f>
        <v>0.0</v>
      </c>
      <c r="L22" s="325">
        <f> Equity!L$10</f>
        <v>0.0</v>
      </c>
      <c r="M22" s="325">
        <f> Equity!M$10</f>
        <v>0.0</v>
      </c>
      <c r="N22" s="325">
        <f> Equity!N$10</f>
        <v>0.0</v>
      </c>
      <c r="O22" s="325">
        <f> Equity!O$10</f>
        <v>0.0</v>
      </c>
      <c r="P22" s="325">
        <f> Equity!P$10</f>
        <v>0.0</v>
      </c>
      <c r="Q22" s="325">
        <f> Equity!Q$10</f>
        <v>0.0</v>
      </c>
      <c r="R22" s="325">
        <f> Equity!R$10</f>
        <v>0.0</v>
      </c>
      <c r="S22" s="325">
        <f> Equity!S$10</f>
        <v>0.0</v>
      </c>
      <c r="T22" s="325">
        <f> Equity!T$10</f>
        <v>0.0</v>
      </c>
      <c r="U22" s="325">
        <f> Equity!U$10</f>
        <v>0.0</v>
      </c>
      <c r="V22" s="325">
        <f> Equity!V$10</f>
        <v>0.0</v>
      </c>
      <c r="W22" s="325">
        <f> Equity!W$10</f>
        <v>0.0</v>
      </c>
      <c r="X22" s="325">
        <f> Equity!X$10</f>
        <v>0.0</v>
      </c>
      <c r="Y22" s="325">
        <f> Equity!Y$10</f>
        <v>0.0</v>
      </c>
      <c r="Z22" s="325">
        <f> Equity!Z$10</f>
        <v>0.0</v>
      </c>
      <c r="AA22" s="325">
        <f> Equity!AA$10</f>
        <v>0.0</v>
      </c>
      <c r="AB22" s="325">
        <f> Equity!AB$10</f>
        <v>0.0</v>
      </c>
      <c r="AC22" s="325">
        <f> Equity!AC$10</f>
        <v>0.0</v>
      </c>
      <c r="AD22" s="325">
        <f> Equity!AD$10</f>
        <v>0.0</v>
      </c>
      <c r="AE22" s="325">
        <f> Equity!AE$10</f>
        <v>0.0</v>
      </c>
      <c r="AF22" s="325">
        <f> Equity!AF$10</f>
        <v>0.0</v>
      </c>
      <c r="AG22" s="325">
        <f> Equity!AG$10</f>
        <v>0.0</v>
      </c>
      <c r="AH22" s="325">
        <f> Equity!AH$10</f>
        <v>0.0</v>
      </c>
      <c r="AI22" s="325">
        <f> Equity!AI$10</f>
        <v>0.0</v>
      </c>
      <c r="AJ22" s="325">
        <f> Equity!AJ$10</f>
        <v>0.0</v>
      </c>
      <c r="AK22" s="325">
        <f> Equity!AK$10</f>
        <v>0.0</v>
      </c>
      <c r="AL22" s="325">
        <f> Equity!AL$10</f>
        <v>0.0</v>
      </c>
      <c r="AM22" s="325">
        <f> Equity!AM$10</f>
        <v>0.0</v>
      </c>
      <c r="AN22" s="325">
        <f> Equity!AN$10</f>
        <v>0.0</v>
      </c>
      <c r="AO22" s="325">
        <f> Equity!AO$10</f>
        <v>0.0</v>
      </c>
      <c r="AP22" s="325">
        <f> Equity!AP$10</f>
        <v>0.0</v>
      </c>
      <c r="AQ22" s="325">
        <f> Equity!AQ$10</f>
        <v>0.0</v>
      </c>
      <c r="AR22" s="325">
        <f> Equity!AR$10</f>
        <v>0.0</v>
      </c>
      <c r="AS22" s="325">
        <f> Equity!AS$10</f>
        <v>0.0</v>
      </c>
      <c r="AT22" s="325">
        <f> Equity!AT$10</f>
        <v>0.0</v>
      </c>
      <c r="AU22" s="325">
        <f> Equity!AU$10</f>
        <v>0.0</v>
      </c>
      <c r="AV22" s="325">
        <f> Equity!AV$10</f>
        <v>0.0</v>
      </c>
      <c r="AW22" s="325">
        <f> Equity!AW$10</f>
        <v>0.0</v>
      </c>
      <c r="AX22" s="325">
        <f> Equity!AX$10</f>
        <v>0.0</v>
      </c>
      <c r="AY22" s="325">
        <f> Equity!AY$10</f>
        <v>0.0</v>
      </c>
      <c r="AZ22" s="325">
        <f> Equity!AZ$10</f>
        <v>0.0</v>
      </c>
      <c r="BA22" s="325">
        <f> Equity!BA$10</f>
        <v>0.0</v>
      </c>
      <c r="BB22" s="325">
        <f> Equity!BB$10</f>
        <v>0.0</v>
      </c>
      <c r="BC22" s="325">
        <f> Equity!BC$10</f>
        <v>0.0</v>
      </c>
      <c r="BD22" s="325">
        <f> Equity!BD$10</f>
        <v>0.0</v>
      </c>
      <c r="BE22" s="325">
        <f> Equity!BE$10</f>
        <v>0.0</v>
      </c>
      <c r="BF22" s="325">
        <f> Equity!BF$10</f>
        <v>0.0</v>
      </c>
      <c r="BG22" s="325">
        <f> Equity!BG$10</f>
        <v>0.0</v>
      </c>
      <c r="BH22" s="325">
        <f> Equity!BH$10</f>
        <v>0.0</v>
      </c>
      <c r="BI22" s="325">
        <f> Equity!BI$10</f>
        <v>0.0</v>
      </c>
      <c r="BJ22" s="325">
        <f> Equity!BJ$10</f>
        <v>0.0</v>
      </c>
      <c r="BK22" s="325">
        <f> Equity!BK$10</f>
        <v>0.0</v>
      </c>
      <c r="BL22" s="325">
        <f> Equity!BL$10</f>
        <v>0.0</v>
      </c>
      <c r="BM22" s="325">
        <f> Equity!BM$10</f>
        <v>0.0</v>
      </c>
      <c r="BN22" s="325">
        <f> Equity!BN$10</f>
        <v>0.0</v>
      </c>
      <c r="BO22" s="325">
        <f> Equity!BO$10</f>
        <v>0.0</v>
      </c>
      <c r="BP22" s="325">
        <f> Equity!BP$10</f>
        <v>0.0</v>
      </c>
      <c r="BQ22" s="325">
        <f> Equity!BQ$10</f>
        <v>0.0</v>
      </c>
      <c r="BR22" s="325">
        <f> Equity!BR$10</f>
        <v>0.0</v>
      </c>
      <c r="BS22" s="325">
        <f> Equity!BS$10</f>
        <v>0.0</v>
      </c>
      <c r="BT22" s="325">
        <f> Equity!BT$10</f>
        <v>0.0</v>
      </c>
      <c r="BU22" s="325">
        <f> Equity!BU$10</f>
        <v>0.0</v>
      </c>
      <c r="BV22" s="325">
        <f> Equity!BV$10</f>
        <v>0.0</v>
      </c>
      <c r="BW22" s="325">
        <f> Equity!BW$10</f>
        <v>0.0</v>
      </c>
      <c r="BX22" s="325">
        <f> Equity!BX$10</f>
        <v>0.0</v>
      </c>
      <c r="BY22" s="325">
        <f> Equity!BY$10</f>
        <v>0.0</v>
      </c>
      <c r="BZ22" s="325">
        <f> Equity!BZ$10</f>
        <v>0.0</v>
      </c>
      <c r="CA22" s="325">
        <f> Equity!CA$10</f>
        <v>0.0</v>
      </c>
      <c r="CB22" s="325">
        <f> Equity!CB$10</f>
        <v>0.0</v>
      </c>
      <c r="CC22" s="325">
        <f> Equity!CC$10</f>
        <v>0.0</v>
      </c>
      <c r="CD22" s="325">
        <f> Equity!CD$10</f>
        <v>0.0</v>
      </c>
      <c r="CE22" s="325">
        <f> Equity!CE$10</f>
        <v>0.0</v>
      </c>
      <c r="CF22" s="325">
        <f> Equity!CF$10</f>
        <v>0.0</v>
      </c>
      <c r="CG22" s="325">
        <f> Equity!CG$10</f>
        <v>0.0</v>
      </c>
      <c r="CH22" s="325">
        <f> Equity!CH$10</f>
        <v>0.0</v>
      </c>
      <c r="CI22" s="325">
        <f> Equity!CI$10</f>
        <v>0.0</v>
      </c>
      <c r="CJ22" s="325">
        <f> Equity!CJ$10</f>
        <v>0.0</v>
      </c>
      <c r="CK22" s="325">
        <f> Equity!CK$10</f>
        <v>0.0</v>
      </c>
      <c r="CL22" s="325">
        <f> Equity!CL$10</f>
        <v>0.0</v>
      </c>
      <c r="CM22" s="325">
        <f> Equity!CM$10</f>
        <v>40000.0</v>
      </c>
      <c r="CN22" s="325">
        <f> Equity!CN$10</f>
        <v>0.0</v>
      </c>
      <c r="CO22" s="325">
        <f> Equity!CO$10</f>
        <v>0.0</v>
      </c>
    </row>
    <row r="23" customFormat="1" s="260">
      <c r="A23" s="263" t="n"/>
      <c r="B23" s="263" t="n"/>
      <c r="C23" s="264" t="n"/>
      <c r="D23" s="335" t="n"/>
      <c r="E23" s="260" t="inlineStr">
        <is>
          <t xml:space="preserve">Shareholder cash inflow </t>
        </is>
      </c>
      <c r="G23" s="260" t="str">
        <f>SMU</f>
        <v>$ 000s</v>
      </c>
      <c r="H23" s="260">
        <f> SUM(J23:CO23)</f>
        <v>504032.94057809055</v>
      </c>
      <c r="J23" s="260">
        <f>SUM(J21:J22)</f>
        <v>0.0</v>
      </c>
      <c r="K23" s="260">
        <f>SUM(K21:K22)</f>
        <v>0.0</v>
      </c>
      <c r="L23" s="260">
        <f>SUM(L21:L22)</f>
        <v>2100.6709056988466</v>
      </c>
      <c r="M23" s="260">
        <f>SUM(M21:M22)</f>
        <v>1815.9800941136655</v>
      </c>
      <c r="N23" s="260">
        <f>SUM(N21:N22)</f>
        <v>2174.5967436970222</v>
      </c>
      <c r="O23" s="260">
        <f>SUM(O21:O22)</f>
        <v>1905.0925810000006</v>
      </c>
      <c r="P23" s="260">
        <f>SUM(P21:P22)</f>
        <v>2310.0471202231984</v>
      </c>
      <c r="Q23" s="260">
        <f>SUM(Q21:Q22)</f>
        <v>2051.7677315661467</v>
      </c>
      <c r="R23" s="260">
        <f>SUM(R21:R22)</f>
        <v>2444.047410276859</v>
      </c>
      <c r="S23" s="260">
        <f>SUM(S21:S22)</f>
        <v>2186.58609893889</v>
      </c>
      <c r="T23" s="260">
        <f>SUM(T21:T22)</f>
        <v>2739.7214559269796</v>
      </c>
      <c r="U23" s="260">
        <f>SUM(U21:U22)</f>
        <v>2456.318172364562</v>
      </c>
      <c r="V23" s="260">
        <f>SUM(V21:V22)</f>
        <v>2870.0497454789092</v>
      </c>
      <c r="W23" s="260">
        <f>SUM(W21:W22)</f>
        <v>2580.8312038631084</v>
      </c>
      <c r="X23" s="260">
        <f>SUM(X21:X22)</f>
        <v>2972.679298709598</v>
      </c>
      <c r="Y23" s="260">
        <f>SUM(Y21:Y22)</f>
        <v>2661.854817137978</v>
      </c>
      <c r="Z23" s="260">
        <f>SUM(Z21:Z22)</f>
        <v>3078.881769034094</v>
      </c>
      <c r="AA23" s="260">
        <f>SUM(AA21:AA22)</f>
        <v>2768.7270288678883</v>
      </c>
      <c r="AB23" s="260">
        <f>SUM(AB21:AB22)</f>
        <v>3152.842177670883</v>
      </c>
      <c r="AC23" s="260">
        <f>SUM(AC21:AC22)</f>
        <v>2833.173239429893</v>
      </c>
      <c r="AD23" s="260">
        <f>SUM(AD21:AD22)</f>
        <v>3737.2202129699026</v>
      </c>
      <c r="AE23" s="260">
        <f>SUM(AE21:AE22)</f>
        <v>3394.7651224618876</v>
      </c>
      <c r="AF23" s="260">
        <f>SUM(AF21:AF22)</f>
        <v>3835.8571618035007</v>
      </c>
      <c r="AG23" s="260">
        <f>SUM(AG21:AG22)</f>
        <v>3484.418059360265</v>
      </c>
      <c r="AH23" s="260">
        <f>SUM(AH21:AH22)</f>
        <v>3957.549041581221</v>
      </c>
      <c r="AI23" s="260">
        <f>SUM(AI21:AI22)</f>
        <v>3604.122631691296</v>
      </c>
      <c r="AJ23" s="260">
        <f>SUM(AJ21:AJ22)</f>
        <v>4071.805376657603</v>
      </c>
      <c r="AK23" s="260">
        <f>SUM(AK21:AK22)</f>
        <v>3712.517712252178</v>
      </c>
      <c r="AL23" s="260">
        <f>SUM(AL21:AL22)</f>
        <v>4200.24706838421</v>
      </c>
      <c r="AM23" s="260">
        <f>SUM(AM21:AM22)</f>
        <v>4314.777595121459</v>
      </c>
      <c r="AN23" s="260">
        <f>SUM(AN21:AN22)</f>
        <v>4880.146631884893</v>
      </c>
      <c r="AO23" s="260">
        <f>SUM(AO21:AO22)</f>
        <v>4484.118155359209</v>
      </c>
      <c r="AP23" s="260">
        <f>SUM(AP21:AP22)</f>
        <v>5018.461158744443</v>
      </c>
      <c r="AQ23" s="260">
        <f>SUM(AQ21:AQ22)</f>
        <v>3977.9688965106834</v>
      </c>
      <c r="AR23" s="260">
        <f>SUM(AR21:AR22)</f>
        <v>4701.8472342003215</v>
      </c>
      <c r="AS23" s="260">
        <f>SUM(AS21:AS22)</f>
        <v>5852.78968979218</v>
      </c>
      <c r="AT23" s="260">
        <f>SUM(AT21:AT22)</f>
        <v>5281.124660173442</v>
      </c>
      <c r="AU23" s="260">
        <f>SUM(AU21:AU22)</f>
        <v>4844.417463997683</v>
      </c>
      <c r="AV23" s="260">
        <f>SUM(AV21:AV22)</f>
        <v>5432.232436766679</v>
      </c>
      <c r="AW23" s="260">
        <f>SUM(AW21:AW22)</f>
        <v>4989.023038798356</v>
      </c>
      <c r="AX23" s="260">
        <f>SUM(AX21:AX22)</f>
        <v>6156.542911295906</v>
      </c>
      <c r="AY23" s="260">
        <f>SUM(AY21:AY22)</f>
        <v>5681.438920205088</v>
      </c>
      <c r="AZ23" s="260">
        <f>SUM(AZ21:AZ22)</f>
        <v>6302.403246524402</v>
      </c>
      <c r="BA23" s="260">
        <f>SUM(BA21:BA22)</f>
        <v>5820.225357752074</v>
      </c>
      <c r="BB23" s="260">
        <f>SUM(BB21:BB22)</f>
        <v>6414.91419863478</v>
      </c>
      <c r="BC23" s="260">
        <f>SUM(BC21:BC22)</f>
        <v>5925.557087811238</v>
      </c>
      <c r="BD23" s="260">
        <f>SUM(BD21:BD22)</f>
        <v>6546.600343920132</v>
      </c>
      <c r="BE23" s="260">
        <f>SUM(BE21:BE22)</f>
        <v>6049.957118484637</v>
      </c>
      <c r="BF23" s="260">
        <f>SUM(BF21:BF22)</f>
        <v>6662.486624593822</v>
      </c>
      <c r="BG23" s="260">
        <f>SUM(BG21:BG22)</f>
        <v>6158.448800445573</v>
      </c>
      <c r="BH23" s="260">
        <f>SUM(BH21:BH22)</f>
        <v>6248.298902669767</v>
      </c>
      <c r="BI23" s="260">
        <f>SUM(BI21:BI22)</f>
        <v>6874.559275823</v>
      </c>
      <c r="BJ23" s="260">
        <f>SUM(BJ21:BJ22)</f>
        <v>6359.222606019929</v>
      </c>
      <c r="BK23" s="260">
        <f>SUM(BK21:BK22)</f>
        <v>6994.807467884564</v>
      </c>
      <c r="BL23" s="260">
        <f>SUM(BL21:BL22)</f>
        <v>6506.797869749857</v>
      </c>
      <c r="BM23" s="260">
        <f>SUM(BM21:BM22)</f>
        <v>7151.846054097686</v>
      </c>
      <c r="BN23" s="260">
        <f>SUM(BN21:BN22)</f>
        <v>6621.049284200526</v>
      </c>
      <c r="BO23" s="260">
        <f>SUM(BO21:BO22)</f>
        <v>7275.7016919211</v>
      </c>
      <c r="BP23" s="260">
        <f>SUM(BP21:BP22)</f>
        <v>6737.001805842351</v>
      </c>
      <c r="BQ23" s="260">
        <f>SUM(BQ21:BQ22)</f>
        <v>6795.623882210353</v>
      </c>
      <c r="BR23" s="260">
        <f>SUM(BR21:BR22)</f>
        <v>7464.951411832526</v>
      </c>
      <c r="BS23" s="260">
        <f>SUM(BS21:BS22)</f>
        <v>6914.175672364481</v>
      </c>
      <c r="BT23" s="260">
        <f>SUM(BT21:BT22)</f>
        <v>8760.135590997796</v>
      </c>
      <c r="BU23" s="260">
        <f>SUM(BU21:BU22)</f>
        <v>8201.159265343329</v>
      </c>
      <c r="BV23" s="260">
        <f>SUM(BV21:BV22)</f>
        <v>8890.566620854164</v>
      </c>
      <c r="BW23" s="260">
        <f>SUM(BW21:BW22)</f>
        <v>8956.508591625756</v>
      </c>
      <c r="BX23" s="260">
        <f>SUM(BX21:BX22)</f>
        <v>9022.939658727726</v>
      </c>
      <c r="BY23" s="260">
        <f>SUM(BY21:BY22)</f>
        <v>9089.863449822662</v>
      </c>
      <c r="BZ23" s="260">
        <f>SUM(BZ21:BZ22)</f>
        <v>9157.283619479786</v>
      </c>
      <c r="CA23" s="260">
        <f>SUM(CA21:CA22)</f>
        <v>9225.20384937453</v>
      </c>
      <c r="CB23" s="260">
        <f>SUM(CB21:CB22)</f>
        <v>9293.627848489556</v>
      </c>
      <c r="CC23" s="260">
        <f>SUM(CC21:CC22)</f>
        <v>9362.559353317338</v>
      </c>
      <c r="CD23" s="260">
        <f>SUM(CD21:CD22)</f>
        <v>9432.002128064178</v>
      </c>
      <c r="CE23" s="260">
        <f>SUM(CE21:CE22)</f>
        <v>9501.959964855758</v>
      </c>
      <c r="CF23" s="260">
        <f>SUM(CF21:CF22)</f>
        <v>9572.436683944241</v>
      </c>
      <c r="CG23" s="260">
        <f>SUM(CG21:CG22)</f>
        <v>9643.436133916857</v>
      </c>
      <c r="CH23" s="260">
        <f>SUM(CH21:CH22)</f>
        <v>9714.962191906101</v>
      </c>
      <c r="CI23" s="260">
        <f>SUM(CI21:CI22)</f>
        <v>9787.018763801429</v>
      </c>
      <c r="CJ23" s="260">
        <f>SUM(CJ21:CJ22)</f>
        <v>9859.609784462564</v>
      </c>
      <c r="CK23" s="260">
        <f>SUM(CK21:CK22)</f>
        <v>9932.739217934362</v>
      </c>
      <c r="CL23" s="260">
        <f>SUM(CL21:CL22)</f>
        <v>10006.411057663285</v>
      </c>
      <c r="CM23" s="260">
        <f>SUM(CM21:CM22)</f>
        <v>48269.8628361624</v>
      </c>
      <c r="CN23" s="260">
        <f>SUM(CN21:CN22)</f>
        <v>1810.7664905530619</v>
      </c>
      <c r="CO23" s="260">
        <f>SUM(CO21:CO22)</f>
        <v>0.0</v>
      </c>
    </row>
    <row r="24">
      <c r="E24" s="325" t="str">
        <f>Equity!E$22</f>
        <v>Share capital - additional injection</v>
      </c>
      <c r="F24" s="325">
        <f>Equity!F$22</f>
        <v>0.0</v>
      </c>
      <c r="G24" s="325" t="str">
        <f>Equity!G$22</f>
        <v>$ 000s</v>
      </c>
      <c r="H24" s="325">
        <f> SUM(J24:CO24)</f>
        <v>0.0</v>
      </c>
      <c r="I24" s="325" t="n"/>
      <c r="J24" s="325">
        <f>Equity!J$22</f>
        <v>0.0</v>
      </c>
      <c r="K24" s="325">
        <f>Equity!K$22</f>
        <v>0.0</v>
      </c>
      <c r="L24" s="325">
        <f>Equity!L$22</f>
        <v>0.0</v>
      </c>
      <c r="M24" s="325">
        <f>Equity!M$22</f>
        <v>0.0</v>
      </c>
      <c r="N24" s="325">
        <f>Equity!N$22</f>
        <v>0.0</v>
      </c>
      <c r="O24" s="325">
        <f>Equity!O$22</f>
        <v>0.0</v>
      </c>
      <c r="P24" s="325">
        <f>Equity!P$22</f>
        <v>0.0</v>
      </c>
      <c r="Q24" s="325">
        <f>Equity!Q$22</f>
        <v>0.0</v>
      </c>
      <c r="R24" s="325">
        <f>Equity!R$22</f>
        <v>0.0</v>
      </c>
      <c r="S24" s="325">
        <f>Equity!S$22</f>
        <v>0.0</v>
      </c>
      <c r="T24" s="325">
        <f>Equity!T$22</f>
        <v>0.0</v>
      </c>
      <c r="U24" s="325">
        <f>Equity!U$22</f>
        <v>0.0</v>
      </c>
      <c r="V24" s="325">
        <f>Equity!V$22</f>
        <v>0.0</v>
      </c>
      <c r="W24" s="325">
        <f>Equity!W$22</f>
        <v>0.0</v>
      </c>
      <c r="X24" s="325">
        <f>Equity!X$22</f>
        <v>0.0</v>
      </c>
      <c r="Y24" s="325">
        <f>Equity!Y$22</f>
        <v>0.0</v>
      </c>
      <c r="Z24" s="325">
        <f>Equity!Z$22</f>
        <v>0.0</v>
      </c>
      <c r="AA24" s="325">
        <f>Equity!AA$22</f>
        <v>0.0</v>
      </c>
      <c r="AB24" s="325">
        <f>Equity!AB$22</f>
        <v>0.0</v>
      </c>
      <c r="AC24" s="325">
        <f>Equity!AC$22</f>
        <v>0.0</v>
      </c>
      <c r="AD24" s="325">
        <f>Equity!AD$22</f>
        <v>0.0</v>
      </c>
      <c r="AE24" s="325">
        <f>Equity!AE$22</f>
        <v>0.0</v>
      </c>
      <c r="AF24" s="325">
        <f>Equity!AF$22</f>
        <v>0.0</v>
      </c>
      <c r="AG24" s="325">
        <f>Equity!AG$22</f>
        <v>0.0</v>
      </c>
      <c r="AH24" s="325">
        <f>Equity!AH$22</f>
        <v>0.0</v>
      </c>
      <c r="AI24" s="325">
        <f>Equity!AI$22</f>
        <v>0.0</v>
      </c>
      <c r="AJ24" s="325">
        <f>Equity!AJ$22</f>
        <v>0.0</v>
      </c>
      <c r="AK24" s="325">
        <f>Equity!AK$22</f>
        <v>0.0</v>
      </c>
      <c r="AL24" s="325">
        <f>Equity!AL$22</f>
        <v>0.0</v>
      </c>
      <c r="AM24" s="325">
        <f>Equity!AM$22</f>
        <v>0.0</v>
      </c>
      <c r="AN24" s="325">
        <f>Equity!AN$22</f>
        <v>0.0</v>
      </c>
      <c r="AO24" s="325">
        <f>Equity!AO$22</f>
        <v>0.0</v>
      </c>
      <c r="AP24" s="325">
        <f>Equity!AP$22</f>
        <v>0.0</v>
      </c>
      <c r="AQ24" s="325">
        <f>Equity!AQ$22</f>
        <v>0.0</v>
      </c>
      <c r="AR24" s="325">
        <f>Equity!AR$22</f>
        <v>0.0</v>
      </c>
      <c r="AS24" s="325">
        <f>Equity!AS$22</f>
        <v>0.0</v>
      </c>
      <c r="AT24" s="325">
        <f>Equity!AT$22</f>
        <v>0.0</v>
      </c>
      <c r="AU24" s="325">
        <f>Equity!AU$22</f>
        <v>0.0</v>
      </c>
      <c r="AV24" s="325">
        <f>Equity!AV$22</f>
        <v>0.0</v>
      </c>
      <c r="AW24" s="325">
        <f>Equity!AW$22</f>
        <v>0.0</v>
      </c>
      <c r="AX24" s="325">
        <f>Equity!AX$22</f>
        <v>0.0</v>
      </c>
      <c r="AY24" s="325">
        <f>Equity!AY$22</f>
        <v>0.0</v>
      </c>
      <c r="AZ24" s="325">
        <f>Equity!AZ$22</f>
        <v>0.0</v>
      </c>
      <c r="BA24" s="325">
        <f>Equity!BA$22</f>
        <v>0.0</v>
      </c>
      <c r="BB24" s="325">
        <f>Equity!BB$22</f>
        <v>0.0</v>
      </c>
      <c r="BC24" s="325">
        <f>Equity!BC$22</f>
        <v>0.0</v>
      </c>
      <c r="BD24" s="325">
        <f>Equity!BD$22</f>
        <v>0.0</v>
      </c>
      <c r="BE24" s="325">
        <f>Equity!BE$22</f>
        <v>0.0</v>
      </c>
      <c r="BF24" s="325">
        <f>Equity!BF$22</f>
        <v>0.0</v>
      </c>
      <c r="BG24" s="325">
        <f>Equity!BG$22</f>
        <v>0.0</v>
      </c>
      <c r="BH24" s="325">
        <f>Equity!BH$22</f>
        <v>0.0</v>
      </c>
      <c r="BI24" s="325">
        <f>Equity!BI$22</f>
        <v>0.0</v>
      </c>
      <c r="BJ24" s="325">
        <f>Equity!BJ$22</f>
        <v>0.0</v>
      </c>
      <c r="BK24" s="325">
        <f>Equity!BK$22</f>
        <v>0.0</v>
      </c>
      <c r="BL24" s="325">
        <f>Equity!BL$22</f>
        <v>0.0</v>
      </c>
      <c r="BM24" s="325">
        <f>Equity!BM$22</f>
        <v>0.0</v>
      </c>
      <c r="BN24" s="325">
        <f>Equity!BN$22</f>
        <v>0.0</v>
      </c>
      <c r="BO24" s="325">
        <f>Equity!BO$22</f>
        <v>0.0</v>
      </c>
      <c r="BP24" s="325">
        <f>Equity!BP$22</f>
        <v>0.0</v>
      </c>
      <c r="BQ24" s="325">
        <f>Equity!BQ$22</f>
        <v>0.0</v>
      </c>
      <c r="BR24" s="325">
        <f>Equity!BR$22</f>
        <v>0.0</v>
      </c>
      <c r="BS24" s="325">
        <f>Equity!BS$22</f>
        <v>0.0</v>
      </c>
      <c r="BT24" s="325">
        <f>Equity!BT$22</f>
        <v>0.0</v>
      </c>
      <c r="BU24" s="325">
        <f>Equity!BU$22</f>
        <v>0.0</v>
      </c>
      <c r="BV24" s="325">
        <f>Equity!BV$22</f>
        <v>0.0</v>
      </c>
      <c r="BW24" s="325">
        <f>Equity!BW$22</f>
        <v>0.0</v>
      </c>
      <c r="BX24" s="325">
        <f>Equity!BX$22</f>
        <v>0.0</v>
      </c>
      <c r="BY24" s="325">
        <f>Equity!BY$22</f>
        <v>0.0</v>
      </c>
      <c r="BZ24" s="325">
        <f>Equity!BZ$22</f>
        <v>0.0</v>
      </c>
      <c r="CA24" s="325">
        <f>Equity!CA$22</f>
        <v>0.0</v>
      </c>
      <c r="CB24" s="325">
        <f>Equity!CB$22</f>
        <v>0.0</v>
      </c>
      <c r="CC24" s="325">
        <f>Equity!CC$22</f>
        <v>0.0</v>
      </c>
      <c r="CD24" s="325">
        <f>Equity!CD$22</f>
        <v>0.0</v>
      </c>
      <c r="CE24" s="325">
        <f>Equity!CE$22</f>
        <v>0.0</v>
      </c>
      <c r="CF24" s="325">
        <f>Equity!CF$22</f>
        <v>0.0</v>
      </c>
      <c r="CG24" s="325">
        <f>Equity!CG$22</f>
        <v>0.0</v>
      </c>
      <c r="CH24" s="325">
        <f>Equity!CH$22</f>
        <v>0.0</v>
      </c>
      <c r="CI24" s="325">
        <f>Equity!CI$22</f>
        <v>0.0</v>
      </c>
      <c r="CJ24" s="325">
        <f>Equity!CJ$22</f>
        <v>0.0</v>
      </c>
      <c r="CK24" s="325">
        <f>Equity!CK$22</f>
        <v>0.0</v>
      </c>
      <c r="CL24" s="325">
        <f>Equity!CL$22</f>
        <v>0.0</v>
      </c>
      <c r="CM24" s="325">
        <f>Equity!CM$22</f>
        <v>0.0</v>
      </c>
      <c r="CN24" s="325">
        <f>Equity!CN$22</f>
        <v>0.0</v>
      </c>
      <c r="CO24" s="325">
        <f>Equity!CO$22</f>
        <v>0.0</v>
      </c>
    </row>
    <row r="25">
      <c r="E25" s="325" t="str">
        <f> Equity!E$16</f>
        <v>Share capital - Initial balance</v>
      </c>
      <c r="F25" s="325">
        <f> Equity!F$16</f>
        <v>40000.0</v>
      </c>
      <c r="G25" s="325" t="str">
        <f> Equity!G$16</f>
        <v>$ 000s</v>
      </c>
    </row>
    <row r="26" customFormat="1" s="100">
      <c r="A26" s="294" t="n"/>
      <c r="B26" s="294" t="n"/>
      <c r="C26" s="212" t="n"/>
      <c r="D26" s="244" t="n"/>
      <c r="E26" s="325" t="str">
        <f> Time!E$45</f>
        <v>Acquisition / initial balance date flag</v>
      </c>
      <c r="F26" s="325">
        <f> Time!F$45</f>
        <v>0.0</v>
      </c>
      <c r="G26" s="325" t="str">
        <f> Time!G$45</f>
        <v>flag</v>
      </c>
      <c r="H26" s="325">
        <f> Time!H$45</f>
        <v>1.0</v>
      </c>
      <c r="I26" s="325">
        <f> Time!I$45</f>
        <v>0.0</v>
      </c>
      <c r="J26" s="325">
        <f> Time!J$45</f>
        <v>0.0</v>
      </c>
      <c r="K26" s="325">
        <f> Time!K$45</f>
        <v>1.0</v>
      </c>
      <c r="L26" s="325">
        <f> Time!L$45</f>
        <v>0.0</v>
      </c>
      <c r="M26" s="325">
        <f> Time!M$45</f>
        <v>0.0</v>
      </c>
      <c r="N26" s="325">
        <f> Time!N$45</f>
        <v>0.0</v>
      </c>
      <c r="O26" s="325">
        <f> Time!O$45</f>
        <v>0.0</v>
      </c>
      <c r="P26" s="325">
        <f> Time!P$45</f>
        <v>0.0</v>
      </c>
      <c r="Q26" s="325">
        <f> Time!Q$45</f>
        <v>0.0</v>
      </c>
      <c r="R26" s="325">
        <f> Time!R$45</f>
        <v>0.0</v>
      </c>
      <c r="S26" s="325">
        <f> Time!S$45</f>
        <v>0.0</v>
      </c>
      <c r="T26" s="325">
        <f> Time!T$45</f>
        <v>0.0</v>
      </c>
      <c r="U26" s="325">
        <f> Time!U$45</f>
        <v>0.0</v>
      </c>
      <c r="V26" s="325">
        <f> Time!V$45</f>
        <v>0.0</v>
      </c>
      <c r="W26" s="325">
        <f> Time!W$45</f>
        <v>0.0</v>
      </c>
      <c r="X26" s="325">
        <f> Time!X$45</f>
        <v>0.0</v>
      </c>
      <c r="Y26" s="325">
        <f> Time!Y$45</f>
        <v>0.0</v>
      </c>
      <c r="Z26" s="325">
        <f> Time!Z$45</f>
        <v>0.0</v>
      </c>
      <c r="AA26" s="325">
        <f> Time!AA$45</f>
        <v>0.0</v>
      </c>
      <c r="AB26" s="325">
        <f> Time!AB$45</f>
        <v>0.0</v>
      </c>
      <c r="AC26" s="325">
        <f> Time!AC$45</f>
        <v>0.0</v>
      </c>
      <c r="AD26" s="325">
        <f> Time!AD$45</f>
        <v>0.0</v>
      </c>
      <c r="AE26" s="325">
        <f> Time!AE$45</f>
        <v>0.0</v>
      </c>
      <c r="AF26" s="325">
        <f> Time!AF$45</f>
        <v>0.0</v>
      </c>
      <c r="AG26" s="325">
        <f> Time!AG$45</f>
        <v>0.0</v>
      </c>
      <c r="AH26" s="325">
        <f> Time!AH$45</f>
        <v>0.0</v>
      </c>
      <c r="AI26" s="325">
        <f> Time!AI$45</f>
        <v>0.0</v>
      </c>
      <c r="AJ26" s="325">
        <f> Time!AJ$45</f>
        <v>0.0</v>
      </c>
      <c r="AK26" s="325">
        <f> Time!AK$45</f>
        <v>0.0</v>
      </c>
      <c r="AL26" s="325">
        <f> Time!AL$45</f>
        <v>0.0</v>
      </c>
      <c r="AM26" s="325">
        <f> Time!AM$45</f>
        <v>0.0</v>
      </c>
      <c r="AN26" s="325">
        <f> Time!AN$45</f>
        <v>0.0</v>
      </c>
      <c r="AO26" s="325">
        <f> Time!AO$45</f>
        <v>0.0</v>
      </c>
      <c r="AP26" s="325">
        <f> Time!AP$45</f>
        <v>0.0</v>
      </c>
      <c r="AQ26" s="325">
        <f> Time!AQ$45</f>
        <v>0.0</v>
      </c>
      <c r="AR26" s="325">
        <f> Time!AR$45</f>
        <v>0.0</v>
      </c>
      <c r="AS26" s="325">
        <f> Time!AS$45</f>
        <v>0.0</v>
      </c>
      <c r="AT26" s="325">
        <f> Time!AT$45</f>
        <v>0.0</v>
      </c>
      <c r="AU26" s="325">
        <f> Time!AU$45</f>
        <v>0.0</v>
      </c>
      <c r="AV26" s="325">
        <f> Time!AV$45</f>
        <v>0.0</v>
      </c>
      <c r="AW26" s="325">
        <f> Time!AW$45</f>
        <v>0.0</v>
      </c>
      <c r="AX26" s="325">
        <f> Time!AX$45</f>
        <v>0.0</v>
      </c>
      <c r="AY26" s="325">
        <f> Time!AY$45</f>
        <v>0.0</v>
      </c>
      <c r="AZ26" s="325">
        <f> Time!AZ$45</f>
        <v>0.0</v>
      </c>
      <c r="BA26" s="325">
        <f> Time!BA$45</f>
        <v>0.0</v>
      </c>
      <c r="BB26" s="325">
        <f> Time!BB$45</f>
        <v>0.0</v>
      </c>
      <c r="BC26" s="325">
        <f> Time!BC$45</f>
        <v>0.0</v>
      </c>
      <c r="BD26" s="325">
        <f> Time!BD$45</f>
        <v>0.0</v>
      </c>
      <c r="BE26" s="325">
        <f> Time!BE$45</f>
        <v>0.0</v>
      </c>
      <c r="BF26" s="325">
        <f> Time!BF$45</f>
        <v>0.0</v>
      </c>
      <c r="BG26" s="325">
        <f> Time!BG$45</f>
        <v>0.0</v>
      </c>
      <c r="BH26" s="325">
        <f> Time!BH$45</f>
        <v>0.0</v>
      </c>
      <c r="BI26" s="325">
        <f> Time!BI$45</f>
        <v>0.0</v>
      </c>
      <c r="BJ26" s="325">
        <f> Time!BJ$45</f>
        <v>0.0</v>
      </c>
      <c r="BK26" s="325">
        <f> Time!BK$45</f>
        <v>0.0</v>
      </c>
      <c r="BL26" s="325">
        <f> Time!BL$45</f>
        <v>0.0</v>
      </c>
      <c r="BM26" s="325">
        <f> Time!BM$45</f>
        <v>0.0</v>
      </c>
      <c r="BN26" s="325">
        <f> Time!BN$45</f>
        <v>0.0</v>
      </c>
      <c r="BO26" s="325">
        <f> Time!BO$45</f>
        <v>0.0</v>
      </c>
      <c r="BP26" s="325">
        <f> Time!BP$45</f>
        <v>0.0</v>
      </c>
      <c r="BQ26" s="325">
        <f> Time!BQ$45</f>
        <v>0.0</v>
      </c>
      <c r="BR26" s="325">
        <f> Time!BR$45</f>
        <v>0.0</v>
      </c>
      <c r="BS26" s="325">
        <f> Time!BS$45</f>
        <v>0.0</v>
      </c>
      <c r="BT26" s="325">
        <f> Time!BT$45</f>
        <v>0.0</v>
      </c>
      <c r="BU26" s="325">
        <f> Time!BU$45</f>
        <v>0.0</v>
      </c>
      <c r="BV26" s="325">
        <f> Time!BV$45</f>
        <v>0.0</v>
      </c>
      <c r="BW26" s="325">
        <f> Time!BW$45</f>
        <v>0.0</v>
      </c>
      <c r="BX26" s="325">
        <f> Time!BX$45</f>
        <v>0.0</v>
      </c>
      <c r="BY26" s="325">
        <f> Time!BY$45</f>
        <v>0.0</v>
      </c>
      <c r="BZ26" s="325">
        <f> Time!BZ$45</f>
        <v>0.0</v>
      </c>
      <c r="CA26" s="325">
        <f> Time!CA$45</f>
        <v>0.0</v>
      </c>
      <c r="CB26" s="325">
        <f> Time!CB$45</f>
        <v>0.0</v>
      </c>
      <c r="CC26" s="325">
        <f> Time!CC$45</f>
        <v>0.0</v>
      </c>
      <c r="CD26" s="325">
        <f> Time!CD$45</f>
        <v>0.0</v>
      </c>
      <c r="CE26" s="325">
        <f> Time!CE$45</f>
        <v>0.0</v>
      </c>
      <c r="CF26" s="325">
        <f> Time!CF$45</f>
        <v>0.0</v>
      </c>
      <c r="CG26" s="325">
        <f> Time!CG$45</f>
        <v>0.0</v>
      </c>
      <c r="CH26" s="325">
        <f> Time!CH$45</f>
        <v>0.0</v>
      </c>
      <c r="CI26" s="325">
        <f> Time!CI$45</f>
        <v>0.0</v>
      </c>
      <c r="CJ26" s="325">
        <f> Time!CJ$45</f>
        <v>0.0</v>
      </c>
      <c r="CK26" s="325">
        <f> Time!CK$45</f>
        <v>0.0</v>
      </c>
      <c r="CL26" s="325">
        <f> Time!CL$45</f>
        <v>0.0</v>
      </c>
      <c r="CM26" s="325">
        <f> Time!CM$45</f>
        <v>0.0</v>
      </c>
      <c r="CN26" s="325">
        <f> Time!CN$45</f>
        <v>0.0</v>
      </c>
      <c r="CO26" s="325">
        <f> Time!CO$45</f>
        <v>0.0</v>
      </c>
    </row>
    <row r="27" customFormat="1" s="260">
      <c r="A27" s="263" t="n"/>
      <c r="B27" s="263" t="n"/>
      <c r="C27" s="264" t="n"/>
      <c r="D27" s="335" t="n"/>
      <c r="E27" s="260" t="inlineStr">
        <is>
          <t>Shareholder cash outflow</t>
        </is>
      </c>
      <c r="G27" s="260" t="str">
        <f>SMU</f>
        <v>$ 000s</v>
      </c>
      <c r="J27" s="260">
        <f>IF(J26=1,$F25,0)+J24</f>
        <v>0.0</v>
      </c>
      <c r="K27" s="260">
        <f>IF(K26=1,$F25,0)+K24</f>
        <v>40000.0</v>
      </c>
      <c r="L27" s="260">
        <f>IF(L26=1,$F25,0)+L24</f>
        <v>0.0</v>
      </c>
      <c r="M27" s="260">
        <f>IF(M26=1,$F25,0)+M24</f>
        <v>0.0</v>
      </c>
      <c r="N27" s="260">
        <f>IF(N26=1,$F25,0)+N24</f>
        <v>0.0</v>
      </c>
      <c r="O27" s="260">
        <f>IF(O26=1,$F25,0)+O24</f>
        <v>0.0</v>
      </c>
      <c r="P27" s="260">
        <f>IF(P26=1,$F25,0)+P24</f>
        <v>0.0</v>
      </c>
      <c r="Q27" s="260">
        <f>IF(Q26=1,$F25,0)+Q24</f>
        <v>0.0</v>
      </c>
      <c r="R27" s="260">
        <f>IF(R26=1,$F25,0)+R24</f>
        <v>0.0</v>
      </c>
      <c r="S27" s="260">
        <f>IF(S26=1,$F25,0)+S24</f>
        <v>0.0</v>
      </c>
      <c r="T27" s="260">
        <f>IF(T26=1,$F25,0)+T24</f>
        <v>0.0</v>
      </c>
      <c r="U27" s="260">
        <f>IF(U26=1,$F25,0)+U24</f>
        <v>0.0</v>
      </c>
      <c r="V27" s="260">
        <f>IF(V26=1,$F25,0)+V24</f>
        <v>0.0</v>
      </c>
      <c r="W27" s="260">
        <f>IF(W26=1,$F25,0)+W24</f>
        <v>0.0</v>
      </c>
      <c r="X27" s="260">
        <f>IF(X26=1,$F25,0)+X24</f>
        <v>0.0</v>
      </c>
      <c r="Y27" s="260">
        <f>IF(Y26=1,$F25,0)+Y24</f>
        <v>0.0</v>
      </c>
      <c r="Z27" s="260">
        <f>IF(Z26=1,$F25,0)+Z24</f>
        <v>0.0</v>
      </c>
      <c r="AA27" s="260">
        <f>IF(AA26=1,$F25,0)+AA24</f>
        <v>0.0</v>
      </c>
      <c r="AB27" s="260">
        <f>IF(AB26=1,$F25,0)+AB24</f>
        <v>0.0</v>
      </c>
      <c r="AC27" s="260">
        <f>IF(AC26=1,$F25,0)+AC24</f>
        <v>0.0</v>
      </c>
      <c r="AD27" s="260">
        <f>IF(AD26=1,$F25,0)+AD24</f>
        <v>0.0</v>
      </c>
      <c r="AE27" s="260">
        <f>IF(AE26=1,$F25,0)+AE24</f>
        <v>0.0</v>
      </c>
      <c r="AF27" s="260">
        <f>IF(AF26=1,$F25,0)+AF24</f>
        <v>0.0</v>
      </c>
      <c r="AG27" s="260">
        <f>IF(AG26=1,$F25,0)+AG24</f>
        <v>0.0</v>
      </c>
      <c r="AH27" s="260">
        <f>IF(AH26=1,$F25,0)+AH24</f>
        <v>0.0</v>
      </c>
      <c r="AI27" s="260">
        <f>IF(AI26=1,$F25,0)+AI24</f>
        <v>0.0</v>
      </c>
      <c r="AJ27" s="260">
        <f>IF(AJ26=1,$F25,0)+AJ24</f>
        <v>0.0</v>
      </c>
      <c r="AK27" s="260">
        <f>IF(AK26=1,$F25,0)+AK24</f>
        <v>0.0</v>
      </c>
      <c r="AL27" s="260">
        <f>IF(AL26=1,$F25,0)+AL24</f>
        <v>0.0</v>
      </c>
      <c r="AM27" s="260">
        <f>IF(AM26=1,$F25,0)+AM24</f>
        <v>0.0</v>
      </c>
      <c r="AN27" s="260">
        <f>IF(AN26=1,$F25,0)+AN24</f>
        <v>0.0</v>
      </c>
      <c r="AO27" s="260">
        <f>IF(AO26=1,$F25,0)+AO24</f>
        <v>0.0</v>
      </c>
      <c r="AP27" s="260">
        <f>IF(AP26=1,$F25,0)+AP24</f>
        <v>0.0</v>
      </c>
      <c r="AQ27" s="260">
        <f>IF(AQ26=1,$F25,0)+AQ24</f>
        <v>0.0</v>
      </c>
      <c r="AR27" s="260">
        <f>IF(AR26=1,$F25,0)+AR24</f>
        <v>0.0</v>
      </c>
      <c r="AS27" s="260">
        <f>IF(AS26=1,$F25,0)+AS24</f>
        <v>0.0</v>
      </c>
      <c r="AT27" s="260">
        <f>IF(AT26=1,$F25,0)+AT24</f>
        <v>0.0</v>
      </c>
      <c r="AU27" s="260">
        <f>IF(AU26=1,$F25,0)+AU24</f>
        <v>0.0</v>
      </c>
      <c r="AV27" s="260">
        <f>IF(AV26=1,$F25,0)+AV24</f>
        <v>0.0</v>
      </c>
      <c r="AW27" s="260">
        <f>IF(AW26=1,$F25,0)+AW24</f>
        <v>0.0</v>
      </c>
      <c r="AX27" s="260">
        <f>IF(AX26=1,$F25,0)+AX24</f>
        <v>0.0</v>
      </c>
      <c r="AY27" s="260">
        <f>IF(AY26=1,$F25,0)+AY24</f>
        <v>0.0</v>
      </c>
      <c r="AZ27" s="260">
        <f>IF(AZ26=1,$F25,0)+AZ24</f>
        <v>0.0</v>
      </c>
      <c r="BA27" s="260">
        <f>IF(BA26=1,$F25,0)+BA24</f>
        <v>0.0</v>
      </c>
      <c r="BB27" s="260">
        <f>IF(BB26=1,$F25,0)+BB24</f>
        <v>0.0</v>
      </c>
      <c r="BC27" s="260">
        <f>IF(BC26=1,$F25,0)+BC24</f>
        <v>0.0</v>
      </c>
      <c r="BD27" s="260">
        <f>IF(BD26=1,$F25,0)+BD24</f>
        <v>0.0</v>
      </c>
      <c r="BE27" s="260">
        <f>IF(BE26=1,$F25,0)+BE24</f>
        <v>0.0</v>
      </c>
      <c r="BF27" s="260">
        <f>IF(BF26=1,$F25,0)+BF24</f>
        <v>0.0</v>
      </c>
      <c r="BG27" s="260">
        <f>IF(BG26=1,$F25,0)+BG24</f>
        <v>0.0</v>
      </c>
      <c r="BH27" s="260">
        <f>IF(BH26=1,$F25,0)+BH24</f>
        <v>0.0</v>
      </c>
      <c r="BI27" s="260">
        <f>IF(BI26=1,$F25,0)+BI24</f>
        <v>0.0</v>
      </c>
      <c r="BJ27" s="260">
        <f>IF(BJ26=1,$F25,0)+BJ24</f>
        <v>0.0</v>
      </c>
      <c r="BK27" s="260">
        <f>IF(BK26=1,$F25,0)+BK24</f>
        <v>0.0</v>
      </c>
      <c r="BL27" s="260">
        <f>IF(BL26=1,$F25,0)+BL24</f>
        <v>0.0</v>
      </c>
      <c r="BM27" s="260">
        <f>IF(BM26=1,$F25,0)+BM24</f>
        <v>0.0</v>
      </c>
      <c r="BN27" s="260">
        <f>IF(BN26=1,$F25,0)+BN24</f>
        <v>0.0</v>
      </c>
      <c r="BO27" s="260">
        <f>IF(BO26=1,$F25,0)+BO24</f>
        <v>0.0</v>
      </c>
      <c r="BP27" s="260">
        <f>IF(BP26=1,$F25,0)+BP24</f>
        <v>0.0</v>
      </c>
      <c r="BQ27" s="260">
        <f>IF(BQ26=1,$F25,0)+BQ24</f>
        <v>0.0</v>
      </c>
      <c r="BR27" s="260">
        <f>IF(BR26=1,$F25,0)+BR24</f>
        <v>0.0</v>
      </c>
      <c r="BS27" s="260">
        <f>IF(BS26=1,$F25,0)+BS24</f>
        <v>0.0</v>
      </c>
      <c r="BT27" s="260">
        <f>IF(BT26=1,$F25,0)+BT24</f>
        <v>0.0</v>
      </c>
      <c r="BU27" s="260">
        <f>IF(BU26=1,$F25,0)+BU24</f>
        <v>0.0</v>
      </c>
      <c r="BV27" s="260">
        <f>IF(BV26=1,$F25,0)+BV24</f>
        <v>0.0</v>
      </c>
      <c r="BW27" s="260">
        <f>IF(BW26=1,$F25,0)+BW24</f>
        <v>0.0</v>
      </c>
      <c r="BX27" s="260">
        <f>IF(BX26=1,$F25,0)+BX24</f>
        <v>0.0</v>
      </c>
      <c r="BY27" s="260">
        <f>IF(BY26=1,$F25,0)+BY24</f>
        <v>0.0</v>
      </c>
      <c r="BZ27" s="260">
        <f>IF(BZ26=1,$F25,0)+BZ24</f>
        <v>0.0</v>
      </c>
      <c r="CA27" s="260">
        <f>IF(CA26=1,$F25,0)+CA24</f>
        <v>0.0</v>
      </c>
      <c r="CB27" s="260">
        <f>IF(CB26=1,$F25,0)+CB24</f>
        <v>0.0</v>
      </c>
      <c r="CC27" s="260">
        <f>IF(CC26=1,$F25,0)+CC24</f>
        <v>0.0</v>
      </c>
      <c r="CD27" s="260">
        <f>IF(CD26=1,$F25,0)+CD24</f>
        <v>0.0</v>
      </c>
      <c r="CE27" s="260">
        <f>IF(CE26=1,$F25,0)+CE24</f>
        <v>0.0</v>
      </c>
      <c r="CF27" s="260">
        <f>IF(CF26=1,$F25,0)+CF24</f>
        <v>0.0</v>
      </c>
      <c r="CG27" s="260">
        <f>IF(CG26=1,$F25,0)+CG24</f>
        <v>0.0</v>
      </c>
      <c r="CH27" s="260">
        <f>IF(CH26=1,$F25,0)+CH24</f>
        <v>0.0</v>
      </c>
      <c r="CI27" s="260">
        <f>IF(CI26=1,$F25,0)+CI24</f>
        <v>0.0</v>
      </c>
      <c r="CJ27" s="260">
        <f>IF(CJ26=1,$F25,0)+CJ24</f>
        <v>0.0</v>
      </c>
      <c r="CK27" s="260">
        <f>IF(CK26=1,$F25,0)+CK24</f>
        <v>0.0</v>
      </c>
      <c r="CL27" s="260">
        <f>IF(CL26=1,$F25,0)+CL24</f>
        <v>0.0</v>
      </c>
      <c r="CM27" s="260">
        <f>IF(CM26=1,$F25,0)+CM24</f>
        <v>0.0</v>
      </c>
      <c r="CN27" s="260">
        <f>IF(CN26=1,$F25,0)+CN24</f>
        <v>0.0</v>
      </c>
      <c r="CO27" s="260">
        <f>IF(CO26=1,$F25,0)+CO24</f>
        <v>0.0</v>
      </c>
    </row>
    <row r="29">
      <c r="E29" s="61" t="str">
        <f> E$23</f>
        <v>Shareholder cash inflow </v>
      </c>
      <c r="F29" s="61">
        <f> F$23</f>
        <v>0.0</v>
      </c>
      <c r="G29" s="61" t="str">
        <f> G$23</f>
        <v>$ 000s</v>
      </c>
      <c r="H29" s="61">
        <f> H$23</f>
        <v>504032.94057809055</v>
      </c>
      <c r="I29" s="61">
        <f> I$23</f>
        <v>0.0</v>
      </c>
      <c r="J29" s="61">
        <f> J$23</f>
        <v>0.0</v>
      </c>
      <c r="K29" s="61">
        <f> K$23</f>
        <v>0.0</v>
      </c>
      <c r="L29" s="61">
        <f> L$23</f>
        <v>2100.6709056988466</v>
      </c>
      <c r="M29" s="61">
        <f> M$23</f>
        <v>1815.9800941136655</v>
      </c>
      <c r="N29" s="61">
        <f> N$23</f>
        <v>2174.5967436970222</v>
      </c>
      <c r="O29" s="61">
        <f> O$23</f>
        <v>1905.0925810000006</v>
      </c>
      <c r="P29" s="61">
        <f> P$23</f>
        <v>2310.0471202231984</v>
      </c>
      <c r="Q29" s="61">
        <f> Q$23</f>
        <v>2051.7677315661467</v>
      </c>
      <c r="R29" s="61">
        <f> R$23</f>
        <v>2444.047410276859</v>
      </c>
      <c r="S29" s="61">
        <f> S$23</f>
        <v>2186.58609893889</v>
      </c>
      <c r="T29" s="61">
        <f> T$23</f>
        <v>2739.7214559269796</v>
      </c>
      <c r="U29" s="61">
        <f> U$23</f>
        <v>2456.318172364562</v>
      </c>
      <c r="V29" s="61">
        <f> V$23</f>
        <v>2870.0497454789092</v>
      </c>
      <c r="W29" s="61">
        <f> W$23</f>
        <v>2580.8312038631084</v>
      </c>
      <c r="X29" s="61">
        <f> X$23</f>
        <v>2972.679298709598</v>
      </c>
      <c r="Y29" s="61">
        <f> Y$23</f>
        <v>2661.854817137978</v>
      </c>
      <c r="Z29" s="61">
        <f> Z$23</f>
        <v>3078.881769034094</v>
      </c>
      <c r="AA29" s="61">
        <f> AA$23</f>
        <v>2768.7270288678883</v>
      </c>
      <c r="AB29" s="61">
        <f> AB$23</f>
        <v>3152.842177670883</v>
      </c>
      <c r="AC29" s="61">
        <f> AC$23</f>
        <v>2833.173239429893</v>
      </c>
      <c r="AD29" s="61">
        <f> AD$23</f>
        <v>3737.2202129699026</v>
      </c>
      <c r="AE29" s="61">
        <f> AE$23</f>
        <v>3394.7651224618876</v>
      </c>
      <c r="AF29" s="61">
        <f> AF$23</f>
        <v>3835.8571618035007</v>
      </c>
      <c r="AG29" s="61">
        <f> AG$23</f>
        <v>3484.418059360265</v>
      </c>
      <c r="AH29" s="61">
        <f> AH$23</f>
        <v>3957.549041581221</v>
      </c>
      <c r="AI29" s="61">
        <f> AI$23</f>
        <v>3604.122631691296</v>
      </c>
      <c r="AJ29" s="61">
        <f> AJ$23</f>
        <v>4071.805376657603</v>
      </c>
      <c r="AK29" s="61">
        <f> AK$23</f>
        <v>3712.517712252178</v>
      </c>
      <c r="AL29" s="61">
        <f> AL$23</f>
        <v>4200.24706838421</v>
      </c>
      <c r="AM29" s="61">
        <f> AM$23</f>
        <v>4314.777595121459</v>
      </c>
      <c r="AN29" s="61">
        <f> AN$23</f>
        <v>4880.146631884893</v>
      </c>
      <c r="AO29" s="61">
        <f> AO$23</f>
        <v>4484.118155359209</v>
      </c>
      <c r="AP29" s="61">
        <f> AP$23</f>
        <v>5018.461158744443</v>
      </c>
      <c r="AQ29" s="61">
        <f> AQ$23</f>
        <v>3977.9688965106834</v>
      </c>
      <c r="AR29" s="61">
        <f> AR$23</f>
        <v>4701.8472342003215</v>
      </c>
      <c r="AS29" s="61">
        <f> AS$23</f>
        <v>5852.78968979218</v>
      </c>
      <c r="AT29" s="61">
        <f> AT$23</f>
        <v>5281.124660173442</v>
      </c>
      <c r="AU29" s="61">
        <f> AU$23</f>
        <v>4844.417463997683</v>
      </c>
      <c r="AV29" s="61">
        <f> AV$23</f>
        <v>5432.232436766679</v>
      </c>
      <c r="AW29" s="61">
        <f> AW$23</f>
        <v>4989.023038798356</v>
      </c>
      <c r="AX29" s="61">
        <f> AX$23</f>
        <v>6156.542911295906</v>
      </c>
      <c r="AY29" s="61">
        <f> AY$23</f>
        <v>5681.438920205088</v>
      </c>
      <c r="AZ29" s="61">
        <f> AZ$23</f>
        <v>6302.403246524402</v>
      </c>
      <c r="BA29" s="61">
        <f> BA$23</f>
        <v>5820.225357752074</v>
      </c>
      <c r="BB29" s="61">
        <f> BB$23</f>
        <v>6414.91419863478</v>
      </c>
      <c r="BC29" s="61">
        <f> BC$23</f>
        <v>5925.557087811238</v>
      </c>
      <c r="BD29" s="61">
        <f> BD$23</f>
        <v>6546.600343920132</v>
      </c>
      <c r="BE29" s="61">
        <f> BE$23</f>
        <v>6049.957118484637</v>
      </c>
      <c r="BF29" s="61">
        <f> BF$23</f>
        <v>6662.486624593822</v>
      </c>
      <c r="BG29" s="61">
        <f> BG$23</f>
        <v>6158.448800445573</v>
      </c>
      <c r="BH29" s="61">
        <f> BH$23</f>
        <v>6248.298902669767</v>
      </c>
      <c r="BI29" s="61">
        <f> BI$23</f>
        <v>6874.559275823</v>
      </c>
      <c r="BJ29" s="61">
        <f> BJ$23</f>
        <v>6359.222606019929</v>
      </c>
      <c r="BK29" s="61">
        <f> BK$23</f>
        <v>6994.807467884564</v>
      </c>
      <c r="BL29" s="61">
        <f> BL$23</f>
        <v>6506.797869749857</v>
      </c>
      <c r="BM29" s="61">
        <f> BM$23</f>
        <v>7151.846054097686</v>
      </c>
      <c r="BN29" s="61">
        <f> BN$23</f>
        <v>6621.049284200526</v>
      </c>
      <c r="BO29" s="61">
        <f> BO$23</f>
        <v>7275.7016919211</v>
      </c>
      <c r="BP29" s="61">
        <f> BP$23</f>
        <v>6737.001805842351</v>
      </c>
      <c r="BQ29" s="61">
        <f> BQ$23</f>
        <v>6795.623882210353</v>
      </c>
      <c r="BR29" s="61">
        <f> BR$23</f>
        <v>7464.951411832526</v>
      </c>
      <c r="BS29" s="61">
        <f> BS$23</f>
        <v>6914.175672364481</v>
      </c>
      <c r="BT29" s="61">
        <f> BT$23</f>
        <v>8760.135590997796</v>
      </c>
      <c r="BU29" s="61">
        <f> BU$23</f>
        <v>8201.159265343329</v>
      </c>
      <c r="BV29" s="61">
        <f> BV$23</f>
        <v>8890.566620854164</v>
      </c>
      <c r="BW29" s="61">
        <f> BW$23</f>
        <v>8956.508591625756</v>
      </c>
      <c r="BX29" s="61">
        <f> BX$23</f>
        <v>9022.939658727726</v>
      </c>
      <c r="BY29" s="61">
        <f> BY$23</f>
        <v>9089.863449822662</v>
      </c>
      <c r="BZ29" s="61">
        <f> BZ$23</f>
        <v>9157.283619479786</v>
      </c>
      <c r="CA29" s="61">
        <f> CA$23</f>
        <v>9225.20384937453</v>
      </c>
      <c r="CB29" s="61">
        <f> CB$23</f>
        <v>9293.627848489556</v>
      </c>
      <c r="CC29" s="61">
        <f> CC$23</f>
        <v>9362.559353317338</v>
      </c>
      <c r="CD29" s="61">
        <f> CD$23</f>
        <v>9432.002128064178</v>
      </c>
      <c r="CE29" s="61">
        <f> CE$23</f>
        <v>9501.959964855758</v>
      </c>
      <c r="CF29" s="61">
        <f> CF$23</f>
        <v>9572.436683944241</v>
      </c>
      <c r="CG29" s="61">
        <f> CG$23</f>
        <v>9643.436133916857</v>
      </c>
      <c r="CH29" s="61">
        <f> CH$23</f>
        <v>9714.962191906101</v>
      </c>
      <c r="CI29" s="61">
        <f> CI$23</f>
        <v>9787.018763801429</v>
      </c>
      <c r="CJ29" s="61">
        <f> CJ$23</f>
        <v>9859.609784462564</v>
      </c>
      <c r="CK29" s="61">
        <f> CK$23</f>
        <v>9932.739217934362</v>
      </c>
      <c r="CL29" s="61">
        <f> CL$23</f>
        <v>10006.411057663285</v>
      </c>
      <c r="CM29" s="61">
        <f> CM$23</f>
        <v>48269.8628361624</v>
      </c>
      <c r="CN29" s="61">
        <f> CN$23</f>
        <v>1810.7664905530619</v>
      </c>
      <c r="CO29" s="61">
        <f> CO$23</f>
        <v>0.0</v>
      </c>
    </row>
    <row r="30">
      <c r="D30" s="244" t="inlineStr">
        <is>
          <t>less</t>
        </is>
      </c>
      <c r="E30" s="61" t="str">
        <f> E$27</f>
        <v>Shareholder cash outflow</v>
      </c>
      <c r="F30" s="61">
        <f> F$27</f>
        <v>0.0</v>
      </c>
      <c r="G30" s="61" t="str">
        <f> G$27</f>
        <v>$ 000s</v>
      </c>
      <c r="H30" s="61">
        <f> H$27</f>
        <v>0.0</v>
      </c>
      <c r="I30" s="61">
        <f> I$27</f>
        <v>0.0</v>
      </c>
      <c r="J30" s="61">
        <f> J$27</f>
        <v>0.0</v>
      </c>
      <c r="K30" s="61">
        <f> K$27</f>
        <v>40000.0</v>
      </c>
      <c r="L30" s="61">
        <f> L$27</f>
        <v>0.0</v>
      </c>
      <c r="M30" s="61">
        <f> M$27</f>
        <v>0.0</v>
      </c>
      <c r="N30" s="61">
        <f> N$27</f>
        <v>0.0</v>
      </c>
      <c r="O30" s="61">
        <f> O$27</f>
        <v>0.0</v>
      </c>
      <c r="P30" s="61">
        <f> P$27</f>
        <v>0.0</v>
      </c>
      <c r="Q30" s="61">
        <f> Q$27</f>
        <v>0.0</v>
      </c>
      <c r="R30" s="61">
        <f> R$27</f>
        <v>0.0</v>
      </c>
      <c r="S30" s="61">
        <f> S$27</f>
        <v>0.0</v>
      </c>
      <c r="T30" s="61">
        <f> T$27</f>
        <v>0.0</v>
      </c>
      <c r="U30" s="61">
        <f> U$27</f>
        <v>0.0</v>
      </c>
      <c r="V30" s="61">
        <f> V$27</f>
        <v>0.0</v>
      </c>
      <c r="W30" s="61">
        <f> W$27</f>
        <v>0.0</v>
      </c>
      <c r="X30" s="61">
        <f> X$27</f>
        <v>0.0</v>
      </c>
      <c r="Y30" s="61">
        <f> Y$27</f>
        <v>0.0</v>
      </c>
      <c r="Z30" s="61">
        <f> Z$27</f>
        <v>0.0</v>
      </c>
      <c r="AA30" s="61">
        <f> AA$27</f>
        <v>0.0</v>
      </c>
      <c r="AB30" s="61">
        <f> AB$27</f>
        <v>0.0</v>
      </c>
      <c r="AC30" s="61">
        <f> AC$27</f>
        <v>0.0</v>
      </c>
      <c r="AD30" s="61">
        <f> AD$27</f>
        <v>0.0</v>
      </c>
      <c r="AE30" s="61">
        <f> AE$27</f>
        <v>0.0</v>
      </c>
      <c r="AF30" s="61">
        <f> AF$27</f>
        <v>0.0</v>
      </c>
      <c r="AG30" s="61">
        <f> AG$27</f>
        <v>0.0</v>
      </c>
      <c r="AH30" s="61">
        <f> AH$27</f>
        <v>0.0</v>
      </c>
      <c r="AI30" s="61">
        <f> AI$27</f>
        <v>0.0</v>
      </c>
      <c r="AJ30" s="61">
        <f> AJ$27</f>
        <v>0.0</v>
      </c>
      <c r="AK30" s="61">
        <f> AK$27</f>
        <v>0.0</v>
      </c>
      <c r="AL30" s="61">
        <f> AL$27</f>
        <v>0.0</v>
      </c>
      <c r="AM30" s="61">
        <f> AM$27</f>
        <v>0.0</v>
      </c>
      <c r="AN30" s="61">
        <f> AN$27</f>
        <v>0.0</v>
      </c>
      <c r="AO30" s="61">
        <f> AO$27</f>
        <v>0.0</v>
      </c>
      <c r="AP30" s="61">
        <f> AP$27</f>
        <v>0.0</v>
      </c>
      <c r="AQ30" s="61">
        <f> AQ$27</f>
        <v>0.0</v>
      </c>
      <c r="AR30" s="61">
        <f> AR$27</f>
        <v>0.0</v>
      </c>
      <c r="AS30" s="61">
        <f> AS$27</f>
        <v>0.0</v>
      </c>
      <c r="AT30" s="61">
        <f> AT$27</f>
        <v>0.0</v>
      </c>
      <c r="AU30" s="61">
        <f> AU$27</f>
        <v>0.0</v>
      </c>
      <c r="AV30" s="61">
        <f> AV$27</f>
        <v>0.0</v>
      </c>
      <c r="AW30" s="61">
        <f> AW$27</f>
        <v>0.0</v>
      </c>
      <c r="AX30" s="61">
        <f> AX$27</f>
        <v>0.0</v>
      </c>
      <c r="AY30" s="61">
        <f> AY$27</f>
        <v>0.0</v>
      </c>
      <c r="AZ30" s="61">
        <f> AZ$27</f>
        <v>0.0</v>
      </c>
      <c r="BA30" s="61">
        <f> BA$27</f>
        <v>0.0</v>
      </c>
      <c r="BB30" s="61">
        <f> BB$27</f>
        <v>0.0</v>
      </c>
      <c r="BC30" s="61">
        <f> BC$27</f>
        <v>0.0</v>
      </c>
      <c r="BD30" s="61">
        <f> BD$27</f>
        <v>0.0</v>
      </c>
      <c r="BE30" s="61">
        <f> BE$27</f>
        <v>0.0</v>
      </c>
      <c r="BF30" s="61">
        <f> BF$27</f>
        <v>0.0</v>
      </c>
      <c r="BG30" s="61">
        <f> BG$27</f>
        <v>0.0</v>
      </c>
      <c r="BH30" s="61">
        <f> BH$27</f>
        <v>0.0</v>
      </c>
      <c r="BI30" s="61">
        <f> BI$27</f>
        <v>0.0</v>
      </c>
      <c r="BJ30" s="61">
        <f> BJ$27</f>
        <v>0.0</v>
      </c>
      <c r="BK30" s="61">
        <f> BK$27</f>
        <v>0.0</v>
      </c>
      <c r="BL30" s="61">
        <f> BL$27</f>
        <v>0.0</v>
      </c>
      <c r="BM30" s="61">
        <f> BM$27</f>
        <v>0.0</v>
      </c>
      <c r="BN30" s="61">
        <f> BN$27</f>
        <v>0.0</v>
      </c>
      <c r="BO30" s="61">
        <f> BO$27</f>
        <v>0.0</v>
      </c>
      <c r="BP30" s="61">
        <f> BP$27</f>
        <v>0.0</v>
      </c>
      <c r="BQ30" s="61">
        <f> BQ$27</f>
        <v>0.0</v>
      </c>
      <c r="BR30" s="61">
        <f> BR$27</f>
        <v>0.0</v>
      </c>
      <c r="BS30" s="61">
        <f> BS$27</f>
        <v>0.0</v>
      </c>
      <c r="BT30" s="61">
        <f> BT$27</f>
        <v>0.0</v>
      </c>
      <c r="BU30" s="61">
        <f> BU$27</f>
        <v>0.0</v>
      </c>
      <c r="BV30" s="61">
        <f> BV$27</f>
        <v>0.0</v>
      </c>
      <c r="BW30" s="61">
        <f> BW$27</f>
        <v>0.0</v>
      </c>
      <c r="BX30" s="61">
        <f> BX$27</f>
        <v>0.0</v>
      </c>
      <c r="BY30" s="61">
        <f> BY$27</f>
        <v>0.0</v>
      </c>
      <c r="BZ30" s="61">
        <f> BZ$27</f>
        <v>0.0</v>
      </c>
      <c r="CA30" s="61">
        <f> CA$27</f>
        <v>0.0</v>
      </c>
      <c r="CB30" s="61">
        <f> CB$27</f>
        <v>0.0</v>
      </c>
      <c r="CC30" s="61">
        <f> CC$27</f>
        <v>0.0</v>
      </c>
      <c r="CD30" s="61">
        <f> CD$27</f>
        <v>0.0</v>
      </c>
      <c r="CE30" s="61">
        <f> CE$27</f>
        <v>0.0</v>
      </c>
      <c r="CF30" s="61">
        <f> CF$27</f>
        <v>0.0</v>
      </c>
      <c r="CG30" s="61">
        <f> CG$27</f>
        <v>0.0</v>
      </c>
      <c r="CH30" s="61">
        <f> CH$27</f>
        <v>0.0</v>
      </c>
      <c r="CI30" s="61">
        <f> CI$27</f>
        <v>0.0</v>
      </c>
      <c r="CJ30" s="61">
        <f> CJ$27</f>
        <v>0.0</v>
      </c>
      <c r="CK30" s="61">
        <f> CK$27</f>
        <v>0.0</v>
      </c>
      <c r="CL30" s="61">
        <f> CL$27</f>
        <v>0.0</v>
      </c>
      <c r="CM30" s="61">
        <f> CM$27</f>
        <v>0.0</v>
      </c>
      <c r="CN30" s="61">
        <f> CN$27</f>
        <v>0.0</v>
      </c>
      <c r="CO30" s="61">
        <f> CO$27</f>
        <v>0.0</v>
      </c>
    </row>
    <row r="31" customFormat="1" s="260">
      <c r="A31" s="263" t="n"/>
      <c r="B31" s="263" t="n"/>
      <c r="C31" s="264" t="n"/>
      <c r="D31" s="335" t="n"/>
      <c r="E31" s="260" t="inlineStr">
        <is>
          <t>Shareholder cashflows</t>
        </is>
      </c>
      <c r="G31" s="260" t="str">
        <f>SMU</f>
        <v>$ 000s</v>
      </c>
      <c r="H31" s="260">
        <f> SUM(J31:CO31)</f>
        <v>464032.94057809055</v>
      </c>
      <c r="J31" s="260">
        <f> J29 - J30</f>
        <v>0.0</v>
      </c>
      <c r="K31" s="260">
        <f> K29 - K30</f>
        <v>-40000.0</v>
      </c>
      <c r="L31" s="260">
        <f> L29 - L30</f>
        <v>2100.6709056988466</v>
      </c>
      <c r="M31" s="260">
        <f> M29 - M30</f>
        <v>1815.9800941136655</v>
      </c>
      <c r="N31" s="260">
        <f> N29 - N30</f>
        <v>2174.5967436970222</v>
      </c>
      <c r="O31" s="260">
        <f> O29 - O30</f>
        <v>1905.0925810000006</v>
      </c>
      <c r="P31" s="260">
        <f> P29 - P30</f>
        <v>2310.0471202231984</v>
      </c>
      <c r="Q31" s="260">
        <f> Q29 - Q30</f>
        <v>2051.7677315661467</v>
      </c>
      <c r="R31" s="260">
        <f> R29 - R30</f>
        <v>2444.047410276859</v>
      </c>
      <c r="S31" s="260">
        <f> S29 - S30</f>
        <v>2186.58609893889</v>
      </c>
      <c r="T31" s="260">
        <f> T29 - T30</f>
        <v>2739.7214559269796</v>
      </c>
      <c r="U31" s="260">
        <f> U29 - U30</f>
        <v>2456.318172364562</v>
      </c>
      <c r="V31" s="260">
        <f> V29 - V30</f>
        <v>2870.0497454789092</v>
      </c>
      <c r="W31" s="260">
        <f> W29 - W30</f>
        <v>2580.8312038631084</v>
      </c>
      <c r="X31" s="260">
        <f> X29 - X30</f>
        <v>2972.679298709598</v>
      </c>
      <c r="Y31" s="260">
        <f> Y29 - Y30</f>
        <v>2661.854817137978</v>
      </c>
      <c r="Z31" s="260">
        <f> Z29 - Z30</f>
        <v>3078.881769034094</v>
      </c>
      <c r="AA31" s="260">
        <f> AA29 - AA30</f>
        <v>2768.7270288678883</v>
      </c>
      <c r="AB31" s="260">
        <f> AB29 - AB30</f>
        <v>3152.842177670883</v>
      </c>
      <c r="AC31" s="260">
        <f> AC29 - AC30</f>
        <v>2833.173239429893</v>
      </c>
      <c r="AD31" s="260">
        <f> AD29 - AD30</f>
        <v>3737.2202129699026</v>
      </c>
      <c r="AE31" s="260">
        <f> AE29 - AE30</f>
        <v>3394.7651224618876</v>
      </c>
      <c r="AF31" s="260">
        <f> AF29 - AF30</f>
        <v>3835.8571618035007</v>
      </c>
      <c r="AG31" s="260">
        <f> AG29 - AG30</f>
        <v>3484.418059360265</v>
      </c>
      <c r="AH31" s="260">
        <f> AH29 - AH30</f>
        <v>3957.549041581221</v>
      </c>
      <c r="AI31" s="260">
        <f> AI29 - AI30</f>
        <v>3604.122631691296</v>
      </c>
      <c r="AJ31" s="260">
        <f> AJ29 - AJ30</f>
        <v>4071.805376657603</v>
      </c>
      <c r="AK31" s="260">
        <f> AK29 - AK30</f>
        <v>3712.517712252178</v>
      </c>
      <c r="AL31" s="260">
        <f> AL29 - AL30</f>
        <v>4200.24706838421</v>
      </c>
      <c r="AM31" s="260">
        <f> AM29 - AM30</f>
        <v>4314.777595121459</v>
      </c>
      <c r="AN31" s="260">
        <f> AN29 - AN30</f>
        <v>4880.146631884893</v>
      </c>
      <c r="AO31" s="260">
        <f> AO29 - AO30</f>
        <v>4484.118155359209</v>
      </c>
      <c r="AP31" s="260">
        <f> AP29 - AP30</f>
        <v>5018.461158744443</v>
      </c>
      <c r="AQ31" s="260">
        <f> AQ29 - AQ30</f>
        <v>3977.9688965106834</v>
      </c>
      <c r="AR31" s="260">
        <f> AR29 - AR30</f>
        <v>4701.8472342003215</v>
      </c>
      <c r="AS31" s="260">
        <f> AS29 - AS30</f>
        <v>5852.78968979218</v>
      </c>
      <c r="AT31" s="260">
        <f> AT29 - AT30</f>
        <v>5281.124660173442</v>
      </c>
      <c r="AU31" s="260">
        <f> AU29 - AU30</f>
        <v>4844.417463997683</v>
      </c>
      <c r="AV31" s="260">
        <f> AV29 - AV30</f>
        <v>5432.232436766679</v>
      </c>
      <c r="AW31" s="260">
        <f> AW29 - AW30</f>
        <v>4989.023038798356</v>
      </c>
      <c r="AX31" s="260">
        <f> AX29 - AX30</f>
        <v>6156.542911295906</v>
      </c>
      <c r="AY31" s="260">
        <f> AY29 - AY30</f>
        <v>5681.438920205088</v>
      </c>
      <c r="AZ31" s="260">
        <f> AZ29 - AZ30</f>
        <v>6302.403246524402</v>
      </c>
      <c r="BA31" s="260">
        <f> BA29 - BA30</f>
        <v>5820.225357752074</v>
      </c>
      <c r="BB31" s="260">
        <f> BB29 - BB30</f>
        <v>6414.91419863478</v>
      </c>
      <c r="BC31" s="260">
        <f> BC29 - BC30</f>
        <v>5925.557087811238</v>
      </c>
      <c r="BD31" s="260">
        <f> BD29 - BD30</f>
        <v>6546.600343920132</v>
      </c>
      <c r="BE31" s="260">
        <f> BE29 - BE30</f>
        <v>6049.957118484637</v>
      </c>
      <c r="BF31" s="260">
        <f> BF29 - BF30</f>
        <v>6662.486624593822</v>
      </c>
      <c r="BG31" s="260">
        <f> BG29 - BG30</f>
        <v>6158.448800445573</v>
      </c>
      <c r="BH31" s="260">
        <f> BH29 - BH30</f>
        <v>6248.298902669767</v>
      </c>
      <c r="BI31" s="260">
        <f> BI29 - BI30</f>
        <v>6874.559275823</v>
      </c>
      <c r="BJ31" s="260">
        <f> BJ29 - BJ30</f>
        <v>6359.222606019929</v>
      </c>
      <c r="BK31" s="260">
        <f> BK29 - BK30</f>
        <v>6994.807467884564</v>
      </c>
      <c r="BL31" s="260">
        <f> BL29 - BL30</f>
        <v>6506.797869749857</v>
      </c>
      <c r="BM31" s="260">
        <f> BM29 - BM30</f>
        <v>7151.846054097686</v>
      </c>
      <c r="BN31" s="260">
        <f> BN29 - BN30</f>
        <v>6621.049284200526</v>
      </c>
      <c r="BO31" s="260">
        <f> BO29 - BO30</f>
        <v>7275.7016919211</v>
      </c>
      <c r="BP31" s="260">
        <f> BP29 - BP30</f>
        <v>6737.001805842351</v>
      </c>
      <c r="BQ31" s="260">
        <f> BQ29 - BQ30</f>
        <v>6795.623882210353</v>
      </c>
      <c r="BR31" s="260">
        <f> BR29 - BR30</f>
        <v>7464.951411832526</v>
      </c>
      <c r="BS31" s="260">
        <f> BS29 - BS30</f>
        <v>6914.175672364481</v>
      </c>
      <c r="BT31" s="260">
        <f> BT29 - BT30</f>
        <v>8760.135590997796</v>
      </c>
      <c r="BU31" s="260">
        <f> BU29 - BU30</f>
        <v>8201.159265343329</v>
      </c>
      <c r="BV31" s="260">
        <f> BV29 - BV30</f>
        <v>8890.566620854164</v>
      </c>
      <c r="BW31" s="260">
        <f> BW29 - BW30</f>
        <v>8956.508591625756</v>
      </c>
      <c r="BX31" s="260">
        <f> BX29 - BX30</f>
        <v>9022.939658727726</v>
      </c>
      <c r="BY31" s="260">
        <f> BY29 - BY30</f>
        <v>9089.863449822662</v>
      </c>
      <c r="BZ31" s="260">
        <f> BZ29 - BZ30</f>
        <v>9157.283619479786</v>
      </c>
      <c r="CA31" s="260">
        <f> CA29 - CA30</f>
        <v>9225.20384937453</v>
      </c>
      <c r="CB31" s="260">
        <f> CB29 - CB30</f>
        <v>9293.627848489556</v>
      </c>
      <c r="CC31" s="260">
        <f> CC29 - CC30</f>
        <v>9362.559353317338</v>
      </c>
      <c r="CD31" s="260">
        <f> CD29 - CD30</f>
        <v>9432.002128064178</v>
      </c>
      <c r="CE31" s="260">
        <f> CE29 - CE30</f>
        <v>9501.959964855758</v>
      </c>
      <c r="CF31" s="260">
        <f> CF29 - CF30</f>
        <v>9572.436683944241</v>
      </c>
      <c r="CG31" s="260">
        <f> CG29 - CG30</f>
        <v>9643.436133916857</v>
      </c>
      <c r="CH31" s="260">
        <f> CH29 - CH30</f>
        <v>9714.962191906101</v>
      </c>
      <c r="CI31" s="260">
        <f> CI29 - CI30</f>
        <v>9787.018763801429</v>
      </c>
      <c r="CJ31" s="260">
        <f> CJ29 - CJ30</f>
        <v>9859.609784462564</v>
      </c>
      <c r="CK31" s="260">
        <f> CK29 - CK30</f>
        <v>9932.739217934362</v>
      </c>
      <c r="CL31" s="260">
        <f> CL29 - CL30</f>
        <v>10006.411057663285</v>
      </c>
      <c r="CM31" s="260">
        <f> CM29 - CM30</f>
        <v>48269.8628361624</v>
      </c>
      <c r="CN31" s="260">
        <f> CN29 - CN30</f>
        <v>1810.7664905530619</v>
      </c>
      <c r="CO31" s="260">
        <f> CO29 - CO30</f>
        <v>0.0</v>
      </c>
    </row>
    <row r="33">
      <c r="B33" s="294" t="inlineStr">
        <is>
          <t>NPV of shareholder cashflow</t>
        </is>
      </c>
    </row>
    <row r="34">
      <c r="E34" s="61" t="str">
        <f> E$31</f>
        <v>Shareholder cashflows</v>
      </c>
      <c r="F34" s="61">
        <f> F$31</f>
        <v>0.0</v>
      </c>
      <c r="G34" s="61" t="str">
        <f> G$31</f>
        <v>$ 000s</v>
      </c>
      <c r="H34" s="61">
        <f> H$31</f>
        <v>464032.94057809055</v>
      </c>
      <c r="I34" s="61">
        <f> I$31</f>
        <v>0.0</v>
      </c>
      <c r="J34" s="61">
        <f> J$31</f>
        <v>0.0</v>
      </c>
      <c r="K34" s="61">
        <f> K$31</f>
        <v>-40000.0</v>
      </c>
      <c r="L34" s="61">
        <f> L$31</f>
        <v>2100.6709056988466</v>
      </c>
      <c r="M34" s="61">
        <f> M$31</f>
        <v>1815.9800941136655</v>
      </c>
      <c r="N34" s="61">
        <f> N$31</f>
        <v>2174.5967436970222</v>
      </c>
      <c r="O34" s="61">
        <f> O$31</f>
        <v>1905.0925810000006</v>
      </c>
      <c r="P34" s="61">
        <f> P$31</f>
        <v>2310.0471202231984</v>
      </c>
      <c r="Q34" s="61">
        <f> Q$31</f>
        <v>2051.7677315661467</v>
      </c>
      <c r="R34" s="61">
        <f> R$31</f>
        <v>2444.047410276859</v>
      </c>
      <c r="S34" s="61">
        <f> S$31</f>
        <v>2186.58609893889</v>
      </c>
      <c r="T34" s="61">
        <f> T$31</f>
        <v>2739.7214559269796</v>
      </c>
      <c r="U34" s="61">
        <f> U$31</f>
        <v>2456.318172364562</v>
      </c>
      <c r="V34" s="61">
        <f> V$31</f>
        <v>2870.0497454789092</v>
      </c>
      <c r="W34" s="61">
        <f> W$31</f>
        <v>2580.8312038631084</v>
      </c>
      <c r="X34" s="61">
        <f> X$31</f>
        <v>2972.679298709598</v>
      </c>
      <c r="Y34" s="61">
        <f> Y$31</f>
        <v>2661.854817137978</v>
      </c>
      <c r="Z34" s="61">
        <f> Z$31</f>
        <v>3078.881769034094</v>
      </c>
      <c r="AA34" s="61">
        <f> AA$31</f>
        <v>2768.7270288678883</v>
      </c>
      <c r="AB34" s="61">
        <f> AB$31</f>
        <v>3152.842177670883</v>
      </c>
      <c r="AC34" s="61">
        <f> AC$31</f>
        <v>2833.173239429893</v>
      </c>
      <c r="AD34" s="61">
        <f> AD$31</f>
        <v>3737.2202129699026</v>
      </c>
      <c r="AE34" s="61">
        <f> AE$31</f>
        <v>3394.7651224618876</v>
      </c>
      <c r="AF34" s="61">
        <f> AF$31</f>
        <v>3835.8571618035007</v>
      </c>
      <c r="AG34" s="61">
        <f> AG$31</f>
        <v>3484.418059360265</v>
      </c>
      <c r="AH34" s="61">
        <f> AH$31</f>
        <v>3957.549041581221</v>
      </c>
      <c r="AI34" s="61">
        <f> AI$31</f>
        <v>3604.122631691296</v>
      </c>
      <c r="AJ34" s="61">
        <f> AJ$31</f>
        <v>4071.805376657603</v>
      </c>
      <c r="AK34" s="61">
        <f> AK$31</f>
        <v>3712.517712252178</v>
      </c>
      <c r="AL34" s="61">
        <f> AL$31</f>
        <v>4200.24706838421</v>
      </c>
      <c r="AM34" s="61">
        <f> AM$31</f>
        <v>4314.777595121459</v>
      </c>
      <c r="AN34" s="61">
        <f> AN$31</f>
        <v>4880.146631884893</v>
      </c>
      <c r="AO34" s="61">
        <f> AO$31</f>
        <v>4484.118155359209</v>
      </c>
      <c r="AP34" s="61">
        <f> AP$31</f>
        <v>5018.461158744443</v>
      </c>
      <c r="AQ34" s="61">
        <f> AQ$31</f>
        <v>3977.9688965106834</v>
      </c>
      <c r="AR34" s="61">
        <f> AR$31</f>
        <v>4701.8472342003215</v>
      </c>
      <c r="AS34" s="61">
        <f> AS$31</f>
        <v>5852.78968979218</v>
      </c>
      <c r="AT34" s="61">
        <f> AT$31</f>
        <v>5281.124660173442</v>
      </c>
      <c r="AU34" s="61">
        <f> AU$31</f>
        <v>4844.417463997683</v>
      </c>
      <c r="AV34" s="61">
        <f> AV$31</f>
        <v>5432.232436766679</v>
      </c>
      <c r="AW34" s="61">
        <f> AW$31</f>
        <v>4989.023038798356</v>
      </c>
      <c r="AX34" s="61">
        <f> AX$31</f>
        <v>6156.542911295906</v>
      </c>
      <c r="AY34" s="61">
        <f> AY$31</f>
        <v>5681.438920205088</v>
      </c>
      <c r="AZ34" s="61">
        <f> AZ$31</f>
        <v>6302.403246524402</v>
      </c>
      <c r="BA34" s="61">
        <f> BA$31</f>
        <v>5820.225357752074</v>
      </c>
      <c r="BB34" s="61">
        <f> BB$31</f>
        <v>6414.91419863478</v>
      </c>
      <c r="BC34" s="61">
        <f> BC$31</f>
        <v>5925.557087811238</v>
      </c>
      <c r="BD34" s="61">
        <f> BD$31</f>
        <v>6546.600343920132</v>
      </c>
      <c r="BE34" s="61">
        <f> BE$31</f>
        <v>6049.957118484637</v>
      </c>
      <c r="BF34" s="61">
        <f> BF$31</f>
        <v>6662.486624593822</v>
      </c>
      <c r="BG34" s="61">
        <f> BG$31</f>
        <v>6158.448800445573</v>
      </c>
      <c r="BH34" s="61">
        <f> BH$31</f>
        <v>6248.298902669767</v>
      </c>
      <c r="BI34" s="61">
        <f> BI$31</f>
        <v>6874.559275823</v>
      </c>
      <c r="BJ34" s="61">
        <f> BJ$31</f>
        <v>6359.222606019929</v>
      </c>
      <c r="BK34" s="61">
        <f> BK$31</f>
        <v>6994.807467884564</v>
      </c>
      <c r="BL34" s="61">
        <f> BL$31</f>
        <v>6506.797869749857</v>
      </c>
      <c r="BM34" s="61">
        <f> BM$31</f>
        <v>7151.846054097686</v>
      </c>
      <c r="BN34" s="61">
        <f> BN$31</f>
        <v>6621.049284200526</v>
      </c>
      <c r="BO34" s="61">
        <f> BO$31</f>
        <v>7275.7016919211</v>
      </c>
      <c r="BP34" s="61">
        <f> BP$31</f>
        <v>6737.001805842351</v>
      </c>
      <c r="BQ34" s="61">
        <f> BQ$31</f>
        <v>6795.623882210353</v>
      </c>
      <c r="BR34" s="61">
        <f> BR$31</f>
        <v>7464.951411832526</v>
      </c>
      <c r="BS34" s="61">
        <f> BS$31</f>
        <v>6914.175672364481</v>
      </c>
      <c r="BT34" s="61">
        <f> BT$31</f>
        <v>8760.135590997796</v>
      </c>
      <c r="BU34" s="61">
        <f> BU$31</f>
        <v>8201.159265343329</v>
      </c>
      <c r="BV34" s="61">
        <f> BV$31</f>
        <v>8890.566620854164</v>
      </c>
      <c r="BW34" s="61">
        <f> BW$31</f>
        <v>8956.508591625756</v>
      </c>
      <c r="BX34" s="61">
        <f> BX$31</f>
        <v>9022.939658727726</v>
      </c>
      <c r="BY34" s="61">
        <f> BY$31</f>
        <v>9089.863449822662</v>
      </c>
      <c r="BZ34" s="61">
        <f> BZ$31</f>
        <v>9157.283619479786</v>
      </c>
      <c r="CA34" s="61">
        <f> CA$31</f>
        <v>9225.20384937453</v>
      </c>
      <c r="CB34" s="61">
        <f> CB$31</f>
        <v>9293.627848489556</v>
      </c>
      <c r="CC34" s="61">
        <f> CC$31</f>
        <v>9362.559353317338</v>
      </c>
      <c r="CD34" s="61">
        <f> CD$31</f>
        <v>9432.002128064178</v>
      </c>
      <c r="CE34" s="61">
        <f> CE$31</f>
        <v>9501.959964855758</v>
      </c>
      <c r="CF34" s="61">
        <f> CF$31</f>
        <v>9572.436683944241</v>
      </c>
      <c r="CG34" s="61">
        <f> CG$31</f>
        <v>9643.436133916857</v>
      </c>
      <c r="CH34" s="61">
        <f> CH$31</f>
        <v>9714.962191906101</v>
      </c>
      <c r="CI34" s="61">
        <f> CI$31</f>
        <v>9787.018763801429</v>
      </c>
      <c r="CJ34" s="61">
        <f> CJ$31</f>
        <v>9859.609784462564</v>
      </c>
      <c r="CK34" s="61">
        <f> CK$31</f>
        <v>9932.739217934362</v>
      </c>
      <c r="CL34" s="61">
        <f> CL$31</f>
        <v>10006.411057663285</v>
      </c>
      <c r="CM34" s="61">
        <f> CM$31</f>
        <v>48269.8628361624</v>
      </c>
      <c r="CN34" s="61">
        <f> CN$31</f>
        <v>1810.7664905530619</v>
      </c>
      <c r="CO34" s="61">
        <f> CO$31</f>
        <v>0.0</v>
      </c>
    </row>
    <row r="35" customFormat="1" s="277">
      <c r="A35" s="391" t="n"/>
      <c r="B35" s="391" t="n"/>
      <c r="C35" s="392" t="n"/>
      <c r="D35" s="277" t="n"/>
      <c r="E35" s="277" t="str">
        <f> E$17</f>
        <v>Shareholder discount factor</v>
      </c>
      <c r="F35" s="277">
        <f> F$17</f>
        <v>0.0</v>
      </c>
      <c r="G35" s="277" t="str">
        <f> G$17</f>
        <v>factor</v>
      </c>
      <c r="H35" s="277">
        <f> H$17</f>
        <v>0.0</v>
      </c>
      <c r="I35" s="277">
        <f> I$17</f>
        <v>0.0</v>
      </c>
      <c r="J35" s="277">
        <f> J$17</f>
        <v>1.0583890713430273</v>
      </c>
      <c r="K35" s="277">
        <f> K$17</f>
        <v>1.0</v>
      </c>
      <c r="L35" s="277">
        <f> L$17</f>
        <v>0.9459984430320407</v>
      </c>
      <c r="M35" s="277">
        <f> M$17</f>
        <v>0.8943612186334177</v>
      </c>
      <c r="N35" s="277">
        <f> N$17</f>
        <v>0.8450212146451316</v>
      </c>
      <c r="O35" s="277">
        <f> O$17</f>
        <v>0.7984031936127745</v>
      </c>
      <c r="P35" s="277">
        <f> P$17</f>
        <v>0.7552881780694938</v>
      </c>
      <c r="Q35" s="277">
        <f> Q$17</f>
        <v>0.7140608532003334</v>
      </c>
      <c r="R35" s="277">
        <f> R$17</f>
        <v>0.6746676364432189</v>
      </c>
      <c r="S35" s="277">
        <f> S$17</f>
        <v>0.6374476595710775</v>
      </c>
      <c r="T35" s="277">
        <f> T$17</f>
        <v>0.6026526468708989</v>
      </c>
      <c r="U35" s="277">
        <f> U$17</f>
        <v>0.56975691623824</v>
      </c>
      <c r="V35" s="277">
        <f> V$17</f>
        <v>0.5383246404039823</v>
      </c>
      <c r="W35" s="277">
        <f> W$17</f>
        <v>0.508626416295931</v>
      </c>
      <c r="X35" s="277">
        <f> X$17</f>
        <v>0.48115979790091734</v>
      </c>
      <c r="Y35" s="277">
        <f> Y$17</f>
        <v>0.45489574150757683</v>
      </c>
      <c r="Z35" s="277">
        <f> Z$17</f>
        <v>0.42980011209898794</v>
      </c>
      <c r="AA35" s="277">
        <f> AA$17</f>
        <v>0.4060889551264918</v>
      </c>
      <c r="AB35" s="277">
        <f> AB$17</f>
        <v>0.3841595192821695</v>
      </c>
      <c r="AC35" s="277">
        <f> AC$17</f>
        <v>0.36319021278050045</v>
      </c>
      <c r="AD35" s="277">
        <f> AD$17</f>
        <v>0.34315378211496045</v>
      </c>
      <c r="AE35" s="277">
        <f> AE$17</f>
        <v>0.3242227186638657</v>
      </c>
      <c r="AF35" s="277">
        <f> AF$17</f>
        <v>0.3067141870516324</v>
      </c>
      <c r="AG35" s="277">
        <f> AG$17</f>
        <v>0.28997222577285464</v>
      </c>
      <c r="AH35" s="277">
        <f> AH$17</f>
        <v>0.27397507554088657</v>
      </c>
      <c r="AI35" s="277">
        <f> AI$17</f>
        <v>0.2588604540230465</v>
      </c>
      <c r="AJ35" s="277">
        <f> AJ$17</f>
        <v>0.244730583672018</v>
      </c>
      <c r="AK35" s="277">
        <f> AK$17</f>
        <v>0.231371990791279</v>
      </c>
      <c r="AL35" s="277">
        <f> AL$17</f>
        <v>0.21860769074049763</v>
      </c>
      <c r="AM35" s="277">
        <f> AM$17</f>
        <v>0.20654756994334666</v>
      </c>
      <c r="AN35" s="277">
        <f> AN$17</f>
        <v>0.1953936795784575</v>
      </c>
      <c r="AO35" s="277">
        <f> AO$17</f>
        <v>0.1847281363603026</v>
      </c>
      <c r="AP35" s="277">
        <f> AP$17</f>
        <v>0.17453707843552707</v>
      </c>
      <c r="AQ35" s="277">
        <f> AQ$17</f>
        <v>0.1649082394757259</v>
      </c>
      <c r="AR35" s="277">
        <f> AR$17</f>
        <v>0.15600293778719163</v>
      </c>
      <c r="AS35" s="277">
        <f> AS$17</f>
        <v>0.1474875340202017</v>
      </c>
      <c r="AT35" s="277">
        <f> AT$17</f>
        <v>0.13935096082676812</v>
      </c>
      <c r="AU35" s="277">
        <f> AU$17</f>
        <v>0.13166326505047976</v>
      </c>
      <c r="AV35" s="277">
        <f> AV$17</f>
        <v>0.12455324374226877</v>
      </c>
      <c r="AW35" s="277">
        <f> AW$17</f>
        <v>0.11775451817980176</v>
      </c>
      <c r="AX35" s="277">
        <f> AX$17</f>
        <v>0.1112582521571003</v>
      </c>
      <c r="AY35" s="277">
        <f> AY$17</f>
        <v>0.10512037129778823</v>
      </c>
      <c r="AZ35" s="277">
        <f> AZ$17</f>
        <v>0.0993823870108663</v>
      </c>
      <c r="BA35" s="277">
        <f> BA$17</f>
        <v>0.09395760998596675</v>
      </c>
      <c r="BB35" s="277">
        <f> BB$17</f>
        <v>0.08877416871542397</v>
      </c>
      <c r="BC35" s="277">
        <f> BC$17</f>
        <v>0.08387668686220964</v>
      </c>
      <c r="BD35" s="277">
        <f> BD$17</f>
        <v>0.07934721517833636</v>
      </c>
      <c r="BE35" s="277">
        <f> BE$17</f>
        <v>0.07501605587701937</v>
      </c>
      <c r="BF35" s="277">
        <f> BF$17</f>
        <v>0.07087757981271375</v>
      </c>
      <c r="BG35" s="277">
        <f> BG$17</f>
        <v>0.06696741466044683</v>
      </c>
      <c r="BH35" s="277">
        <f> BH$17</f>
        <v>0.06335107000266377</v>
      </c>
      <c r="BI35" s="277">
        <f> BI$17</f>
        <v>0.05989305858444661</v>
      </c>
      <c r="BJ35" s="277">
        <f> BJ$17</f>
        <v>0.05658888607801497</v>
      </c>
      <c r="BK35" s="277">
        <f> BK$17</f>
        <v>0.05346699773289169</v>
      </c>
      <c r="BL35" s="277">
        <f> BL$17</f>
        <v>0.05057969660891319</v>
      </c>
      <c r="BM35" s="277">
        <f> BM$17</f>
        <v>0.047818809249059166</v>
      </c>
      <c r="BN35" s="277">
        <f> BN$17</f>
        <v>0.04518074736767662</v>
      </c>
      <c r="BO35" s="277">
        <f> BO$17</f>
        <v>0.04268822174282769</v>
      </c>
      <c r="BP35" s="277">
        <f> BP$17</f>
        <v>0.040358089699219314</v>
      </c>
      <c r="BQ35" s="277">
        <f> BQ$17</f>
        <v>0.03815514766538368</v>
      </c>
      <c r="BR35" s="277">
        <f> BR$17</f>
        <v>0.03605020941586941</v>
      </c>
      <c r="BS35" s="277">
        <f> BS$17</f>
        <v>0.03406139612734665</v>
      </c>
      <c r="BT35" s="277">
        <f> BT$17</f>
        <v>0.03222202770396752</v>
      </c>
      <c r="BU35" s="277">
        <f> BU$17</f>
        <v>0.030463191748809328</v>
      </c>
      <c r="BV35" s="277">
        <f> BV$17</f>
        <v>0.02878260232803945</v>
      </c>
      <c r="BW35" s="277">
        <f> BW$17</f>
        <v>0.027194727446983355</v>
      </c>
      <c r="BX35" s="277">
        <f> BX$17</f>
        <v>0.02572616982352696</v>
      </c>
      <c r="BY35" s="277">
        <f> BY$17</f>
        <v>0.02432190957988769</v>
      </c>
      <c r="BZ35" s="277">
        <f> BZ$17</f>
        <v>0.022980121619193182</v>
      </c>
      <c r="CA35" s="277">
        <f> CA$17</f>
        <v>0.021712357243100486</v>
      </c>
      <c r="CB35" s="277">
        <f> CB$17</f>
        <v>0.020539856146528514</v>
      </c>
      <c r="CC35" s="277">
        <f> CC$17</f>
        <v>0.019418690283343466</v>
      </c>
      <c r="CD35" s="277">
        <f> CD$17</f>
        <v>0.0183474024903738</v>
      </c>
      <c r="CE35" s="277">
        <f> CE$17</f>
        <v>0.017335215363752883</v>
      </c>
      <c r="CF35" s="277">
        <f> CF$17</f>
        <v>0.016388974476857207</v>
      </c>
      <c r="CG35" s="277">
        <f> CG$17</f>
        <v>0.015494384048132666</v>
      </c>
      <c r="CH35" s="277">
        <f> CH$17</f>
        <v>0.01463959187378162</v>
      </c>
      <c r="CI35" s="277">
        <f> CI$17</f>
        <v>0.013831956763503739</v>
      </c>
      <c r="CJ35" s="277">
        <f> CJ$17</f>
        <v>0.013085009562361045</v>
      </c>
      <c r="CK35" s="277">
        <f> CK$17</f>
        <v>0.012370765707091948</v>
      </c>
      <c r="CL35" s="277">
        <f> CL$17</f>
        <v>0.011688296905214867</v>
      </c>
      <c r="CM35" s="277">
        <f> CM$17</f>
        <v>0.011043478453895202</v>
      </c>
      <c r="CN35" s="277">
        <f> CN$17</f>
        <v>0.01044711342304275</v>
      </c>
      <c r="CO35" s="277">
        <f> CO$17</f>
        <v>0.009876858847977604</v>
      </c>
    </row>
    <row r="36">
      <c r="E36" s="61" t="inlineStr">
        <is>
          <t>PV of shareholder cashflow</t>
        </is>
      </c>
      <c r="G36" s="61" t="str">
        <f>SMU</f>
        <v>$ 000s</v>
      </c>
      <c r="J36" s="61">
        <f> J34 * J35</f>
        <v>0.0</v>
      </c>
      <c r="K36" s="61">
        <f> K34 * K35</f>
        <v>-40000.0</v>
      </c>
      <c r="L36" s="61">
        <f> L34 * L35</f>
        <v>1987.2314061138156</v>
      </c>
      <c r="M36" s="61">
        <f> M34 * M35</f>
        <v>1624.1421699855264</v>
      </c>
      <c r="N36" s="61">
        <f> N34 * N35</f>
        <v>1837.5803817222056</v>
      </c>
      <c r="O36" s="61">
        <f> O34 * O35</f>
        <v>1521.0320007984037</v>
      </c>
      <c r="P36" s="61">
        <f> P34 * P35</f>
        <v>1744.7512806880604</v>
      </c>
      <c r="Q36" s="61">
        <f> Q34 * Q35</f>
        <v>1465.0870169710354</v>
      </c>
      <c r="R36" s="61">
        <f> R34 * R35</f>
        <v>1648.9196896466585</v>
      </c>
      <c r="S36" s="61">
        <f> S34 * S35</f>
        <v>1393.834191219248</v>
      </c>
      <c r="T36" s="61">
        <f> T34 * T35</f>
        <v>1651.1003871033872</v>
      </c>
      <c r="U36" s="61">
        <f> U34 * U35</f>
        <v>1399.5042671863825</v>
      </c>
      <c r="V36" s="61">
        <f> V34 * V35</f>
        <v>1545.0184971764747</v>
      </c>
      <c r="W36" s="61">
        <f> W34 * W35</f>
        <v>1312.6789262856062</v>
      </c>
      <c r="X36" s="61">
        <f> X34 * X35</f>
        <v>1430.3337705913507</v>
      </c>
      <c r="Y36" s="61">
        <f> Y34 * Y35</f>
        <v>1210.8664208274959</v>
      </c>
      <c r="Z36" s="61">
        <f> Z34 * Z35</f>
        <v>1323.3037294703838</v>
      </c>
      <c r="AA36" s="61">
        <f> AA34 * AA35</f>
        <v>1124.3494661834368</v>
      </c>
      <c r="AB36" s="61">
        <f> AB34 * AB35</f>
        <v>1211.194335346595</v>
      </c>
      <c r="AC36" s="61">
        <f> AC34 * AC35</f>
        <v>1028.9807916725626</v>
      </c>
      <c r="AD36" s="61">
        <f> AD34 * AD35</f>
        <v>1282.4412506771</v>
      </c>
      <c r="AE36" s="61">
        <f> AE34 * AE35</f>
        <v>1100.6599772298641</v>
      </c>
      <c r="AF36" s="61">
        <f> AF34 * AF35</f>
        <v>1176.5118110287426</v>
      </c>
      <c r="AG36" s="61">
        <f> AG34 * AG35</f>
        <v>1010.3844601958268</v>
      </c>
      <c r="AH36" s="61">
        <f> AH34 * AH35</f>
        <v>1084.2697976239783</v>
      </c>
      <c r="AI36" s="61">
        <f> AI34 * AI35</f>
        <v>932.9648207943462</v>
      </c>
      <c r="AJ36" s="61">
        <f> AJ34 * AJ35</f>
        <v>996.4953064282763</v>
      </c>
      <c r="AK36" s="61">
        <f> AK34 * AK35</f>
        <v>858.972613931671</v>
      </c>
      <c r="AL36" s="61">
        <f> AL34 * AL35</f>
        <v>918.2063121590172</v>
      </c>
      <c r="AM36" s="61">
        <f> AM34 * AM35</f>
        <v>891.2068271183347</v>
      </c>
      <c r="AN36" s="61">
        <f> AN34 * AN35</f>
        <v>953.5498072864054</v>
      </c>
      <c r="AO36" s="61">
        <f> AO34 * AO35</f>
        <v>828.3427900589045</v>
      </c>
      <c r="AP36" s="61">
        <f> AP34 * AP35</f>
        <v>875.907548889425</v>
      </c>
      <c r="AQ36" s="61">
        <f> AQ34 * AQ35</f>
        <v>655.9998474127729</v>
      </c>
      <c r="AR36" s="61">
        <f> AR34 * AR35</f>
        <v>733.5019815618318</v>
      </c>
      <c r="AS36" s="61">
        <f> AS34 * AS35</f>
        <v>863.2135184863099</v>
      </c>
      <c r="AT36" s="61">
        <f> AT34 * AT35</f>
        <v>735.9297956411084</v>
      </c>
      <c r="AU36" s="61">
        <f> AU34 * AU35</f>
        <v>637.8318205774999</v>
      </c>
      <c r="AV36" s="61">
        <f> AV34 * AV35</f>
        <v>676.6021707612588</v>
      </c>
      <c r="AW36" s="61">
        <f> AW34 * AW35</f>
        <v>587.4800041216308</v>
      </c>
      <c r="AX36" s="61">
        <f> AX34 * AX35</f>
        <v>684.9662036409684</v>
      </c>
      <c r="AY36" s="61">
        <f> AY34 * AY35</f>
        <v>597.2349687976639</v>
      </c>
      <c r="AZ36" s="61">
        <f> AZ34 * AZ35</f>
        <v>626.3478785446283</v>
      </c>
      <c r="BA36" s="61">
        <f> BA34 * BA35</f>
        <v>546.8544641941032</v>
      </c>
      <c r="BB36" s="61">
        <f> BB34 * BB35</f>
        <v>569.4786753645727</v>
      </c>
      <c r="BC36" s="61">
        <f> BC34 * BC35</f>
        <v>497.01609633849006</v>
      </c>
      <c r="BD36" s="61">
        <f> BD34 * BD35</f>
        <v>519.4545061756015</v>
      </c>
      <c r="BE36" s="61">
        <f> BE34 * BE35</f>
        <v>453.84392125381464</v>
      </c>
      <c r="BF36" s="61">
        <f> BF34 * BF35</f>
        <v>472.2209274857865</v>
      </c>
      <c r="BG36" s="61">
        <f> BG34 * BG35</f>
        <v>412.4153944845701</v>
      </c>
      <c r="BH36" s="61">
        <f> BH34 * BH35</f>
        <v>395.8364211805996</v>
      </c>
      <c r="BI36" s="61">
        <f> BI34 * BI35</f>
        <v>411.73838144911775</v>
      </c>
      <c r="BJ36" s="61">
        <f> BJ34 * BJ35</f>
        <v>359.86132359679925</v>
      </c>
      <c r="BK36" s="61">
        <f> BK34 * BK35</f>
        <v>373.99135502739784</v>
      </c>
      <c r="BL36" s="61">
        <f> BL34 * BL35</f>
        <v>329.11186214747045</v>
      </c>
      <c r="BM36" s="61">
        <f> BM34 * BM35</f>
        <v>341.9927622395337</v>
      </c>
      <c r="BN36" s="61">
        <f> BN34 * BN35</f>
        <v>299.14395501840005</v>
      </c>
      <c r="BO36" s="61">
        <f> BO34 * BO35</f>
        <v>310.58676715939447</v>
      </c>
      <c r="BP36" s="61">
        <f> BP34 * BP35</f>
        <v>271.8925231839881</v>
      </c>
      <c r="BQ36" s="61">
        <f> BQ34 * BQ35</f>
        <v>259.2880327041439</v>
      </c>
      <c r="BR36" s="61">
        <f> BR34 * BR35</f>
        <v>269.1130616758526</v>
      </c>
      <c r="BS36" s="61">
        <f> BS34 * BS35</f>
        <v>235.50647647046995</v>
      </c>
      <c r="BT36" s="61">
        <f> BT34 * BT35</f>
        <v>282.2693317036428</v>
      </c>
      <c r="BU36" s="61">
        <f> BU34 * BU35</f>
        <v>249.83348726267806</v>
      </c>
      <c r="BV36" s="61">
        <f> BV34 * BV35</f>
        <v>255.8936435189869</v>
      </c>
      <c r="BW36" s="61">
        <f> BW34 * BW35</f>
        <v>243.56981002582717</v>
      </c>
      <c r="BX36" s="61">
        <f> BX34 * BX35</f>
        <v>232.12567796786587</v>
      </c>
      <c r="BY36" s="61">
        <f> BY34 * BY35</f>
        <v>221.08283692011275</v>
      </c>
      <c r="BZ36" s="61">
        <f> BZ34 * BZ35</f>
        <v>210.43549127709102</v>
      </c>
      <c r="CA36" s="61">
        <f> CA34 * CA35</f>
        <v>200.30092161804555</v>
      </c>
      <c r="CB36" s="61">
        <f> CB34 * CB35</f>
        <v>190.88977908734677</v>
      </c>
      <c r="CC36" s="61">
        <f> CC34 * CC35</f>
        <v>181.80864034148988</v>
      </c>
      <c r="CD36" s="61">
        <f> CD34 * CD35</f>
        <v>173.05273933365567</v>
      </c>
      <c r="CE36" s="61">
        <f> CE34 * CE35</f>
        <v>164.71852236853235</v>
      </c>
      <c r="CF36" s="61">
        <f> CF34 * CF35</f>
        <v>156.8824204944938</v>
      </c>
      <c r="CG36" s="61">
        <f> CG34 * CG35</f>
        <v>149.4191030025475</v>
      </c>
      <c r="CH36" s="61">
        <f> CH34 * CH35</f>
        <v>142.22308155872423</v>
      </c>
      <c r="CI36" s="61">
        <f> CI34 * CI35</f>
        <v>135.37362038450118</v>
      </c>
      <c r="CJ36" s="61">
        <f> CJ34 * CJ35</f>
        <v>129.01308831084117</v>
      </c>
      <c r="CK36" s="61">
        <f> CK34 * CK35</f>
        <v>122.8755896947097</v>
      </c>
      <c r="CL36" s="61">
        <f> CL34 * CL35</f>
        <v>116.9579033975936</v>
      </c>
      <c r="CM36" s="61">
        <f> CM34 * CM35</f>
        <v>533.0671902036362</v>
      </c>
      <c r="CN36" s="61">
        <f> CN34 * CN35</f>
        <v>18.917282909452904</v>
      </c>
      <c r="CO36" s="61">
        <f> CO34 * CO35</f>
        <v>0.0</v>
      </c>
    </row>
    <row r="38">
      <c r="E38" s="61" t="str">
        <f> E$36</f>
        <v>PV of shareholder cashflow</v>
      </c>
      <c r="F38" s="61">
        <f> F$36</f>
        <v>0.0</v>
      </c>
      <c r="G38" s="61" t="str">
        <f> G$36</f>
        <v>$ 000s</v>
      </c>
      <c r="H38" s="61">
        <f> H$36</f>
        <v>0.0</v>
      </c>
      <c r="I38" s="61">
        <f> I$36</f>
        <v>0.0</v>
      </c>
      <c r="J38" s="61">
        <f> J$36</f>
        <v>0.0</v>
      </c>
      <c r="K38" s="61">
        <f> K$36</f>
        <v>-40000.0</v>
      </c>
      <c r="L38" s="61">
        <f> L$36</f>
        <v>1987.2314061138156</v>
      </c>
      <c r="M38" s="61">
        <f> M$36</f>
        <v>1624.1421699855264</v>
      </c>
      <c r="N38" s="61">
        <f> N$36</f>
        <v>1837.5803817222056</v>
      </c>
      <c r="O38" s="61">
        <f> O$36</f>
        <v>1521.0320007984037</v>
      </c>
      <c r="P38" s="61">
        <f> P$36</f>
        <v>1744.7512806880604</v>
      </c>
      <c r="Q38" s="61">
        <f> Q$36</f>
        <v>1465.0870169710354</v>
      </c>
      <c r="R38" s="61">
        <f> R$36</f>
        <v>1648.9196896466585</v>
      </c>
      <c r="S38" s="61">
        <f> S$36</f>
        <v>1393.834191219248</v>
      </c>
      <c r="T38" s="61">
        <f> T$36</f>
        <v>1651.1003871033872</v>
      </c>
      <c r="U38" s="61">
        <f> U$36</f>
        <v>1399.5042671863825</v>
      </c>
      <c r="V38" s="61">
        <f> V$36</f>
        <v>1545.0184971764747</v>
      </c>
      <c r="W38" s="61">
        <f> W$36</f>
        <v>1312.6789262856062</v>
      </c>
      <c r="X38" s="61">
        <f> X$36</f>
        <v>1430.3337705913507</v>
      </c>
      <c r="Y38" s="61">
        <f> Y$36</f>
        <v>1210.8664208274959</v>
      </c>
      <c r="Z38" s="61">
        <f> Z$36</f>
        <v>1323.3037294703838</v>
      </c>
      <c r="AA38" s="61">
        <f> AA$36</f>
        <v>1124.3494661834368</v>
      </c>
      <c r="AB38" s="61">
        <f> AB$36</f>
        <v>1211.194335346595</v>
      </c>
      <c r="AC38" s="61">
        <f> AC$36</f>
        <v>1028.9807916725626</v>
      </c>
      <c r="AD38" s="61">
        <f> AD$36</f>
        <v>1282.4412506771</v>
      </c>
      <c r="AE38" s="61">
        <f> AE$36</f>
        <v>1100.6599772298641</v>
      </c>
      <c r="AF38" s="61">
        <f> AF$36</f>
        <v>1176.5118110287426</v>
      </c>
      <c r="AG38" s="61">
        <f> AG$36</f>
        <v>1010.3844601958268</v>
      </c>
      <c r="AH38" s="61">
        <f> AH$36</f>
        <v>1084.2697976239783</v>
      </c>
      <c r="AI38" s="61">
        <f> AI$36</f>
        <v>932.9648207943462</v>
      </c>
      <c r="AJ38" s="61">
        <f> AJ$36</f>
        <v>996.4953064282763</v>
      </c>
      <c r="AK38" s="61">
        <f> AK$36</f>
        <v>858.972613931671</v>
      </c>
      <c r="AL38" s="61">
        <f> AL$36</f>
        <v>918.2063121590172</v>
      </c>
      <c r="AM38" s="61">
        <f> AM$36</f>
        <v>891.2068271183347</v>
      </c>
      <c r="AN38" s="61">
        <f> AN$36</f>
        <v>953.5498072864054</v>
      </c>
      <c r="AO38" s="61">
        <f> AO$36</f>
        <v>828.3427900589045</v>
      </c>
      <c r="AP38" s="61">
        <f> AP$36</f>
        <v>875.907548889425</v>
      </c>
      <c r="AQ38" s="61">
        <f> AQ$36</f>
        <v>655.9998474127729</v>
      </c>
      <c r="AR38" s="61">
        <f> AR$36</f>
        <v>733.5019815618318</v>
      </c>
      <c r="AS38" s="61">
        <f> AS$36</f>
        <v>863.2135184863099</v>
      </c>
      <c r="AT38" s="61">
        <f> AT$36</f>
        <v>735.9297956411084</v>
      </c>
      <c r="AU38" s="61">
        <f> AU$36</f>
        <v>637.8318205774999</v>
      </c>
      <c r="AV38" s="61">
        <f> AV$36</f>
        <v>676.6021707612588</v>
      </c>
      <c r="AW38" s="61">
        <f> AW$36</f>
        <v>587.4800041216308</v>
      </c>
      <c r="AX38" s="61">
        <f> AX$36</f>
        <v>684.9662036409684</v>
      </c>
      <c r="AY38" s="61">
        <f> AY$36</f>
        <v>597.2349687976639</v>
      </c>
      <c r="AZ38" s="61">
        <f> AZ$36</f>
        <v>626.3478785446283</v>
      </c>
      <c r="BA38" s="61">
        <f> BA$36</f>
        <v>546.8544641941032</v>
      </c>
      <c r="BB38" s="61">
        <f> BB$36</f>
        <v>569.4786753645727</v>
      </c>
      <c r="BC38" s="61">
        <f> BC$36</f>
        <v>497.01609633849006</v>
      </c>
      <c r="BD38" s="61">
        <f> BD$36</f>
        <v>519.4545061756015</v>
      </c>
      <c r="BE38" s="61">
        <f> BE$36</f>
        <v>453.84392125381464</v>
      </c>
      <c r="BF38" s="61">
        <f> BF$36</f>
        <v>472.2209274857865</v>
      </c>
      <c r="BG38" s="61">
        <f> BG$36</f>
        <v>412.4153944845701</v>
      </c>
      <c r="BH38" s="61">
        <f> BH$36</f>
        <v>395.8364211805996</v>
      </c>
      <c r="BI38" s="61">
        <f> BI$36</f>
        <v>411.73838144911775</v>
      </c>
      <c r="BJ38" s="61">
        <f> BJ$36</f>
        <v>359.86132359679925</v>
      </c>
      <c r="BK38" s="61">
        <f> BK$36</f>
        <v>373.99135502739784</v>
      </c>
      <c r="BL38" s="61">
        <f> BL$36</f>
        <v>329.11186214747045</v>
      </c>
      <c r="BM38" s="61">
        <f> BM$36</f>
        <v>341.9927622395337</v>
      </c>
      <c r="BN38" s="61">
        <f> BN$36</f>
        <v>299.14395501840005</v>
      </c>
      <c r="BO38" s="61">
        <f> BO$36</f>
        <v>310.58676715939447</v>
      </c>
      <c r="BP38" s="61">
        <f> BP$36</f>
        <v>271.8925231839881</v>
      </c>
      <c r="BQ38" s="61">
        <f> BQ$36</f>
        <v>259.2880327041439</v>
      </c>
      <c r="BR38" s="61">
        <f> BR$36</f>
        <v>269.1130616758526</v>
      </c>
      <c r="BS38" s="61">
        <f> BS$36</f>
        <v>235.50647647046995</v>
      </c>
      <c r="BT38" s="61">
        <f> BT$36</f>
        <v>282.2693317036428</v>
      </c>
      <c r="BU38" s="61">
        <f> BU$36</f>
        <v>249.83348726267806</v>
      </c>
      <c r="BV38" s="61">
        <f> BV$36</f>
        <v>255.8936435189869</v>
      </c>
      <c r="BW38" s="61">
        <f> BW$36</f>
        <v>243.56981002582717</v>
      </c>
      <c r="BX38" s="61">
        <f> BX$36</f>
        <v>232.12567796786587</v>
      </c>
      <c r="BY38" s="61">
        <f> BY$36</f>
        <v>221.08283692011275</v>
      </c>
      <c r="BZ38" s="61">
        <f> BZ$36</f>
        <v>210.43549127709102</v>
      </c>
      <c r="CA38" s="61">
        <f> CA$36</f>
        <v>200.30092161804555</v>
      </c>
      <c r="CB38" s="61">
        <f> CB$36</f>
        <v>190.88977908734677</v>
      </c>
      <c r="CC38" s="61">
        <f> CC$36</f>
        <v>181.80864034148988</v>
      </c>
      <c r="CD38" s="61">
        <f> CD$36</f>
        <v>173.05273933365567</v>
      </c>
      <c r="CE38" s="61">
        <f> CE$36</f>
        <v>164.71852236853235</v>
      </c>
      <c r="CF38" s="61">
        <f> CF$36</f>
        <v>156.8824204944938</v>
      </c>
      <c r="CG38" s="61">
        <f> CG$36</f>
        <v>149.4191030025475</v>
      </c>
      <c r="CH38" s="61">
        <f> CH$36</f>
        <v>142.22308155872423</v>
      </c>
      <c r="CI38" s="61">
        <f> CI$36</f>
        <v>135.37362038450118</v>
      </c>
      <c r="CJ38" s="61">
        <f> CJ$36</f>
        <v>129.01308831084117</v>
      </c>
      <c r="CK38" s="61">
        <f> CK$36</f>
        <v>122.8755896947097</v>
      </c>
      <c r="CL38" s="61">
        <f> CL$36</f>
        <v>116.9579033975936</v>
      </c>
      <c r="CM38" s="61">
        <f> CM$36</f>
        <v>533.0671902036362</v>
      </c>
      <c r="CN38" s="61">
        <f> CN$36</f>
        <v>18.917282909452904</v>
      </c>
      <c r="CO38" s="61">
        <f> CO$36</f>
        <v>0.0</v>
      </c>
    </row>
    <row r="39">
      <c r="E39" s="260" t="inlineStr">
        <is>
          <t>NPV of shareholder cashflow</t>
        </is>
      </c>
      <c r="F39" s="260">
        <f>SUM(J38:CO38)</f>
        <v>17608.98731048808</v>
      </c>
      <c r="G39" s="260" t="str">
        <f>SMU</f>
        <v>$ 000s</v>
      </c>
    </row>
    <row r="42">
      <c r="A42" s="294" t="inlineStr">
        <is>
          <t>Shareholder internal rate of return</t>
        </is>
      </c>
    </row>
    <row r="43">
      <c r="E43" s="61" t="str">
        <f> E$31</f>
        <v>Shareholder cashflows</v>
      </c>
      <c r="F43" s="61">
        <f> F$31</f>
        <v>0.0</v>
      </c>
      <c r="G43" s="61" t="str">
        <f> G$31</f>
        <v>$ 000s</v>
      </c>
      <c r="H43" s="61">
        <f> H$31</f>
        <v>464032.94057809055</v>
      </c>
      <c r="I43" s="61">
        <f> I$31</f>
        <v>0.0</v>
      </c>
      <c r="J43" s="61">
        <f> J$31</f>
        <v>0.0</v>
      </c>
      <c r="K43" s="61">
        <f> K$31</f>
        <v>-40000.0</v>
      </c>
      <c r="L43" s="61">
        <f> L$31</f>
        <v>2100.6709056988466</v>
      </c>
      <c r="M43" s="61">
        <f> M$31</f>
        <v>1815.9800941136655</v>
      </c>
      <c r="N43" s="61">
        <f> N$31</f>
        <v>2174.5967436970222</v>
      </c>
      <c r="O43" s="61">
        <f> O$31</f>
        <v>1905.0925810000006</v>
      </c>
      <c r="P43" s="61">
        <f> P$31</f>
        <v>2310.0471202231984</v>
      </c>
      <c r="Q43" s="61">
        <f> Q$31</f>
        <v>2051.7677315661467</v>
      </c>
      <c r="R43" s="61">
        <f> R$31</f>
        <v>2444.047410276859</v>
      </c>
      <c r="S43" s="61">
        <f> S$31</f>
        <v>2186.58609893889</v>
      </c>
      <c r="T43" s="61">
        <f> T$31</f>
        <v>2739.7214559269796</v>
      </c>
      <c r="U43" s="61">
        <f> U$31</f>
        <v>2456.318172364562</v>
      </c>
      <c r="V43" s="61">
        <f> V$31</f>
        <v>2870.0497454789092</v>
      </c>
      <c r="W43" s="61">
        <f> W$31</f>
        <v>2580.8312038631084</v>
      </c>
      <c r="X43" s="61">
        <f> X$31</f>
        <v>2972.679298709598</v>
      </c>
      <c r="Y43" s="61">
        <f> Y$31</f>
        <v>2661.854817137978</v>
      </c>
      <c r="Z43" s="61">
        <f> Z$31</f>
        <v>3078.881769034094</v>
      </c>
      <c r="AA43" s="61">
        <f> AA$31</f>
        <v>2768.7270288678883</v>
      </c>
      <c r="AB43" s="61">
        <f> AB$31</f>
        <v>3152.842177670883</v>
      </c>
      <c r="AC43" s="61">
        <f> AC$31</f>
        <v>2833.173239429893</v>
      </c>
      <c r="AD43" s="61">
        <f> AD$31</f>
        <v>3737.2202129699026</v>
      </c>
      <c r="AE43" s="61">
        <f> AE$31</f>
        <v>3394.7651224618876</v>
      </c>
      <c r="AF43" s="61">
        <f> AF$31</f>
        <v>3835.8571618035007</v>
      </c>
      <c r="AG43" s="61">
        <f> AG$31</f>
        <v>3484.418059360265</v>
      </c>
      <c r="AH43" s="61">
        <f> AH$31</f>
        <v>3957.549041581221</v>
      </c>
      <c r="AI43" s="61">
        <f> AI$31</f>
        <v>3604.122631691296</v>
      </c>
      <c r="AJ43" s="61">
        <f> AJ$31</f>
        <v>4071.805376657603</v>
      </c>
      <c r="AK43" s="61">
        <f> AK$31</f>
        <v>3712.517712252178</v>
      </c>
      <c r="AL43" s="61">
        <f> AL$31</f>
        <v>4200.24706838421</v>
      </c>
      <c r="AM43" s="61">
        <f> AM$31</f>
        <v>4314.777595121459</v>
      </c>
      <c r="AN43" s="61">
        <f> AN$31</f>
        <v>4880.146631884893</v>
      </c>
      <c r="AO43" s="61">
        <f> AO$31</f>
        <v>4484.118155359209</v>
      </c>
      <c r="AP43" s="61">
        <f> AP$31</f>
        <v>5018.461158744443</v>
      </c>
      <c r="AQ43" s="61">
        <f> AQ$31</f>
        <v>3977.9688965106834</v>
      </c>
      <c r="AR43" s="61">
        <f> AR$31</f>
        <v>4701.8472342003215</v>
      </c>
      <c r="AS43" s="61">
        <f> AS$31</f>
        <v>5852.78968979218</v>
      </c>
      <c r="AT43" s="61">
        <f> AT$31</f>
        <v>5281.124660173442</v>
      </c>
      <c r="AU43" s="61">
        <f> AU$31</f>
        <v>4844.417463997683</v>
      </c>
      <c r="AV43" s="61">
        <f> AV$31</f>
        <v>5432.232436766679</v>
      </c>
      <c r="AW43" s="61">
        <f> AW$31</f>
        <v>4989.023038798356</v>
      </c>
      <c r="AX43" s="61">
        <f> AX$31</f>
        <v>6156.542911295906</v>
      </c>
      <c r="AY43" s="61">
        <f> AY$31</f>
        <v>5681.438920205088</v>
      </c>
      <c r="AZ43" s="61">
        <f> AZ$31</f>
        <v>6302.403246524402</v>
      </c>
      <c r="BA43" s="61">
        <f> BA$31</f>
        <v>5820.225357752074</v>
      </c>
      <c r="BB43" s="61">
        <f> BB$31</f>
        <v>6414.91419863478</v>
      </c>
      <c r="BC43" s="61">
        <f> BC$31</f>
        <v>5925.557087811238</v>
      </c>
      <c r="BD43" s="61">
        <f> BD$31</f>
        <v>6546.600343920132</v>
      </c>
      <c r="BE43" s="61">
        <f> BE$31</f>
        <v>6049.957118484637</v>
      </c>
      <c r="BF43" s="61">
        <f> BF$31</f>
        <v>6662.486624593822</v>
      </c>
      <c r="BG43" s="61">
        <f> BG$31</f>
        <v>6158.448800445573</v>
      </c>
      <c r="BH43" s="61">
        <f> BH$31</f>
        <v>6248.298902669767</v>
      </c>
      <c r="BI43" s="61">
        <f> BI$31</f>
        <v>6874.559275823</v>
      </c>
      <c r="BJ43" s="61">
        <f> BJ$31</f>
        <v>6359.222606019929</v>
      </c>
      <c r="BK43" s="61">
        <f> BK$31</f>
        <v>6994.807467884564</v>
      </c>
      <c r="BL43" s="61">
        <f> BL$31</f>
        <v>6506.797869749857</v>
      </c>
      <c r="BM43" s="61">
        <f> BM$31</f>
        <v>7151.846054097686</v>
      </c>
      <c r="BN43" s="61">
        <f> BN$31</f>
        <v>6621.049284200526</v>
      </c>
      <c r="BO43" s="61">
        <f> BO$31</f>
        <v>7275.7016919211</v>
      </c>
      <c r="BP43" s="61">
        <f> BP$31</f>
        <v>6737.001805842351</v>
      </c>
      <c r="BQ43" s="61">
        <f> BQ$31</f>
        <v>6795.623882210353</v>
      </c>
      <c r="BR43" s="61">
        <f> BR$31</f>
        <v>7464.951411832526</v>
      </c>
      <c r="BS43" s="61">
        <f> BS$31</f>
        <v>6914.175672364481</v>
      </c>
      <c r="BT43" s="61">
        <f> BT$31</f>
        <v>8760.135590997796</v>
      </c>
      <c r="BU43" s="61">
        <f> BU$31</f>
        <v>8201.159265343329</v>
      </c>
      <c r="BV43" s="61">
        <f> BV$31</f>
        <v>8890.566620854164</v>
      </c>
      <c r="BW43" s="61">
        <f> BW$31</f>
        <v>8956.508591625756</v>
      </c>
      <c r="BX43" s="61">
        <f> BX$31</f>
        <v>9022.939658727726</v>
      </c>
      <c r="BY43" s="61">
        <f> BY$31</f>
        <v>9089.863449822662</v>
      </c>
      <c r="BZ43" s="61">
        <f> BZ$31</f>
        <v>9157.283619479786</v>
      </c>
      <c r="CA43" s="61">
        <f> CA$31</f>
        <v>9225.20384937453</v>
      </c>
      <c r="CB43" s="61">
        <f> CB$31</f>
        <v>9293.627848489556</v>
      </c>
      <c r="CC43" s="61">
        <f> CC$31</f>
        <v>9362.559353317338</v>
      </c>
      <c r="CD43" s="61">
        <f> CD$31</f>
        <v>9432.002128064178</v>
      </c>
      <c r="CE43" s="61">
        <f> CE$31</f>
        <v>9501.959964855758</v>
      </c>
      <c r="CF43" s="61">
        <f> CF$31</f>
        <v>9572.436683944241</v>
      </c>
      <c r="CG43" s="61">
        <f> CG$31</f>
        <v>9643.436133916857</v>
      </c>
      <c r="CH43" s="61">
        <f> CH$31</f>
        <v>9714.962191906101</v>
      </c>
      <c r="CI43" s="61">
        <f> CI$31</f>
        <v>9787.018763801429</v>
      </c>
      <c r="CJ43" s="61">
        <f> CJ$31</f>
        <v>9859.609784462564</v>
      </c>
      <c r="CK43" s="61">
        <f> CK$31</f>
        <v>9932.739217934362</v>
      </c>
      <c r="CL43" s="61">
        <f> CL$31</f>
        <v>10006.411057663285</v>
      </c>
      <c r="CM43" s="61">
        <f> CM$31</f>
        <v>48269.8628361624</v>
      </c>
      <c r="CN43" s="61">
        <f> CN$31</f>
        <v>1810.7664905530619</v>
      </c>
      <c r="CO43" s="61">
        <f> CO$31</f>
        <v>0.0</v>
      </c>
    </row>
    <row r="44">
      <c r="E44" s="325" t="str">
        <f> Time!E$14</f>
        <v>First model column flag</v>
      </c>
      <c r="F44" s="325">
        <f> Time!F$14</f>
        <v>0.0</v>
      </c>
      <c r="G44" s="325" t="str">
        <f> Time!G$14</f>
        <v>flag</v>
      </c>
      <c r="H44" s="325">
        <f> Time!H$14</f>
        <v>1.0</v>
      </c>
      <c r="I44" s="325">
        <f> Time!I$14</f>
        <v>0.0</v>
      </c>
      <c r="J44" s="325">
        <f> Time!J$14</f>
        <v>1.0</v>
      </c>
      <c r="K44" s="325">
        <f> Time!K$14</f>
        <v>0.0</v>
      </c>
      <c r="L44" s="325">
        <f> Time!L$14</f>
        <v>0.0</v>
      </c>
      <c r="M44" s="325">
        <f> Time!M$14</f>
        <v>0.0</v>
      </c>
      <c r="N44" s="325">
        <f> Time!N$14</f>
        <v>0.0</v>
      </c>
      <c r="O44" s="325">
        <f> Time!O$14</f>
        <v>0.0</v>
      </c>
      <c r="P44" s="325">
        <f> Time!P$14</f>
        <v>0.0</v>
      </c>
      <c r="Q44" s="325">
        <f> Time!Q$14</f>
        <v>0.0</v>
      </c>
      <c r="R44" s="325">
        <f> Time!R$14</f>
        <v>0.0</v>
      </c>
      <c r="S44" s="325">
        <f> Time!S$14</f>
        <v>0.0</v>
      </c>
      <c r="T44" s="325">
        <f> Time!T$14</f>
        <v>0.0</v>
      </c>
      <c r="U44" s="325">
        <f> Time!U$14</f>
        <v>0.0</v>
      </c>
      <c r="V44" s="325">
        <f> Time!V$14</f>
        <v>0.0</v>
      </c>
      <c r="W44" s="325">
        <f> Time!W$14</f>
        <v>0.0</v>
      </c>
      <c r="X44" s="325">
        <f> Time!X$14</f>
        <v>0.0</v>
      </c>
      <c r="Y44" s="325">
        <f> Time!Y$14</f>
        <v>0.0</v>
      </c>
      <c r="Z44" s="325">
        <f> Time!Z$14</f>
        <v>0.0</v>
      </c>
      <c r="AA44" s="325">
        <f> Time!AA$14</f>
        <v>0.0</v>
      </c>
      <c r="AB44" s="325">
        <f> Time!AB$14</f>
        <v>0.0</v>
      </c>
      <c r="AC44" s="325">
        <f> Time!AC$14</f>
        <v>0.0</v>
      </c>
      <c r="AD44" s="325">
        <f> Time!AD$14</f>
        <v>0.0</v>
      </c>
      <c r="AE44" s="325">
        <f> Time!AE$14</f>
        <v>0.0</v>
      </c>
      <c r="AF44" s="325">
        <f> Time!AF$14</f>
        <v>0.0</v>
      </c>
      <c r="AG44" s="325">
        <f> Time!AG$14</f>
        <v>0.0</v>
      </c>
      <c r="AH44" s="325">
        <f> Time!AH$14</f>
        <v>0.0</v>
      </c>
      <c r="AI44" s="325">
        <f> Time!AI$14</f>
        <v>0.0</v>
      </c>
      <c r="AJ44" s="325">
        <f> Time!AJ$14</f>
        <v>0.0</v>
      </c>
      <c r="AK44" s="325">
        <f> Time!AK$14</f>
        <v>0.0</v>
      </c>
      <c r="AL44" s="325">
        <f> Time!AL$14</f>
        <v>0.0</v>
      </c>
      <c r="AM44" s="325">
        <f> Time!AM$14</f>
        <v>0.0</v>
      </c>
      <c r="AN44" s="325">
        <f> Time!AN$14</f>
        <v>0.0</v>
      </c>
      <c r="AO44" s="325">
        <f> Time!AO$14</f>
        <v>0.0</v>
      </c>
      <c r="AP44" s="325">
        <f> Time!AP$14</f>
        <v>0.0</v>
      </c>
      <c r="AQ44" s="325">
        <f> Time!AQ$14</f>
        <v>0.0</v>
      </c>
      <c r="AR44" s="325">
        <f> Time!AR$14</f>
        <v>0.0</v>
      </c>
      <c r="AS44" s="325">
        <f> Time!AS$14</f>
        <v>0.0</v>
      </c>
      <c r="AT44" s="325">
        <f> Time!AT$14</f>
        <v>0.0</v>
      </c>
      <c r="AU44" s="325">
        <f> Time!AU$14</f>
        <v>0.0</v>
      </c>
      <c r="AV44" s="325">
        <f> Time!AV$14</f>
        <v>0.0</v>
      </c>
      <c r="AW44" s="325">
        <f> Time!AW$14</f>
        <v>0.0</v>
      </c>
      <c r="AX44" s="325">
        <f> Time!AX$14</f>
        <v>0.0</v>
      </c>
      <c r="AY44" s="325">
        <f> Time!AY$14</f>
        <v>0.0</v>
      </c>
      <c r="AZ44" s="325">
        <f> Time!AZ$14</f>
        <v>0.0</v>
      </c>
      <c r="BA44" s="325">
        <f> Time!BA$14</f>
        <v>0.0</v>
      </c>
      <c r="BB44" s="325">
        <f> Time!BB$14</f>
        <v>0.0</v>
      </c>
      <c r="BC44" s="325">
        <f> Time!BC$14</f>
        <v>0.0</v>
      </c>
      <c r="BD44" s="325">
        <f> Time!BD$14</f>
        <v>0.0</v>
      </c>
      <c r="BE44" s="325">
        <f> Time!BE$14</f>
        <v>0.0</v>
      </c>
      <c r="BF44" s="325">
        <f> Time!BF$14</f>
        <v>0.0</v>
      </c>
      <c r="BG44" s="325">
        <f> Time!BG$14</f>
        <v>0.0</v>
      </c>
      <c r="BH44" s="325">
        <f> Time!BH$14</f>
        <v>0.0</v>
      </c>
      <c r="BI44" s="325">
        <f> Time!BI$14</f>
        <v>0.0</v>
      </c>
      <c r="BJ44" s="325">
        <f> Time!BJ$14</f>
        <v>0.0</v>
      </c>
      <c r="BK44" s="325">
        <f> Time!BK$14</f>
        <v>0.0</v>
      </c>
      <c r="BL44" s="325">
        <f> Time!BL$14</f>
        <v>0.0</v>
      </c>
      <c r="BM44" s="325">
        <f> Time!BM$14</f>
        <v>0.0</v>
      </c>
      <c r="BN44" s="325">
        <f> Time!BN$14</f>
        <v>0.0</v>
      </c>
      <c r="BO44" s="325">
        <f> Time!BO$14</f>
        <v>0.0</v>
      </c>
      <c r="BP44" s="325">
        <f> Time!BP$14</f>
        <v>0.0</v>
      </c>
      <c r="BQ44" s="325">
        <f> Time!BQ$14</f>
        <v>0.0</v>
      </c>
      <c r="BR44" s="325">
        <f> Time!BR$14</f>
        <v>0.0</v>
      </c>
      <c r="BS44" s="325">
        <f> Time!BS$14</f>
        <v>0.0</v>
      </c>
      <c r="BT44" s="325">
        <f> Time!BT$14</f>
        <v>0.0</v>
      </c>
      <c r="BU44" s="325">
        <f> Time!BU$14</f>
        <v>0.0</v>
      </c>
      <c r="BV44" s="325">
        <f> Time!BV$14</f>
        <v>0.0</v>
      </c>
      <c r="BW44" s="325">
        <f> Time!BW$14</f>
        <v>0.0</v>
      </c>
      <c r="BX44" s="325">
        <f> Time!BX$14</f>
        <v>0.0</v>
      </c>
      <c r="BY44" s="325">
        <f> Time!BY$14</f>
        <v>0.0</v>
      </c>
      <c r="BZ44" s="325">
        <f> Time!BZ$14</f>
        <v>0.0</v>
      </c>
      <c r="CA44" s="325">
        <f> Time!CA$14</f>
        <v>0.0</v>
      </c>
      <c r="CB44" s="325">
        <f> Time!CB$14</f>
        <v>0.0</v>
      </c>
      <c r="CC44" s="325">
        <f> Time!CC$14</f>
        <v>0.0</v>
      </c>
      <c r="CD44" s="325">
        <f> Time!CD$14</f>
        <v>0.0</v>
      </c>
      <c r="CE44" s="325">
        <f> Time!CE$14</f>
        <v>0.0</v>
      </c>
      <c r="CF44" s="325">
        <f> Time!CF$14</f>
        <v>0.0</v>
      </c>
      <c r="CG44" s="325">
        <f> Time!CG$14</f>
        <v>0.0</v>
      </c>
      <c r="CH44" s="325">
        <f> Time!CH$14</f>
        <v>0.0</v>
      </c>
      <c r="CI44" s="325">
        <f> Time!CI$14</f>
        <v>0.0</v>
      </c>
      <c r="CJ44" s="325">
        <f> Time!CJ$14</f>
        <v>0.0</v>
      </c>
      <c r="CK44" s="325">
        <f> Time!CK$14</f>
        <v>0.0</v>
      </c>
      <c r="CL44" s="325">
        <f> Time!CL$14</f>
        <v>0.0</v>
      </c>
      <c r="CM44" s="325">
        <f> Time!CM$14</f>
        <v>0.0</v>
      </c>
      <c r="CN44" s="325">
        <f> Time!CN$14</f>
        <v>0.0</v>
      </c>
      <c r="CO44" s="325">
        <f> Time!CO$14</f>
        <v>0.0</v>
      </c>
    </row>
    <row r="45">
      <c r="E45" s="61" t="inlineStr">
        <is>
          <t>Shareholder cashflow for XIRR</t>
        </is>
      </c>
      <c r="G45" s="61" t="str">
        <f>SMU</f>
        <v>$ 000s</v>
      </c>
      <c r="J45" s="61">
        <f> IF(AND(J43 = 0, J44 = 1), -1 *0.001, J43)</f>
        <v>-0.001</v>
      </c>
      <c r="K45" s="61">
        <f> IF(AND(K43 = 0, K44 = 1), -1 *0.001, K43)</f>
        <v>-40000.0</v>
      </c>
      <c r="L45" s="61">
        <f> IF(AND(L43 = 0, L44 = 1), -1 *0.001, L43)</f>
        <v>2100.6709056988466</v>
      </c>
      <c r="M45" s="61">
        <f> IF(AND(M43 = 0, M44 = 1), -1 *0.001, M43)</f>
        <v>1815.9800941136655</v>
      </c>
      <c r="N45" s="61">
        <f> IF(AND(N43 = 0, N44 = 1), -1 *0.001, N43)</f>
        <v>2174.5967436970222</v>
      </c>
      <c r="O45" s="61">
        <f> IF(AND(O43 = 0, O44 = 1), -1 *0.001, O43)</f>
        <v>1905.0925810000006</v>
      </c>
      <c r="P45" s="61">
        <f> IF(AND(P43 = 0, P44 = 1), -1 *0.001, P43)</f>
        <v>2310.0471202231984</v>
      </c>
      <c r="Q45" s="61">
        <f> IF(AND(Q43 = 0, Q44 = 1), -1 *0.001, Q43)</f>
        <v>2051.7677315661467</v>
      </c>
      <c r="R45" s="61">
        <f> IF(AND(R43 = 0, R44 = 1), -1 *0.001, R43)</f>
        <v>2444.047410276859</v>
      </c>
      <c r="S45" s="61">
        <f> IF(AND(S43 = 0, S44 = 1), -1 *0.001, S43)</f>
        <v>2186.58609893889</v>
      </c>
      <c r="T45" s="61">
        <f> IF(AND(T43 = 0, T44 = 1), -1 *0.001, T43)</f>
        <v>2739.7214559269796</v>
      </c>
      <c r="U45" s="61">
        <f> IF(AND(U43 = 0, U44 = 1), -1 *0.001, U43)</f>
        <v>2456.318172364562</v>
      </c>
      <c r="V45" s="61">
        <f> IF(AND(V43 = 0, V44 = 1), -1 *0.001, V43)</f>
        <v>2870.0497454789092</v>
      </c>
      <c r="W45" s="61">
        <f> IF(AND(W43 = 0, W44 = 1), -1 *0.001, W43)</f>
        <v>2580.8312038631084</v>
      </c>
      <c r="X45" s="61">
        <f> IF(AND(X43 = 0, X44 = 1), -1 *0.001, X43)</f>
        <v>2972.679298709598</v>
      </c>
      <c r="Y45" s="61">
        <f> IF(AND(Y43 = 0, Y44 = 1), -1 *0.001, Y43)</f>
        <v>2661.854817137978</v>
      </c>
      <c r="Z45" s="61">
        <f> IF(AND(Z43 = 0, Z44 = 1), -1 *0.001, Z43)</f>
        <v>3078.881769034094</v>
      </c>
      <c r="AA45" s="61">
        <f> IF(AND(AA43 = 0, AA44 = 1), -1 *0.001, AA43)</f>
        <v>2768.7270288678883</v>
      </c>
      <c r="AB45" s="61">
        <f> IF(AND(AB43 = 0, AB44 = 1), -1 *0.001, AB43)</f>
        <v>3152.842177670883</v>
      </c>
      <c r="AC45" s="61">
        <f> IF(AND(AC43 = 0, AC44 = 1), -1 *0.001, AC43)</f>
        <v>2833.173239429893</v>
      </c>
      <c r="AD45" s="61">
        <f> IF(AND(AD43 = 0, AD44 = 1), -1 *0.001, AD43)</f>
        <v>3737.2202129699026</v>
      </c>
      <c r="AE45" s="61">
        <f> IF(AND(AE43 = 0, AE44 = 1), -1 *0.001, AE43)</f>
        <v>3394.7651224618876</v>
      </c>
      <c r="AF45" s="61">
        <f> IF(AND(AF43 = 0, AF44 = 1), -1 *0.001, AF43)</f>
        <v>3835.8571618035007</v>
      </c>
      <c r="AG45" s="61">
        <f> IF(AND(AG43 = 0, AG44 = 1), -1 *0.001, AG43)</f>
        <v>3484.418059360265</v>
      </c>
      <c r="AH45" s="61">
        <f> IF(AND(AH43 = 0, AH44 = 1), -1 *0.001, AH43)</f>
        <v>3957.549041581221</v>
      </c>
      <c r="AI45" s="61">
        <f> IF(AND(AI43 = 0, AI44 = 1), -1 *0.001, AI43)</f>
        <v>3604.122631691296</v>
      </c>
      <c r="AJ45" s="61">
        <f> IF(AND(AJ43 = 0, AJ44 = 1), -1 *0.001, AJ43)</f>
        <v>4071.805376657603</v>
      </c>
      <c r="AK45" s="61">
        <f> IF(AND(AK43 = 0, AK44 = 1), -1 *0.001, AK43)</f>
        <v>3712.517712252178</v>
      </c>
      <c r="AL45" s="61">
        <f> IF(AND(AL43 = 0, AL44 = 1), -1 *0.001, AL43)</f>
        <v>4200.24706838421</v>
      </c>
      <c r="AM45" s="61">
        <f> IF(AND(AM43 = 0, AM44 = 1), -1 *0.001, AM43)</f>
        <v>4314.777595121459</v>
      </c>
      <c r="AN45" s="61">
        <f> IF(AND(AN43 = 0, AN44 = 1), -1 *0.001, AN43)</f>
        <v>4880.146631884893</v>
      </c>
      <c r="AO45" s="61">
        <f> IF(AND(AO43 = 0, AO44 = 1), -1 *0.001, AO43)</f>
        <v>4484.118155359209</v>
      </c>
      <c r="AP45" s="61">
        <f> IF(AND(AP43 = 0, AP44 = 1), -1 *0.001, AP43)</f>
        <v>5018.461158744443</v>
      </c>
      <c r="AQ45" s="61">
        <f> IF(AND(AQ43 = 0, AQ44 = 1), -1 *0.001, AQ43)</f>
        <v>3977.9688965106834</v>
      </c>
      <c r="AR45" s="61">
        <f> IF(AND(AR43 = 0, AR44 = 1), -1 *0.001, AR43)</f>
        <v>4701.8472342003215</v>
      </c>
      <c r="AS45" s="61">
        <f> IF(AND(AS43 = 0, AS44 = 1), -1 *0.001, AS43)</f>
        <v>5852.78968979218</v>
      </c>
      <c r="AT45" s="61">
        <f> IF(AND(AT43 = 0, AT44 = 1), -1 *0.001, AT43)</f>
        <v>5281.124660173442</v>
      </c>
      <c r="AU45" s="61">
        <f> IF(AND(AU43 = 0, AU44 = 1), -1 *0.001, AU43)</f>
        <v>4844.417463997683</v>
      </c>
      <c r="AV45" s="61">
        <f> IF(AND(AV43 = 0, AV44 = 1), -1 *0.001, AV43)</f>
        <v>5432.232436766679</v>
      </c>
      <c r="AW45" s="61">
        <f> IF(AND(AW43 = 0, AW44 = 1), -1 *0.001, AW43)</f>
        <v>4989.023038798356</v>
      </c>
      <c r="AX45" s="61">
        <f> IF(AND(AX43 = 0, AX44 = 1), -1 *0.001, AX43)</f>
        <v>6156.542911295906</v>
      </c>
      <c r="AY45" s="61">
        <f> IF(AND(AY43 = 0, AY44 = 1), -1 *0.001, AY43)</f>
        <v>5681.438920205088</v>
      </c>
      <c r="AZ45" s="61">
        <f> IF(AND(AZ43 = 0, AZ44 = 1), -1 *0.001, AZ43)</f>
        <v>6302.403246524402</v>
      </c>
      <c r="BA45" s="61">
        <f> IF(AND(BA43 = 0, BA44 = 1), -1 *0.001, BA43)</f>
        <v>5820.225357752074</v>
      </c>
      <c r="BB45" s="61">
        <f> IF(AND(BB43 = 0, BB44 = 1), -1 *0.001, BB43)</f>
        <v>6414.91419863478</v>
      </c>
      <c r="BC45" s="61">
        <f> IF(AND(BC43 = 0, BC44 = 1), -1 *0.001, BC43)</f>
        <v>5925.557087811238</v>
      </c>
      <c r="BD45" s="61">
        <f> IF(AND(BD43 = 0, BD44 = 1), -1 *0.001, BD43)</f>
        <v>6546.600343920132</v>
      </c>
      <c r="BE45" s="61">
        <f> IF(AND(BE43 = 0, BE44 = 1), -1 *0.001, BE43)</f>
        <v>6049.957118484637</v>
      </c>
      <c r="BF45" s="61">
        <f> IF(AND(BF43 = 0, BF44 = 1), -1 *0.001, BF43)</f>
        <v>6662.486624593822</v>
      </c>
      <c r="BG45" s="61">
        <f> IF(AND(BG43 = 0, BG44 = 1), -1 *0.001, BG43)</f>
        <v>6158.448800445573</v>
      </c>
      <c r="BH45" s="61">
        <f> IF(AND(BH43 = 0, BH44 = 1), -1 *0.001, BH43)</f>
        <v>6248.298902669767</v>
      </c>
      <c r="BI45" s="61">
        <f> IF(AND(BI43 = 0, BI44 = 1), -1 *0.001, BI43)</f>
        <v>6874.559275823</v>
      </c>
      <c r="BJ45" s="61">
        <f> IF(AND(BJ43 = 0, BJ44 = 1), -1 *0.001, BJ43)</f>
        <v>6359.222606019929</v>
      </c>
      <c r="BK45" s="61">
        <f> IF(AND(BK43 = 0, BK44 = 1), -1 *0.001, BK43)</f>
        <v>6994.807467884564</v>
      </c>
      <c r="BL45" s="61">
        <f> IF(AND(BL43 = 0, BL44 = 1), -1 *0.001, BL43)</f>
        <v>6506.797869749857</v>
      </c>
      <c r="BM45" s="61">
        <f> IF(AND(BM43 = 0, BM44 = 1), -1 *0.001, BM43)</f>
        <v>7151.846054097686</v>
      </c>
      <c r="BN45" s="61">
        <f> IF(AND(BN43 = 0, BN44 = 1), -1 *0.001, BN43)</f>
        <v>6621.049284200526</v>
      </c>
      <c r="BO45" s="61">
        <f> IF(AND(BO43 = 0, BO44 = 1), -1 *0.001, BO43)</f>
        <v>7275.7016919211</v>
      </c>
      <c r="BP45" s="61">
        <f> IF(AND(BP43 = 0, BP44 = 1), -1 *0.001, BP43)</f>
        <v>6737.001805842351</v>
      </c>
      <c r="BQ45" s="61">
        <f> IF(AND(BQ43 = 0, BQ44 = 1), -1 *0.001, BQ43)</f>
        <v>6795.623882210353</v>
      </c>
      <c r="BR45" s="61">
        <f> IF(AND(BR43 = 0, BR44 = 1), -1 *0.001, BR43)</f>
        <v>7464.951411832526</v>
      </c>
      <c r="BS45" s="61">
        <f> IF(AND(BS43 = 0, BS44 = 1), -1 *0.001, BS43)</f>
        <v>6914.175672364481</v>
      </c>
      <c r="BT45" s="61">
        <f> IF(AND(BT43 = 0, BT44 = 1), -1 *0.001, BT43)</f>
        <v>8760.135590997796</v>
      </c>
      <c r="BU45" s="61">
        <f> IF(AND(BU43 = 0, BU44 = 1), -1 *0.001, BU43)</f>
        <v>8201.159265343329</v>
      </c>
      <c r="BV45" s="61">
        <f> IF(AND(BV43 = 0, BV44 = 1), -1 *0.001, BV43)</f>
        <v>8890.566620854164</v>
      </c>
      <c r="BW45" s="61">
        <f> IF(AND(BW43 = 0, BW44 = 1), -1 *0.001, BW43)</f>
        <v>8956.508591625756</v>
      </c>
      <c r="BX45" s="61">
        <f> IF(AND(BX43 = 0, BX44 = 1), -1 *0.001, BX43)</f>
        <v>9022.939658727726</v>
      </c>
      <c r="BY45" s="61">
        <f> IF(AND(BY43 = 0, BY44 = 1), -1 *0.001, BY43)</f>
        <v>9089.863449822662</v>
      </c>
      <c r="BZ45" s="61">
        <f> IF(AND(BZ43 = 0, BZ44 = 1), -1 *0.001, BZ43)</f>
        <v>9157.283619479786</v>
      </c>
      <c r="CA45" s="61">
        <f> IF(AND(CA43 = 0, CA44 = 1), -1 *0.001, CA43)</f>
        <v>9225.20384937453</v>
      </c>
      <c r="CB45" s="61">
        <f> IF(AND(CB43 = 0, CB44 = 1), -1 *0.001, CB43)</f>
        <v>9293.627848489556</v>
      </c>
      <c r="CC45" s="61">
        <f> IF(AND(CC43 = 0, CC44 = 1), -1 *0.001, CC43)</f>
        <v>9362.559353317338</v>
      </c>
      <c r="CD45" s="61">
        <f> IF(AND(CD43 = 0, CD44 = 1), -1 *0.001, CD43)</f>
        <v>9432.002128064178</v>
      </c>
      <c r="CE45" s="61">
        <f> IF(AND(CE43 = 0, CE44 = 1), -1 *0.001, CE43)</f>
        <v>9501.959964855758</v>
      </c>
      <c r="CF45" s="61">
        <f> IF(AND(CF43 = 0, CF44 = 1), -1 *0.001, CF43)</f>
        <v>9572.436683944241</v>
      </c>
      <c r="CG45" s="61">
        <f> IF(AND(CG43 = 0, CG44 = 1), -1 *0.001, CG43)</f>
        <v>9643.436133916857</v>
      </c>
      <c r="CH45" s="61">
        <f> IF(AND(CH43 = 0, CH44 = 1), -1 *0.001, CH43)</f>
        <v>9714.962191906101</v>
      </c>
      <c r="CI45" s="61">
        <f> IF(AND(CI43 = 0, CI44 = 1), -1 *0.001, CI43)</f>
        <v>9787.018763801429</v>
      </c>
      <c r="CJ45" s="61">
        <f> IF(AND(CJ43 = 0, CJ44 = 1), -1 *0.001, CJ43)</f>
        <v>9859.609784462564</v>
      </c>
      <c r="CK45" s="61">
        <f> IF(AND(CK43 = 0, CK44 = 1), -1 *0.001, CK43)</f>
        <v>9932.739217934362</v>
      </c>
      <c r="CL45" s="61">
        <f> IF(AND(CL43 = 0, CL44 = 1), -1 *0.001, CL43)</f>
        <v>10006.411057663285</v>
      </c>
      <c r="CM45" s="61">
        <f> IF(AND(CM43 = 0, CM44 = 1), -1 *0.001, CM43)</f>
        <v>48269.8628361624</v>
      </c>
      <c r="CN45" s="61">
        <f> IF(AND(CN43 = 0, CN44 = 1), -1 *0.001, CN43)</f>
        <v>1810.7664905530619</v>
      </c>
      <c r="CO45" s="61">
        <f> IF(AND(CO43 = 0, CO44 = 1), -1 *0.001, CO43)</f>
        <v>0.0</v>
      </c>
    </row>
    <row r="47">
      <c r="E47" s="61" t="str">
        <f> E$45</f>
        <v>Shareholder cashflow for XIRR</v>
      </c>
      <c r="F47" s="61">
        <f> F$45</f>
        <v>0.0</v>
      </c>
      <c r="G47" s="61" t="str">
        <f> G$45</f>
        <v>$ 000s</v>
      </c>
      <c r="H47" s="61">
        <f> H$45</f>
        <v>0.0</v>
      </c>
      <c r="I47" s="61">
        <f> I$45</f>
        <v>0.0</v>
      </c>
      <c r="J47" s="61">
        <f> J$45</f>
        <v>-0.001</v>
      </c>
      <c r="K47" s="61">
        <f> K$45</f>
        <v>-40000.0</v>
      </c>
      <c r="L47" s="61">
        <f> L$45</f>
        <v>2100.6709056988466</v>
      </c>
      <c r="M47" s="61">
        <f> M$45</f>
        <v>1815.9800941136655</v>
      </c>
      <c r="N47" s="61">
        <f> N$45</f>
        <v>2174.5967436970222</v>
      </c>
      <c r="O47" s="61">
        <f> O$45</f>
        <v>1905.0925810000006</v>
      </c>
      <c r="P47" s="61">
        <f> P$45</f>
        <v>2310.0471202231984</v>
      </c>
      <c r="Q47" s="61">
        <f> Q$45</f>
        <v>2051.7677315661467</v>
      </c>
      <c r="R47" s="61">
        <f> R$45</f>
        <v>2444.047410276859</v>
      </c>
      <c r="S47" s="61">
        <f> S$45</f>
        <v>2186.58609893889</v>
      </c>
      <c r="T47" s="61">
        <f> T$45</f>
        <v>2739.7214559269796</v>
      </c>
      <c r="U47" s="61">
        <f> U$45</f>
        <v>2456.318172364562</v>
      </c>
      <c r="V47" s="61">
        <f> V$45</f>
        <v>2870.0497454789092</v>
      </c>
      <c r="W47" s="61">
        <f> W$45</f>
        <v>2580.8312038631084</v>
      </c>
      <c r="X47" s="61">
        <f> X$45</f>
        <v>2972.679298709598</v>
      </c>
      <c r="Y47" s="61">
        <f> Y$45</f>
        <v>2661.854817137978</v>
      </c>
      <c r="Z47" s="61">
        <f> Z$45</f>
        <v>3078.881769034094</v>
      </c>
      <c r="AA47" s="61">
        <f> AA$45</f>
        <v>2768.7270288678883</v>
      </c>
      <c r="AB47" s="61">
        <f> AB$45</f>
        <v>3152.842177670883</v>
      </c>
      <c r="AC47" s="61">
        <f> AC$45</f>
        <v>2833.173239429893</v>
      </c>
      <c r="AD47" s="61">
        <f> AD$45</f>
        <v>3737.2202129699026</v>
      </c>
      <c r="AE47" s="61">
        <f> AE$45</f>
        <v>3394.7651224618876</v>
      </c>
      <c r="AF47" s="61">
        <f> AF$45</f>
        <v>3835.8571618035007</v>
      </c>
      <c r="AG47" s="61">
        <f> AG$45</f>
        <v>3484.418059360265</v>
      </c>
      <c r="AH47" s="61">
        <f> AH$45</f>
        <v>3957.549041581221</v>
      </c>
      <c r="AI47" s="61">
        <f> AI$45</f>
        <v>3604.122631691296</v>
      </c>
      <c r="AJ47" s="61">
        <f> AJ$45</f>
        <v>4071.805376657603</v>
      </c>
      <c r="AK47" s="61">
        <f> AK$45</f>
        <v>3712.517712252178</v>
      </c>
      <c r="AL47" s="61">
        <f> AL$45</f>
        <v>4200.24706838421</v>
      </c>
      <c r="AM47" s="61">
        <f> AM$45</f>
        <v>4314.777595121459</v>
      </c>
      <c r="AN47" s="61">
        <f> AN$45</f>
        <v>4880.146631884893</v>
      </c>
      <c r="AO47" s="61">
        <f> AO$45</f>
        <v>4484.118155359209</v>
      </c>
      <c r="AP47" s="61">
        <f> AP$45</f>
        <v>5018.461158744443</v>
      </c>
      <c r="AQ47" s="61">
        <f> AQ$45</f>
        <v>3977.9688965106834</v>
      </c>
      <c r="AR47" s="61">
        <f> AR$45</f>
        <v>4701.8472342003215</v>
      </c>
      <c r="AS47" s="61">
        <f> AS$45</f>
        <v>5852.78968979218</v>
      </c>
      <c r="AT47" s="61">
        <f> AT$45</f>
        <v>5281.124660173442</v>
      </c>
      <c r="AU47" s="61">
        <f> AU$45</f>
        <v>4844.417463997683</v>
      </c>
      <c r="AV47" s="61">
        <f> AV$45</f>
        <v>5432.232436766679</v>
      </c>
      <c r="AW47" s="61">
        <f> AW$45</f>
        <v>4989.023038798356</v>
      </c>
      <c r="AX47" s="61">
        <f> AX$45</f>
        <v>6156.542911295906</v>
      </c>
      <c r="AY47" s="61">
        <f> AY$45</f>
        <v>5681.438920205088</v>
      </c>
      <c r="AZ47" s="61">
        <f> AZ$45</f>
        <v>6302.403246524402</v>
      </c>
      <c r="BA47" s="61">
        <f> BA$45</f>
        <v>5820.225357752074</v>
      </c>
      <c r="BB47" s="61">
        <f> BB$45</f>
        <v>6414.91419863478</v>
      </c>
      <c r="BC47" s="61">
        <f> BC$45</f>
        <v>5925.557087811238</v>
      </c>
      <c r="BD47" s="61">
        <f> BD$45</f>
        <v>6546.600343920132</v>
      </c>
      <c r="BE47" s="61">
        <f> BE$45</f>
        <v>6049.957118484637</v>
      </c>
      <c r="BF47" s="61">
        <f> BF$45</f>
        <v>6662.486624593822</v>
      </c>
      <c r="BG47" s="61">
        <f> BG$45</f>
        <v>6158.448800445573</v>
      </c>
      <c r="BH47" s="61">
        <f> BH$45</f>
        <v>6248.298902669767</v>
      </c>
      <c r="BI47" s="61">
        <f> BI$45</f>
        <v>6874.559275823</v>
      </c>
      <c r="BJ47" s="61">
        <f> BJ$45</f>
        <v>6359.222606019929</v>
      </c>
      <c r="BK47" s="61">
        <f> BK$45</f>
        <v>6994.807467884564</v>
      </c>
      <c r="BL47" s="61">
        <f> BL$45</f>
        <v>6506.797869749857</v>
      </c>
      <c r="BM47" s="61">
        <f> BM$45</f>
        <v>7151.846054097686</v>
      </c>
      <c r="BN47" s="61">
        <f> BN$45</f>
        <v>6621.049284200526</v>
      </c>
      <c r="BO47" s="61">
        <f> BO$45</f>
        <v>7275.7016919211</v>
      </c>
      <c r="BP47" s="61">
        <f> BP$45</f>
        <v>6737.001805842351</v>
      </c>
      <c r="BQ47" s="61">
        <f> BQ$45</f>
        <v>6795.623882210353</v>
      </c>
      <c r="BR47" s="61">
        <f> BR$45</f>
        <v>7464.951411832526</v>
      </c>
      <c r="BS47" s="61">
        <f> BS$45</f>
        <v>6914.175672364481</v>
      </c>
      <c r="BT47" s="61">
        <f> BT$45</f>
        <v>8760.135590997796</v>
      </c>
      <c r="BU47" s="61">
        <f> BU$45</f>
        <v>8201.159265343329</v>
      </c>
      <c r="BV47" s="61">
        <f> BV$45</f>
        <v>8890.566620854164</v>
      </c>
      <c r="BW47" s="61">
        <f> BW$45</f>
        <v>8956.508591625756</v>
      </c>
      <c r="BX47" s="61">
        <f> BX$45</f>
        <v>9022.939658727726</v>
      </c>
      <c r="BY47" s="61">
        <f> BY$45</f>
        <v>9089.863449822662</v>
      </c>
      <c r="BZ47" s="61">
        <f> BZ$45</f>
        <v>9157.283619479786</v>
      </c>
      <c r="CA47" s="61">
        <f> CA$45</f>
        <v>9225.20384937453</v>
      </c>
      <c r="CB47" s="61">
        <f> CB$45</f>
        <v>9293.627848489556</v>
      </c>
      <c r="CC47" s="61">
        <f> CC$45</f>
        <v>9362.559353317338</v>
      </c>
      <c r="CD47" s="61">
        <f> CD$45</f>
        <v>9432.002128064178</v>
      </c>
      <c r="CE47" s="61">
        <f> CE$45</f>
        <v>9501.959964855758</v>
      </c>
      <c r="CF47" s="61">
        <f> CF$45</f>
        <v>9572.436683944241</v>
      </c>
      <c r="CG47" s="61">
        <f> CG$45</f>
        <v>9643.436133916857</v>
      </c>
      <c r="CH47" s="61">
        <f> CH$45</f>
        <v>9714.962191906101</v>
      </c>
      <c r="CI47" s="61">
        <f> CI$45</f>
        <v>9787.018763801429</v>
      </c>
      <c r="CJ47" s="61">
        <f> CJ$45</f>
        <v>9859.609784462564</v>
      </c>
      <c r="CK47" s="61">
        <f> CK$45</f>
        <v>9932.739217934362</v>
      </c>
      <c r="CL47" s="61">
        <f> CL$45</f>
        <v>10006.411057663285</v>
      </c>
      <c r="CM47" s="61">
        <f> CM$45</f>
        <v>48269.8628361624</v>
      </c>
      <c r="CN47" s="61">
        <f> CN$45</f>
        <v>1810.7664905530619</v>
      </c>
      <c r="CO47" s="61">
        <f> CO$45</f>
        <v>0.0</v>
      </c>
    </row>
    <row r="48">
      <c r="E48" s="343" t="str">
        <f> Time!E$25</f>
        <v>Model period ending </v>
      </c>
      <c r="F48" s="343">
        <f> Time!F$25</f>
        <v>0.0</v>
      </c>
      <c r="G48" s="343" t="str">
        <f> Time!G$25</f>
        <v>date</v>
      </c>
      <c r="H48" s="343">
        <f> Time!H$25</f>
        <v>0.0</v>
      </c>
      <c r="I48" s="343">
        <f> Time!I$25</f>
        <v>0.0</v>
      </c>
      <c r="J48" s="343">
        <f> Time!J$25</f>
        <v>44469.0</v>
      </c>
      <c r="K48" s="340">
        <f> Time!K$25</f>
        <v>44561.0</v>
      </c>
      <c r="L48" s="340">
        <f> Time!L$25</f>
        <v>44651.0</v>
      </c>
      <c r="M48" s="340">
        <f> Time!M$25</f>
        <v>44742.0</v>
      </c>
      <c r="N48" s="340">
        <f> Time!N$25</f>
        <v>44834.0</v>
      </c>
      <c r="O48" s="340">
        <f> Time!O$25</f>
        <v>44926.0</v>
      </c>
      <c r="P48" s="340">
        <f> Time!P$25</f>
        <v>45016.0</v>
      </c>
      <c r="Q48" s="340">
        <f> Time!Q$25</f>
        <v>45107.0</v>
      </c>
      <c r="R48" s="340">
        <f> Time!R$25</f>
        <v>45199.0</v>
      </c>
      <c r="S48" s="340">
        <f> Time!S$25</f>
        <v>45291.0</v>
      </c>
      <c r="T48" s="340">
        <f> Time!T$25</f>
        <v>45382.0</v>
      </c>
      <c r="U48" s="340">
        <f> Time!U$25</f>
        <v>45473.0</v>
      </c>
      <c r="V48" s="340">
        <f> Time!V$25</f>
        <v>45565.0</v>
      </c>
      <c r="W48" s="340">
        <f> Time!W$25</f>
        <v>45657.0</v>
      </c>
      <c r="X48" s="340">
        <f> Time!X$25</f>
        <v>45747.0</v>
      </c>
      <c r="Y48" s="340">
        <f> Time!Y$25</f>
        <v>45838.0</v>
      </c>
      <c r="Z48" s="340">
        <f> Time!Z$25</f>
        <v>45930.0</v>
      </c>
      <c r="AA48" s="340">
        <f> Time!AA$25</f>
        <v>46022.0</v>
      </c>
      <c r="AB48" s="340">
        <f> Time!AB$25</f>
        <v>46112.0</v>
      </c>
      <c r="AC48" s="340">
        <f> Time!AC$25</f>
        <v>46203.0</v>
      </c>
      <c r="AD48" s="340">
        <f> Time!AD$25</f>
        <v>46295.0</v>
      </c>
      <c r="AE48" s="340">
        <f> Time!AE$25</f>
        <v>46387.0</v>
      </c>
      <c r="AF48" s="340">
        <f> Time!AF$25</f>
        <v>46477.0</v>
      </c>
      <c r="AG48" s="340">
        <f> Time!AG$25</f>
        <v>46568.0</v>
      </c>
      <c r="AH48" s="340">
        <f> Time!AH$25</f>
        <v>46660.0</v>
      </c>
      <c r="AI48" s="340">
        <f> Time!AI$25</f>
        <v>46752.0</v>
      </c>
      <c r="AJ48" s="340">
        <f> Time!AJ$25</f>
        <v>46843.0</v>
      </c>
      <c r="AK48" s="340">
        <f> Time!AK$25</f>
        <v>46934.0</v>
      </c>
      <c r="AL48" s="340">
        <f> Time!AL$25</f>
        <v>47026.0</v>
      </c>
      <c r="AM48" s="340">
        <f> Time!AM$25</f>
        <v>47118.0</v>
      </c>
      <c r="AN48" s="340">
        <f> Time!AN$25</f>
        <v>47208.0</v>
      </c>
      <c r="AO48" s="340">
        <f> Time!AO$25</f>
        <v>47299.0</v>
      </c>
      <c r="AP48" s="340">
        <f> Time!AP$25</f>
        <v>47391.0</v>
      </c>
      <c r="AQ48" s="340">
        <f> Time!AQ$25</f>
        <v>47483.0</v>
      </c>
      <c r="AR48" s="340">
        <f> Time!AR$25</f>
        <v>47573.0</v>
      </c>
      <c r="AS48" s="340">
        <f> Time!AS$25</f>
        <v>47664.0</v>
      </c>
      <c r="AT48" s="340">
        <f> Time!AT$25</f>
        <v>47756.0</v>
      </c>
      <c r="AU48" s="340">
        <f> Time!AU$25</f>
        <v>47848.0</v>
      </c>
      <c r="AV48" s="340">
        <f> Time!AV$25</f>
        <v>47938.0</v>
      </c>
      <c r="AW48" s="340">
        <f> Time!AW$25</f>
        <v>48029.0</v>
      </c>
      <c r="AX48" s="340">
        <f> Time!AX$25</f>
        <v>48121.0</v>
      </c>
      <c r="AY48" s="340">
        <f> Time!AY$25</f>
        <v>48213.0</v>
      </c>
      <c r="AZ48" s="340">
        <f> Time!AZ$25</f>
        <v>48304.0</v>
      </c>
      <c r="BA48" s="340">
        <f> Time!BA$25</f>
        <v>48395.0</v>
      </c>
      <c r="BB48" s="340">
        <f> Time!BB$25</f>
        <v>48487.0</v>
      </c>
      <c r="BC48" s="340">
        <f> Time!BC$25</f>
        <v>48579.0</v>
      </c>
      <c r="BD48" s="340">
        <f> Time!BD$25</f>
        <v>48669.0</v>
      </c>
      <c r="BE48" s="340">
        <f> Time!BE$25</f>
        <v>48760.0</v>
      </c>
      <c r="BF48" s="340">
        <f> Time!BF$25</f>
        <v>48852.0</v>
      </c>
      <c r="BG48" s="340">
        <f> Time!BG$25</f>
        <v>48944.0</v>
      </c>
      <c r="BH48" s="340">
        <f> Time!BH$25</f>
        <v>49034.0</v>
      </c>
      <c r="BI48" s="340">
        <f> Time!BI$25</f>
        <v>49125.0</v>
      </c>
      <c r="BJ48" s="340">
        <f> Time!BJ$25</f>
        <v>49217.0</v>
      </c>
      <c r="BK48" s="340">
        <f> Time!BK$25</f>
        <v>49309.0</v>
      </c>
      <c r="BL48" s="340">
        <f> Time!BL$25</f>
        <v>49399.0</v>
      </c>
      <c r="BM48" s="340">
        <f> Time!BM$25</f>
        <v>49490.0</v>
      </c>
      <c r="BN48" s="340">
        <f> Time!BN$25</f>
        <v>49582.0</v>
      </c>
      <c r="BO48" s="340">
        <f> Time!BO$25</f>
        <v>49674.0</v>
      </c>
      <c r="BP48" s="340">
        <f> Time!BP$25</f>
        <v>49765.0</v>
      </c>
      <c r="BQ48" s="340">
        <f> Time!BQ$25</f>
        <v>49856.0</v>
      </c>
      <c r="BR48" s="340">
        <f> Time!BR$25</f>
        <v>49948.0</v>
      </c>
      <c r="BS48" s="340">
        <f> Time!BS$25</f>
        <v>50040.0</v>
      </c>
      <c r="BT48" s="340">
        <f> Time!BT$25</f>
        <v>50130.0</v>
      </c>
      <c r="BU48" s="340">
        <f> Time!BU$25</f>
        <v>50221.0</v>
      </c>
      <c r="BV48" s="340">
        <f> Time!BV$25</f>
        <v>50313.0</v>
      </c>
      <c r="BW48" s="340">
        <f> Time!BW$25</f>
        <v>50405.0</v>
      </c>
      <c r="BX48" s="340">
        <f> Time!BX$25</f>
        <v>50495.0</v>
      </c>
      <c r="BY48" s="340">
        <f> Time!BY$25</f>
        <v>50586.0</v>
      </c>
      <c r="BZ48" s="340">
        <f> Time!BZ$25</f>
        <v>50678.0</v>
      </c>
      <c r="CA48" s="340">
        <f> Time!CA$25</f>
        <v>50770.0</v>
      </c>
      <c r="CB48" s="340">
        <f> Time!CB$25</f>
        <v>50860.0</v>
      </c>
      <c r="CC48" s="340">
        <f> Time!CC$25</f>
        <v>50951.0</v>
      </c>
      <c r="CD48" s="340">
        <f> Time!CD$25</f>
        <v>51043.0</v>
      </c>
      <c r="CE48" s="340">
        <f> Time!CE$25</f>
        <v>51135.0</v>
      </c>
      <c r="CF48" s="340">
        <f> Time!CF$25</f>
        <v>51226.0</v>
      </c>
      <c r="CG48" s="340">
        <f> Time!CG$25</f>
        <v>51317.0</v>
      </c>
      <c r="CH48" s="340">
        <f> Time!CH$25</f>
        <v>51409.0</v>
      </c>
      <c r="CI48" s="340">
        <f> Time!CI$25</f>
        <v>51501.0</v>
      </c>
      <c r="CJ48" s="340">
        <f> Time!CJ$25</f>
        <v>51591.0</v>
      </c>
      <c r="CK48" s="340">
        <f> Time!CK$25</f>
        <v>51682.0</v>
      </c>
      <c r="CL48" s="340">
        <f> Time!CL$25</f>
        <v>51774.0</v>
      </c>
      <c r="CM48" s="340">
        <f> Time!CM$25</f>
        <v>51866.0</v>
      </c>
      <c r="CN48" s="340">
        <f> Time!CN$25</f>
        <v>51956.0</v>
      </c>
      <c r="CO48" s="340">
        <f> Time!CO$25</f>
        <v>52047.0</v>
      </c>
    </row>
    <row r="49">
      <c r="E49" s="260" t="inlineStr">
        <is>
          <t>Shareholder internal rate of return</t>
        </is>
      </c>
      <c r="F49" s="389">
        <f>XIRR(J47:CO47,J48:CO48)</f>
        <v>0.3372310379718108</v>
      </c>
      <c r="G49" s="260" t="inlineStr">
        <is>
          <t>%p.a</t>
        </is>
      </c>
    </row>
  </sheetData>
  <conditionalFormatting sqref="J3:XFD3">
    <cfRule type="cellIs" priority="1" operator="equal" dxfId="1" stopIfTrue="1">
      <formula>"Pre-fcst"</formula>
    </cfRule>
    <cfRule type="cellIs" priority="2" operator="equal" dxfId="0" stopIfTrue="1">
      <formula>"Forecast"</formula>
    </cfRule>
  </conditionalFormatting>
  <printOptions verticalCentered="1" headings="1"/>
  <pageMargins left="0.7480314960629921" right="0.7480314960629921" top="0.984251968503937" bottom="0.984251968503937" header="0.5118110236220472" footer="0.5118110236220472"/>
  <pageSetup orientation="landscape" paperSize="9" scale="55" blackAndWhite="1"/>
  <headerFooter alignWithMargins="0">
    <oddHeader>&amp;L&amp;"Arial,Bold"&amp;14 PROJECT [project name]&amp;C&amp;"Arial,Bold"&amp;14 Sheet: &amp;A&amp;R&amp;"Arial,Bold"&amp;14 STRICTLY  CONFIDENTIAL</oddHeader>
    <oddFooter>&amp;L&amp;F ( Printed on &amp;D at &amp;T )&amp;RPage &amp;P</oddFooter>
    <evenHeader/>
    <evenFooter/>
    <firstHeader/>
    <firstFooter/>
  </headerFooter>
</worksheet>
</file>

<file path=xl/worksheets/sheet15.xml><?xml version="1.0" encoding="utf-8"?>
<worksheet xmlns="http://schemas.openxmlformats.org/spreadsheetml/2006/main">
  <sheetPr>
    <tabColor rgb="00141B4D"/>
    <outlinePr summaryBelow="0" summaryRight="0"/>
    <pageSetUpPr/>
  </sheetPr>
  <dimension ref="A1:O79"/>
  <sheetViews>
    <sheetView showGridLines="0" defaultGridColor="0" colorId="22" zoomScale="85" zoomScaleNormal="100" workbookViewId="0">
      <pane xSplit="9" ySplit="5" topLeftCell="J15" activePane="bottomRight" state="frozen"/>
      <selection activeCell="F2" sqref="F2:G4"/>
      <selection pane="topRight" activeCell="F2" sqref="F2:G4"/>
      <selection pane="bottomLeft" activeCell="F2" sqref="F2:G4"/>
      <selection pane="bottomRight" activeCell="P72" sqref="P72"/>
    </sheetView>
  </sheetViews>
  <sheetFormatPr baseColWidth="10" defaultColWidth="0" defaultRowHeight="13" outlineLevelRow="1"/>
  <cols>
    <col width="1.1640625" customWidth="1" style="294" min="1" max="2"/>
    <col width="1.1640625" customWidth="1" style="212" min="3" max="3"/>
    <col width="1.1640625" customWidth="1" style="61" min="4" max="4"/>
    <col width="40.83203125" customWidth="1" style="61" min="5" max="5"/>
    <col width="12.83203125" customWidth="1" style="61" min="6" max="6"/>
    <col width="11.6640625" customWidth="1" style="61" min="7" max="7"/>
    <col width="12.83203125" customWidth="1" style="61" min="8" max="8"/>
    <col width="2.6640625" customWidth="1" style="61" min="9" max="9"/>
    <col width="4.6640625" customWidth="1" style="61" min="10" max="10"/>
    <col width="11.6640625" customWidth="1" style="61" min="11" max="11"/>
    <col width="11.6640625" customWidth="1" style="402" min="12" max="12"/>
    <col width="2.6640625" customWidth="1" style="213" min="13" max="13"/>
    <col width="15.6640625" customWidth="1" style="61" min="14" max="14"/>
    <col width="2.6640625" customWidth="1" style="213" min="15" max="15"/>
    <col width="9.1640625" customWidth="1" style="61" min="16" max="20"/>
    <col hidden="1" width="13" customWidth="1" style="61" min="21" max="22"/>
    <col hidden="1" width="9.1640625" customWidth="1" style="61" min="23" max="93"/>
  </cols>
  <sheetData>
    <row r="1" ht="25" customFormat="1" customHeight="1" s="200">
      <c r="A1" s="195">
        <f> RIGHT(CELL("filename", $A$1), LEN(CELL("filename", $A$1)) - SEARCH("]", CELL("filename", $A$1)))</f>
        <v/>
      </c>
      <c r="B1" s="1" t="n"/>
      <c r="C1" s="196" t="n"/>
      <c r="F1" s="198" t="n"/>
      <c r="H1" s="199" t="n"/>
      <c r="I1" s="200" t="n"/>
      <c r="J1" s="201" t="n"/>
      <c r="L1" s="403" t="n"/>
      <c r="M1" s="203" t="inlineStr">
        <is>
          <t>do not del col</t>
        </is>
      </c>
      <c r="N1" s="204" t="n"/>
      <c r="O1" s="203" t="inlineStr">
        <is>
          <t>do not del col</t>
        </is>
      </c>
    </row>
    <row r="2" ht="15" customFormat="1" customHeight="1" s="152">
      <c r="B2" s="294" t="n"/>
      <c r="C2" s="212" t="n"/>
      <c r="D2" s="61" t="n"/>
      <c r="E2" s="205" t="n"/>
      <c r="F2" s="0" t="n"/>
      <c r="G2" s="0" t="n"/>
      <c r="H2" s="206">
        <f>TODAY()</f>
        <v>46305.0</v>
      </c>
      <c r="I2" s="61" t="n"/>
      <c r="J2" s="8">
        <f> SUM(J6:J75)</f>
        <v>56.0</v>
      </c>
      <c r="K2" s="61" t="n"/>
      <c r="L2" s="402" t="n"/>
      <c r="M2" s="203" t="n"/>
      <c r="N2" s="205" t="n"/>
      <c r="O2" s="203" t="n"/>
    </row>
    <row r="3" ht="15" customFormat="1" customHeight="1" s="152">
      <c r="B3" s="294" t="n"/>
      <c r="C3" s="212" t="n"/>
      <c r="D3" s="61" t="n"/>
      <c r="E3" s="205" t="n"/>
      <c r="F3" s="0" t="n"/>
      <c r="G3" s="0" t="n"/>
      <c r="H3" s="208" t="n"/>
      <c r="I3" s="61" t="n"/>
      <c r="J3" s="61" t="n"/>
      <c r="K3" s="61" t="n"/>
      <c r="L3" s="402" t="n"/>
      <c r="M3" s="203" t="n"/>
      <c r="N3" s="205" t="n"/>
      <c r="O3" s="203" t="n"/>
    </row>
    <row r="4" ht="15" customFormat="1" customHeight="1" s="152">
      <c r="B4" s="294" t="n"/>
      <c r="C4" s="212" t="n"/>
      <c r="D4" s="61" t="n"/>
      <c r="E4" s="205" t="n"/>
      <c r="F4" s="0" t="n"/>
      <c r="G4" s="0" t="n"/>
      <c r="H4" s="209" t="n"/>
      <c r="I4" s="61" t="n"/>
      <c r="J4" s="61" t="n"/>
      <c r="K4" s="61" t="n"/>
      <c r="L4" s="402" t="n"/>
      <c r="M4" s="203" t="n"/>
      <c r="N4" s="205" t="n"/>
      <c r="O4" s="203" t="n"/>
    </row>
    <row r="5">
      <c r="E5" s="61" t="inlineStr">
        <is>
          <t>Comparison column label</t>
        </is>
      </c>
      <c r="H5" s="211" t="inlineStr">
        <is>
          <t>Base</t>
        </is>
      </c>
      <c r="J5" s="61">
        <f> MATCH($H$5, M5:O5, 0)</f>
        <v>1.0</v>
      </c>
      <c r="K5" s="212" t="inlineStr">
        <is>
          <t>Difference</t>
        </is>
      </c>
      <c r="L5" s="212" t="inlineStr">
        <is>
          <t>Diff Pct</t>
        </is>
      </c>
      <c r="M5" s="213" t="inlineStr">
        <is>
          <t>Base</t>
        </is>
      </c>
      <c r="N5" s="211" t="inlineStr">
        <is>
          <t>Downside</t>
        </is>
      </c>
      <c r="O5" s="213" t="inlineStr">
        <is>
          <t>Upside</t>
        </is>
      </c>
    </row>
    <row r="6" customFormat="1" s="213">
      <c r="A6" s="214" t="n"/>
      <c r="B6" s="214" t="n"/>
      <c r="C6" s="215" t="n"/>
      <c r="E6" s="214" t="inlineStr">
        <is>
          <t>[do not delete row]</t>
        </is>
      </c>
      <c r="F6" s="216" t="n"/>
      <c r="J6" s="217" t="inlineStr">
        <is>
          <t>range start</t>
        </is>
      </c>
      <c r="L6" s="404" t="n"/>
    </row>
    <row r="7" customFormat="1" s="297">
      <c r="A7" s="303" t="inlineStr">
        <is>
          <t>KEY OUTPUTS</t>
        </is>
      </c>
      <c r="B7" s="303" t="n"/>
      <c r="C7" s="302" t="n"/>
      <c r="F7" s="301" t="n"/>
      <c r="K7" s="298" t="n"/>
      <c r="L7" s="405" t="n"/>
      <c r="N7" s="299" t="n"/>
      <c r="O7" s="298" t="n"/>
    </row>
    <row r="8" outlineLevel="1" customFormat="1" s="61">
      <c r="A8" s="61" t="n"/>
      <c r="B8" s="294" t="n"/>
      <c r="C8" s="212" t="n"/>
      <c r="D8" s="61" t="n"/>
      <c r="E8" s="61" t="inlineStr">
        <is>
          <t>Shareholder NPV at required return</t>
        </is>
      </c>
      <c r="G8" s="61" t="inlineStr">
        <is>
          <t>$ 000s</t>
        </is>
      </c>
      <c r="H8" s="488">
        <f>Val!F39</f>
        <v>17608.98731048808</v>
      </c>
      <c r="I8" s="61" t="n"/>
      <c r="J8" s="226">
        <f> IF(ABS(K8) &gt; CHK_TOL, 1, 0)</f>
        <v>1.0</v>
      </c>
      <c r="K8" s="488">
        <f> H8 - INDEX(M8:O8, $J$5)</f>
        <v>17608.98731048808</v>
      </c>
      <c r="L8" s="489">
        <f> IF(ABS(K8) &gt; CHK_TOL, IF(INDEX(M8:O8, $J$5) = 0, 0, H8 / INDEX(M8:O8, $J$5) - 1), 0)</f>
        <v>0.0</v>
      </c>
      <c r="M8" s="490" t="n">
        <v>17608.98731048808</v>
      </c>
      <c r="N8" s="491" t="n">
        <v>-6413.43075114246</v>
      </c>
      <c r="O8" s="492" t="n">
        <v>40330.88715222052</v>
      </c>
    </row>
    <row r="9" outlineLevel="1" customFormat="1" s="271">
      <c r="B9" s="387" t="n"/>
      <c r="C9" s="271" t="n"/>
      <c r="D9" s="271" t="n"/>
      <c r="E9" s="307" t="inlineStr">
        <is>
          <t>Shareholder IRR (XIRR)</t>
        </is>
      </c>
      <c r="F9" s="271" t="n"/>
      <c r="G9" s="307" t="inlineStr">
        <is>
          <t>% p.a.</t>
        </is>
      </c>
      <c r="H9" s="411">
        <f>Val!F49</f>
        <v>0.3372310379718108</v>
      </c>
      <c r="I9" s="271" t="n"/>
      <c r="J9" s="272">
        <f> IF(ABS(K9) &gt; CHK_TOL, 1, 0)</f>
        <v>1.0</v>
      </c>
      <c r="K9" s="412">
        <f> H9 - INDEX(M9:O9, $J$5)</f>
        <v>0.3372310379718108</v>
      </c>
      <c r="L9" s="493">
        <f> IF(ABS(K9) &gt; CHK_TOL, IF(INDEX(M9:O9, $J$5) = 0, 0, H9 / INDEX(M9:O9, $J$5) - 1), 0)</f>
        <v>0.0</v>
      </c>
      <c r="M9" s="414" t="n">
        <v>0.3372310379718108</v>
      </c>
      <c r="N9" s="415" t="n">
        <v>0.2235683507230538</v>
      </c>
      <c r="O9" s="416" t="n">
        <v>0.4590542585501192</v>
      </c>
    </row>
    <row r="10" outlineLevel="1" customFormat="1" s="61">
      <c r="B10" s="294" t="n"/>
      <c r="C10" s="61" t="n"/>
      <c r="D10" s="61" t="n"/>
      <c r="E10" s="325" t="inlineStr">
        <is>
          <t>Total CFADS (20 years)</t>
        </is>
      </c>
      <c r="F10" s="61" t="n"/>
      <c r="G10" s="325" t="inlineStr">
        <is>
          <t>$ 000s</t>
        </is>
      </c>
      <c r="H10" s="494">
        <f>FinStat!H38</f>
        <v>582323.9405780912</v>
      </c>
      <c r="I10" s="61" t="n"/>
      <c r="J10" s="226">
        <f> IF(ABS(K10) &gt; CHK_TOL, 1, 0)</f>
        <v>1.0</v>
      </c>
      <c r="K10" s="488">
        <f> H10 - INDEX(M10:O10, $J$5)</f>
        <v>582323.9405780912</v>
      </c>
      <c r="L10" s="489">
        <f> IF(ABS(K10) &gt; CHK_TOL, IF(INDEX(M10:O10, $J$5) = 0, 0, H10 / INDEX(M10:O10, $J$5) - 1), 0)</f>
        <v>0.0</v>
      </c>
      <c r="M10" s="490" t="n">
        <v>582323.9405780912</v>
      </c>
      <c r="N10" s="491" t="n">
        <v>439072.9282328024</v>
      </c>
      <c r="O10" s="492" t="n">
        <v>718233.7448995315</v>
      </c>
    </row>
    <row r="11" outlineLevel="1" customFormat="1" s="277">
      <c r="B11" s="391" t="n"/>
      <c r="C11" s="277" t="n"/>
      <c r="D11" s="277" t="n"/>
      <c r="E11" s="306" t="inlineStr">
        <is>
          <t>Minimum DSCR</t>
        </is>
      </c>
      <c r="F11" s="277" t="n"/>
      <c r="G11" s="306" t="inlineStr">
        <is>
          <t>x</t>
        </is>
      </c>
      <c r="H11" s="418">
        <f>FinStat!F92</f>
        <v>1.1663261671210836</v>
      </c>
      <c r="I11" s="277" t="n"/>
      <c r="J11" s="279">
        <f> IF(ABS(K11) &gt; CHK_TOL, 1, 0)</f>
        <v>1.0</v>
      </c>
      <c r="K11" s="419">
        <f> H11 - INDEX(M11:O11, $J$5)</f>
        <v>1.1663261671210836</v>
      </c>
      <c r="L11" s="495">
        <f> IF(ABS(K11) &gt; CHK_TOL, IF(INDEX(M11:O11, $J$5) = 0, 0, H11 / INDEX(M11:O11, $J$5) - 1), 0)</f>
        <v>0.0</v>
      </c>
      <c r="M11" s="421" t="n">
        <v>1.166326167121084</v>
      </c>
      <c r="N11" s="422" t="n">
        <v>0.7326986794402474</v>
      </c>
      <c r="O11" s="423" t="n">
        <v>1.575461277174449</v>
      </c>
    </row>
    <row r="12" outlineLevel="1" customFormat="1" s="61">
      <c r="B12" s="294" t="n"/>
      <c r="C12" s="61" t="n"/>
      <c r="D12" s="61" t="n"/>
      <c r="E12" s="61" t="inlineStr">
        <is>
          <t>Senior debt at financial close</t>
        </is>
      </c>
      <c r="F12" s="61" t="n"/>
      <c r="G12" s="61" t="inlineStr">
        <is>
          <t>$ 000s</t>
        </is>
      </c>
      <c r="H12" s="488">
        <f>Debt!F11</f>
        <v>60000.0</v>
      </c>
      <c r="I12" s="61" t="n"/>
      <c r="J12" s="226">
        <f> IF(ABS(K12) &gt; CHK_TOL, 1, 0)</f>
        <v>1.0</v>
      </c>
      <c r="K12" s="488">
        <f> H12 - INDEX(M12:O12, $J$5)</f>
        <v>60000.0</v>
      </c>
      <c r="L12" s="489">
        <f> IF(ABS(K12) &gt; CHK_TOL, IF(INDEX(M12:O12, $J$5) = 0, 0, H12 / INDEX(M12:O12, $J$5) - 1), 0)</f>
        <v>0.0</v>
      </c>
      <c r="M12" s="490" t="n">
        <v>60000</v>
      </c>
      <c r="N12" s="491" t="n">
        <v>60000</v>
      </c>
      <c r="O12" s="492" t="n">
        <v>60000</v>
      </c>
    </row>
    <row r="13" customFormat="1" s="297">
      <c r="A13" s="303" t="inlineStr">
        <is>
          <t>PROFIT &amp; LOSS</t>
        </is>
      </c>
      <c r="B13" s="303" t="n"/>
      <c r="C13" s="302" t="n"/>
      <c r="F13" s="301" t="n"/>
      <c r="K13" s="298" t="n"/>
      <c r="L13" s="405" t="n"/>
      <c r="N13" s="299" t="n"/>
      <c r="O13" s="298" t="n"/>
    </row>
    <row r="14" outlineLevel="1" customFormat="1" s="61">
      <c r="A14" s="294" t="n"/>
      <c r="B14" s="294" t="n"/>
      <c r="C14" s="61" t="n"/>
      <c r="D14" s="61" t="n"/>
      <c r="E14" s="61" t="inlineStr">
        <is>
          <t>Operating revenue</t>
        </is>
      </c>
      <c r="F14" s="61" t="n"/>
      <c r="G14" s="61" t="inlineStr">
        <is>
          <t>$ 000s</t>
        </is>
      </c>
      <c r="H14" s="488">
        <f>FinStat!H9</f>
        <v>1941568.6331634293</v>
      </c>
      <c r="I14" s="61" t="n"/>
      <c r="J14" s="226">
        <f> IF(ABS(K14) &gt; CHK_TOL, 1, 0)</f>
        <v>1.0</v>
      </c>
      <c r="K14" s="488">
        <f> H14 - INDEX(M14:O14, $J$5)</f>
        <v>1941568.6331634293</v>
      </c>
      <c r="L14" s="489">
        <f> IF(ABS(K14) &gt; CHK_TOL, IF(INDEX(M14:O14, $J$5) = 0, 0, H14 / INDEX(M14:O14, $J$5) - 1), 0)</f>
        <v>0.0</v>
      </c>
      <c r="M14" s="490" t="n">
        <v>1941568.633163429</v>
      </c>
      <c r="N14" s="491" t="n">
        <v>1747411.769847087</v>
      </c>
      <c r="O14" s="492" t="n">
        <v>2135725.496479772</v>
      </c>
    </row>
    <row r="15" outlineLevel="1" customFormat="1" s="61">
      <c r="A15" s="294" t="n"/>
      <c r="B15" s="294" t="n"/>
      <c r="C15" s="212" t="n"/>
      <c r="D15" s="61" t="n"/>
      <c r="E15" s="308" t="inlineStr">
        <is>
          <t>Operating cost</t>
        </is>
      </c>
      <c r="F15" s="308" t="n"/>
      <c r="G15" s="308" t="inlineStr">
        <is>
          <t>$ 000s</t>
        </is>
      </c>
      <c r="H15" s="496">
        <f>FinStat!H10</f>
        <v>-1152373.432337585</v>
      </c>
      <c r="I15" s="61" t="n"/>
      <c r="J15" s="226">
        <f> IF(ABS(K15) &gt; CHK_TOL, 1, 0)</f>
        <v>1.0</v>
      </c>
      <c r="K15" s="488">
        <f> H15 - INDEX(M15:O15, $J$5)</f>
        <v>-1152373.432337585</v>
      </c>
      <c r="L15" s="489">
        <f> IF(ABS(K15) &gt; CHK_TOL, IF(INDEX(M15:O15, $J$5) = 0, 0, H15 / INDEX(M15:O15, $J$5) - 1), 0)</f>
        <v>0.0</v>
      </c>
      <c r="M15" s="490" t="n">
        <v>-1152373.432337585</v>
      </c>
      <c r="N15" s="491" t="n">
        <v>-1162860.872371655</v>
      </c>
      <c r="O15" s="492" t="n">
        <v>-1152373.432337585</v>
      </c>
    </row>
    <row r="16" outlineLevel="1" customFormat="1" s="61">
      <c r="A16" s="294" t="n"/>
      <c r="B16" s="294" t="n"/>
      <c r="C16" s="212" t="n"/>
      <c r="D16" s="61" t="n"/>
      <c r="E16" s="308" t="inlineStr">
        <is>
          <t>EBITDA</t>
        </is>
      </c>
      <c r="F16" s="308" t="n"/>
      <c r="G16" s="308" t="inlineStr">
        <is>
          <t>$ 000s</t>
        </is>
      </c>
      <c r="H16" s="496">
        <f>FinStat!H11</f>
        <v>789195.2008258444</v>
      </c>
      <c r="I16" s="61" t="n"/>
      <c r="J16" s="226">
        <f> IF(ABS(K16) &gt; CHK_TOL, 1, 0)</f>
        <v>1.0</v>
      </c>
      <c r="K16" s="488">
        <f> H16 - INDEX(M16:O16, $J$5)</f>
        <v>789195.2008258444</v>
      </c>
      <c r="L16" s="489">
        <f> IF(ABS(K16) &gt; CHK_TOL, IF(INDEX(M16:O16, $J$5) = 0, 0, H16 / INDEX(M16:O16, $J$5) - 1), 0)</f>
        <v>0.0</v>
      </c>
      <c r="M16" s="490" t="n">
        <v>789195.2008258444</v>
      </c>
      <c r="N16" s="491" t="n">
        <v>584550.8974754317</v>
      </c>
      <c r="O16" s="492" t="n">
        <v>983352.0641421876</v>
      </c>
    </row>
    <row r="17" outlineLevel="1" customFormat="1" s="260">
      <c r="A17" s="263" t="n"/>
      <c r="B17" s="263" t="n"/>
      <c r="C17" s="264" t="n"/>
      <c r="D17" s="260" t="n"/>
      <c r="E17" s="305" t="inlineStr">
        <is>
          <t>EBITDA margin</t>
        </is>
      </c>
      <c r="F17" s="305" t="n"/>
      <c r="G17" s="305" t="inlineStr">
        <is>
          <t>%</t>
        </is>
      </c>
      <c r="H17" s="497">
        <f>IF(H14=0,0,H16/H14)</f>
        <v>0.40647298650472935</v>
      </c>
      <c r="I17" s="260" t="n"/>
      <c r="J17" s="265">
        <f> IF(ABS(K17) &gt; CHK_TOL, 1, 0)</f>
        <v>1.0</v>
      </c>
      <c r="K17" s="498">
        <f> H17 - INDEX(M17:O17, $J$5)</f>
        <v>0.40647298650472935</v>
      </c>
      <c r="L17" s="499">
        <f> IF(ABS(K17) &gt; CHK_TOL, IF(INDEX(M17:O17, $J$5) = 0, 0, H17 / INDEX(M17:O17, $J$5) - 1), 0)</f>
        <v>0.0</v>
      </c>
      <c r="M17" s="500" t="n">
        <v>0.4064729865047293</v>
      </c>
      <c r="N17" s="501" t="n">
        <v>0.3345238412389684</v>
      </c>
      <c r="O17" s="502" t="n">
        <v>0.4604299877315723</v>
      </c>
    </row>
    <row r="18" outlineLevel="1" customFormat="1" s="61">
      <c r="A18" s="294" t="n"/>
      <c r="B18" s="294" t="n"/>
      <c r="C18" s="212" t="n"/>
      <c r="D18" s="61" t="n"/>
      <c r="E18" s="308" t="inlineStr">
        <is>
          <t>Accounting depreciation</t>
        </is>
      </c>
      <c r="F18" s="308" t="n"/>
      <c r="G18" s="308" t="inlineStr">
        <is>
          <t>$ 000s</t>
        </is>
      </c>
      <c r="H18" s="496">
        <f>FinStat!H13</f>
        <v>-108000.0</v>
      </c>
      <c r="I18" s="61" t="n"/>
      <c r="J18" s="226">
        <f> IF(ABS(K18) &gt; CHK_TOL, 1, 0)</f>
        <v>1.0</v>
      </c>
      <c r="K18" s="488">
        <f> H18 - INDEX(M18:O18, $J$5)</f>
        <v>-108000.0</v>
      </c>
      <c r="L18" s="489">
        <f> IF(ABS(K18) &gt; CHK_TOL, IF(INDEX(M18:O18, $J$5) = 0, 0, H18 / INDEX(M18:O18, $J$5) - 1), 0)</f>
        <v>0.0</v>
      </c>
      <c r="M18" s="490" t="n">
        <v>-108000</v>
      </c>
      <c r="N18" s="491" t="n">
        <v>-108000</v>
      </c>
      <c r="O18" s="492" t="n">
        <v>-108000</v>
      </c>
    </row>
    <row r="19" outlineLevel="1" customFormat="1" s="61">
      <c r="A19" s="294" t="n"/>
      <c r="B19" s="294" t="n"/>
      <c r="C19" s="212" t="n"/>
      <c r="D19" s="61" t="n"/>
      <c r="E19" s="308" t="inlineStr">
        <is>
          <t>Senior debt interest</t>
        </is>
      </c>
      <c r="F19" s="308" t="n"/>
      <c r="G19" s="308" t="inlineStr">
        <is>
          <t>$ 000s</t>
        </is>
      </c>
      <c r="H19" s="496">
        <f>FinStat!H14</f>
        <v>-18291.000000000673</v>
      </c>
      <c r="I19" s="61" t="n"/>
      <c r="J19" s="226">
        <f> IF(ABS(K19) &gt; CHK_TOL, 1, 0)</f>
        <v>1.0</v>
      </c>
      <c r="K19" s="488">
        <f> H19 - INDEX(M19:O19, $J$5)</f>
        <v>-18291.000000000673</v>
      </c>
      <c r="L19" s="489">
        <f> IF(ABS(K19) &gt; CHK_TOL, IF(INDEX(M19:O19, $J$5) = 0, 0, H19 / INDEX(M19:O19, $J$5) - 1), 0)</f>
        <v>0.0</v>
      </c>
      <c r="M19" s="490" t="n">
        <v>-18291.00000000067</v>
      </c>
      <c r="N19" s="491" t="n">
        <v>-18291.00000000067</v>
      </c>
      <c r="O19" s="492" t="n">
        <v>-18291.00000000067</v>
      </c>
    </row>
    <row r="20" outlineLevel="1" customFormat="1" s="61">
      <c r="A20" s="294" t="n"/>
      <c r="B20" s="294" t="n"/>
      <c r="C20" s="212" t="n"/>
      <c r="D20" s="61" t="n"/>
      <c r="E20" s="308" t="inlineStr">
        <is>
          <t>Profit before tax</t>
        </is>
      </c>
      <c r="F20" s="308" t="n"/>
      <c r="G20" s="308" t="inlineStr">
        <is>
          <t>$ 000s</t>
        </is>
      </c>
      <c r="H20" s="496">
        <f>FinStat!H15</f>
        <v>662904.2008258437</v>
      </c>
      <c r="I20" s="61" t="n"/>
      <c r="J20" s="226">
        <f> IF(ABS(K20) &gt; CHK_TOL, 1, 0)</f>
        <v>1.0</v>
      </c>
      <c r="K20" s="488">
        <f> H20 - INDEX(M20:O20, $J$5)</f>
        <v>662904.2008258437</v>
      </c>
      <c r="L20" s="489">
        <f> IF(ABS(K20) &gt; CHK_TOL, IF(INDEX(M20:O20, $J$5) = 0, 0, H20 / INDEX(M20:O20, $J$5) - 1), 0)</f>
        <v>0.0</v>
      </c>
      <c r="M20" s="490" t="n">
        <v>662904.2008258437</v>
      </c>
      <c r="N20" s="491" t="n">
        <v>458259.897475431</v>
      </c>
      <c r="O20" s="492" t="n">
        <v>857061.0641421869</v>
      </c>
    </row>
    <row r="21" outlineLevel="1" customFormat="1" s="260">
      <c r="A21" s="263" t="n"/>
      <c r="B21" s="263" t="n"/>
      <c r="C21" s="264" t="n"/>
      <c r="D21" s="260" t="n"/>
      <c r="E21" s="305" t="inlineStr">
        <is>
          <t>Tax expense</t>
        </is>
      </c>
      <c r="F21" s="305" t="n"/>
      <c r="G21" s="305" t="inlineStr">
        <is>
          <t>$ 000s</t>
        </is>
      </c>
      <c r="H21" s="503">
        <f>FinStat!H17</f>
        <v>-198871.26024775312</v>
      </c>
      <c r="I21" s="260" t="n"/>
      <c r="J21" s="265">
        <f> IF(ABS(K21) &gt; CHK_TOL, 1, 0)</f>
        <v>1.0</v>
      </c>
      <c r="K21" s="504">
        <f> H21 - INDEX(M21:O21, $J$5)</f>
        <v>-198871.26024775312</v>
      </c>
      <c r="L21" s="499">
        <f> IF(ABS(K21) &gt; CHK_TOL, IF(INDEX(M21:O21, $J$5) = 0, 0, H21 / INDEX(M21:O21, $J$5) - 1), 0)</f>
        <v>0.0</v>
      </c>
      <c r="M21" s="505" t="n">
        <v>-198871.2602477531</v>
      </c>
      <c r="N21" s="506" t="n">
        <v>-137477.9692426293</v>
      </c>
      <c r="O21" s="507" t="n">
        <v>-257118.3192426561</v>
      </c>
    </row>
    <row r="22" outlineLevel="1" customFormat="1" s="61">
      <c r="A22" s="294" t="n"/>
      <c r="B22" s="294" t="n"/>
      <c r="C22" s="212" t="n"/>
      <c r="D22" s="61" t="n"/>
      <c r="E22" s="308" t="inlineStr">
        <is>
          <t>Profit after tax</t>
        </is>
      </c>
      <c r="F22" s="308" t="n"/>
      <c r="G22" s="308" t="inlineStr">
        <is>
          <t>$ 000s</t>
        </is>
      </c>
      <c r="H22" s="496">
        <f>FinStat!H18</f>
        <v>464032.9405780906</v>
      </c>
      <c r="I22" s="61" t="n"/>
      <c r="J22" s="226">
        <f> IF(ABS(K22) &gt; CHK_TOL, 1, 0)</f>
        <v>1.0</v>
      </c>
      <c r="K22" s="488">
        <f> H22 - INDEX(M22:O22, $J$5)</f>
        <v>464032.9405780906</v>
      </c>
      <c r="L22" s="489">
        <f> IF(ABS(K22) &gt; CHK_TOL, IF(INDEX(M22:O22, $J$5) = 0, 0, H22 / INDEX(M22:O22, $J$5) - 1), 0)</f>
        <v>0.0</v>
      </c>
      <c r="M22" s="490" t="n">
        <v>464032.9405780906</v>
      </c>
      <c r="N22" s="491" t="n">
        <v>320781.9282328017</v>
      </c>
      <c r="O22" s="492" t="n">
        <v>599942.7448995308</v>
      </c>
    </row>
    <row r="23" outlineLevel="1" customFormat="1" s="61">
      <c r="A23" s="294" t="n"/>
      <c r="B23" s="294" t="n"/>
      <c r="C23" s="212" t="n"/>
      <c r="D23" s="61" t="n"/>
      <c r="E23" s="308" t="inlineStr">
        <is>
          <t>Effective tax rate</t>
        </is>
      </c>
      <c r="F23" s="308" t="n"/>
      <c r="G23" s="308" t="inlineStr">
        <is>
          <t>%</t>
        </is>
      </c>
      <c r="H23" s="508">
        <f>IF(H20=0,0,-H21/H20)</f>
        <v>0.3</v>
      </c>
      <c r="I23" s="61" t="n"/>
      <c r="J23" s="226">
        <f> IF(ABS(K23) &gt; CHK_TOL, 1, 0)</f>
        <v>1.0</v>
      </c>
      <c r="K23" s="509">
        <f> H23 - INDEX(M23:O23, $J$5)</f>
        <v>0.3</v>
      </c>
      <c r="L23" s="489">
        <f> IF(ABS(K23) &gt; CHK_TOL, IF(INDEX(M23:O23, $J$5) = 0, 0, H23 / INDEX(M23:O23, $J$5) - 1), 0)</f>
        <v>0.0</v>
      </c>
      <c r="M23" s="510" t="n">
        <v>0.3</v>
      </c>
      <c r="N23" s="511" t="n">
        <v>0.2999999999999999</v>
      </c>
      <c r="O23" s="512" t="n">
        <v>0.3</v>
      </c>
    </row>
    <row r="24" outlineLevel="1" customFormat="1" s="260">
      <c r="A24" s="263" t="n"/>
      <c r="B24" s="263" t="n"/>
      <c r="C24" s="264" t="n"/>
      <c r="D24" s="260" t="n"/>
      <c r="E24" s="305" t="str">
        <f>"Operating revenue FY"&amp;F24</f>
        <v>Operating revenue FY2022</v>
      </c>
      <c r="F24" s="441" t="n">
        <v>2022</v>
      </c>
      <c r="G24" s="305" t="inlineStr">
        <is>
          <t>$ 000s</t>
        </is>
      </c>
      <c r="H24" s="503">
        <f>SUMIFS(FinStat!$J$9:$CO$9,FinStat!$J$4:$CO$4,$F24)</f>
        <v>62837.028376098526</v>
      </c>
      <c r="I24" s="260" t="n"/>
      <c r="J24" s="265">
        <f> IF(ABS(K24) &gt; CHK_TOL, 1, 0)</f>
        <v>1.0</v>
      </c>
      <c r="K24" s="504">
        <f> H24 - INDEX(M24:O24, $J$5)</f>
        <v>62837.028376098526</v>
      </c>
      <c r="L24" s="499">
        <f> IF(ABS(K24) &gt; CHK_TOL, IF(INDEX(M24:O24, $J$5) = 0, 0, H24 / INDEX(M24:O24, $J$5) - 1), 0)</f>
        <v>0.0</v>
      </c>
      <c r="M24" s="505" t="n">
        <v>62837.02837609853</v>
      </c>
      <c r="N24" s="506" t="n">
        <v>56553.32553848867</v>
      </c>
      <c r="O24" s="507" t="n">
        <v>69120.73121370838</v>
      </c>
    </row>
    <row r="25" outlineLevel="1" customFormat="1" s="61">
      <c r="A25" s="294" t="n"/>
      <c r="B25" s="294" t="n"/>
      <c r="C25" s="212" t="n"/>
      <c r="D25" s="61" t="n"/>
      <c r="E25" s="308" t="str">
        <f>"Operating revenue FY"&amp;F25</f>
        <v>Operating revenue FY2023</v>
      </c>
      <c r="F25" s="442" t="n">
        <v>2023</v>
      </c>
      <c r="G25" s="308" t="inlineStr">
        <is>
          <t>$ 000s</t>
        </is>
      </c>
      <c r="H25" s="496">
        <f>SUMIFS(FinStat!$J$9:$CO$9,FinStat!$J$4:$CO$4,$F25)</f>
        <v>66458.89715305543</v>
      </c>
      <c r="I25" s="61" t="n"/>
      <c r="J25" s="226">
        <f> IF(ABS(K25) &gt; CHK_TOL, 1, 0)</f>
        <v>1.0</v>
      </c>
      <c r="K25" s="488">
        <f> H25 - INDEX(M25:O25, $J$5)</f>
        <v>66458.89715305543</v>
      </c>
      <c r="L25" s="489">
        <f> IF(ABS(K25) &gt; CHK_TOL, IF(INDEX(M25:O25, $J$5) = 0, 0, H25 / INDEX(M25:O25, $J$5) - 1), 0)</f>
        <v>0.0</v>
      </c>
      <c r="M25" s="490" t="n">
        <v>66458.89715305543</v>
      </c>
      <c r="N25" s="491" t="n">
        <v>59813.00743774987</v>
      </c>
      <c r="O25" s="492" t="n">
        <v>73104.78686836096</v>
      </c>
    </row>
    <row r="26" outlineLevel="1" customFormat="1" s="61">
      <c r="A26" s="294" t="n"/>
      <c r="B26" s="294" t="n"/>
      <c r="C26" s="212" t="n"/>
      <c r="D26" s="61" t="n"/>
      <c r="E26" s="308" t="str">
        <f>"Operating revenue FY"&amp;F26</f>
        <v>Operating revenue FY2024</v>
      </c>
      <c r="F26" s="442" t="n">
        <v>2024</v>
      </c>
      <c r="G26" s="308" t="inlineStr">
        <is>
          <t>$ 000s</t>
        </is>
      </c>
      <c r="H26" s="496">
        <f>SUMIFS(FinStat!$J$9:$CO$9,FinStat!$J$4:$CO$4,$F26)</f>
        <v>70598.70821135874</v>
      </c>
      <c r="I26" s="61" t="n"/>
      <c r="J26" s="226">
        <f> IF(ABS(K26) &gt; CHK_TOL, 1, 0)</f>
        <v>1.0</v>
      </c>
      <c r="K26" s="488">
        <f> H26 - INDEX(M26:O26, $J$5)</f>
        <v>70598.70821135874</v>
      </c>
      <c r="L26" s="489">
        <f> IF(ABS(K26) &gt; CHK_TOL, IF(INDEX(M26:O26, $J$5) = 0, 0, H26 / INDEX(M26:O26, $J$5) - 1), 0)</f>
        <v>0.0</v>
      </c>
      <c r="M26" s="490" t="n">
        <v>70598.70821135874</v>
      </c>
      <c r="N26" s="491" t="n">
        <v>63538.83739022286</v>
      </c>
      <c r="O26" s="492" t="n">
        <v>77658.57903249463</v>
      </c>
    </row>
    <row r="27" outlineLevel="1" customFormat="1" s="260">
      <c r="A27" s="263" t="n"/>
      <c r="B27" s="263" t="n"/>
      <c r="C27" s="264" t="n"/>
      <c r="D27" s="260" t="n"/>
      <c r="E27" s="305" t="str">
        <f>"Operating revenue FY"&amp;F27</f>
        <v>Operating revenue FY2025</v>
      </c>
      <c r="F27" s="441" t="n">
        <v>2025</v>
      </c>
      <c r="G27" s="305" t="inlineStr">
        <is>
          <t>$ 000s</t>
        </is>
      </c>
      <c r="H27" s="503">
        <f>SUMIFS(FinStat!$J$9:$CO$9,FinStat!$J$4:$CO$4,$F27)</f>
        <v>72981.1159969306</v>
      </c>
      <c r="I27" s="260" t="n"/>
      <c r="J27" s="265">
        <f> IF(ABS(K27) &gt; CHK_TOL, 1, 0)</f>
        <v>1.0</v>
      </c>
      <c r="K27" s="504">
        <f> H27 - INDEX(M27:O27, $J$5)</f>
        <v>72981.1159969306</v>
      </c>
      <c r="L27" s="499">
        <f> IF(ABS(K27) &gt; CHK_TOL, IF(INDEX(M27:O27, $J$5) = 0, 0, H27 / INDEX(M27:O27, $J$5) - 1), 0)</f>
        <v>0.0</v>
      </c>
      <c r="M27" s="505" t="n">
        <v>72981.1159969306</v>
      </c>
      <c r="N27" s="506" t="n">
        <v>65683.00439723753</v>
      </c>
      <c r="O27" s="507" t="n">
        <v>80279.22759662366</v>
      </c>
    </row>
    <row r="28" outlineLevel="1" customFormat="1" s="61">
      <c r="A28" s="294" t="n"/>
      <c r="B28" s="294" t="n"/>
      <c r="C28" s="212" t="n"/>
      <c r="D28" s="61" t="n"/>
      <c r="E28" s="61" t="str">
        <f>"Operating revenue FY"&amp;F28</f>
        <v>Operating revenue FY2026</v>
      </c>
      <c r="F28" s="443" t="n">
        <v>2026</v>
      </c>
      <c r="G28" s="61" t="inlineStr">
        <is>
          <t>$ 000s</t>
        </is>
      </c>
      <c r="H28" s="488">
        <f>SUMIFS(FinStat!$J$9:$CO$9,FinStat!$J$4:$CO$4,$F28)</f>
        <v>76493.10685181228</v>
      </c>
      <c r="I28" s="61" t="n"/>
      <c r="J28" s="226">
        <f> IF(ABS(K28) &gt; CHK_TOL, 1, 0)</f>
        <v>1.0</v>
      </c>
      <c r="K28" s="488">
        <f> H28 - INDEX(M28:O28, $J$5)</f>
        <v>76493.10685181228</v>
      </c>
      <c r="L28" s="489">
        <f> IF(ABS(K28) &gt; CHK_TOL, IF(INDEX(M28:O28, $J$5) = 0, 0, H28 / INDEX(M28:O28, $J$5) - 1), 0)</f>
        <v>0.0</v>
      </c>
      <c r="M28" s="490" t="n">
        <v>76493.10685181228</v>
      </c>
      <c r="N28" s="491" t="n">
        <v>68843.79616663104</v>
      </c>
      <c r="O28" s="492" t="n">
        <v>84142.41753699351</v>
      </c>
    </row>
    <row r="29" outlineLevel="1" customFormat="1" s="61">
      <c r="A29" s="294" t="n"/>
      <c r="B29" s="294" t="n"/>
      <c r="C29" s="212" t="n"/>
      <c r="D29" s="61" t="n"/>
      <c r="E29" s="61" t="str">
        <f>"Operating revenue FY"&amp;F29</f>
        <v>Operating revenue FY2027</v>
      </c>
      <c r="F29" s="443" t="n">
        <v>2027</v>
      </c>
      <c r="G29" s="61" t="inlineStr">
        <is>
          <t>$ 000s</t>
        </is>
      </c>
      <c r="H29" s="488">
        <f>SUMIFS(FinStat!$J$9:$CO$9,FinStat!$J$4:$CO$4,$F29)</f>
        <v>80130.14919608881</v>
      </c>
      <c r="I29" s="61" t="n"/>
      <c r="J29" s="226">
        <f> IF(ABS(K29) &gt; CHK_TOL, 1, 0)</f>
        <v>1.0</v>
      </c>
      <c r="K29" s="488">
        <f> H29 - INDEX(M29:O29, $J$5)</f>
        <v>80130.14919608881</v>
      </c>
      <c r="L29" s="489">
        <f> IF(ABS(K29) &gt; CHK_TOL, IF(INDEX(M29:O29, $J$5) = 0, 0, H29 / INDEX(M29:O29, $J$5) - 1), 0)</f>
        <v>0.0</v>
      </c>
      <c r="M29" s="490" t="n">
        <v>80130.14919608881</v>
      </c>
      <c r="N29" s="491" t="n">
        <v>72117.13427647992</v>
      </c>
      <c r="O29" s="492" t="n">
        <v>88143.16411569768</v>
      </c>
    </row>
    <row r="30" customFormat="1" s="297">
      <c r="A30" s="303" t="inlineStr">
        <is>
          <t>CASH FLOW CASCADE</t>
        </is>
      </c>
      <c r="B30" s="303" t="n"/>
      <c r="C30" s="302" t="n"/>
      <c r="F30" s="301" t="n"/>
      <c r="K30" s="298" t="n"/>
      <c r="L30" s="405" t="n"/>
      <c r="N30" s="299" t="n"/>
      <c r="O30" s="298" t="n"/>
    </row>
    <row r="31" outlineLevel="1" customFormat="1" s="61">
      <c r="A31" s="294" t="n"/>
      <c r="B31" s="294" t="n"/>
      <c r="C31" s="212" t="n"/>
      <c r="D31" s="61" t="n"/>
      <c r="E31" s="61" t="inlineStr">
        <is>
          <t>Operating revenue received</t>
        </is>
      </c>
      <c r="F31" s="61" t="n"/>
      <c r="G31" s="61" t="inlineStr">
        <is>
          <t>$ 000s</t>
        </is>
      </c>
      <c r="H31" s="488">
        <f>FinStat!H30</f>
        <v>1941568.6331634293</v>
      </c>
      <c r="I31" s="61" t="n"/>
      <c r="J31" s="226">
        <f> IF(ABS(K31) &gt; CHK_TOL, 1, 0)</f>
        <v>1.0</v>
      </c>
      <c r="K31" s="488">
        <f> H31 - INDEX(M31:O31, $J$5)</f>
        <v>1941568.6331634293</v>
      </c>
      <c r="L31" s="489">
        <f> IF(ABS(K31) &gt; CHK_TOL, IF(INDEX(M31:O31, $J$5) = 0, 0, H31 / INDEX(M31:O31, $J$5) - 1), 0)</f>
        <v>0.0</v>
      </c>
      <c r="M31" s="490" t="n">
        <v>1941568.633163429</v>
      </c>
      <c r="N31" s="491" t="n">
        <v>1747411.769847086</v>
      </c>
      <c r="O31" s="492" t="n">
        <v>2135725.496479772</v>
      </c>
    </row>
    <row r="32" outlineLevel="1" customFormat="1" s="61">
      <c r="A32" s="294" t="n"/>
      <c r="B32" s="294" t="n"/>
      <c r="C32" s="212" t="n"/>
      <c r="D32" s="61" t="n"/>
      <c r="E32" s="325" t="inlineStr">
        <is>
          <t>Operating cost paid</t>
        </is>
      </c>
      <c r="F32" s="325" t="n"/>
      <c r="G32" s="325" t="inlineStr">
        <is>
          <t>$ 000s</t>
        </is>
      </c>
      <c r="H32" s="494">
        <f>FinStat!H31</f>
        <v>-1152373.432337585</v>
      </c>
      <c r="I32" s="61" t="n"/>
      <c r="J32" s="226">
        <f> IF(ABS(K32) &gt; CHK_TOL, 1, 0)</f>
        <v>1.0</v>
      </c>
      <c r="K32" s="488">
        <f> H32 - INDEX(M32:O32, $J$5)</f>
        <v>-1152373.432337585</v>
      </c>
      <c r="L32" s="489">
        <f> IF(ABS(K32) &gt; CHK_TOL, IF(INDEX(M32:O32, $J$5) = 0, 0, H32 / INDEX(M32:O32, $J$5) - 1), 0)</f>
        <v>0.0</v>
      </c>
      <c r="M32" s="490" t="n">
        <v>-1152373.432337585</v>
      </c>
      <c r="N32" s="491" t="n">
        <v>-1162860.872371654</v>
      </c>
      <c r="O32" s="492" t="n">
        <v>-1152373.432337585</v>
      </c>
    </row>
    <row r="33" outlineLevel="1" customFormat="1" s="61">
      <c r="A33" s="294" t="n"/>
      <c r="B33" s="294" t="n"/>
      <c r="C33" s="212" t="n"/>
      <c r="D33" s="61" t="n"/>
      <c r="E33" s="325" t="inlineStr">
        <is>
          <t>Operating cash flow</t>
        </is>
      </c>
      <c r="F33" s="325" t="n"/>
      <c r="G33" s="325" t="inlineStr">
        <is>
          <t>$ 000s</t>
        </is>
      </c>
      <c r="H33" s="494">
        <f>FinStat!H32</f>
        <v>789195.2008258443</v>
      </c>
      <c r="I33" s="61" t="n"/>
      <c r="J33" s="226">
        <f> IF(ABS(K33) &gt; CHK_TOL, 1, 0)</f>
        <v>1.0</v>
      </c>
      <c r="K33" s="488">
        <f> H33 - INDEX(M33:O33, $J$5)</f>
        <v>789195.2008258443</v>
      </c>
      <c r="L33" s="489">
        <f> IF(ABS(K33) &gt; CHK_TOL, IF(INDEX(M33:O33, $J$5) = 0, 0, H33 / INDEX(M33:O33, $J$5) - 1), 0)</f>
        <v>0.0</v>
      </c>
      <c r="M33" s="490" t="n">
        <v>789195.2008258443</v>
      </c>
      <c r="N33" s="491" t="n">
        <v>584550.8974754318</v>
      </c>
      <c r="O33" s="492" t="n">
        <v>983352.0641421876</v>
      </c>
    </row>
    <row r="34" outlineLevel="1" customFormat="1" s="260">
      <c r="A34" s="263" t="n"/>
      <c r="B34" s="263" t="n"/>
      <c r="C34" s="264" t="n"/>
      <c r="D34" s="260" t="n"/>
      <c r="E34" s="295" t="inlineStr">
        <is>
          <t>Capital expenditure</t>
        </is>
      </c>
      <c r="F34" s="295" t="n"/>
      <c r="G34" s="295" t="inlineStr">
        <is>
          <t>$ 000s</t>
        </is>
      </c>
      <c r="H34" s="513">
        <f>FinStat!H34</f>
        <v>-8000.0</v>
      </c>
      <c r="I34" s="260" t="n"/>
      <c r="J34" s="265">
        <f> IF(ABS(K34) &gt; CHK_TOL, 1, 0)</f>
        <v>1.0</v>
      </c>
      <c r="K34" s="504">
        <f> H34 - INDEX(M34:O34, $J$5)</f>
        <v>-8000.0</v>
      </c>
      <c r="L34" s="499">
        <f> IF(ABS(K34) &gt; CHK_TOL, IF(INDEX(M34:O34, $J$5) = 0, 0, H34 / INDEX(M34:O34, $J$5) - 1), 0)</f>
        <v>0.0</v>
      </c>
      <c r="M34" s="505" t="n">
        <v>-8000</v>
      </c>
      <c r="N34" s="506" t="n">
        <v>-8000</v>
      </c>
      <c r="O34" s="507" t="n">
        <v>-8000</v>
      </c>
    </row>
    <row r="35" outlineLevel="1" customFormat="1" s="61">
      <c r="A35" s="294" t="n"/>
      <c r="B35" s="294" t="n"/>
      <c r="C35" s="212" t="n"/>
      <c r="D35" s="61" t="n"/>
      <c r="E35" s="325" t="inlineStr">
        <is>
          <t>Pre-tax pre-financing cash flow</t>
        </is>
      </c>
      <c r="F35" s="325" t="n"/>
      <c r="G35" s="325" t="inlineStr">
        <is>
          <t>$ 000s</t>
        </is>
      </c>
      <c r="H35" s="494">
        <f>FinStat!H35</f>
        <v>781195.2008258443</v>
      </c>
      <c r="I35" s="61" t="n"/>
      <c r="J35" s="226">
        <f> IF(ABS(K35) &gt; CHK_TOL, 1, 0)</f>
        <v>1.0</v>
      </c>
      <c r="K35" s="488">
        <f> H35 - INDEX(M35:O35, $J$5)</f>
        <v>781195.2008258443</v>
      </c>
      <c r="L35" s="489">
        <f> IF(ABS(K35) &gt; CHK_TOL, IF(INDEX(M35:O35, $J$5) = 0, 0, H35 / INDEX(M35:O35, $J$5) - 1), 0)</f>
        <v>0.0</v>
      </c>
      <c r="M35" s="490" t="n">
        <v>781195.2008258443</v>
      </c>
      <c r="N35" s="491" t="n">
        <v>576550.8974754318</v>
      </c>
      <c r="O35" s="492" t="n">
        <v>975352.0641421876</v>
      </c>
    </row>
    <row r="36" outlineLevel="1" customFormat="1" s="61">
      <c r="A36" s="294" t="n"/>
      <c r="B36" s="294" t="n"/>
      <c r="C36" s="212" t="n"/>
      <c r="D36" s="61" t="n"/>
      <c r="E36" s="325" t="inlineStr">
        <is>
          <t>Tax paid</t>
        </is>
      </c>
      <c r="F36" s="325" t="n"/>
      <c r="G36" s="325" t="inlineStr">
        <is>
          <t>$ 000s</t>
        </is>
      </c>
      <c r="H36" s="494">
        <f>FinStat!H37</f>
        <v>-198871.2602477531</v>
      </c>
      <c r="I36" s="61" t="n"/>
      <c r="J36" s="226">
        <f> IF(ABS(K36) &gt; CHK_TOL, 1, 0)</f>
        <v>1.0</v>
      </c>
      <c r="K36" s="488">
        <f> H36 - INDEX(M36:O36, $J$5)</f>
        <v>-198871.2602477531</v>
      </c>
      <c r="L36" s="489">
        <f> IF(ABS(K36) &gt; CHK_TOL, IF(INDEX(M36:O36, $J$5) = 0, 0, H36 / INDEX(M36:O36, $J$5) - 1), 0)</f>
        <v>0.0</v>
      </c>
      <c r="M36" s="490" t="n">
        <v>-198871.2602477531</v>
      </c>
      <c r="N36" s="491" t="n">
        <v>-137477.9692426293</v>
      </c>
      <c r="O36" s="492" t="n">
        <v>-257118.3192426561</v>
      </c>
    </row>
    <row r="37" outlineLevel="1" customFormat="1" s="260">
      <c r="A37" s="263" t="n"/>
      <c r="B37" s="263" t="n"/>
      <c r="C37" s="264" t="n"/>
      <c r="D37" s="260" t="n"/>
      <c r="E37" s="295" t="inlineStr">
        <is>
          <t>CFADS</t>
        </is>
      </c>
      <c r="F37" s="295" t="n"/>
      <c r="G37" s="295" t="inlineStr">
        <is>
          <t>$ 000s</t>
        </is>
      </c>
      <c r="H37" s="513">
        <f>FinStat!H38</f>
        <v>582323.9405780912</v>
      </c>
      <c r="I37" s="260" t="n"/>
      <c r="J37" s="265">
        <f> IF(ABS(K37) &gt; CHK_TOL, 1, 0)</f>
        <v>1.0</v>
      </c>
      <c r="K37" s="504">
        <f> H37 - INDEX(M37:O37, $J$5)</f>
        <v>582323.9405780912</v>
      </c>
      <c r="L37" s="499">
        <f> IF(ABS(K37) &gt; CHK_TOL, IF(INDEX(M37:O37, $J$5) = 0, 0, H37 / INDEX(M37:O37, $J$5) - 1), 0)</f>
        <v>0.0</v>
      </c>
      <c r="M37" s="505" t="n">
        <v>582323.9405780912</v>
      </c>
      <c r="N37" s="506" t="n">
        <v>439072.9282328024</v>
      </c>
      <c r="O37" s="507" t="n">
        <v>718233.7448995315</v>
      </c>
    </row>
    <row r="38" outlineLevel="1" customFormat="1" s="61">
      <c r="A38" s="294" t="n"/>
      <c r="B38" s="294" t="n"/>
      <c r="C38" s="212" t="n"/>
      <c r="D38" s="61" t="n"/>
      <c r="E38" s="325" t="inlineStr">
        <is>
          <t>Senior debt interest paid</t>
        </is>
      </c>
      <c r="F38" s="325" t="n"/>
      <c r="G38" s="325" t="inlineStr">
        <is>
          <t>$ 000s</t>
        </is>
      </c>
      <c r="H38" s="494">
        <f>FinStat!H40</f>
        <v>-18291.000000000673</v>
      </c>
      <c r="I38" s="61" t="n"/>
      <c r="J38" s="226">
        <f> IF(ABS(K38) &gt; CHK_TOL, 1, 0)</f>
        <v>1.0</v>
      </c>
      <c r="K38" s="488">
        <f> H38 - INDEX(M38:O38, $J$5)</f>
        <v>-18291.000000000673</v>
      </c>
      <c r="L38" s="489">
        <f> IF(ABS(K38) &gt; CHK_TOL, IF(INDEX(M38:O38, $J$5) = 0, 0, H38 / INDEX(M38:O38, $J$5) - 1), 0)</f>
        <v>0.0</v>
      </c>
      <c r="M38" s="490" t="n">
        <v>-18291.00000000067</v>
      </c>
      <c r="N38" s="491" t="n">
        <v>-18291.00000000067</v>
      </c>
      <c r="O38" s="492" t="n">
        <v>-18291.00000000067</v>
      </c>
    </row>
    <row r="39" outlineLevel="1" customFormat="1" s="61">
      <c r="A39" s="294" t="n"/>
      <c r="B39" s="294" t="n"/>
      <c r="C39" s="212" t="n"/>
      <c r="D39" s="61" t="n"/>
      <c r="E39" s="325" t="inlineStr">
        <is>
          <t>Senior debt principal repaid</t>
        </is>
      </c>
      <c r="F39" s="325" t="n"/>
      <c r="G39" s="325" t="inlineStr">
        <is>
          <t>$ 000s</t>
        </is>
      </c>
      <c r="H39" s="494">
        <f>FinStat!H41</f>
        <v>-59999.9999999994</v>
      </c>
      <c r="I39" s="61" t="n"/>
      <c r="J39" s="226">
        <f> IF(ABS(K39) &gt; CHK_TOL, 1, 0)</f>
        <v>1.0</v>
      </c>
      <c r="K39" s="488">
        <f> H39 - INDEX(M39:O39, $J$5)</f>
        <v>-59999.9999999994</v>
      </c>
      <c r="L39" s="489">
        <f> IF(ABS(K39) &gt; CHK_TOL, IF(INDEX(M39:O39, $J$5) = 0, 0, H39 / INDEX(M39:O39, $J$5) - 1), 0)</f>
        <v>0.0</v>
      </c>
      <c r="M39" s="490" t="n">
        <v>-59999.9999999994</v>
      </c>
      <c r="N39" s="491" t="n">
        <v>-59999.9999999994</v>
      </c>
      <c r="O39" s="492" t="n">
        <v>-59999.9999999994</v>
      </c>
    </row>
    <row r="40" outlineLevel="1" customFormat="1" s="260">
      <c r="A40" s="263" t="n"/>
      <c r="B40" s="263" t="n"/>
      <c r="C40" s="264" t="n"/>
      <c r="D40" s="260" t="n"/>
      <c r="E40" s="295" t="inlineStr">
        <is>
          <t>Cash flow available to shareholders</t>
        </is>
      </c>
      <c r="F40" s="295" t="n"/>
      <c r="G40" s="295" t="inlineStr">
        <is>
          <t>$ 000s</t>
        </is>
      </c>
      <c r="H40" s="513">
        <f>FinStat!H42</f>
        <v>504032.94057809113</v>
      </c>
      <c r="I40" s="260" t="n"/>
      <c r="J40" s="265">
        <f> IF(ABS(K40) &gt; CHK_TOL, 1, 0)</f>
        <v>1.0</v>
      </c>
      <c r="K40" s="504">
        <f> H40 - INDEX(M40:O40, $J$5)</f>
        <v>504032.94057809113</v>
      </c>
      <c r="L40" s="499">
        <f> IF(ABS(K40) &gt; CHK_TOL, IF(INDEX(M40:O40, $J$5) = 0, 0, H40 / INDEX(M40:O40, $J$5) - 1), 0)</f>
        <v>0.0</v>
      </c>
      <c r="M40" s="505" t="n">
        <v>504032.9405780911</v>
      </c>
      <c r="N40" s="506" t="n">
        <v>360781.9282328023</v>
      </c>
      <c r="O40" s="507" t="n">
        <v>639942.7448995314</v>
      </c>
    </row>
    <row r="41" outlineLevel="1" customFormat="1" s="61">
      <c r="A41" s="294" t="n"/>
      <c r="B41" s="294" t="n"/>
      <c r="C41" s="212" t="n"/>
      <c r="D41" s="61" t="n"/>
      <c r="E41" s="325" t="inlineStr">
        <is>
          <t>Share capital redemption</t>
        </is>
      </c>
      <c r="F41" s="325" t="n"/>
      <c r="G41" s="325" t="inlineStr">
        <is>
          <t>$ 000s</t>
        </is>
      </c>
      <c r="H41" s="494">
        <f>FinStat!H44</f>
        <v>-40000.0</v>
      </c>
      <c r="I41" s="61" t="n"/>
      <c r="J41" s="226">
        <f> IF(ABS(K41) &gt; CHK_TOL, 1, 0)</f>
        <v>1.0</v>
      </c>
      <c r="K41" s="488">
        <f> H41 - INDEX(M41:O41, $J$5)</f>
        <v>-40000.0</v>
      </c>
      <c r="L41" s="489">
        <f> IF(ABS(K41) &gt; CHK_TOL, IF(INDEX(M41:O41, $J$5) = 0, 0, H41 / INDEX(M41:O41, $J$5) - 1), 0)</f>
        <v>0.0</v>
      </c>
      <c r="M41" s="490" t="n">
        <v>-40000</v>
      </c>
      <c r="N41" s="491" t="n">
        <v>-40000</v>
      </c>
      <c r="O41" s="492" t="n">
        <v>-40000</v>
      </c>
    </row>
    <row r="42" outlineLevel="1" customFormat="1" s="61">
      <c r="A42" s="294" t="n"/>
      <c r="B42" s="294" t="n"/>
      <c r="C42" s="212" t="n"/>
      <c r="D42" s="61" t="n"/>
      <c r="E42" s="325" t="inlineStr">
        <is>
          <t>Cash flow available for dividends</t>
        </is>
      </c>
      <c r="F42" s="325" t="n"/>
      <c r="G42" s="325" t="inlineStr">
        <is>
          <t>$ 000s</t>
        </is>
      </c>
      <c r="H42" s="494">
        <f>FinStat!H45</f>
        <v>464032.94057809113</v>
      </c>
      <c r="I42" s="61" t="n"/>
      <c r="J42" s="226">
        <f> IF(ABS(K42) &gt; CHK_TOL, 1, 0)</f>
        <v>1.0</v>
      </c>
      <c r="K42" s="488">
        <f> H42 - INDEX(M42:O42, $J$5)</f>
        <v>464032.94057809113</v>
      </c>
      <c r="L42" s="489">
        <f> IF(ABS(K42) &gt; CHK_TOL, IF(INDEX(M42:O42, $J$5) = 0, 0, H42 / INDEX(M42:O42, $J$5) - 1), 0)</f>
        <v>0.0</v>
      </c>
      <c r="M42" s="490" t="n">
        <v>464032.9405780911</v>
      </c>
      <c r="N42" s="491" t="n">
        <v>320781.9282328023</v>
      </c>
      <c r="O42" s="492" t="n">
        <v>599942.7448995314</v>
      </c>
    </row>
    <row r="43" outlineLevel="1" customFormat="1" s="61">
      <c r="A43" s="294" t="n"/>
      <c r="B43" s="294" t="n"/>
      <c r="C43" s="212" t="n"/>
      <c r="D43" s="61" t="n"/>
      <c r="E43" s="325" t="inlineStr">
        <is>
          <t>Dividends paid</t>
        </is>
      </c>
      <c r="F43" s="325" t="n"/>
      <c r="G43" s="325" t="inlineStr">
        <is>
          <t>$ 000s</t>
        </is>
      </c>
      <c r="H43" s="494">
        <f>FinStat!H47</f>
        <v>-464032.94057809055</v>
      </c>
      <c r="I43" s="61" t="n"/>
      <c r="J43" s="226">
        <f> IF(ABS(K43) &gt; CHK_TOL, 1, 0)</f>
        <v>1.0</v>
      </c>
      <c r="K43" s="488">
        <f> H43 - INDEX(M43:O43, $J$5)</f>
        <v>-464032.94057809055</v>
      </c>
      <c r="L43" s="489">
        <f> IF(ABS(K43) &gt; CHK_TOL, IF(INDEX(M43:O43, $J$5) = 0, 0, H43 / INDEX(M43:O43, $J$5) - 1), 0)</f>
        <v>0.0</v>
      </c>
      <c r="M43" s="490" t="n">
        <v>-464032.9405780906</v>
      </c>
      <c r="N43" s="491" t="n">
        <v>-320781.9282328017</v>
      </c>
      <c r="O43" s="492" t="n">
        <v>-599942.7448995309</v>
      </c>
    </row>
    <row r="44" outlineLevel="1" customFormat="1" s="260">
      <c r="A44" s="263" t="n"/>
      <c r="B44" s="263" t="n"/>
      <c r="C44" s="264" t="n"/>
      <c r="D44" s="260" t="n"/>
      <c r="E44" s="295" t="inlineStr">
        <is>
          <t>Net cash flow</t>
        </is>
      </c>
      <c r="F44" s="295" t="n"/>
      <c r="G44" s="295" t="inlineStr">
        <is>
          <t>$ 000s</t>
        </is>
      </c>
      <c r="H44" s="513">
        <f>FinStat!H48</f>
        <v>5.529054988073767e-10</v>
      </c>
      <c r="I44" s="260" t="n"/>
      <c r="J44" s="265">
        <f> IF(ABS(K44) &gt; CHK_TOL, 1, 0)</f>
        <v>0.0</v>
      </c>
      <c r="K44" s="504">
        <f> H44 - INDEX(M44:O44, $J$5)</f>
        <v>5.529054988073767e-10</v>
      </c>
      <c r="L44" s="499">
        <f> IF(ABS(K44) &gt; CHK_TOL, IF(INDEX(M44:O44, $J$5) = 0, 0, H44 / INDEX(M44:O44, $J$5) - 1), 0)</f>
        <v>0.0</v>
      </c>
      <c r="M44" s="505" t="n">
        <v>5.529054988073767e-10</v>
      </c>
      <c r="N44" s="506" t="n">
        <v>5.692764034392894e-10</v>
      </c>
      <c r="O44" s="507" t="n">
        <v>5.892852868782938e-10</v>
      </c>
    </row>
    <row r="45" outlineLevel="1" customFormat="1" s="61">
      <c r="A45" s="294" t="n"/>
      <c r="B45" s="294" t="n"/>
      <c r="C45" s="212" t="n"/>
      <c r="D45" s="61" t="n"/>
      <c r="E45" s="325" t="str">
        <f>"CFADS FY"&amp;F45</f>
        <v>CFADS FY2022</v>
      </c>
      <c r="F45" s="445" t="n">
        <v>2022</v>
      </c>
      <c r="G45" s="325" t="inlineStr">
        <is>
          <t>$ 000s</t>
        </is>
      </c>
      <c r="H45" s="494">
        <f>SUMIFS(FinStat!$J$38:$CO$38,FinStat!$J$4:$CO$4,$F45)</f>
        <v>21837.646838096494</v>
      </c>
      <c r="I45" s="61" t="n"/>
      <c r="J45" s="226">
        <f> IF(ABS(K45) &gt; CHK_TOL, 1, 0)</f>
        <v>1.0</v>
      </c>
      <c r="K45" s="488">
        <f> H45 - INDEX(M45:O45, $J$5)</f>
        <v>21837.646838096494</v>
      </c>
      <c r="L45" s="489">
        <f> IF(ABS(K45) &gt; CHK_TOL, IF(INDEX(M45:O45, $J$5) = 0, 0, H45 / INDEX(M45:O45, $J$5) - 1), 0)</f>
        <v>0.0</v>
      </c>
      <c r="M45" s="490" t="n">
        <v>21837.64683809649</v>
      </c>
      <c r="N45" s="491" t="n">
        <v>17638.46947720506</v>
      </c>
      <c r="O45" s="492" t="n">
        <v>25810.17339426035</v>
      </c>
    </row>
    <row r="46" outlineLevel="1" customFormat="1" s="61">
      <c r="A46" s="294" t="n"/>
      <c r="B46" s="294" t="n"/>
      <c r="C46" s="212" t="n"/>
      <c r="D46" s="61" t="n"/>
      <c r="E46" s="325" t="str">
        <f>"CFADS FY"&amp;F46</f>
        <v>CFADS FY2023</v>
      </c>
      <c r="F46" s="445" t="n">
        <v>2023</v>
      </c>
      <c r="G46" s="325" t="inlineStr">
        <is>
          <t>$ 000s</t>
        </is>
      </c>
      <c r="H46" s="494">
        <f>SUMIFS(FinStat!$J$38:$CO$38,FinStat!$J$4:$CO$4,$F46)</f>
        <v>19797.861511901454</v>
      </c>
      <c r="I46" s="61" t="n"/>
      <c r="J46" s="226">
        <f> IF(ABS(K46) &gt; CHK_TOL, 1, 0)</f>
        <v>1.0</v>
      </c>
      <c r="K46" s="488">
        <f> H46 - INDEX(M46:O46, $J$5)</f>
        <v>19797.861511901454</v>
      </c>
      <c r="L46" s="489">
        <f> IF(ABS(K46) &gt; CHK_TOL, IF(INDEX(M46:O46, $J$5) = 0, 0, H46 / INDEX(M46:O46, $J$5) - 1), 0)</f>
        <v>0.0</v>
      </c>
      <c r="M46" s="490" t="n">
        <v>19797.86151190145</v>
      </c>
      <c r="N46" s="491" t="n">
        <v>14891.54005062515</v>
      </c>
      <c r="O46" s="492" t="n">
        <v>24428.68104110718</v>
      </c>
    </row>
    <row r="47" outlineLevel="1" customFormat="1" s="260">
      <c r="A47" s="263" t="n"/>
      <c r="B47" s="263" t="n"/>
      <c r="C47" s="264" t="n"/>
      <c r="D47" s="260" t="n"/>
      <c r="E47" s="295" t="str">
        <f>"CFADS FY"&amp;F47</f>
        <v>CFADS FY2024</v>
      </c>
      <c r="F47" s="446" t="n">
        <v>2024</v>
      </c>
      <c r="G47" s="295" t="inlineStr">
        <is>
          <t>$ 000s</t>
        </is>
      </c>
      <c r="H47" s="513">
        <f>SUMIFS(FinStat!$J$38:$CO$38,FinStat!$J$4:$CO$4,$F47)</f>
        <v>21404.77576540158</v>
      </c>
      <c r="I47" s="260" t="n"/>
      <c r="J47" s="265">
        <f> IF(ABS(K47) &gt; CHK_TOL, 1, 0)</f>
        <v>1.0</v>
      </c>
      <c r="K47" s="504">
        <f> H47 - INDEX(M47:O47, $J$5)</f>
        <v>21404.77576540158</v>
      </c>
      <c r="L47" s="499">
        <f> IF(ABS(K47) &gt; CHK_TOL, IF(INDEX(M47:O47, $J$5) = 0, 0, H47 / INDEX(M47:O47, $J$5) - 1), 0)</f>
        <v>0.0</v>
      </c>
      <c r="M47" s="505" t="n">
        <v>21404.77576540158</v>
      </c>
      <c r="N47" s="506" t="n">
        <v>16201.11114392613</v>
      </c>
      <c r="O47" s="507" t="n">
        <v>26320.52556905919</v>
      </c>
    </row>
    <row r="48" outlineLevel="1" customFormat="1" s="61">
      <c r="A48" s="294" t="n"/>
      <c r="B48" s="294" t="n"/>
      <c r="C48" s="212" t="n"/>
      <c r="D48" s="61" t="n"/>
      <c r="E48" s="325" t="str">
        <f>"CFADS FY"&amp;F48</f>
        <v>CFADS FY2025</v>
      </c>
      <c r="F48" s="445" t="n">
        <v>2025</v>
      </c>
      <c r="G48" s="325" t="inlineStr">
        <is>
          <t>$ 000s</t>
        </is>
      </c>
      <c r="H48" s="494">
        <f>SUMIFS(FinStat!$J$38:$CO$38,FinStat!$J$4:$CO$4,$F48)</f>
        <v>20777.296148377296</v>
      </c>
      <c r="I48" s="61" t="n"/>
      <c r="J48" s="226">
        <f> IF(ABS(K48) &gt; CHK_TOL, 1, 0)</f>
        <v>1.0</v>
      </c>
      <c r="K48" s="488">
        <f> H48 - INDEX(M48:O48, $J$5)</f>
        <v>20777.296148377296</v>
      </c>
      <c r="L48" s="489">
        <f> IF(ABS(K48) &gt; CHK_TOL, IF(INDEX(M48:O48, $J$5) = 0, 0, H48 / INDEX(M48:O48, $J$5) - 1), 0)</f>
        <v>0.0</v>
      </c>
      <c r="M48" s="490" t="n">
        <v>20777.2961483773</v>
      </c>
      <c r="N48" s="491" t="n">
        <v>15384.81349896341</v>
      </c>
      <c r="O48" s="492" t="n">
        <v>25871.76841397818</v>
      </c>
    </row>
    <row r="49" outlineLevel="1" customFormat="1" s="61">
      <c r="A49" s="294" t="n"/>
      <c r="B49" s="294" t="n"/>
      <c r="C49" s="212" t="n"/>
      <c r="D49" s="61" t="n"/>
      <c r="E49" s="325" t="str">
        <f>"CFADS FY"&amp;F49</f>
        <v>CFADS FY2026</v>
      </c>
      <c r="F49" s="445" t="n">
        <v>2026</v>
      </c>
      <c r="G49" s="325" t="inlineStr">
        <is>
          <t>$ 000s</t>
        </is>
      </c>
      <c r="H49" s="494">
        <f>SUMIFS(FinStat!$J$38:$CO$38,FinStat!$J$4:$CO$4,$F49)</f>
        <v>21918.706043567043</v>
      </c>
      <c r="I49" s="61" t="n"/>
      <c r="J49" s="226">
        <f> IF(ABS(K49) &gt; CHK_TOL, 1, 0)</f>
        <v>1.0</v>
      </c>
      <c r="K49" s="488">
        <f> H49 - INDEX(M49:O49, $J$5)</f>
        <v>21918.706043567043</v>
      </c>
      <c r="L49" s="489">
        <f> IF(ABS(K49) &gt; CHK_TOL, IF(INDEX(M49:O49, $J$5) = 0, 0, H49 / INDEX(M49:O49, $J$5) - 1), 0)</f>
        <v>0.0</v>
      </c>
      <c r="M49" s="490" t="n">
        <v>21918.70604356704</v>
      </c>
      <c r="N49" s="491" t="n">
        <v>16289.40662437389</v>
      </c>
      <c r="O49" s="492" t="n">
        <v>27241.0547674328</v>
      </c>
    </row>
    <row r="50" outlineLevel="1" customFormat="1" s="260">
      <c r="A50" s="263" t="n"/>
      <c r="B50" s="263" t="n"/>
      <c r="C50" s="264" t="n"/>
      <c r="D50" s="260" t="n"/>
      <c r="E50" s="295" t="str">
        <f>"CFADS FY"&amp;F50</f>
        <v>CFADS FY2027</v>
      </c>
      <c r="F50" s="446" t="n">
        <v>2027</v>
      </c>
      <c r="G50" s="295" t="inlineStr">
        <is>
          <t>$ 000s</t>
        </is>
      </c>
      <c r="H50" s="513">
        <f>SUMIFS(FinStat!$J$38:$CO$38,FinStat!$J$4:$CO$4,$F50)</f>
        <v>23528.856332450065</v>
      </c>
      <c r="I50" s="260" t="n"/>
      <c r="J50" s="265">
        <f> IF(ABS(K50) &gt; CHK_TOL, 1, 0)</f>
        <v>1.0</v>
      </c>
      <c r="K50" s="504">
        <f> H50 - INDEX(M50:O50, $J$5)</f>
        <v>23528.856332450065</v>
      </c>
      <c r="L50" s="499">
        <f> IF(ABS(K50) &gt; CHK_TOL, IF(INDEX(M50:O50, $J$5) = 0, 0, H50 / INDEX(M50:O50, $J$5) - 1), 0)</f>
        <v>0.0</v>
      </c>
      <c r="M50" s="505" t="n">
        <v>23528.85633245006</v>
      </c>
      <c r="N50" s="506" t="n">
        <v>17619.18376501925</v>
      </c>
      <c r="O50" s="507" t="n">
        <v>29122.36968369365</v>
      </c>
    </row>
    <row r="51" outlineLevel="1" customFormat="1" s="61">
      <c r="A51" s="294" t="n"/>
      <c r="B51" s="294" t="n"/>
      <c r="C51" s="212" t="n"/>
      <c r="D51" s="61" t="n"/>
      <c r="E51" s="61" t="inlineStr">
        <is>
          <t>Total senior debt service</t>
        </is>
      </c>
      <c r="F51" s="61" t="n"/>
      <c r="G51" s="61" t="inlineStr">
        <is>
          <t>$ 000s</t>
        </is>
      </c>
      <c r="H51" s="488">
        <f>FinStat!H88</f>
        <v>78291.0000000001</v>
      </c>
      <c r="I51" s="61" t="n"/>
      <c r="J51" s="226">
        <f> IF(ABS(K51) &gt; CHK_TOL, 1, 0)</f>
        <v>1.0</v>
      </c>
      <c r="K51" s="488">
        <f> H51 - INDEX(M51:O51, $J$5)</f>
        <v>78291.0000000001</v>
      </c>
      <c r="L51" s="489">
        <f> IF(ABS(K51) &gt; CHK_TOL, IF(INDEX(M51:O51, $J$5) = 0, 0, H51 / INDEX(M51:O51, $J$5) - 1), 0)</f>
        <v>0.0</v>
      </c>
      <c r="M51" s="490" t="n">
        <v>78291.0000000001</v>
      </c>
      <c r="N51" s="491" t="n">
        <v>78291.0000000001</v>
      </c>
      <c r="O51" s="492" t="n">
        <v>78291.0000000001</v>
      </c>
    </row>
    <row r="52" outlineLevel="1" customFormat="1" s="61">
      <c r="A52" s="294" t="n"/>
      <c r="B52" s="294" t="n"/>
      <c r="C52" s="212" t="n"/>
      <c r="D52" s="61" t="n"/>
      <c r="E52" s="61" t="inlineStr">
        <is>
          <t>Whole-life cover (CFADS / debt service)</t>
        </is>
      </c>
      <c r="F52" s="61" t="n"/>
      <c r="G52" s="61" t="inlineStr">
        <is>
          <t>x</t>
        </is>
      </c>
      <c r="H52" s="447">
        <f>FinStat!F94</f>
        <v>7.437942299601365</v>
      </c>
      <c r="I52" s="61" t="n"/>
      <c r="J52" s="226">
        <f> IF(ABS(K52) &gt; CHK_TOL, 1, 0)</f>
        <v>1.0</v>
      </c>
      <c r="K52" s="447">
        <f> H52 - INDEX(M52:O52, $J$5)</f>
        <v>7.437942299601365</v>
      </c>
      <c r="L52" s="489">
        <f> IF(ABS(K52) &gt; CHK_TOL, IF(INDEX(M52:O52, $J$5) = 0, 0, H52 / INDEX(M52:O52, $J$5) - 1), 0)</f>
        <v>0.0</v>
      </c>
      <c r="M52" s="448" t="n">
        <v>7.437942299601365</v>
      </c>
      <c r="N52" s="449" t="n">
        <v>5.608217141597397</v>
      </c>
      <c r="O52" s="450" t="n">
        <v>9.173899233622389</v>
      </c>
    </row>
    <row r="53" customFormat="1" s="297">
      <c r="A53" s="303" t="inlineStr">
        <is>
          <t>BALANCE SHEET</t>
        </is>
      </c>
      <c r="B53" s="303" t="n"/>
      <c r="C53" s="302" t="n"/>
      <c r="E53" s="0" t="inlineStr">
        <is>
          <t>Balance sheet date</t>
        </is>
      </c>
      <c r="F53" s="301" t="n"/>
      <c r="G53" s="0" t="inlineStr">
        <is>
          <t>date</t>
        </is>
      </c>
      <c r="H53" s="514" t="n">
        <v>46387</v>
      </c>
      <c r="K53" s="298" t="n"/>
      <c r="L53" s="405" t="n"/>
      <c r="M53" t="n">
        <v>46387</v>
      </c>
      <c r="N53" s="299" t="n">
        <v>46387</v>
      </c>
      <c r="O53" s="298" t="n">
        <v>46387</v>
      </c>
    </row>
    <row r="54" outlineLevel="1" customFormat="1" s="61">
      <c r="A54" s="294" t="n"/>
      <c r="B54" s="294" t="n"/>
      <c r="C54" s="212" t="n"/>
      <c r="D54" s="61" t="n"/>
      <c r="E54" s="61" t="inlineStr">
        <is>
          <t>Non-current assets</t>
        </is>
      </c>
      <c r="F54" s="61" t="n"/>
      <c r="G54" s="61" t="inlineStr">
        <is>
          <t>$ 000s</t>
        </is>
      </c>
      <c r="H54" s="488">
        <f>INDEX(FinStat!$J$58:$CO$58,MATCH($H$53,FinStat!$J$2:$CO$2,0))</f>
        <v>70266.66666666657</v>
      </c>
      <c r="I54" s="61" t="n"/>
      <c r="J54" s="226">
        <f> IF(ABS(K54) &gt; CHK_TOL, 1, 0)</f>
        <v>1.0</v>
      </c>
      <c r="K54" s="488">
        <f> H54 - INDEX(M54:O54, $J$5)</f>
        <v>70266.66666666657</v>
      </c>
      <c r="L54" s="489">
        <f> IF(ABS(K54) &gt; CHK_TOL, IF(INDEX(M54:O54, $J$5) = 0, 0, H54 / INDEX(M54:O54, $J$5) - 1), 0)</f>
        <v>0.0</v>
      </c>
      <c r="M54" s="490" t="n">
        <v>70266.66666666657</v>
      </c>
      <c r="N54" s="491" t="n">
        <v>70266.66666666657</v>
      </c>
      <c r="O54" s="490" t="n">
        <v>70266.66666666657</v>
      </c>
    </row>
    <row r="55" outlineLevel="1" customFormat="1" s="61">
      <c r="A55" s="294" t="n"/>
      <c r="B55" s="294" t="n"/>
      <c r="C55" s="212" t="n"/>
      <c r="D55" s="61" t="n"/>
      <c r="E55" s="325" t="inlineStr">
        <is>
          <t>Receivables</t>
        </is>
      </c>
      <c r="F55" s="325" t="n"/>
      <c r="G55" s="325" t="inlineStr">
        <is>
          <t>$ 000s</t>
        </is>
      </c>
      <c r="H55" s="488">
        <f>INDEX(FinStat!$J$59:$CO$59,MATCH($H$53,FinStat!$J$2:$CO$2,0))</f>
        <v>5199.030827540548</v>
      </c>
      <c r="I55" s="61" t="n"/>
      <c r="J55" s="226">
        <f> IF(ABS(K55) &gt; CHK_TOL, 1, 0)</f>
        <v>1.0</v>
      </c>
      <c r="K55" s="488">
        <f> H55 - INDEX(M55:O55, $J$5)</f>
        <v>5199.030827540548</v>
      </c>
      <c r="L55" s="489">
        <f> IF(ABS(K55) &gt; CHK_TOL, IF(INDEX(M55:O55, $J$5) = 0, 0, H55 / INDEX(M55:O55, $J$5) - 1), 0)</f>
        <v>0.0</v>
      </c>
      <c r="M55" s="490" t="n">
        <v>5199.030827540548</v>
      </c>
      <c r="N55" s="491" t="n">
        <v>4679.127744786492</v>
      </c>
      <c r="O55" s="490" t="n">
        <v>5718.933910294603</v>
      </c>
    </row>
    <row r="56" outlineLevel="1" customFormat="1" s="61">
      <c r="A56" s="294" t="n"/>
      <c r="B56" s="294" t="n"/>
      <c r="C56" s="212" t="n"/>
      <c r="D56" s="61" t="n"/>
      <c r="E56" s="325" t="inlineStr">
        <is>
          <t>Retained cash</t>
        </is>
      </c>
      <c r="F56" s="325" t="n"/>
      <c r="G56" s="325" t="inlineStr">
        <is>
          <t>$ 000s</t>
        </is>
      </c>
      <c r="H56" s="488">
        <f>INDEX(FinStat!$J$60:$CO$60,MATCH($H$53,FinStat!$J$2:$CO$2,0))</f>
        <v>4207.01671124718</v>
      </c>
      <c r="I56" s="61" t="n"/>
      <c r="J56" s="226">
        <f> IF(ABS(K56) &gt; CHK_TOL, 1, 0)</f>
        <v>1.0</v>
      </c>
      <c r="K56" s="488">
        <f> H56 - INDEX(M56:O56, $J$5)</f>
        <v>4207.01671124718</v>
      </c>
      <c r="L56" s="489">
        <f> IF(ABS(K56) &gt; CHK_TOL, IF(INDEX(M56:O56, $J$5) = 0, 0, H56 / INDEX(M56:O56, $J$5) - 1), 0)</f>
        <v>0.0</v>
      </c>
      <c r="M56" s="490" t="n">
        <v>4207.01671124718</v>
      </c>
      <c r="N56" s="491" t="n">
        <v>4769.257876967273</v>
      </c>
      <c r="O56" s="490" t="n">
        <v>3687.113628493124</v>
      </c>
    </row>
    <row r="57" outlineLevel="1" customFormat="1" s="61">
      <c r="A57" s="294" t="n"/>
      <c r="B57" s="294" t="n"/>
      <c r="C57" s="212" t="n"/>
      <c r="D57" s="61" t="n"/>
      <c r="E57" s="325" t="inlineStr">
        <is>
          <t>Total assets</t>
        </is>
      </c>
      <c r="F57" s="325" t="n"/>
      <c r="G57" s="325" t="inlineStr">
        <is>
          <t>$ 000s</t>
        </is>
      </c>
      <c r="H57" s="488">
        <f>INDEX(FinStat!$J$61:$CO$61,MATCH($H$53,FinStat!$J$2:$CO$2,0))</f>
        <v>79672.71420545431</v>
      </c>
      <c r="I57" s="61" t="n"/>
      <c r="J57" s="226">
        <f> IF(ABS(K57) &gt; CHK_TOL, 1, 0)</f>
        <v>1.0</v>
      </c>
      <c r="K57" s="488">
        <f> H57 - INDEX(M57:O57, $J$5)</f>
        <v>79672.71420545431</v>
      </c>
      <c r="L57" s="489">
        <f> IF(ABS(K57) &gt; CHK_TOL, IF(INDEX(M57:O57, $J$5) = 0, 0, H57 / INDEX(M57:O57, $J$5) - 1), 0)</f>
        <v>0.0</v>
      </c>
      <c r="M57" s="490" t="n">
        <v>79672.71420545431</v>
      </c>
      <c r="N57" s="491" t="n">
        <v>79715.05228842034</v>
      </c>
      <c r="O57" s="490" t="n">
        <v>79672.71420545431</v>
      </c>
    </row>
    <row r="58" outlineLevel="1" customFormat="1" s="260">
      <c r="A58" s="263" t="n"/>
      <c r="B58" s="263" t="n"/>
      <c r="C58" s="264" t="n"/>
      <c r="D58" s="260" t="n"/>
      <c r="E58" s="295" t="inlineStr">
        <is>
          <t>Payables</t>
        </is>
      </c>
      <c r="F58" s="295" t="n"/>
      <c r="G58" s="295" t="inlineStr">
        <is>
          <t>$ 000s</t>
        </is>
      </c>
      <c r="H58" s="504">
        <f>INDEX(FinStat!$J$64:$CO$64,MATCH($H$53,FinStat!$J$2:$CO$2,0))</f>
        <v>4537.061872194627</v>
      </c>
      <c r="I58" s="260" t="n"/>
      <c r="J58" s="265">
        <f> IF(ABS(K58) &gt; CHK_TOL, 1, 0)</f>
        <v>1.0</v>
      </c>
      <c r="K58" s="504">
        <f> H58 - INDEX(M58:O58, $J$5)</f>
        <v>4537.061872194627</v>
      </c>
      <c r="L58" s="499">
        <f> IF(ABS(K58) &gt; CHK_TOL, IF(INDEX(M58:O58, $J$5) = 0, 0, H58 / INDEX(M58:O58, $J$5) - 1), 0)</f>
        <v>0.0</v>
      </c>
      <c r="M58" s="505" t="n">
        <v>4537.061872194627</v>
      </c>
      <c r="N58" s="506" t="n">
        <v>4579.399955160663</v>
      </c>
      <c r="O58" s="505" t="n">
        <v>4537.061872194627</v>
      </c>
    </row>
    <row r="59" customFormat="1" s="61">
      <c r="A59" s="294" t="n"/>
      <c r="B59" s="294" t="n"/>
      <c r="C59" s="212" t="n"/>
      <c r="D59" s="61" t="n"/>
      <c r="E59" s="325" t="inlineStr">
        <is>
          <t>Senior debt</t>
        </is>
      </c>
      <c r="F59" s="325" t="n"/>
      <c r="G59" s="325" t="inlineStr">
        <is>
          <t>$ 000s</t>
        </is>
      </c>
      <c r="H59" s="488">
        <f>INDEX(FinStat!$J$65:$CO$65,MATCH($H$53,FinStat!$J$2:$CO$2,0))</f>
        <v>26000.00000000037</v>
      </c>
      <c r="I59" s="61" t="n"/>
      <c r="J59" s="226">
        <f> IF(ABS(K59) &gt; CHK_TOL, 1, 0)</f>
        <v>1.0</v>
      </c>
      <c r="K59" s="488">
        <f> H59 - INDEX(M59:O59, $J$5)</f>
        <v>26000.00000000037</v>
      </c>
      <c r="L59" s="489">
        <f> IF(ABS(K59) &gt; CHK_TOL, IF(INDEX(M59:O59, $J$5) = 0, 0, H59 / INDEX(M59:O59, $J$5) - 1), 0)</f>
        <v>0.0</v>
      </c>
      <c r="M59" s="490" t="n">
        <v>26000.00000000037</v>
      </c>
      <c r="N59" s="491" t="n">
        <v>26000.00000000037</v>
      </c>
      <c r="O59" s="490" t="n">
        <v>26000.00000000037</v>
      </c>
    </row>
    <row r="60" outlineLevel="1" customFormat="1" s="61">
      <c r="A60" s="294" t="n"/>
      <c r="B60" s="294" t="n"/>
      <c r="C60" s="212" t="n"/>
      <c r="D60" s="61" t="n"/>
      <c r="E60" s="325" t="inlineStr">
        <is>
          <t>Deferred tax</t>
        </is>
      </c>
      <c r="F60" s="325" t="n"/>
      <c r="G60" s="325" t="inlineStr">
        <is>
          <t>$ 000s</t>
        </is>
      </c>
      <c r="H60" s="488">
        <f>INDEX(FinStat!$J$66:$CO$66,MATCH($H$53,FinStat!$J$2:$CO$2,0))</f>
        <v>9135.65233325943</v>
      </c>
      <c r="I60" s="61" t="n"/>
      <c r="J60" s="226">
        <f> IF(ABS(K60) &gt; CHK_TOL, 1, 0)</f>
        <v>1.0</v>
      </c>
      <c r="K60" s="488">
        <f> H60 - INDEX(M60:O60, $J$5)</f>
        <v>9135.65233325943</v>
      </c>
      <c r="L60" s="489">
        <f> IF(ABS(K60) &gt; CHK_TOL, IF(INDEX(M60:O60, $J$5) = 0, 0, H60 / INDEX(M60:O60, $J$5) - 1), 0)</f>
        <v>0.0</v>
      </c>
      <c r="M60" s="490" t="n">
        <v>9135.65233325943</v>
      </c>
      <c r="N60" s="491" t="n">
        <v>9135.652333259426</v>
      </c>
      <c r="O60" s="490" t="n">
        <v>9135.65233325943</v>
      </c>
    </row>
    <row r="61" outlineLevel="1" customFormat="1" s="61">
      <c r="A61" s="294" t="n"/>
      <c r="B61" s="294" t="n"/>
      <c r="C61" s="212" t="n"/>
      <c r="D61" s="61" t="n"/>
      <c r="E61" s="325" t="inlineStr">
        <is>
          <t>Share capital</t>
        </is>
      </c>
      <c r="F61" s="325" t="n"/>
      <c r="G61" s="325" t="inlineStr">
        <is>
          <t>$ 000s</t>
        </is>
      </c>
      <c r="H61" s="488">
        <f>INDEX(FinStat!$J$67:$CO$67,MATCH($H$53,FinStat!$J$2:$CO$2,0))</f>
        <v>40000.0</v>
      </c>
      <c r="I61" s="61" t="n"/>
      <c r="J61" s="226">
        <f> IF(ABS(K61) &gt; CHK_TOL, 1, 0)</f>
        <v>1.0</v>
      </c>
      <c r="K61" s="488">
        <f> H61 - INDEX(M61:O61, $J$5)</f>
        <v>40000.0</v>
      </c>
      <c r="L61" s="489">
        <f> IF(ABS(K61) &gt; CHK_TOL, IF(INDEX(M61:O61, $J$5) = 0, 0, H61 / INDEX(M61:O61, $J$5) - 1), 0)</f>
        <v>0.0</v>
      </c>
      <c r="M61" s="490" t="n">
        <v>40000</v>
      </c>
      <c r="N61" s="491" t="n">
        <v>40000</v>
      </c>
      <c r="O61" s="490" t="n">
        <v>40000</v>
      </c>
    </row>
    <row r="62" outlineLevel="1" customFormat="1" s="61">
      <c r="A62" s="294" t="n"/>
      <c r="B62" s="294" t="n"/>
      <c r="C62" s="212" t="n"/>
      <c r="D62" s="61" t="n"/>
      <c r="E62" s="325" t="inlineStr">
        <is>
          <t>Retained earnings</t>
        </is>
      </c>
      <c r="F62" s="325" t="n"/>
      <c r="G62" s="325" t="inlineStr">
        <is>
          <t>$ 000s</t>
        </is>
      </c>
      <c r="H62" s="488">
        <f>INDEX(FinStat!$J$68:$CO$68,MATCH($H$53,FinStat!$J$2:$CO$2,0))</f>
        <v>0.0</v>
      </c>
      <c r="I62" s="61" t="n"/>
      <c r="J62" s="226">
        <f> IF(ABS(K62) &gt; CHK_TOL, 1, 0)</f>
        <v>0.0</v>
      </c>
      <c r="K62" s="488">
        <f> H62 - INDEX(M62:O62, $J$5)</f>
        <v>0.0</v>
      </c>
      <c r="L62" s="489">
        <f> IF(ABS(K62) &gt; CHK_TOL, IF(INDEX(M62:O62, $J$5) = 0, 0, H62 / INDEX(M62:O62, $J$5) - 1), 0)</f>
        <v>0.0</v>
      </c>
      <c r="M62" s="490" t="n">
        <v>0</v>
      </c>
      <c r="N62" s="491" t="n">
        <v>0</v>
      </c>
      <c r="O62" s="490" t="n">
        <v>0</v>
      </c>
    </row>
    <row r="63" outlineLevel="1" customFormat="1" s="61">
      <c r="A63" s="294" t="n"/>
      <c r="B63" s="294" t="n"/>
      <c r="C63" s="212" t="n"/>
      <c r="D63" s="61" t="n"/>
      <c r="E63" s="325" t="inlineStr">
        <is>
          <t>Total liabilities and shareholder funds</t>
        </is>
      </c>
      <c r="F63" s="325" t="n"/>
      <c r="G63" s="325" t="inlineStr">
        <is>
          <t>$ 000s</t>
        </is>
      </c>
      <c r="H63" s="488">
        <f>INDEX(FinStat!$J$69:$CO$69,MATCH($H$53,FinStat!$J$2:$CO$2,0))</f>
        <v>79672.71420545442</v>
      </c>
      <c r="I63" s="61" t="n"/>
      <c r="J63" s="226">
        <f> IF(ABS(K63) &gt; CHK_TOL, 1, 0)</f>
        <v>1.0</v>
      </c>
      <c r="K63" s="488">
        <f> H63 - INDEX(M63:O63, $J$5)</f>
        <v>79672.71420545442</v>
      </c>
      <c r="L63" s="489">
        <f> IF(ABS(K63) &gt; CHK_TOL, IF(INDEX(M63:O63, $J$5) = 0, 0, H63 / INDEX(M63:O63, $J$5) - 1), 0)</f>
        <v>0.0</v>
      </c>
      <c r="M63" s="490" t="n">
        <v>79672.71420545442</v>
      </c>
      <c r="N63" s="491" t="n">
        <v>79715.05228842045</v>
      </c>
      <c r="O63" s="490" t="n">
        <v>79672.71420545442</v>
      </c>
    </row>
    <row r="64" outlineLevel="1" customFormat="1" s="61">
      <c r="A64" s="294" t="n"/>
      <c r="B64" s="294" t="n"/>
      <c r="C64" s="212" t="n"/>
      <c r="D64" s="61" t="n"/>
      <c r="E64" s="325" t="inlineStr">
        <is>
          <t>Balance check (assets less funding)</t>
        </is>
      </c>
      <c r="F64" s="325" t="n"/>
      <c r="G64" s="325" t="inlineStr">
        <is>
          <t>$ 000s</t>
        </is>
      </c>
      <c r="H64" s="488">
        <f>H57-H63</f>
        <v>-1.1641532182693481e-10</v>
      </c>
      <c r="I64" s="61" t="n"/>
      <c r="J64" s="226">
        <f> IF(ABS(K64) &gt; CHK_TOL, 1, 0)</f>
        <v>0.0</v>
      </c>
      <c r="K64" s="488">
        <f> H64 - INDEX(M64:O64, $J$5)</f>
        <v>-1.1641532182693481e-10</v>
      </c>
      <c r="L64" s="489">
        <f> IF(ABS(K64) &gt; CHK_TOL, IF(INDEX(M64:O64, $J$5) = 0, 0, H64 / INDEX(M64:O64, $J$5) - 1), 0)</f>
        <v>0.0</v>
      </c>
      <c r="M64" s="490" t="n">
        <v>-1.164153218269348e-10</v>
      </c>
      <c r="N64" s="491" t="n">
        <v>-1.164153218269348e-10</v>
      </c>
      <c r="O64" s="490" t="n">
        <v>-1.164153218269348e-10</v>
      </c>
    </row>
    <row r="65" outlineLevel="1" customFormat="1" s="61">
      <c r="A65" s="294" t="n"/>
      <c r="B65" s="294" t="n"/>
      <c r="C65" s="212" t="n"/>
      <c r="D65" s="61" t="n"/>
      <c r="E65" s="325" t="inlineStr">
        <is>
          <t>Net debt (senior debt less cash)</t>
        </is>
      </c>
      <c r="F65" s="325" t="n"/>
      <c r="G65" s="325" t="inlineStr">
        <is>
          <t>$ 000s</t>
        </is>
      </c>
      <c r="H65" s="488">
        <f>H59-H56</f>
        <v>21792.983288753192</v>
      </c>
      <c r="I65" s="61" t="n"/>
      <c r="J65" s="226">
        <f> IF(ABS(K65) &gt; CHK_TOL, 1, 0)</f>
        <v>1.0</v>
      </c>
      <c r="K65" s="488">
        <f> H65 - INDEX(M65:O65, $J$5)</f>
        <v>21792.983288753192</v>
      </c>
      <c r="L65" s="489">
        <f> IF(ABS(K65) &gt; CHK_TOL, IF(INDEX(M65:O65, $J$5) = 0, 0, H65 / INDEX(M65:O65, $J$5) - 1), 0)</f>
        <v>0.0</v>
      </c>
      <c r="M65" s="490" t="n">
        <v>21792.98328875319</v>
      </c>
      <c r="N65" s="491" t="n">
        <v>21230.7421230331</v>
      </c>
      <c r="O65" s="490" t="n">
        <v>22312.88637150725</v>
      </c>
    </row>
    <row r="66" outlineLevel="1" customFormat="1" s="260">
      <c r="A66" s="263" t="n"/>
      <c r="B66" s="263" t="n"/>
      <c r="C66" s="264" t="n"/>
      <c r="D66" s="260" t="n"/>
      <c r="E66" s="295" t="inlineStr">
        <is>
          <t>Debt / (debt + shareholder funds)</t>
        </is>
      </c>
      <c r="F66" s="295" t="n"/>
      <c r="G66" s="295" t="inlineStr">
        <is>
          <t>%</t>
        </is>
      </c>
      <c r="H66" s="498">
        <f>IF(H59+H61+H62=0,0,H59/(H59+H61+H62))</f>
        <v>0.3939393939393973</v>
      </c>
      <c r="I66" s="260" t="n"/>
      <c r="J66" s="265">
        <f> IF(ABS(K66) &gt; CHK_TOL, 1, 0)</f>
        <v>1.0</v>
      </c>
      <c r="K66" s="498">
        <f> H66 - INDEX(M66:O66, $J$5)</f>
        <v>0.3939393939393973</v>
      </c>
      <c r="L66" s="499">
        <f> IF(ABS(K66) &gt; CHK_TOL, IF(INDEX(M66:O66, $J$5) = 0, 0, H66 / INDEX(M66:O66, $J$5) - 1), 0)</f>
        <v>0.0</v>
      </c>
      <c r="M66" s="500" t="n">
        <v>0.3939393939393973</v>
      </c>
      <c r="N66" s="501" t="n">
        <v>0.3939393939393973</v>
      </c>
      <c r="O66" s="500" t="n">
        <v>0.3939393939393973</v>
      </c>
    </row>
    <row r="67" outlineLevel="1" customFormat="1" s="61">
      <c r="A67" s="294" t="n"/>
      <c r="B67" s="294" t="n"/>
      <c r="C67" s="212" t="n"/>
      <c r="E67" s="61" t="inlineStr">
        <is>
          <t>Cumulative dividends to date</t>
        </is>
      </c>
      <c r="G67" s="61" t="inlineStr">
        <is>
          <t>$ 000s</t>
        </is>
      </c>
      <c r="H67" s="488">
        <f>-SUMIFS(FinStat!$J$47:$CO$47,FinStat!$J$2:$CO$2,"&lt;="&amp;$H$53)</f>
        <v>52235.85292943032</v>
      </c>
      <c r="I67" s="61" t="n"/>
      <c r="J67" s="226">
        <f> IF(ABS(K67) &gt; CHK_TOL, 1, 0)</f>
        <v>1.0</v>
      </c>
      <c r="K67" s="488">
        <f> H67 - INDEX(M67:O67, $J$5)</f>
        <v>52235.85292943032</v>
      </c>
      <c r="L67" s="489">
        <f> IF(ABS(K67) &gt; CHK_TOL, IF(INDEX(M67:O67, $J$5) = 0, 0, H67 / INDEX(M67:O67, $J$5) - 1), 0)</f>
        <v>0.0</v>
      </c>
      <c r="M67" s="490" t="n">
        <v>52235.85292943032</v>
      </c>
      <c r="N67" s="491" t="n">
        <v>26342.66625145998</v>
      </c>
      <c r="O67" s="490" t="n">
        <v>76691.67289067819</v>
      </c>
    </row>
    <row r="68" outlineLevel="1" customFormat="1" s="61">
      <c r="B68" s="294" t="n"/>
      <c r="C68" s="212" t="n"/>
      <c r="D68" s="61" t="n"/>
      <c r="E68" s="61" t="inlineStr">
        <is>
          <t>Cumulative debt repaid to date</t>
        </is>
      </c>
      <c r="G68" s="61" t="inlineStr">
        <is>
          <t>$ 000s</t>
        </is>
      </c>
      <c r="H68" s="484">
        <f>Debt!F11-H59</f>
        <v>33999.99999999963</v>
      </c>
      <c r="I68" s="61" t="n"/>
      <c r="J68" s="226">
        <f> IF(ABS(K68) &gt; CHK_TOL, 1, 0)</f>
        <v>1.0</v>
      </c>
      <c r="K68" s="488">
        <f> H68 - INDEX(M68:O68, $J$5)</f>
        <v>33999.99999999963</v>
      </c>
      <c r="L68" s="489">
        <f> IF(ABS(K68) &gt; CHK_TOL, IF(INDEX(M68:O68, $J$5) = 0, 0, H68 / INDEX(M68:O68, $J$5) - 1), 0)</f>
        <v>0.0</v>
      </c>
      <c r="M68" s="490" t="n">
        <v>33999.99999999963</v>
      </c>
      <c r="N68" s="491" t="n">
        <v>33999.99999999963</v>
      </c>
      <c r="O68" s="515" t="n">
        <v>33999.99999999963</v>
      </c>
    </row>
    <row r="69" customFormat="1" s="61">
      <c r="A69" s="294" t="n"/>
      <c r="B69" s="294" t="n"/>
      <c r="C69" s="212" t="n"/>
      <c r="E69" s="61" t="inlineStr">
        <is>
          <t>Senior debt outstanding (% of initial)</t>
        </is>
      </c>
      <c r="G69" s="61" t="inlineStr">
        <is>
          <t>%</t>
        </is>
      </c>
      <c r="H69" s="509">
        <f>IF(Debt!F11=0,0,H59/Debt!F11)</f>
        <v>0.4333333333333395</v>
      </c>
      <c r="I69" s="61" t="n"/>
      <c r="J69" s="226">
        <f> IF(ABS(K69) &gt; CHK_TOL, 1, 0)</f>
        <v>1.0</v>
      </c>
      <c r="K69" s="509">
        <f> H69 - INDEX(M69:O69, $J$5)</f>
        <v>0.4333333333333395</v>
      </c>
      <c r="L69" s="489">
        <f> IF(ABS(K69) &gt; CHK_TOL, IF(INDEX(M69:O69, $J$5) = 0, 0, H69 / INDEX(M69:O69, $J$5) - 1), 0)</f>
        <v>0.0</v>
      </c>
      <c r="M69" s="510" t="n">
        <v>0.4333333333333395</v>
      </c>
      <c r="N69" s="511" t="n">
        <v>0.4333333333333395</v>
      </c>
      <c r="O69" s="510" t="n">
        <v>0.4333333333333395</v>
      </c>
    </row>
    <row r="70" collapsed="1" customFormat="1" s="231">
      <c r="A70" s="229" t="inlineStr">
        <is>
          <t>INFO ONLY</t>
        </is>
      </c>
      <c r="B70" s="229" t="n"/>
      <c r="C70" s="230" t="n"/>
      <c r="F70" s="232" t="n"/>
      <c r="L70" s="454" t="n"/>
      <c r="N70" s="234" t="n"/>
    </row>
    <row r="71" customFormat="1" s="61">
      <c r="A71" s="39" t="n"/>
      <c r="B71" s="39" t="n"/>
      <c r="C71" s="40" t="n"/>
      <c r="D71" s="152" t="n"/>
      <c r="E71" s="152" t="n"/>
      <c r="G71" s="152" t="n"/>
      <c r="H71" s="205" t="n"/>
      <c r="I71" s="61" t="n"/>
      <c r="K71" s="61" t="n"/>
      <c r="L71" s="402" t="n"/>
      <c r="M71" s="213" t="n"/>
      <c r="N71" s="236" t="n"/>
      <c r="O71" s="213" t="n"/>
    </row>
    <row r="72" customFormat="1" s="61">
      <c r="A72" s="167" t="n"/>
      <c r="B72" s="167" t="n"/>
      <c r="C72" s="237" t="n"/>
      <c r="D72" s="205" t="n"/>
      <c r="E72" s="205" t="inlineStr">
        <is>
          <t>Date</t>
        </is>
      </c>
      <c r="F72" s="170" t="n"/>
      <c r="G72" s="205" t="n"/>
      <c r="H72" s="205">
        <f> TODAY()</f>
        <v>46305.0</v>
      </c>
      <c r="I72" s="455" t="n"/>
      <c r="K72" s="61" t="n"/>
      <c r="L72" s="402" t="n"/>
      <c r="M72" s="203" t="n"/>
      <c r="N72" s="239" t="n"/>
      <c r="O72" s="203" t="n"/>
    </row>
    <row r="73" customFormat="1" s="61">
      <c r="A73" s="456" t="n"/>
      <c r="B73" s="456" t="n"/>
      <c r="C73" s="457" t="n"/>
      <c r="D73" s="455" t="n"/>
      <c r="E73" s="205" t="inlineStr">
        <is>
          <t>Time</t>
        </is>
      </c>
      <c r="F73" s="244" t="n"/>
      <c r="G73" s="455" t="n"/>
      <c r="H73" s="455">
        <f> NOW()</f>
        <v>46305.57780092592</v>
      </c>
      <c r="I73" s="61" t="n"/>
      <c r="K73" s="61" t="n"/>
      <c r="L73" s="402" t="n"/>
      <c r="M73" s="458" t="n"/>
      <c r="N73" s="459" t="n"/>
      <c r="O73" s="458" t="n"/>
    </row>
    <row r="74" customFormat="1" s="61">
      <c r="A74" s="294" t="n"/>
      <c r="B74" s="294" t="n"/>
      <c r="C74" s="212" t="n"/>
      <c r="E74" s="61" t="inlineStr">
        <is>
          <t>File</t>
        </is>
      </c>
      <c r="F74" s="244" t="n"/>
      <c r="H74" s="61">
        <f> MID(CELL("filename",$A$1), SEARCH("[", CELL("filename",$A$1)) + 1, SEARCH("]", CELL("filename",$A$1)) - SEARCH("[", CELL("filename",$A$1)) - 1)</f>
        <v/>
      </c>
      <c r="I74" s="61" t="n"/>
      <c r="K74" s="61" t="n"/>
      <c r="L74" s="402" t="n"/>
      <c r="M74" s="213" t="n"/>
      <c r="N74" s="293" t="n"/>
      <c r="O74" s="213" t="n"/>
    </row>
    <row r="75" customFormat="1" s="217">
      <c r="A75" s="247" t="n"/>
      <c r="B75" s="247" t="n"/>
      <c r="C75" s="248" t="n"/>
      <c r="D75" s="143" t="n"/>
      <c r="E75" s="249" t="inlineStr">
        <is>
          <t>[do not delete row]</t>
        </is>
      </c>
      <c r="F75" s="250" t="n"/>
      <c r="G75" s="251" t="n"/>
      <c r="H75" s="251" t="n"/>
      <c r="J75" s="217" t="inlineStr">
        <is>
          <t>range end</t>
        </is>
      </c>
      <c r="L75" s="460" t="n"/>
    </row>
    <row r="76" customFormat="1" s="61">
      <c r="A76" s="294" t="n"/>
      <c r="B76" s="294" t="n"/>
      <c r="C76" s="212" t="n"/>
      <c r="F76" s="244" t="n"/>
      <c r="I76" s="61" t="n"/>
      <c r="L76" s="402" t="n"/>
      <c r="M76" s="213" t="n"/>
      <c r="O76" s="213" t="n"/>
    </row>
    <row r="77" customFormat="1" s="61">
      <c r="A77" s="294" t="n"/>
      <c r="B77" s="294" t="n"/>
      <c r="C77" s="212" t="n"/>
      <c r="E77" s="61" t="inlineStr">
        <is>
          <t>Comment: Key input and logic changes</t>
        </is>
      </c>
      <c r="F77" s="244" t="n"/>
      <c r="H77" s="0" t="inlineStr">
        <is>
          <t>v1.0 corrected model: see Cover sheet change log</t>
        </is>
      </c>
      <c r="I77" s="61" t="n"/>
      <c r="L77" s="402" t="n"/>
      <c r="M77" s="213" t="n"/>
      <c r="N77" s="253" t="n"/>
      <c r="O77" s="213" t="n"/>
    </row>
    <row r="78" customFormat="1" s="61">
      <c r="A78" s="294" t="n"/>
      <c r="B78" s="294" t="n"/>
      <c r="C78" s="212" t="n"/>
      <c r="E78" s="61" t="inlineStr">
        <is>
          <t>Comment: Key result changes</t>
        </is>
      </c>
      <c r="H78" s="0" t="inlineStr">
        <is>
          <t>Stored runs M:O are values; refresh with Copy H8:H69, Paste Special Values</t>
        </is>
      </c>
      <c r="I78" s="61" t="n"/>
      <c r="L78" s="402" t="n"/>
      <c r="M78" s="213" t="n"/>
      <c r="N78" s="253" t="n"/>
      <c r="O78" s="213" t="n"/>
    </row>
    <row r="79" customFormat="1" s="61">
      <c r="A79" s="294" t="n"/>
      <c r="B79" s="294" t="n"/>
      <c r="C79" s="212" t="n"/>
      <c r="I79" s="61" t="n"/>
      <c r="L79" s="402" t="n"/>
      <c r="M79" s="213" t="n"/>
      <c r="O79" s="213" t="n"/>
    </row>
  </sheetData>
  <conditionalFormatting sqref="J2 J14:J29 J31:J52">
    <cfRule type="cellIs" priority="9" operator="notEqual" dxfId="2" stopIfTrue="1">
      <formula>0</formula>
    </cfRule>
    <cfRule type="cellIs" priority="10" operator="equal" dxfId="2" stopIfTrue="1">
      <formula>""</formula>
    </cfRule>
  </conditionalFormatting>
  <conditionalFormatting sqref="J8:J12">
    <cfRule type="cellIs" priority="5" operator="notEqual" dxfId="2" stopIfTrue="1">
      <formula>0</formula>
    </cfRule>
    <cfRule type="cellIs" priority="6" operator="equal" dxfId="2" stopIfTrue="1">
      <formula>""</formula>
    </cfRule>
  </conditionalFormatting>
  <conditionalFormatting sqref="J54:J69">
    <cfRule type="cellIs" priority="7" operator="notEqual" dxfId="2" stopIfTrue="1">
      <formula>0</formula>
    </cfRule>
    <cfRule type="cellIs" priority="8" operator="equal" dxfId="2" stopIfTrue="1">
      <formula>""</formula>
    </cfRule>
  </conditionalFormatting>
  <dataValidations count="1">
    <dataValidation sqref="H5" showDropDown="0" showInputMessage="1" showErrorMessage="1" allowBlank="1" type="list">
      <formula1>$M$5:$O$5</formula1>
    </dataValidation>
  </dataValidations>
  <printOptions headings="1"/>
  <pageMargins left="0.75" right="0.75" top="1" bottom="1" header="0.5" footer="0.5"/>
  <pageSetup orientation="landscape" paperSize="9" scale="55" blackAndWhite="1"/>
  <headerFooter alignWithMargins="0">
    <oddHeader>&amp;LPROJECT [XXX]&amp;CSheet:&amp;A&amp;RSTRICTLY CONFIDENTIAL</oddHeader>
    <oddFooter>&amp;L&amp;F ( Printed on &amp;D at &amp;T )&amp;RPage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PROMISE GODBOLD</dc:creator>
  <dc:subject xmlns:dc="http://purl.org/dc/elements/1.1/">Financial Model for Projects</dc:subject>
  <dcterms:created xmlns:dcterms="http://purl.org/dc/terms/" xmlns:xsi="http://www.w3.org/2001/XMLSchema-instance" xsi:type="dcterms:W3CDTF">2023-01-02T03:39:35Z</dcterms:created>
  <dcterms:modified xmlns:dcterms="http://purl.org/dc/terms/" xmlns:xsi="http://www.w3.org/2001/XMLSchema-instance" xsi:type="dcterms:W3CDTF">2026-10-10T13:13:16Z</dcterms:modified>
  <cp:lastModifiedBy>Prof Bongo Adi</cp:lastModifiedBy>
</cp:coreProperties>
</file>