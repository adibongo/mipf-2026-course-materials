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72139f47f6570099/Mastering Infrastructure Project Finance 2023/_stage/"/>
    </mc:Choice>
  </mc:AlternateContent>
  <xr:revisionPtr revIDLastSave="0" documentId="11_786C23F4165B72A35D9CB668593825CDED1ABAB8" xr6:coauthVersionLast="47" xr6:coauthVersionMax="47" xr10:uidLastSave="{00000000-0000-0000-0000-000000000000}"/>
  <bookViews>
    <workbookView xWindow="0" yWindow="680" windowWidth="16380" windowHeight="8200" tabRatio="500" xr2:uid="{00000000-000D-0000-FFFF-FFFF00000000}"/>
  </bookViews>
  <sheets>
    <sheet name="Read Me" sheetId="1" r:id="rId1"/>
    <sheet name="Inputs" sheetId="2" r:id="rId2"/>
    <sheet name="Capital Stack" sheetId="3" r:id="rId3"/>
    <sheet name="CashFlow_Debt" sheetId="4" r:id="rId4"/>
    <sheet name="Exercise 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4" l="1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H20" i="4"/>
  <c r="G20" i="4"/>
  <c r="F20" i="4"/>
  <c r="E20" i="4"/>
  <c r="D20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H11" i="4"/>
  <c r="G11" i="4"/>
  <c r="F11" i="4"/>
  <c r="E11" i="4"/>
  <c r="D11" i="4"/>
  <c r="W8" i="4"/>
  <c r="W18" i="4" s="1"/>
  <c r="V8" i="4"/>
  <c r="V18" i="4" s="1"/>
  <c r="U8" i="4"/>
  <c r="U18" i="4" s="1"/>
  <c r="T8" i="4"/>
  <c r="T18" i="4" s="1"/>
  <c r="S8" i="4"/>
  <c r="S18" i="4" s="1"/>
  <c r="R8" i="4"/>
  <c r="R18" i="4" s="1"/>
  <c r="Q8" i="4"/>
  <c r="Q18" i="4" s="1"/>
  <c r="P8" i="4"/>
  <c r="P18" i="4" s="1"/>
  <c r="O8" i="4"/>
  <c r="O18" i="4" s="1"/>
  <c r="N8" i="4"/>
  <c r="N18" i="4" s="1"/>
  <c r="M8" i="4"/>
  <c r="M18" i="4" s="1"/>
  <c r="L8" i="4"/>
  <c r="L18" i="4" s="1"/>
  <c r="K8" i="4"/>
  <c r="K18" i="4" s="1"/>
  <c r="J8" i="4"/>
  <c r="J18" i="4" s="1"/>
  <c r="I8" i="4"/>
  <c r="I18" i="4" s="1"/>
  <c r="H8" i="4"/>
  <c r="H18" i="4" s="1"/>
  <c r="G8" i="4"/>
  <c r="G18" i="4" s="1"/>
  <c r="F8" i="4"/>
  <c r="E8" i="4"/>
  <c r="E18" i="4" s="1"/>
  <c r="D8" i="4"/>
  <c r="D18" i="4" s="1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B8" i="3"/>
  <c r="B7" i="3"/>
  <c r="B6" i="3"/>
  <c r="B5" i="3"/>
  <c r="B4" i="3"/>
  <c r="C8" i="4" l="1"/>
  <c r="F18" i="4"/>
  <c r="C18" i="4" s="1"/>
  <c r="W7" i="4"/>
  <c r="W9" i="4" s="1"/>
  <c r="W15" i="4"/>
  <c r="W17" i="4" s="1"/>
  <c r="W19" i="4" s="1"/>
  <c r="V7" i="4"/>
  <c r="V9" i="4" s="1"/>
  <c r="V15" i="4"/>
  <c r="V17" i="4" s="1"/>
  <c r="V19" i="4" s="1"/>
  <c r="U15" i="4"/>
  <c r="U17" i="4" s="1"/>
  <c r="U19" i="4" s="1"/>
  <c r="U7" i="4"/>
  <c r="U9" i="4" s="1"/>
  <c r="T15" i="4"/>
  <c r="T17" i="4" s="1"/>
  <c r="T19" i="4" s="1"/>
  <c r="T7" i="4"/>
  <c r="T9" i="4" s="1"/>
  <c r="S7" i="4"/>
  <c r="S9" i="4" s="1"/>
  <c r="S15" i="4"/>
  <c r="S17" i="4" s="1"/>
  <c r="S19" i="4" s="1"/>
  <c r="R7" i="4"/>
  <c r="R9" i="4" s="1"/>
  <c r="R15" i="4"/>
  <c r="R17" i="4" s="1"/>
  <c r="R19" i="4" s="1"/>
  <c r="Q7" i="4"/>
  <c r="Q9" i="4" s="1"/>
  <c r="Q15" i="4"/>
  <c r="Q17" i="4" s="1"/>
  <c r="Q19" i="4" s="1"/>
  <c r="P15" i="4"/>
  <c r="P17" i="4" s="1"/>
  <c r="P19" i="4" s="1"/>
  <c r="P7" i="4"/>
  <c r="P9" i="4" s="1"/>
  <c r="O7" i="4"/>
  <c r="O9" i="4" s="1"/>
  <c r="O15" i="4"/>
  <c r="O17" i="4" s="1"/>
  <c r="O19" i="4" s="1"/>
  <c r="N7" i="4"/>
  <c r="N9" i="4" s="1"/>
  <c r="N15" i="4"/>
  <c r="N17" i="4" s="1"/>
  <c r="N19" i="4" s="1"/>
  <c r="M7" i="4"/>
  <c r="M9" i="4" s="1"/>
  <c r="M15" i="4"/>
  <c r="M17" i="4" s="1"/>
  <c r="M19" i="4" s="1"/>
  <c r="L15" i="4"/>
  <c r="L17" i="4" s="1"/>
  <c r="L19" i="4" s="1"/>
  <c r="L7" i="4"/>
  <c r="L9" i="4" s="1"/>
  <c r="K7" i="4"/>
  <c r="K9" i="4" s="1"/>
  <c r="K15" i="4"/>
  <c r="K17" i="4" s="1"/>
  <c r="K19" i="4" s="1"/>
  <c r="J15" i="4"/>
  <c r="J17" i="4" s="1"/>
  <c r="J19" i="4" s="1"/>
  <c r="J7" i="4"/>
  <c r="J9" i="4" s="1"/>
  <c r="I7" i="4"/>
  <c r="I9" i="4" s="1"/>
  <c r="I15" i="4"/>
  <c r="I17" i="4" s="1"/>
  <c r="I19" i="4" s="1"/>
  <c r="H15" i="4"/>
  <c r="H17" i="4" s="1"/>
  <c r="H19" i="4" s="1"/>
  <c r="H21" i="4" s="1"/>
  <c r="H7" i="4"/>
  <c r="H9" i="4" s="1"/>
  <c r="H12" i="4" s="1"/>
  <c r="H25" i="4" s="1"/>
  <c r="G15" i="4"/>
  <c r="G17" i="4" s="1"/>
  <c r="G19" i="4" s="1"/>
  <c r="G21" i="4" s="1"/>
  <c r="G7" i="4"/>
  <c r="G9" i="4" s="1"/>
  <c r="G12" i="4" s="1"/>
  <c r="G25" i="4" s="1"/>
  <c r="F7" i="4"/>
  <c r="F9" i="4" s="1"/>
  <c r="F12" i="4" s="1"/>
  <c r="F25" i="4" s="1"/>
  <c r="F15" i="4"/>
  <c r="F17" i="4" s="1"/>
  <c r="E15" i="4"/>
  <c r="E17" i="4" s="1"/>
  <c r="E19" i="4" s="1"/>
  <c r="E21" i="4" s="1"/>
  <c r="E7" i="4"/>
  <c r="E9" i="4" s="1"/>
  <c r="E12" i="4" s="1"/>
  <c r="E25" i="4" s="1"/>
  <c r="D7" i="4"/>
  <c r="D15" i="4"/>
  <c r="D17" i="4" s="1"/>
  <c r="B9" i="3"/>
  <c r="C4" i="3" s="1"/>
  <c r="F19" i="4" l="1"/>
  <c r="F21" i="4" s="1"/>
  <c r="F43" i="4" s="1"/>
  <c r="W11" i="4"/>
  <c r="W12" i="4" s="1"/>
  <c r="W25" i="4" s="1"/>
  <c r="W20" i="4"/>
  <c r="W21" i="4" s="1"/>
  <c r="V11" i="4"/>
  <c r="V12" i="4" s="1"/>
  <c r="V25" i="4" s="1"/>
  <c r="V20" i="4"/>
  <c r="V21" i="4" s="1"/>
  <c r="U20" i="4"/>
  <c r="U21" i="4" s="1"/>
  <c r="U11" i="4"/>
  <c r="U12" i="4" s="1"/>
  <c r="U25" i="4" s="1"/>
  <c r="T20" i="4"/>
  <c r="T21" i="4" s="1"/>
  <c r="T11" i="4"/>
  <c r="T12" i="4" s="1"/>
  <c r="T25" i="4" s="1"/>
  <c r="S11" i="4"/>
  <c r="S12" i="4" s="1"/>
  <c r="S25" i="4" s="1"/>
  <c r="S20" i="4"/>
  <c r="S21" i="4" s="1"/>
  <c r="R11" i="4"/>
  <c r="R12" i="4" s="1"/>
  <c r="R25" i="4" s="1"/>
  <c r="R20" i="4"/>
  <c r="R21" i="4" s="1"/>
  <c r="Q11" i="4"/>
  <c r="Q12" i="4" s="1"/>
  <c r="Q25" i="4" s="1"/>
  <c r="Q20" i="4"/>
  <c r="Q21" i="4" s="1"/>
  <c r="P20" i="4"/>
  <c r="P21" i="4" s="1"/>
  <c r="P11" i="4"/>
  <c r="P12" i="4" s="1"/>
  <c r="P25" i="4" s="1"/>
  <c r="O11" i="4"/>
  <c r="O12" i="4" s="1"/>
  <c r="O25" i="4" s="1"/>
  <c r="O20" i="4"/>
  <c r="O21" i="4" s="1"/>
  <c r="H43" i="4"/>
  <c r="H27" i="4"/>
  <c r="G43" i="4"/>
  <c r="G27" i="4"/>
  <c r="F27" i="4"/>
  <c r="E43" i="4"/>
  <c r="E27" i="4"/>
  <c r="C7" i="4"/>
  <c r="D9" i="4"/>
  <c r="C17" i="4"/>
  <c r="D19" i="4"/>
  <c r="C5" i="3"/>
  <c r="C6" i="3"/>
  <c r="C7" i="3"/>
  <c r="C8" i="3"/>
  <c r="E10" i="4"/>
  <c r="H10" i="4"/>
  <c r="L10" i="4"/>
  <c r="O10" i="4"/>
  <c r="T10" i="4"/>
  <c r="N10" i="4"/>
  <c r="Q10" i="4"/>
  <c r="W10" i="4"/>
  <c r="G10" i="4"/>
  <c r="I10" i="4"/>
  <c r="M10" i="4"/>
  <c r="R10" i="4"/>
  <c r="V10" i="4"/>
  <c r="D10" i="4"/>
  <c r="K10" i="4"/>
  <c r="S10" i="4"/>
  <c r="B13" i="3"/>
  <c r="F10" i="4"/>
  <c r="J10" i="4"/>
  <c r="P10" i="4"/>
  <c r="U10" i="4"/>
  <c r="L20" i="4" l="1"/>
  <c r="L21" i="4" s="1"/>
  <c r="L11" i="4"/>
  <c r="L12" i="4" s="1"/>
  <c r="L25" i="4" s="1"/>
  <c r="N11" i="4"/>
  <c r="N12" i="4" s="1"/>
  <c r="N25" i="4" s="1"/>
  <c r="N20" i="4"/>
  <c r="N21" i="4" s="1"/>
  <c r="I11" i="4"/>
  <c r="I20" i="4"/>
  <c r="M11" i="4"/>
  <c r="M12" i="4" s="1"/>
  <c r="M25" i="4" s="1"/>
  <c r="M20" i="4"/>
  <c r="M21" i="4" s="1"/>
  <c r="K11" i="4"/>
  <c r="K12" i="4" s="1"/>
  <c r="K25" i="4" s="1"/>
  <c r="K20" i="4"/>
  <c r="K21" i="4" s="1"/>
  <c r="J20" i="4"/>
  <c r="J21" i="4" s="1"/>
  <c r="J11" i="4"/>
  <c r="J12" i="4" s="1"/>
  <c r="J25" i="4" s="1"/>
  <c r="W27" i="4"/>
  <c r="W43" i="4"/>
  <c r="V27" i="4"/>
  <c r="V43" i="4"/>
  <c r="U43" i="4"/>
  <c r="U27" i="4"/>
  <c r="T43" i="4"/>
  <c r="T27" i="4"/>
  <c r="S27" i="4"/>
  <c r="S43" i="4"/>
  <c r="R27" i="4"/>
  <c r="R43" i="4"/>
  <c r="Q27" i="4"/>
  <c r="Q43" i="4"/>
  <c r="P43" i="4"/>
  <c r="P27" i="4"/>
  <c r="O27" i="4"/>
  <c r="O43" i="4"/>
  <c r="N27" i="4"/>
  <c r="N43" i="4"/>
  <c r="M27" i="4"/>
  <c r="M43" i="4"/>
  <c r="L43" i="4"/>
  <c r="L27" i="4"/>
  <c r="K27" i="4"/>
  <c r="K43" i="4"/>
  <c r="J43" i="4"/>
  <c r="J27" i="4"/>
  <c r="I27" i="4"/>
  <c r="C9" i="4"/>
  <c r="D12" i="4"/>
  <c r="C19" i="4"/>
  <c r="D21" i="4"/>
  <c r="C9" i="3"/>
  <c r="I12" i="4" l="1"/>
  <c r="I25" i="4" s="1"/>
  <c r="C11" i="4"/>
  <c r="I21" i="4"/>
  <c r="I43" i="4" s="1"/>
  <c r="C20" i="4"/>
  <c r="C12" i="4"/>
  <c r="D25" i="4"/>
  <c r="C21" i="4"/>
  <c r="D43" i="4"/>
  <c r="C43" i="4" s="1"/>
  <c r="C25" i="4" l="1"/>
  <c r="D27" i="4"/>
  <c r="C27" i="4" s="1"/>
  <c r="C30" i="4" s="1"/>
  <c r="B12" i="3" l="1"/>
  <c r="B14" i="3" l="1"/>
  <c r="B15" i="3"/>
  <c r="B21" i="3" l="1"/>
  <c r="C54" i="4"/>
  <c r="B20" i="3"/>
  <c r="B19" i="3"/>
  <c r="C31" i="4"/>
  <c r="B18" i="3"/>
  <c r="B26" i="3"/>
  <c r="B27" i="3" l="1"/>
  <c r="C32" i="4"/>
  <c r="D35" i="4"/>
  <c r="C49" i="4"/>
  <c r="B30" i="3" s="1"/>
  <c r="B22" i="3"/>
  <c r="C18" i="3" l="1"/>
  <c r="C20" i="3"/>
  <c r="E36" i="4"/>
  <c r="H36" i="4"/>
  <c r="G36" i="4"/>
  <c r="F36" i="4"/>
  <c r="W36" i="4"/>
  <c r="V36" i="4"/>
  <c r="U36" i="4"/>
  <c r="T36" i="4"/>
  <c r="S36" i="4"/>
  <c r="R36" i="4"/>
  <c r="I36" i="4"/>
  <c r="Q36" i="4"/>
  <c r="P36" i="4"/>
  <c r="O36" i="4"/>
  <c r="N36" i="4"/>
  <c r="M36" i="4"/>
  <c r="L36" i="4"/>
  <c r="K36" i="4"/>
  <c r="J36" i="4"/>
  <c r="D36" i="4"/>
  <c r="D37" i="4"/>
  <c r="C19" i="3"/>
  <c r="C22" i="3" s="1"/>
  <c r="C21" i="3"/>
  <c r="B23" i="3"/>
  <c r="E41" i="4" l="1"/>
  <c r="E42" i="4"/>
  <c r="E54" i="4" s="1"/>
  <c r="H41" i="4"/>
  <c r="H42" i="4"/>
  <c r="H54" i="4" s="1"/>
  <c r="G41" i="4"/>
  <c r="G42" i="4"/>
  <c r="G54" i="4" s="1"/>
  <c r="F41" i="4"/>
  <c r="F42" i="4"/>
  <c r="F54" i="4" s="1"/>
  <c r="W41" i="4"/>
  <c r="W42" i="4"/>
  <c r="W54" i="4" s="1"/>
  <c r="V41" i="4"/>
  <c r="V42" i="4"/>
  <c r="V54" i="4" s="1"/>
  <c r="U41" i="4"/>
  <c r="U42" i="4"/>
  <c r="U54" i="4" s="1"/>
  <c r="T41" i="4"/>
  <c r="T42" i="4"/>
  <c r="T54" i="4" s="1"/>
  <c r="S41" i="4"/>
  <c r="S42" i="4"/>
  <c r="S54" i="4" s="1"/>
  <c r="R41" i="4"/>
  <c r="R42" i="4"/>
  <c r="R54" i="4" s="1"/>
  <c r="I41" i="4"/>
  <c r="I42" i="4"/>
  <c r="I54" i="4" s="1"/>
  <c r="Q41" i="4"/>
  <c r="Q42" i="4"/>
  <c r="Q54" i="4" s="1"/>
  <c r="P41" i="4"/>
  <c r="P42" i="4"/>
  <c r="P54" i="4" s="1"/>
  <c r="O41" i="4"/>
  <c r="O42" i="4"/>
  <c r="O54" i="4" s="1"/>
  <c r="N41" i="4"/>
  <c r="N42" i="4"/>
  <c r="N54" i="4" s="1"/>
  <c r="M41" i="4"/>
  <c r="M42" i="4"/>
  <c r="M54" i="4" s="1"/>
  <c r="L41" i="4"/>
  <c r="L42" i="4"/>
  <c r="L54" i="4" s="1"/>
  <c r="K41" i="4"/>
  <c r="K42" i="4"/>
  <c r="K54" i="4" s="1"/>
  <c r="J41" i="4"/>
  <c r="J42" i="4"/>
  <c r="J54" i="4" s="1"/>
  <c r="D41" i="4"/>
  <c r="C36" i="4"/>
  <c r="D38" i="4"/>
  <c r="D42" i="4"/>
  <c r="C47" i="4" l="1"/>
  <c r="B28" i="3" s="1"/>
  <c r="C48" i="4"/>
  <c r="B29" i="3" s="1"/>
  <c r="C50" i="4"/>
  <c r="B32" i="3" s="1"/>
  <c r="C51" i="4"/>
  <c r="D39" i="4"/>
  <c r="E35" i="4" s="1"/>
  <c r="C42" i="4"/>
  <c r="D54" i="4"/>
  <c r="C52" i="4" s="1"/>
  <c r="B31" i="3" s="1"/>
  <c r="E37" i="4" l="1"/>
  <c r="E38" i="4" l="1"/>
  <c r="E39" i="4" l="1"/>
  <c r="F35" i="4" s="1"/>
  <c r="F37" i="4" l="1"/>
  <c r="F38" i="4" l="1"/>
  <c r="F39" i="4" l="1"/>
  <c r="G35" i="4" s="1"/>
  <c r="G37" i="4" l="1"/>
  <c r="G38" i="4" l="1"/>
  <c r="G39" i="4" l="1"/>
  <c r="H35" i="4" s="1"/>
  <c r="H37" i="4" l="1"/>
  <c r="H38" i="4" l="1"/>
  <c r="H39" i="4" l="1"/>
  <c r="I35" i="4" s="1"/>
  <c r="I37" i="4" l="1"/>
  <c r="I38" i="4" l="1"/>
  <c r="I39" i="4" l="1"/>
  <c r="J35" i="4" s="1"/>
  <c r="J37" i="4" l="1"/>
  <c r="J38" i="4" l="1"/>
  <c r="J39" i="4" l="1"/>
  <c r="K35" i="4" s="1"/>
  <c r="K37" i="4" l="1"/>
  <c r="K38" i="4" l="1"/>
  <c r="K39" i="4" l="1"/>
  <c r="L35" i="4" s="1"/>
  <c r="L37" i="4" l="1"/>
  <c r="L38" i="4" l="1"/>
  <c r="L39" i="4" l="1"/>
  <c r="M35" i="4" s="1"/>
  <c r="M37" i="4" l="1"/>
  <c r="M38" i="4" l="1"/>
  <c r="M39" i="4" l="1"/>
  <c r="N35" i="4" s="1"/>
  <c r="N37" i="4" l="1"/>
  <c r="N38" i="4" l="1"/>
  <c r="N39" i="4" l="1"/>
  <c r="O35" i="4" s="1"/>
  <c r="O37" i="4" l="1"/>
  <c r="O38" i="4" l="1"/>
  <c r="O39" i="4" l="1"/>
  <c r="P35" i="4" s="1"/>
  <c r="P37" i="4" l="1"/>
  <c r="P38" i="4" l="1"/>
  <c r="P39" i="4" l="1"/>
  <c r="Q35" i="4" s="1"/>
  <c r="Q37" i="4" l="1"/>
  <c r="Q38" i="4" l="1"/>
  <c r="Q39" i="4" l="1"/>
  <c r="R35" i="4" s="1"/>
  <c r="R37" i="4" l="1"/>
  <c r="R38" i="4" l="1"/>
  <c r="R39" i="4" l="1"/>
  <c r="S35" i="4" s="1"/>
  <c r="S37" i="4" l="1"/>
  <c r="S38" i="4" l="1"/>
  <c r="S39" i="4" l="1"/>
  <c r="T35" i="4" s="1"/>
  <c r="T37" i="4" l="1"/>
  <c r="T38" i="4" l="1"/>
  <c r="T39" i="4" l="1"/>
  <c r="U35" i="4" s="1"/>
  <c r="U37" i="4" l="1"/>
  <c r="U38" i="4" l="1"/>
  <c r="U39" i="4" l="1"/>
  <c r="V35" i="4" s="1"/>
  <c r="V37" i="4" l="1"/>
  <c r="V38" i="4" l="1"/>
  <c r="V39" i="4" l="1"/>
  <c r="W35" i="4" s="1"/>
  <c r="W37" i="4" l="1"/>
  <c r="C37" i="4" l="1"/>
  <c r="W38" i="4"/>
  <c r="W39" i="4" l="1"/>
  <c r="C38" i="4"/>
</calcChain>
</file>

<file path=xl/sharedStrings.xml><?xml version="1.0" encoding="utf-8"?>
<sst xmlns="http://schemas.openxmlformats.org/spreadsheetml/2006/main" count="245" uniqueCount="192">
  <si>
    <t>Project Sahel Sun — 50MW Solar IPP: Capital Stack &amp; Debt Sizing Template</t>
  </si>
  <si>
    <t>MIPF Boot Camp, Day 1 — Infrastructure Finance: Structuring, Risk Management &amp; Sustainable Project Delivery (14 October 2026)</t>
  </si>
  <si>
    <t>Facilitator: Prof. Bongo Adi, Lagos Business School, Pan-Atlantic University</t>
  </si>
  <si>
    <t>HOW TO USE</t>
  </si>
  <si>
    <t>1. Go to 'Inputs'. Change only BLUE cells. YELLOW cells are the key levers used in the workshop exercises.</t>
  </si>
  <si>
    <t>2. 'Capital Stack' shows Uses and Sources of funds, gearing and the layered stack. Debt is sized automatically.</t>
  </si>
  <si>
    <t>3. 'CashFlow_Debt' builds CFADS, sizes debt by DSCR sculpting, and reports DSCR, LLCR and equity IRR.</t>
  </si>
  <si>
    <t>4. Stress-test the deal with the scenario levers (naira depreciation, FX pass-through, offtaker payment rate, P90 output, opex overrun).</t>
  </si>
  <si>
    <t xml:space="preserve">   Lenders SIZE debt on the base case; the stress levers then show what happens to DSCR once the debt is fixed.</t>
  </si>
  <si>
    <t>COLOUR CODE: Blue text = input · Black = formula · Green = link from another sheet · Yellow fill = key exercise lever</t>
  </si>
  <si>
    <t>UNITS: US$ millions unless stated. Model is annual, 20-year operations, construction collapsed to Year 0 for teaching simplicity.</t>
  </si>
  <si>
    <t>IMPORTANT: Project Sahel Sun is a fictional teaching case. All numbers are illustrative, chosen to be realistic for a Nigerian utility-scale</t>
  </si>
  <si>
    <t>solar IPP, not taken from any actual transaction. Market reference points used: CBN MPR 26.5% (MPC, July 2026); CBN USD/NGN ≈ 1,330 (Sept 2026).</t>
  </si>
  <si>
    <t>Mastering Infrastructure and Project Finance (MIPF) Boot Camp  |  Lagos Business School  |  14 to 21 October 2026</t>
  </si>
  <si>
    <t>Prof Bongo Adi  |  +234 706 164 8699  |  badi@lbs.edu.ng  |  bongo.adi@fulbrightmail.org</t>
  </si>
  <si>
    <t>Adapted from the CIBN Centre for Financial Studies workshop (facilitator: Prof. Bongo Adi). Teaching case; all figures illustrative.</t>
  </si>
  <si>
    <t>Inputs &amp; Assumptions</t>
  </si>
  <si>
    <t>TECHNICAL</t>
  </si>
  <si>
    <t>Installed capacity (MWac)</t>
  </si>
  <si>
    <t>MW</t>
  </si>
  <si>
    <t>Project Sahel Sun, Kano State (fictional)</t>
  </si>
  <si>
    <t>Net capacity factor (P50)</t>
  </si>
  <si>
    <t>%</t>
  </si>
  <si>
    <t>Northern Nigeria irradiation supports ~19-23% for single-axis/fixed PV; illustrative</t>
  </si>
  <si>
    <t>Annual degradation</t>
  </si>
  <si>
    <t>Typical panel warranty assumption</t>
  </si>
  <si>
    <t>Operating life modelled (years)</t>
  </si>
  <si>
    <t>yrs</t>
  </si>
  <si>
    <t>Equal to the PPA term</t>
  </si>
  <si>
    <t>REVENUE</t>
  </si>
  <si>
    <t>PPA tariff (US$/MWh, dollar-indexed)</t>
  </si>
  <si>
    <t>$/MWh</t>
  </si>
  <si>
    <t>Illustrative; paid in naira at prevailing CBN rate if pass-through = 100%</t>
  </si>
  <si>
    <t>COSTS</t>
  </si>
  <si>
    <t>Opex year 1 (US$m)</t>
  </si>
  <si>
    <t>$m</t>
  </si>
  <si>
    <t>O&amp;M, insurance, land lease, security, admin</t>
  </si>
  <si>
    <t>Opex escalation</t>
  </si>
  <si>
    <t>US$ inflation-linked</t>
  </si>
  <si>
    <t>Corporate income tax rate</t>
  </si>
  <si>
    <t>Illustrative; confirm current CIT rate for the project's size</t>
  </si>
  <si>
    <t>Tax holiday (pioneer status) years</t>
  </si>
  <si>
    <t>Pioneer status incentive; illustrative</t>
  </si>
  <si>
    <t>Depreciation life (years)</t>
  </si>
  <si>
    <t>Straight-line, simplified capital allowances</t>
  </si>
  <si>
    <t>USES OF FUNDS (US$m)</t>
  </si>
  <si>
    <t>EPC contract (modules, inverters, BoS)</t>
  </si>
  <si>
    <t>Development costs, permits, land, ESIA</t>
  </si>
  <si>
    <t>Grid connection / evacuation line</t>
  </si>
  <si>
    <t>Often a TCN-interface risk item</t>
  </si>
  <si>
    <t>Financing fees &amp; interest during construction</t>
  </si>
  <si>
    <t>Initial DSRA funding</t>
  </si>
  <si>
    <t>Debt Service Reserve Account</t>
  </si>
  <si>
    <t>FINANCING TERMS</t>
  </si>
  <si>
    <t>Target minimum DSCR (base case)</t>
  </si>
  <si>
    <t>x</t>
  </si>
  <si>
    <t>Lenders' sizing covenant; solar with creditworthy offtaker 1.25-1.40x</t>
  </si>
  <si>
    <t>Maximum gearing (debt / total cost)</t>
  </si>
  <si>
    <t>Lenders' cap</t>
  </si>
  <si>
    <t>Senior debt tenor (years)</t>
  </si>
  <si>
    <t>Blended senior interest rate (US$-equivalent)</t>
  </si>
  <si>
    <t>Mix of DFI US$ loan and InfraCredit-guaranteed naira bond; illustrative</t>
  </si>
  <si>
    <t>Share of senior debt: DFI US$ loan</t>
  </si>
  <si>
    <t>Remainder = InfraCredit-guaranteed local-currency green bond</t>
  </si>
  <si>
    <t>Share of equity funded as shareholder loan</t>
  </si>
  <si>
    <t>Sub-debt from sponsors; rest ordinary shares</t>
  </si>
  <si>
    <t>SCENARIO LEVERS (set to base values for the base case)</t>
  </si>
  <si>
    <t>Naira depreciation after financial close</t>
  </si>
  <si>
    <t>Exercise lever. e.g. 0.30 = naira loses 30% vs US$</t>
  </si>
  <si>
    <t>Tariff FX pass-through</t>
  </si>
  <si>
    <t>Exercise lever. 1.0 = tariff fully dollar-indexed; 0.5 = only half indexed</t>
  </si>
  <si>
    <t>Offtaker payment rate (collections)</t>
  </si>
  <si>
    <t>Exercise lever. 0.8 = offtaker pays only 80% of invoices</t>
  </si>
  <si>
    <t>Generation haircut (e.g. P90 vs P50)</t>
  </si>
  <si>
    <t>Exercise lever. 0.08 ≈ P90 case</t>
  </si>
  <si>
    <t>Opex overrun</t>
  </si>
  <si>
    <t>Exercise lever</t>
  </si>
  <si>
    <t>Capital Stack — Uses &amp; Sources of Funds (US$m)</t>
  </si>
  <si>
    <t>USES OF FUNDS</t>
  </si>
  <si>
    <t>US$m</t>
  </si>
  <si>
    <t>% total</t>
  </si>
  <si>
    <t>Total project cost</t>
  </si>
  <si>
    <t>DEBT SIZING (from CashFlow_Debt)</t>
  </si>
  <si>
    <t>Debt capacity at target DSCR (PV of sculpted debt service)</t>
  </si>
  <si>
    <t>Lenders ask: how much debt can the cash flow carry?</t>
  </si>
  <si>
    <t>Debt allowed by gearing cap</t>
  </si>
  <si>
    <t>Lenders ask: how much skin does the sponsor have in the game?</t>
  </si>
  <si>
    <t>Senior debt raised = MIN(DSCR capacity, gearing cap)</t>
  </si>
  <si>
    <t>Binding constraint</t>
  </si>
  <si>
    <t>SOURCES OF FUNDS (the capital stack, most senior first)</t>
  </si>
  <si>
    <t>Typical provider / pricing logic</t>
  </si>
  <si>
    <t>Senior A — DFI US$ term loan</t>
  </si>
  <si>
    <t>e.g. IFC, AfDB, FMO, BII; 15-yr, hard currency</t>
  </si>
  <si>
    <t>Senior B — InfraCredit-guaranteed naira green bond</t>
  </si>
  <si>
    <t>Pension funds / insurers; AAA(NG) wrap, local currency</t>
  </si>
  <si>
    <t>Shareholder loan (subordinated)</t>
  </si>
  <si>
    <t>Sponsors; paid after senior debt service</t>
  </si>
  <si>
    <t>Ordinary equity</t>
  </si>
  <si>
    <t>Sponsors / infrastructure funds; first loss</t>
  </si>
  <si>
    <t>Total sources</t>
  </si>
  <si>
    <t>Check: sources − uses (must be zero)</t>
  </si>
  <si>
    <t>KEY RATIOS</t>
  </si>
  <si>
    <t>Gearing (senior debt / total cost)</t>
  </si>
  <si>
    <t>Sponsor funding (equity + shareholder loan) / total cost</t>
  </si>
  <si>
    <t>Minimum DSCR (current scenario)</t>
  </si>
  <si>
    <t>Average DSCR (current scenario)</t>
  </si>
  <si>
    <t>LLCR at financial close (current scenario)</t>
  </si>
  <si>
    <t>Equity IRR — sponsor funds, 20 yrs (current scenario)</t>
  </si>
  <si>
    <t>Years with DSCR below 1.0x (default on debt service)</t>
  </si>
  <si>
    <t>Cash Flow Available for Debt Service (CFADS), Debt Sculpting &amp; Cover Ratios (US$m)</t>
  </si>
  <si>
    <t>Line item</t>
  </si>
  <si>
    <t>Unit</t>
  </si>
  <si>
    <t>Total / key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</si>
  <si>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</si>
  <si>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</si>
  <si>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</si>
  <si>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</si>
  <si>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</si>
  <si>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</si>
  <si>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</si>
  <si>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</si>
  <si>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</si>
  <si>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</si>
  <si>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Yr 11</t>
  </si>
  <si>
    <t>Yr 12</t>
  </si>
  <si>
    <t>Yr 13</t>
  </si>
  <si>
    <t>Yr 14</t>
  </si>
  <si>
    <t>Yr 15</t>
  </si>
  <si>
    <t>Yr 16</t>
  </si>
  <si>
    <t>Yr 17</t>
  </si>
  <si>
    <t>Yr 18</t>
  </si>
  <si>
    <t>Yr 19</t>
  </si>
  <si>
    <t>Yr 20</t>
  </si>
  <si>
    <t>Operating year</t>
  </si>
  <si>
    <t>BASE CASE (used by lenders to SIZE the debt)</t>
  </si>
  <si>
    <t>Net generation (P50)</t>
  </si>
  <si>
    <t>MWh</t>
  </si>
  <si>
    <t>Revenue</t>
  </si>
  <si>
    <t>Opex</t>
  </si>
  <si>
    <t>EBITDA</t>
  </si>
  <si>
    <t>Depreciation (tax)</t>
  </si>
  <si>
    <t>Tax paid</t>
  </si>
  <si>
    <t>CFADS — base case</t>
  </si>
  <si>
    <t>CURRENT SCENARIO (applies the stress levers on the Inputs sheet)</t>
  </si>
  <si>
    <t>Net generation after haircut</t>
  </si>
  <si>
    <t>US$ value of tariff after FX (1 − depreciation × (1 − pass-through))</t>
  </si>
  <si>
    <t>factor</t>
  </si>
  <si>
    <t>Revenue collected</t>
  </si>
  <si>
    <t>Opex (with overrun)</t>
  </si>
  <si>
    <t>CFADS — current scenario</t>
  </si>
  <si>
    <t>DEBT SIZING BY SCULPTING (on base case)</t>
  </si>
  <si>
    <t>In tenor? (1 = yes)</t>
  </si>
  <si>
    <t>flag</t>
  </si>
  <si>
    <t>Sculpted debt service capacity = CFADS ÷ target DSCR</t>
  </si>
  <si>
    <t>Discount factor at senior rate</t>
  </si>
  <si>
    <t>PV of debt service capacity</t>
  </si>
  <si>
    <t>Debt capacity at target DSCR (sum of PVs)</t>
  </si>
  <si>
    <t>Senior debt actually raised (from Capital Stack)</t>
  </si>
  <si>
    <t>Scale factor (raised ÷ capacity)</t>
  </si>
  <si>
    <t>SENIOR DEBT SCHEDULE (debt service fixed at financial close)</t>
  </si>
  <si>
    <t>Opening balance</t>
  </si>
  <si>
    <t>Scheduled debt service (sculpted)</t>
  </si>
  <si>
    <t>Interest</t>
  </si>
  <si>
    <t>Principal repaid</t>
  </si>
  <si>
    <t>Closing balance</t>
  </si>
  <si>
    <t>DSCR = CFADS (scenario) ÷ debt service</t>
  </si>
  <si>
    <t>Cash to equity after senior debt service</t>
  </si>
  <si>
    <t>PV of remaining CFADS over debt life (for LLCR, yr 1 only)</t>
  </si>
  <si>
    <t>RESULTS</t>
  </si>
  <si>
    <t>Minimum DSCR</t>
  </si>
  <si>
    <t>Average DSCR</t>
  </si>
  <si>
    <t>LLCR at close = PV(CFADS over tenor) ÷ debt</t>
  </si>
  <si>
    <t>Years with DSCR &lt; 1.00x</t>
  </si>
  <si>
    <t>Years with DSCR &lt; 1.20x (lock-up trigger)</t>
  </si>
  <si>
    <t>Sponsor IRR (equity + shareholder loan, 20 yrs)</t>
  </si>
  <si>
    <t>Sponsor cash flow (Yr0 = −sponsor funding)</t>
  </si>
  <si>
    <t>Workshop exercise — record each scenario you run</t>
  </si>
  <si>
    <t>Scenario</t>
  </si>
  <si>
    <t>Naira depreciation</t>
  </si>
  <si>
    <t>FX pass-through</t>
  </si>
  <si>
    <t>Payment rate</t>
  </si>
  <si>
    <t>Gen. haircut</t>
  </si>
  <si>
    <t>Min DSCR</t>
  </si>
  <si>
    <t>LLCR</t>
  </si>
  <si>
    <t>Sponsor IRR</t>
  </si>
  <si>
    <t>Fund / Restructure / Reject?</t>
  </si>
  <si>
    <t>Mitigant proposed</t>
  </si>
  <si>
    <t>Example: base case</t>
  </si>
  <si>
    <t>(type result)</t>
  </si>
  <si>
    <t>Fund</t>
  </si>
  <si>
    <t>—</t>
  </si>
  <si>
    <t>Copy the Min DSCR, LLCR and Sponsor IRR from the 'Capital Stack' sheet after changing the yellow levers on 'Inputs'.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</si>
</sst>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;\(0.0%\);\-"/>
    <numFmt numFmtId="165" formatCode="0.00\x"/>
    <numFmt numFmtId="166" formatCode="#,##0.0;\(#,##0.0\);\-"/>
    <numFmt numFmtId="167" formatCode="\$#,##0.00;&quot;($&quot;#,##0.00\);\-"/>
    <numFmt numFmtId="168" formatCode="#,##0;\(#,##0\);\-"/>
    <numFmt numFmtId="169" formatCode="0.0000"/>
    <numFmt numFmtId="170" formatCode="0.000"/>
  </numFmts>
  <fonts count="12" x14ac:knownFonts="1">
    <font>
      <sz val="11"/>
      <color theme="1"/>
      <name val="Calibri"/>
      <family val="2"/>
      <charset val="1"/>
    </font>
    <font>
      <b/>
      <sz val="14"/>
      <color rgb="FF00206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sz val="10"/>
      <color rgb="FF008000"/>
      <name val="Arial"/>
      <family val="2"/>
    </font>
    <font>
      <i/>
      <sz val="9"/>
      <name val="Arial"/>
      <family val="2"/>
    </font>
    <font>
      <b/>
      <sz val="11"/>
      <color rgb="FF141B4D"/>
      <name val="Calibri"/>
      <family val="2"/>
    </font>
    <font>
      <sz val="11"/>
      <color rgb="FF1C7293"/>
      <name val="Calibri"/>
      <family val="2"/>
    </font>
    <font>
      <i/>
      <sz val="11"/>
      <color rgb="FF5C6B7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3" fontId="5" fillId="0" borderId="0" xfId="0" applyNumberFormat="1" applyFont="1"/>
    <xf numFmtId="0" fontId="6" fillId="0" borderId="0" xfId="0" applyFont="1"/>
    <xf numFmtId="164" fontId="5" fillId="0" borderId="0" xfId="0" applyNumberFormat="1" applyFont="1"/>
    <xf numFmtId="4" fontId="5" fillId="0" borderId="0" xfId="0" applyNumberFormat="1" applyFont="1"/>
    <xf numFmtId="165" fontId="5" fillId="3" borderId="0" xfId="0" applyNumberFormat="1" applyFont="1" applyFill="1"/>
    <xf numFmtId="164" fontId="5" fillId="3" borderId="0" xfId="0" applyNumberFormat="1" applyFont="1" applyFill="1"/>
    <xf numFmtId="166" fontId="7" fillId="0" borderId="0" xfId="0" applyNumberFormat="1" applyFont="1"/>
    <xf numFmtId="164" fontId="0" fillId="0" borderId="0" xfId="0" applyNumberFormat="1"/>
    <xf numFmtId="166" fontId="3" fillId="0" borderId="0" xfId="0" applyNumberFormat="1" applyFont="1"/>
    <xf numFmtId="166" fontId="0" fillId="0" borderId="0" xfId="0" applyNumberFormat="1"/>
    <xf numFmtId="167" fontId="0" fillId="0" borderId="0" xfId="0" applyNumberFormat="1"/>
    <xf numFmtId="165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4" fillId="2" borderId="0" xfId="0" applyFont="1" applyFill="1" applyAlignment="1">
      <alignment horizontal="center"/>
    </xf>
    <xf numFmtId="168" fontId="0" fillId="0" borderId="0" xfId="0" applyNumberFormat="1"/>
    <xf numFmtId="167" fontId="3" fillId="0" borderId="0" xfId="0" applyNumberFormat="1" applyFont="1"/>
    <xf numFmtId="2" fontId="0" fillId="0" borderId="0" xfId="0" applyNumberFormat="1"/>
    <xf numFmtId="1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2060"/>
      <rgbColor rgb="FF4F81BD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Capital stack (US$m)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Senior A — DFI US$ term loan</c:v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'Capital Stack'!$B$18</c:f>
              <c:numCache>
                <c:formatCode>#,##0.0;\(#,##0.0\);\-</c:formatCode>
                <c:ptCount val="1"/>
                <c:pt idx="0">
                  <c:v>22.441286895707918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7-9D4D-B518-2B17905FA82E}"/>
            </c:ext>
          </c:extLst>
        </c:ser>
        <c:ser>
          <c:idx val="1"/>
          <c:order val="1"/>
          <c:tx>
            <c:v>Senior B — InfraCredit-guaranteed naira green bond</c:v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'Capital Stack'!$B$19</c:f>
              <c:numCache>
                <c:formatCode>#,##0.0;\(#,##0.0\);\-</c:formatCode>
                <c:ptCount val="1"/>
                <c:pt idx="0">
                  <c:v>14.960857930471946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7-9D4D-B518-2B17905FA82E}"/>
            </c:ext>
          </c:extLst>
        </c:ser>
        <c:ser>
          <c:idx val="2"/>
          <c:order val="2"/>
          <c:tx>
            <c:v>Shareholder loan (subordinated)</c:v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'Capital Stack'!$B$20</c:f>
              <c:numCache>
                <c:formatCode>#,##0.0;\(#,##0.0\);\-</c:formatCode>
                <c:ptCount val="1"/>
                <c:pt idx="0">
                  <c:v>8.798927586910068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67-9D4D-B518-2B17905FA82E}"/>
            </c:ext>
          </c:extLst>
        </c:ser>
        <c:ser>
          <c:idx val="3"/>
          <c:order val="3"/>
          <c:tx>
            <c:v>Ordinary equity</c:v>
          </c:tx>
          <c:spPr>
            <a:solidFill>
              <a:srgbClr val="8064A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'Capital Stack'!$B$21</c:f>
              <c:numCache>
                <c:formatCode>#,##0.0;\(#,##0.0\);\-</c:formatCode>
                <c:ptCount val="1"/>
                <c:pt idx="0">
                  <c:v>8.798927586910068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67-9D4D-B518-2B17905FA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396340"/>
        <c:axId val="54490828"/>
      </c:barChart>
      <c:catAx>
        <c:axId val="723963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90828"/>
        <c:crosses val="autoZero"/>
        <c:auto val="1"/>
        <c:lblAlgn val="ctr"/>
        <c:lblOffset val="100"/>
        <c:noMultiLvlLbl val="0"/>
      </c:catAx>
      <c:valAx>
        <c:axId val="544908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9634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DSCR by year (current scenario)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CashFlow_Debt!$D$3:$R$3</c:f>
              <c:strCache>
                <c:ptCount val="15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  <c:pt idx="5">
                  <c:v>Yr 6</c:v>
                </c:pt>
                <c:pt idx="6">
                  <c:v>Yr 7</c:v>
                </c:pt>
                <c:pt idx="7">
                  <c:v>Yr 8</c:v>
                </c:pt>
                <c:pt idx="8">
                  <c:v>Yr 9</c:v>
                </c:pt>
                <c:pt idx="9">
                  <c:v>Yr 10</c:v>
                </c:pt>
                <c:pt idx="10">
                  <c:v>Yr 11</c:v>
                </c:pt>
                <c:pt idx="11">
                  <c:v>Yr 12</c:v>
                </c:pt>
                <c:pt idx="12">
                  <c:v>Yr 13</c:v>
                </c:pt>
                <c:pt idx="13">
                  <c:v>Yr 14</c:v>
                </c:pt>
                <c:pt idx="14">
                  <c:v>Yr 15</c:v>
                </c:pt>
              </c:strCache>
            </c:strRef>
          </c:cat>
          <c:val>
            <c:numRef>
              <c:f>CashFlow_Debt!$D$41:$R$41</c:f>
              <c:numCache>
                <c:formatCode>0.00\x</c:formatCode>
                <c:ptCount val="15"/>
                <c:pt idx="0">
                  <c:v>1.35</c:v>
                </c:pt>
                <c:pt idx="1">
                  <c:v>1.35</c:v>
                </c:pt>
                <c:pt idx="2">
                  <c:v>1.35</c:v>
                </c:pt>
                <c:pt idx="3">
                  <c:v>1.35</c:v>
                </c:pt>
                <c:pt idx="4">
                  <c:v>1.35</c:v>
                </c:pt>
                <c:pt idx="5">
                  <c:v>1.35</c:v>
                </c:pt>
                <c:pt idx="6">
                  <c:v>1.3499999999999999</c:v>
                </c:pt>
                <c:pt idx="7">
                  <c:v>1.35</c:v>
                </c:pt>
                <c:pt idx="8">
                  <c:v>1.3500000000000003</c:v>
                </c:pt>
                <c:pt idx="9">
                  <c:v>1.3500000000000003</c:v>
                </c:pt>
                <c:pt idx="10">
                  <c:v>1.35</c:v>
                </c:pt>
                <c:pt idx="11">
                  <c:v>1.35</c:v>
                </c:pt>
                <c:pt idx="12">
                  <c:v>1.35</c:v>
                </c:pt>
                <c:pt idx="13">
                  <c:v>1.3499999999999999</c:v>
                </c:pt>
                <c:pt idx="14">
                  <c:v>1.35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9A-0F4F-B5EF-B30EBFDDF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1784756"/>
        <c:axId val="2545093"/>
      </c:lineChart>
      <c:catAx>
        <c:axId val="61784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5093"/>
        <c:crosses val="autoZero"/>
        <c:auto val="1"/>
        <c:lblAlgn val="ctr"/>
        <c:lblOffset val="100"/>
        <c:noMultiLvlLbl val="0"/>
      </c:catAx>
      <c:valAx>
        <c:axId val="2545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8475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23975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45720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0</xdr:rowOff>
    </xdr:from>
    <xdr:ext cx="457200" cy="457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256320</xdr:colOff>
      <xdr:row>15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55</xdr:row>
      <xdr:rowOff>160560</xdr:rowOff>
    </xdr:from>
    <xdr:to>
      <xdr:col>14</xdr:col>
      <xdr:colOff>485280</xdr:colOff>
      <xdr:row>69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9A2B"/>
  </sheetPr>
  <dimension ref="A1:A24"/>
  <sheetViews>
    <sheetView tabSelected="1" zoomScaleNormal="100" workbookViewId="0"/>
  </sheetViews>
  <sheetFormatPr baseColWidth="10" defaultColWidth="8.6640625" defaultRowHeight="15" x14ac:dyDescent="0.2"/>
  <cols>
    <col min="1" max="1" width="140" customWidth="1"/>
  </cols>
  <sheetData>
    <row r="1" spans="1:1" ht="54" customHeight="1" x14ac:dyDescent="0.2"/>
    <row r="3" spans="1:1" ht="15" customHeight="1" x14ac:dyDescent="0.2"/>
    <row r="4" spans="1:1" ht="15" customHeight="1" x14ac:dyDescent="0.2">
      <c r="A4" s="1" t="s">
        <v>0</v>
      </c>
    </row>
    <row r="5" spans="1:1" ht="15" customHeight="1" x14ac:dyDescent="0.2"/>
    <row r="6" spans="1:1" ht="15" customHeight="1" x14ac:dyDescent="0.2">
      <c r="A6" s="2" t="s">
        <v>1</v>
      </c>
    </row>
    <row r="7" spans="1:1" ht="15" customHeight="1" x14ac:dyDescent="0.2">
      <c r="A7" s="2" t="s">
        <v>2</v>
      </c>
    </row>
    <row r="8" spans="1:1" ht="15" customHeight="1" x14ac:dyDescent="0.2">
      <c r="A8" s="2"/>
    </row>
    <row r="9" spans="1:1" ht="15" customHeight="1" x14ac:dyDescent="0.2">
      <c r="A9" s="3" t="s">
        <v>3</v>
      </c>
    </row>
    <row r="10" spans="1:1" ht="15" customHeight="1" x14ac:dyDescent="0.2">
      <c r="A10" s="2" t="s">
        <v>4</v>
      </c>
    </row>
    <row r="11" spans="1:1" ht="15" customHeight="1" x14ac:dyDescent="0.2">
      <c r="A11" s="2" t="s">
        <v>5</v>
      </c>
    </row>
    <row r="12" spans="1:1" ht="15" customHeight="1" x14ac:dyDescent="0.2">
      <c r="A12" s="2" t="s">
        <v>6</v>
      </c>
    </row>
    <row r="13" spans="1:1" ht="15" customHeight="1" x14ac:dyDescent="0.2">
      <c r="A13" s="2" t="s">
        <v>7</v>
      </c>
    </row>
    <row r="14" spans="1:1" ht="15" customHeight="1" x14ac:dyDescent="0.2">
      <c r="A14" s="2" t="s">
        <v>8</v>
      </c>
    </row>
    <row r="15" spans="1:1" ht="15" customHeight="1" x14ac:dyDescent="0.2">
      <c r="A15" s="2"/>
    </row>
    <row r="16" spans="1:1" ht="15" customHeight="1" x14ac:dyDescent="0.2">
      <c r="A16" s="2" t="s">
        <v>9</v>
      </c>
    </row>
    <row r="17" spans="1:1" ht="15" customHeight="1" x14ac:dyDescent="0.2">
      <c r="A17" s="2" t="s">
        <v>10</v>
      </c>
    </row>
    <row r="18" spans="1:1" x14ac:dyDescent="0.2">
      <c r="A18" s="2"/>
    </row>
    <row r="19" spans="1:1" x14ac:dyDescent="0.2">
      <c r="A19" s="2" t="s">
        <v>11</v>
      </c>
    </row>
    <row r="20" spans="1:1" x14ac:dyDescent="0.2">
      <c r="A20" s="2" t="s">
        <v>12</v>
      </c>
    </row>
    <row r="22" spans="1:1" x14ac:dyDescent="0.2">
      <c r="A22" s="33" t="s">
        <v>13</v>
      </c>
    </row>
    <row r="23" spans="1:1" x14ac:dyDescent="0.2">
      <c r="A23" s="34" t="s">
        <v>14</v>
      </c>
    </row>
    <row r="24" spans="1:1" x14ac:dyDescent="0.2">
      <c r="A24" s="35" t="s">
        <v>15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&amp;LMIPF Boot Camp  |  Lagos Business School&amp;RDay 1  |  Sahel Sun capital-stack template</oddHeader>
    <oddFooter>&amp;C&amp;8 Prof Bongo Adi  |  +234 706 164 8699  |  badi@lbs.edu.ng  |  bongo.adi@fulbrightmail.org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7293"/>
  </sheetPr>
  <dimension ref="A1:D34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2" width="14" customWidth="1"/>
    <col min="3" max="3" width="12" customWidth="1"/>
    <col min="4" max="4" width="70" customWidth="1"/>
  </cols>
  <sheetData>
    <row r="1" spans="1:4" ht="17.25" customHeight="1" x14ac:dyDescent="0.2">
      <c r="A1" s="1" t="s">
        <v>16</v>
      </c>
    </row>
    <row r="3" spans="1:4" ht="15" customHeight="1" x14ac:dyDescent="0.2">
      <c r="A3" s="4" t="s">
        <v>17</v>
      </c>
      <c r="B3" s="5"/>
      <c r="C3" s="5"/>
      <c r="D3" s="5"/>
    </row>
    <row r="4" spans="1:4" ht="15" customHeight="1" x14ac:dyDescent="0.2">
      <c r="A4" s="2" t="s">
        <v>18</v>
      </c>
      <c r="B4" s="6">
        <v>50</v>
      </c>
      <c r="C4" s="2" t="s">
        <v>19</v>
      </c>
      <c r="D4" s="7" t="s">
        <v>20</v>
      </c>
    </row>
    <row r="5" spans="1:4" ht="15" customHeight="1" x14ac:dyDescent="0.2">
      <c r="A5" s="2" t="s">
        <v>21</v>
      </c>
      <c r="B5" s="8">
        <v>0.21</v>
      </c>
      <c r="C5" s="2" t="s">
        <v>22</v>
      </c>
      <c r="D5" s="7" t="s">
        <v>23</v>
      </c>
    </row>
    <row r="6" spans="1:4" ht="15" customHeight="1" x14ac:dyDescent="0.2">
      <c r="A6" s="2" t="s">
        <v>24</v>
      </c>
      <c r="B6" s="8">
        <v>5.0000000000000001E-3</v>
      </c>
      <c r="C6" s="2" t="s">
        <v>22</v>
      </c>
      <c r="D6" s="7" t="s">
        <v>25</v>
      </c>
    </row>
    <row r="7" spans="1:4" ht="15" customHeight="1" x14ac:dyDescent="0.2">
      <c r="A7" s="2" t="s">
        <v>26</v>
      </c>
      <c r="B7" s="6">
        <v>20</v>
      </c>
      <c r="C7" s="2" t="s">
        <v>27</v>
      </c>
      <c r="D7" s="7" t="s">
        <v>28</v>
      </c>
    </row>
    <row r="8" spans="1:4" ht="15" customHeight="1" x14ac:dyDescent="0.2">
      <c r="A8" s="4" t="s">
        <v>29</v>
      </c>
      <c r="B8" s="5"/>
      <c r="C8" s="5"/>
      <c r="D8" s="5"/>
    </row>
    <row r="9" spans="1:4" ht="15" customHeight="1" x14ac:dyDescent="0.2">
      <c r="A9" s="2" t="s">
        <v>30</v>
      </c>
      <c r="B9" s="6">
        <v>95</v>
      </c>
      <c r="C9" s="2" t="s">
        <v>31</v>
      </c>
      <c r="D9" s="7" t="s">
        <v>32</v>
      </c>
    </row>
    <row r="10" spans="1:4" ht="15" customHeight="1" x14ac:dyDescent="0.2">
      <c r="A10" s="4" t="s">
        <v>33</v>
      </c>
      <c r="B10" s="5"/>
      <c r="C10" s="5"/>
      <c r="D10" s="5"/>
    </row>
    <row r="11" spans="1:4" ht="15" customHeight="1" x14ac:dyDescent="0.2">
      <c r="A11" s="2" t="s">
        <v>34</v>
      </c>
      <c r="B11" s="9">
        <v>1.1000000000000001</v>
      </c>
      <c r="C11" s="2" t="s">
        <v>35</v>
      </c>
      <c r="D11" s="7" t="s">
        <v>36</v>
      </c>
    </row>
    <row r="12" spans="1:4" ht="15" customHeight="1" x14ac:dyDescent="0.2">
      <c r="A12" s="2" t="s">
        <v>37</v>
      </c>
      <c r="B12" s="8">
        <v>0.02</v>
      </c>
      <c r="C12" s="2" t="s">
        <v>22</v>
      </c>
      <c r="D12" s="7" t="s">
        <v>38</v>
      </c>
    </row>
    <row r="13" spans="1:4" ht="15" customHeight="1" x14ac:dyDescent="0.2">
      <c r="A13" s="2" t="s">
        <v>39</v>
      </c>
      <c r="B13" s="8">
        <v>0.3</v>
      </c>
      <c r="C13" s="2" t="s">
        <v>22</v>
      </c>
      <c r="D13" s="7" t="s">
        <v>40</v>
      </c>
    </row>
    <row r="14" spans="1:4" ht="15" customHeight="1" x14ac:dyDescent="0.2">
      <c r="A14" s="2" t="s">
        <v>41</v>
      </c>
      <c r="B14" s="6">
        <v>5</v>
      </c>
      <c r="C14" s="2" t="s">
        <v>27</v>
      </c>
      <c r="D14" s="7" t="s">
        <v>42</v>
      </c>
    </row>
    <row r="15" spans="1:4" ht="15" customHeight="1" x14ac:dyDescent="0.2">
      <c r="A15" s="2" t="s">
        <v>43</v>
      </c>
      <c r="B15" s="6">
        <v>20</v>
      </c>
      <c r="C15" s="2" t="s">
        <v>27</v>
      </c>
      <c r="D15" s="7" t="s">
        <v>44</v>
      </c>
    </row>
    <row r="16" spans="1:4" ht="15" customHeight="1" x14ac:dyDescent="0.2">
      <c r="A16" s="4" t="s">
        <v>45</v>
      </c>
      <c r="B16" s="5"/>
      <c r="C16" s="5"/>
      <c r="D16" s="5"/>
    </row>
    <row r="17" spans="1:4" ht="15" customHeight="1" x14ac:dyDescent="0.2">
      <c r="A17" s="2" t="s">
        <v>46</v>
      </c>
      <c r="B17" s="9">
        <v>44</v>
      </c>
      <c r="C17" s="2" t="s">
        <v>35</v>
      </c>
      <c r="D17" s="7"/>
    </row>
    <row r="18" spans="1:4" ht="15" customHeight="1" x14ac:dyDescent="0.2">
      <c r="A18" s="2" t="s">
        <v>47</v>
      </c>
      <c r="B18" s="9">
        <v>3</v>
      </c>
      <c r="C18" s="2" t="s">
        <v>35</v>
      </c>
      <c r="D18" s="7"/>
    </row>
    <row r="19" spans="1:4" ht="15" customHeight="1" x14ac:dyDescent="0.2">
      <c r="A19" s="2" t="s">
        <v>48</v>
      </c>
      <c r="B19" s="9">
        <v>3.5</v>
      </c>
      <c r="C19" s="2" t="s">
        <v>35</v>
      </c>
      <c r="D19" s="7" t="s">
        <v>49</v>
      </c>
    </row>
    <row r="20" spans="1:4" ht="15" customHeight="1" x14ac:dyDescent="0.2">
      <c r="A20" s="2" t="s">
        <v>50</v>
      </c>
      <c r="B20" s="9">
        <v>3</v>
      </c>
      <c r="C20" s="2" t="s">
        <v>35</v>
      </c>
      <c r="D20" s="7"/>
    </row>
    <row r="21" spans="1:4" ht="15" customHeight="1" x14ac:dyDescent="0.2">
      <c r="A21" s="2" t="s">
        <v>51</v>
      </c>
      <c r="B21" s="9">
        <v>1.5</v>
      </c>
      <c r="C21" s="2" t="s">
        <v>35</v>
      </c>
      <c r="D21" s="7" t="s">
        <v>52</v>
      </c>
    </row>
    <row r="22" spans="1:4" ht="15" customHeight="1" x14ac:dyDescent="0.2">
      <c r="A22" s="4" t="s">
        <v>53</v>
      </c>
      <c r="B22" s="5"/>
      <c r="C22" s="5"/>
      <c r="D22" s="5"/>
    </row>
    <row r="23" spans="1:4" ht="15" customHeight="1" x14ac:dyDescent="0.2">
      <c r="A23" s="2" t="s">
        <v>54</v>
      </c>
      <c r="B23" s="10">
        <v>1.35</v>
      </c>
      <c r="C23" s="2" t="s">
        <v>55</v>
      </c>
      <c r="D23" s="7" t="s">
        <v>56</v>
      </c>
    </row>
    <row r="24" spans="1:4" ht="15" customHeight="1" x14ac:dyDescent="0.2">
      <c r="A24" s="2" t="s">
        <v>57</v>
      </c>
      <c r="B24" s="11">
        <v>0.7</v>
      </c>
      <c r="C24" s="2" t="s">
        <v>22</v>
      </c>
      <c r="D24" s="7" t="s">
        <v>58</v>
      </c>
    </row>
    <row r="25" spans="1:4" ht="15" customHeight="1" x14ac:dyDescent="0.2">
      <c r="A25" s="2" t="s">
        <v>59</v>
      </c>
      <c r="B25" s="6">
        <v>15</v>
      </c>
      <c r="C25" s="2" t="s">
        <v>27</v>
      </c>
      <c r="D25" s="7"/>
    </row>
    <row r="26" spans="1:4" ht="15" customHeight="1" x14ac:dyDescent="0.2">
      <c r="A26" s="2" t="s">
        <v>60</v>
      </c>
      <c r="B26" s="8">
        <v>0.1</v>
      </c>
      <c r="C26" s="2" t="s">
        <v>22</v>
      </c>
      <c r="D26" s="7" t="s">
        <v>61</v>
      </c>
    </row>
    <row r="27" spans="1:4" ht="15" customHeight="1" x14ac:dyDescent="0.2">
      <c r="A27" s="2" t="s">
        <v>62</v>
      </c>
      <c r="B27" s="8">
        <v>0.6</v>
      </c>
      <c r="C27" s="2" t="s">
        <v>22</v>
      </c>
      <c r="D27" s="7" t="s">
        <v>63</v>
      </c>
    </row>
    <row r="28" spans="1:4" ht="15" customHeight="1" x14ac:dyDescent="0.2">
      <c r="A28" s="2" t="s">
        <v>64</v>
      </c>
      <c r="B28" s="8">
        <v>0.5</v>
      </c>
      <c r="C28" s="2" t="s">
        <v>22</v>
      </c>
      <c r="D28" s="7" t="s">
        <v>65</v>
      </c>
    </row>
    <row r="29" spans="1:4" ht="15" customHeight="1" x14ac:dyDescent="0.2">
      <c r="A29" s="4" t="s">
        <v>66</v>
      </c>
      <c r="B29" s="5"/>
      <c r="C29" s="5"/>
      <c r="D29" s="5"/>
    </row>
    <row r="30" spans="1:4" ht="15" customHeight="1" x14ac:dyDescent="0.2">
      <c r="A30" s="2" t="s">
        <v>67</v>
      </c>
      <c r="B30" s="11">
        <v>0</v>
      </c>
      <c r="C30" s="2" t="s">
        <v>22</v>
      </c>
      <c r="D30" s="7" t="s">
        <v>68</v>
      </c>
    </row>
    <row r="31" spans="1:4" ht="15" customHeight="1" x14ac:dyDescent="0.2">
      <c r="A31" s="2" t="s">
        <v>69</v>
      </c>
      <c r="B31" s="11">
        <v>1</v>
      </c>
      <c r="C31" s="2" t="s">
        <v>22</v>
      </c>
      <c r="D31" s="7" t="s">
        <v>70</v>
      </c>
    </row>
    <row r="32" spans="1:4" ht="15" customHeight="1" x14ac:dyDescent="0.2">
      <c r="A32" s="2" t="s">
        <v>71</v>
      </c>
      <c r="B32" s="11">
        <v>1</v>
      </c>
      <c r="C32" s="2" t="s">
        <v>22</v>
      </c>
      <c r="D32" s="7" t="s">
        <v>72</v>
      </c>
    </row>
    <row r="33" spans="1:4" ht="15" customHeight="1" x14ac:dyDescent="0.2">
      <c r="A33" s="2" t="s">
        <v>73</v>
      </c>
      <c r="B33" s="11">
        <v>0</v>
      </c>
      <c r="C33" s="2" t="s">
        <v>22</v>
      </c>
      <c r="D33" s="7" t="s">
        <v>74</v>
      </c>
    </row>
    <row r="34" spans="1:4" ht="15" customHeight="1" x14ac:dyDescent="0.2">
      <c r="A34" s="2" t="s">
        <v>75</v>
      </c>
      <c r="B34" s="11">
        <v>0</v>
      </c>
      <c r="C34" s="2" t="s">
        <v>22</v>
      </c>
      <c r="D34" s="7" t="s">
        <v>76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&amp;LMIPF Boot Camp  |  Lagos Business School&amp;RDay 1  |  Sahel Sun capital-stack template</oddHeader>
    <oddFooter>&amp;C&amp;8 Prof Bongo Adi  |  +234 706 164 8699  |  badi@lbs.edu.ng  |  bongo.adi@fulbrightmail.org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1B4D"/>
  </sheetPr>
  <dimension ref="A1:D32"/>
  <sheetViews>
    <sheetView zoomScaleNormal="100" workbookViewId="0"/>
  </sheetViews>
  <sheetFormatPr baseColWidth="10" defaultColWidth="8.6640625" defaultRowHeight="15" x14ac:dyDescent="0.2"/>
  <cols>
    <col min="1" max="1" width="48" customWidth="1"/>
    <col min="2" max="2" width="14" customWidth="1"/>
    <col min="3" max="3" width="12" customWidth="1"/>
    <col min="4" max="4" width="60" customWidth="1"/>
  </cols>
  <sheetData>
    <row r="1" spans="1:4" ht="17.25" customHeight="1" x14ac:dyDescent="0.2">
      <c r="A1" s="1" t="s">
        <v>77</v>
      </c>
    </row>
    <row r="3" spans="1:4" ht="15" customHeight="1" x14ac:dyDescent="0.2">
      <c r="A3" s="4" t="s">
        <v>78</v>
      </c>
      <c r="B3" s="4" t="s">
        <v>79</v>
      </c>
      <c r="C3" s="4" t="s">
        <v>80</v>
      </c>
      <c r="D3" s="5"/>
    </row>
    <row r="4" spans="1:4" ht="15" customHeight="1" x14ac:dyDescent="0.2">
      <c r="A4" s="2" t="s">
        <v>46</v>
      </c>
      <c r="B4" s="12">
        <f>Inputs!$B$17</f>
        <v>44</v>
      </c>
      <c r="C4" s="13">
        <f>B4/$B$9</f>
        <v>0.8</v>
      </c>
    </row>
    <row r="5" spans="1:4" ht="15" customHeight="1" x14ac:dyDescent="0.2">
      <c r="A5" s="2" t="s">
        <v>47</v>
      </c>
      <c r="B5" s="12">
        <f>Inputs!$B$18</f>
        <v>3</v>
      </c>
      <c r="C5" s="13">
        <f>B5/$B$9</f>
        <v>5.4545454545454543E-2</v>
      </c>
    </row>
    <row r="6" spans="1:4" ht="15" customHeight="1" x14ac:dyDescent="0.2">
      <c r="A6" s="2" t="s">
        <v>48</v>
      </c>
      <c r="B6" s="12">
        <f>Inputs!$B$19</f>
        <v>3.5</v>
      </c>
      <c r="C6" s="13">
        <f>B6/$B$9</f>
        <v>6.363636363636363E-2</v>
      </c>
    </row>
    <row r="7" spans="1:4" ht="15" customHeight="1" x14ac:dyDescent="0.2">
      <c r="A7" s="2" t="s">
        <v>50</v>
      </c>
      <c r="B7" s="12">
        <f>Inputs!$B$20</f>
        <v>3</v>
      </c>
      <c r="C7" s="13">
        <f>B7/$B$9</f>
        <v>5.4545454545454543E-2</v>
      </c>
    </row>
    <row r="8" spans="1:4" ht="15" customHeight="1" x14ac:dyDescent="0.2">
      <c r="A8" s="2" t="s">
        <v>51</v>
      </c>
      <c r="B8" s="12">
        <f>Inputs!$B$21</f>
        <v>1.5</v>
      </c>
      <c r="C8" s="13">
        <f>B8/$B$9</f>
        <v>2.7272727272727271E-2</v>
      </c>
    </row>
    <row r="9" spans="1:4" ht="15" customHeight="1" x14ac:dyDescent="0.2">
      <c r="A9" s="3" t="s">
        <v>81</v>
      </c>
      <c r="B9" s="14">
        <f>SUM(B4:B8)</f>
        <v>55</v>
      </c>
      <c r="C9" s="13">
        <f>SUM(C4:C8)</f>
        <v>1</v>
      </c>
    </row>
    <row r="11" spans="1:4" ht="15" customHeight="1" x14ac:dyDescent="0.2">
      <c r="A11" s="4" t="s">
        <v>82</v>
      </c>
      <c r="B11" s="5"/>
      <c r="C11" s="5"/>
      <c r="D11" s="5"/>
    </row>
    <row r="12" spans="1:4" ht="15" customHeight="1" x14ac:dyDescent="0.2">
      <c r="A12" t="s">
        <v>83</v>
      </c>
      <c r="B12" s="12">
        <f>CashFlow_Debt!$C$30</f>
        <v>37.402144826179864</v>
      </c>
      <c r="D12" s="7" t="s">
        <v>84</v>
      </c>
    </row>
    <row r="13" spans="1:4" ht="15" customHeight="1" x14ac:dyDescent="0.2">
      <c r="A13" t="s">
        <v>85</v>
      </c>
      <c r="B13" s="15">
        <f>B9*Inputs!$B$24</f>
        <v>38.5</v>
      </c>
      <c r="D13" s="7" t="s">
        <v>86</v>
      </c>
    </row>
    <row r="14" spans="1:4" ht="15" customHeight="1" x14ac:dyDescent="0.2">
      <c r="A14" s="3" t="s">
        <v>87</v>
      </c>
      <c r="B14" s="14">
        <f>MIN(B12,B13)</f>
        <v>37.402144826179864</v>
      </c>
    </row>
    <row r="15" spans="1:4" ht="15" customHeight="1" x14ac:dyDescent="0.2">
      <c r="A15" t="s">
        <v>88</v>
      </c>
      <c r="B15" t="str">
        <f>IF(B12&lt;=B13,"DSCR","Gearing")</f>
        <v>DSCR</v>
      </c>
    </row>
    <row r="17" spans="1:4" ht="15" customHeight="1" x14ac:dyDescent="0.2">
      <c r="A17" s="4" t="s">
        <v>89</v>
      </c>
      <c r="B17" s="4" t="s">
        <v>79</v>
      </c>
      <c r="C17" s="4" t="s">
        <v>80</v>
      </c>
      <c r="D17" s="4" t="s">
        <v>90</v>
      </c>
    </row>
    <row r="18" spans="1:4" ht="15" customHeight="1" x14ac:dyDescent="0.2">
      <c r="A18" s="2" t="s">
        <v>91</v>
      </c>
      <c r="B18" s="15">
        <f>B14*Inputs!$B$27</f>
        <v>22.441286895707918</v>
      </c>
      <c r="C18" s="13">
        <f>B18/$B$22</f>
        <v>0.40802339810378035</v>
      </c>
      <c r="D18" s="7" t="s">
        <v>92</v>
      </c>
    </row>
    <row r="19" spans="1:4" ht="15" customHeight="1" x14ac:dyDescent="0.2">
      <c r="A19" s="2" t="s">
        <v>93</v>
      </c>
      <c r="B19" s="15">
        <f>B14*(1-Inputs!$B$27)</f>
        <v>14.960857930471946</v>
      </c>
      <c r="C19" s="13">
        <f>B19/$B$22</f>
        <v>0.27201559873585357</v>
      </c>
      <c r="D19" s="7" t="s">
        <v>94</v>
      </c>
    </row>
    <row r="20" spans="1:4" ht="15" customHeight="1" x14ac:dyDescent="0.2">
      <c r="A20" s="2" t="s">
        <v>95</v>
      </c>
      <c r="B20" s="15">
        <f>(B9-B14)*Inputs!$B$28</f>
        <v>8.798927586910068</v>
      </c>
      <c r="C20" s="13">
        <f>B20/$B$22</f>
        <v>0.15998050158018307</v>
      </c>
      <c r="D20" s="7" t="s">
        <v>96</v>
      </c>
    </row>
    <row r="21" spans="1:4" ht="15" customHeight="1" x14ac:dyDescent="0.2">
      <c r="A21" s="2" t="s">
        <v>97</v>
      </c>
      <c r="B21" s="15">
        <f>(B9-B14)*(1-Inputs!$B$28)</f>
        <v>8.798927586910068</v>
      </c>
      <c r="C21" s="13">
        <f>B21/$B$22</f>
        <v>0.15998050158018307</v>
      </c>
      <c r="D21" s="7" t="s">
        <v>98</v>
      </c>
    </row>
    <row r="22" spans="1:4" ht="15" customHeight="1" x14ac:dyDescent="0.2">
      <c r="A22" s="3" t="s">
        <v>99</v>
      </c>
      <c r="B22" s="14">
        <f>SUM(B18:B21)</f>
        <v>55</v>
      </c>
      <c r="C22" s="13">
        <f>SUM(C18:C21)</f>
        <v>1</v>
      </c>
    </row>
    <row r="23" spans="1:4" ht="15" customHeight="1" x14ac:dyDescent="0.2">
      <c r="A23" t="s">
        <v>100</v>
      </c>
      <c r="B23" s="16">
        <f>B22-B9</f>
        <v>0</v>
      </c>
    </row>
    <row r="25" spans="1:4" ht="15" customHeight="1" x14ac:dyDescent="0.2">
      <c r="A25" s="4" t="s">
        <v>101</v>
      </c>
      <c r="B25" s="5"/>
      <c r="C25" s="5"/>
      <c r="D25" s="5"/>
    </row>
    <row r="26" spans="1:4" ht="15" customHeight="1" x14ac:dyDescent="0.2">
      <c r="A26" t="s">
        <v>102</v>
      </c>
      <c r="B26" s="13">
        <f>B14/B9</f>
        <v>0.68003899683963387</v>
      </c>
    </row>
    <row r="27" spans="1:4" ht="15" customHeight="1" x14ac:dyDescent="0.2">
      <c r="A27" t="s">
        <v>103</v>
      </c>
      <c r="B27" s="13">
        <f>(B20+B21)/B9</f>
        <v>0.31996100316036613</v>
      </c>
    </row>
    <row r="28" spans="1:4" ht="15" customHeight="1" x14ac:dyDescent="0.2">
      <c r="A28" t="s">
        <v>104</v>
      </c>
      <c r="B28" s="17">
        <f>CashFlow_Debt!$C$47</f>
        <v>1.3499999999999999</v>
      </c>
    </row>
    <row r="29" spans="1:4" ht="15" customHeight="1" x14ac:dyDescent="0.2">
      <c r="A29" t="s">
        <v>105</v>
      </c>
      <c r="B29" s="17">
        <f>CashFlow_Debt!$C$48</f>
        <v>1.3500000000000003</v>
      </c>
    </row>
    <row r="30" spans="1:4" ht="15" customHeight="1" x14ac:dyDescent="0.2">
      <c r="A30" t="s">
        <v>106</v>
      </c>
      <c r="B30" s="17">
        <f>CashFlow_Debt!$C$49</f>
        <v>1.3500000000000005</v>
      </c>
    </row>
    <row r="31" spans="1:4" ht="15" customHeight="1" x14ac:dyDescent="0.2">
      <c r="A31" t="s">
        <v>107</v>
      </c>
      <c r="B31" s="18">
        <f>CashFlow_Debt!$C$52</f>
        <v>0.10253897578101667</v>
      </c>
    </row>
    <row r="32" spans="1:4" ht="15" customHeight="1" x14ac:dyDescent="0.2">
      <c r="A32" t="s">
        <v>108</v>
      </c>
      <c r="B32" s="19">
        <f>CashFlow_Debt!$C$50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&amp;LMIPF Boot Camp  |  Lagos Business School&amp;RDay 1  |  Sahel Sun capital-stack template</oddHeader>
    <oddFooter>&amp;C&amp;8 Prof Bongo Adi  |  +234 706 164 8699  |  badi@lbs.edu.ng  |  bongo.adi@fulbrightmail.org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1B4D"/>
  </sheetPr>
  <dimension ref="A1:W54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0" customWidth="1"/>
    <col min="2" max="2" width="10" customWidth="1"/>
    <col min="3" max="3" width="11" customWidth="1"/>
    <col min="4" max="23" width="8.5" customWidth="1"/>
  </cols>
  <sheetData>
    <row r="1" spans="1:23" ht="17.25" customHeight="1" x14ac:dyDescent="0.2">
      <c r="A1" s="1" t="s">
        <v>109</v>
      </c>
    </row>
    <row r="3" spans="1:23" ht="15" customHeight="1" x14ac:dyDescent="0.2">
      <c r="A3" s="4" t="s">
        <v>110</v>
      </c>
      <c r="B3" s="4" t="s">
        <v>111</v>
      </c>
      <c r="C3" s="4" t="s">
        <v>112</v>
      </c>
      <c r="D3" s="20" t="s">
        <v>113</v>
      </c>
      <c r="E3" s="20" t="s">
        <v>114</v>
      </c>
      <c r="F3" s="20" t="s">
        <v>115</v>
      </c>
      <c r="G3" s="20" t="s">
        <v>116</v>
      </c>
      <c r="H3" s="20" t="s">
        <v>117</v>
      </c>
      <c r="I3" s="20" t="s">
        <v>118</v>
      </c>
      <c r="J3" s="20" t="s">
        <v>119</v>
      </c>
      <c r="K3" s="20" t="s">
        <v>120</v>
      </c>
      <c r="L3" s="20" t="s">
        <v>121</v>
      </c>
      <c r="M3" s="20" t="s">
        <v>122</v>
      </c>
      <c r="N3" s="20" t="s">
        <v>123</v>
      </c>
      <c r="O3" s="20" t="s">
        <v>124</v>
      </c>
      <c r="P3" s="20" t="s">
        <v>125</v>
      </c>
      <c r="Q3" s="20" t="s">
        <v>126</v>
      </c>
      <c r="R3" s="20" t="s">
        <v>127</v>
      </c>
      <c r="S3" s="20" t="s">
        <v>128</v>
      </c>
      <c r="T3" s="20" t="s">
        <v>129</v>
      </c>
      <c r="U3" s="20" t="s">
        <v>130</v>
      </c>
      <c r="V3" s="20" t="s">
        <v>131</v>
      </c>
      <c r="W3" s="20" t="s">
        <v>132</v>
      </c>
    </row>
    <row r="4" spans="1:23" ht="15" customHeight="1" x14ac:dyDescent="0.2">
      <c r="A4" t="s">
        <v>133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</row>
    <row r="5" spans="1:23" ht="15" customHeight="1" x14ac:dyDescent="0.2">
      <c r="A5" s="4" t="s">
        <v>134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" customHeight="1" x14ac:dyDescent="0.2">
      <c r="A6" s="2" t="s">
        <v>135</v>
      </c>
      <c r="B6" s="2" t="s">
        <v>136</v>
      </c>
      <c r="D6" s="21">
        <f>Inputs!$B$4*8760*Inputs!$B$5*(1-Inputs!$B$6)^(D$4-1)</f>
        <v>91980</v>
      </c>
      <c r="E6" s="21">
        <f>Inputs!$B$4*8760*Inputs!$B$5*(1-Inputs!$B$6)^(E$4-1)</f>
        <v>91520.1</v>
      </c>
      <c r="F6" s="21">
        <f>Inputs!$B$4*8760*Inputs!$B$5*(1-Inputs!$B$6)^(F$4-1)</f>
        <v>91062.499500000005</v>
      </c>
      <c r="G6" s="21">
        <f>Inputs!$B$4*8760*Inputs!$B$5*(1-Inputs!$B$6)^(G$4-1)</f>
        <v>90607.187002499995</v>
      </c>
      <c r="H6" s="21">
        <f>Inputs!$B$4*8760*Inputs!$B$5*(1-Inputs!$B$6)^(H$4-1)</f>
        <v>90154.151067487503</v>
      </c>
      <c r="I6" s="21">
        <f>Inputs!$B$4*8760*Inputs!$B$5*(1-Inputs!$B$6)^(I$4-1)</f>
        <v>89703.380312150068</v>
      </c>
      <c r="J6" s="21">
        <f>Inputs!$B$4*8760*Inputs!$B$5*(1-Inputs!$B$6)^(J$4-1)</f>
        <v>89254.863410589329</v>
      </c>
      <c r="K6" s="21">
        <f>Inputs!$B$4*8760*Inputs!$B$5*(1-Inputs!$B$6)^(K$4-1)</f>
        <v>88808.589093536371</v>
      </c>
      <c r="L6" s="21">
        <f>Inputs!$B$4*8760*Inputs!$B$5*(1-Inputs!$B$6)^(L$4-1)</f>
        <v>88364.546148068694</v>
      </c>
      <c r="M6" s="21">
        <f>Inputs!$B$4*8760*Inputs!$B$5*(1-Inputs!$B$6)^(M$4-1)</f>
        <v>87922.723417328336</v>
      </c>
      <c r="N6" s="21">
        <f>Inputs!$B$4*8760*Inputs!$B$5*(1-Inputs!$B$6)^(N$4-1)</f>
        <v>87483.109800241713</v>
      </c>
      <c r="O6" s="21">
        <f>Inputs!$B$4*8760*Inputs!$B$5*(1-Inputs!$B$6)^(O$4-1)</f>
        <v>87045.694251240493</v>
      </c>
      <c r="P6" s="21">
        <f>Inputs!$B$4*8760*Inputs!$B$5*(1-Inputs!$B$6)^(P$4-1)</f>
        <v>86610.465779984297</v>
      </c>
      <c r="Q6" s="21">
        <f>Inputs!$B$4*8760*Inputs!$B$5*(1-Inputs!$B$6)^(Q$4-1)</f>
        <v>86177.413451084387</v>
      </c>
      <c r="R6" s="21">
        <f>Inputs!$B$4*8760*Inputs!$B$5*(1-Inputs!$B$6)^(R$4-1)</f>
        <v>85746.526383828968</v>
      </c>
      <c r="S6" s="21">
        <f>Inputs!$B$4*8760*Inputs!$B$5*(1-Inputs!$B$6)^(S$4-1)</f>
        <v>85317.79375190982</v>
      </c>
      <c r="T6" s="21">
        <f>Inputs!$B$4*8760*Inputs!$B$5*(1-Inputs!$B$6)^(T$4-1)</f>
        <v>84891.204783150257</v>
      </c>
      <c r="U6" s="21">
        <f>Inputs!$B$4*8760*Inputs!$B$5*(1-Inputs!$B$6)^(U$4-1)</f>
        <v>84466.748759234513</v>
      </c>
      <c r="V6" s="21">
        <f>Inputs!$B$4*8760*Inputs!$B$5*(1-Inputs!$B$6)^(V$4-1)</f>
        <v>84044.415015438339</v>
      </c>
      <c r="W6" s="21">
        <f>Inputs!$B$4*8760*Inputs!$B$5*(1-Inputs!$B$6)^(W$4-1)</f>
        <v>83624.192940361143</v>
      </c>
    </row>
    <row r="7" spans="1:23" ht="15" customHeight="1" x14ac:dyDescent="0.2">
      <c r="A7" s="2" t="s">
        <v>137</v>
      </c>
      <c r="B7" s="2" t="s">
        <v>35</v>
      </c>
      <c r="C7" s="16">
        <f>SUM(D7:W7)</f>
        <v>166.70463246247277</v>
      </c>
      <c r="D7" s="16">
        <f>D6*Inputs!$B$9/10^6</f>
        <v>8.7380999999999993</v>
      </c>
      <c r="E7" s="16">
        <f>E6*Inputs!$B$9/10^6</f>
        <v>8.6944095000000008</v>
      </c>
      <c r="F7" s="16">
        <f>F6*Inputs!$B$9/10^6</f>
        <v>8.6509374525000009</v>
      </c>
      <c r="G7" s="16">
        <f>G6*Inputs!$B$9/10^6</f>
        <v>8.6076827652374988</v>
      </c>
      <c r="H7" s="16">
        <f>H6*Inputs!$B$9/10^6</f>
        <v>8.564644351411312</v>
      </c>
      <c r="I7" s="16">
        <f>I6*Inputs!$B$9/10^6</f>
        <v>8.5218211296542563</v>
      </c>
      <c r="J7" s="16">
        <f>J6*Inputs!$B$9/10^6</f>
        <v>8.4792120240059869</v>
      </c>
      <c r="K7" s="16">
        <f>K6*Inputs!$B$9/10^6</f>
        <v>8.4368159638859552</v>
      </c>
      <c r="L7" s="16">
        <f>L6*Inputs!$B$9/10^6</f>
        <v>8.3946318840665253</v>
      </c>
      <c r="M7" s="16">
        <f>M6*Inputs!$B$9/10^6</f>
        <v>8.3526587246461919</v>
      </c>
      <c r="N7" s="16">
        <f>N6*Inputs!$B$9/10^6</f>
        <v>8.3108954310229617</v>
      </c>
      <c r="O7" s="16">
        <f>O6*Inputs!$B$9/10^6</f>
        <v>8.2693409538678466</v>
      </c>
      <c r="P7" s="16">
        <f>P6*Inputs!$B$9/10^6</f>
        <v>8.2279942490985079</v>
      </c>
      <c r="Q7" s="16">
        <f>Q6*Inputs!$B$9/10^6</f>
        <v>8.1868542778530173</v>
      </c>
      <c r="R7" s="16">
        <f>R6*Inputs!$B$9/10^6</f>
        <v>8.1459200064637525</v>
      </c>
      <c r="S7" s="16">
        <f>S6*Inputs!$B$9/10^6</f>
        <v>8.1051904064314328</v>
      </c>
      <c r="T7" s="16">
        <f>T6*Inputs!$B$9/10^6</f>
        <v>8.0646644543992743</v>
      </c>
      <c r="U7" s="16">
        <f>U6*Inputs!$B$9/10^6</f>
        <v>8.0243411321272777</v>
      </c>
      <c r="V7" s="16">
        <f>V6*Inputs!$B$9/10^6</f>
        <v>7.984219426466642</v>
      </c>
      <c r="W7" s="16">
        <f>W6*Inputs!$B$9/10^6</f>
        <v>7.9442983293343081</v>
      </c>
    </row>
    <row r="8" spans="1:23" ht="15" customHeight="1" x14ac:dyDescent="0.2">
      <c r="A8" s="2" t="s">
        <v>138</v>
      </c>
      <c r="B8" s="2" t="s">
        <v>35</v>
      </c>
      <c r="C8" s="16">
        <f>SUM(D8:W8)</f>
        <v>-26.727106778809492</v>
      </c>
      <c r="D8" s="16">
        <f>-Inputs!$B$11*(1+Inputs!$B$12)^(D$4-1)</f>
        <v>-1.1000000000000001</v>
      </c>
      <c r="E8" s="16">
        <f>-Inputs!$B$11*(1+Inputs!$B$12)^(E$4-1)</f>
        <v>-1.1220000000000001</v>
      </c>
      <c r="F8" s="16">
        <f>-Inputs!$B$11*(1+Inputs!$B$12)^(F$4-1)</f>
        <v>-1.1444400000000001</v>
      </c>
      <c r="G8" s="16">
        <f>-Inputs!$B$11*(1+Inputs!$B$12)^(G$4-1)</f>
        <v>-1.1673287999999999</v>
      </c>
      <c r="H8" s="16">
        <f>-Inputs!$B$11*(1+Inputs!$B$12)^(H$4-1)</f>
        <v>-1.1906753760000002</v>
      </c>
      <c r="I8" s="16">
        <f>-Inputs!$B$11*(1+Inputs!$B$12)^(I$4-1)</f>
        <v>-1.2144888835200001</v>
      </c>
      <c r="J8" s="16">
        <f>-Inputs!$B$11*(1+Inputs!$B$12)^(J$4-1)</f>
        <v>-1.2387786611904001</v>
      </c>
      <c r="K8" s="16">
        <f>-Inputs!$B$11*(1+Inputs!$B$12)^(K$4-1)</f>
        <v>-1.2635542344142079</v>
      </c>
      <c r="L8" s="16">
        <f>-Inputs!$B$11*(1+Inputs!$B$12)^(L$4-1)</f>
        <v>-1.2888253191024921</v>
      </c>
      <c r="M8" s="16">
        <f>-Inputs!$B$11*(1+Inputs!$B$12)^(M$4-1)</f>
        <v>-1.314601825484542</v>
      </c>
      <c r="N8" s="16">
        <f>-Inputs!$B$11*(1+Inputs!$B$12)^(N$4-1)</f>
        <v>-1.340893861994233</v>
      </c>
      <c r="O8" s="16">
        <f>-Inputs!$B$11*(1+Inputs!$B$12)^(O$4-1)</f>
        <v>-1.3677117392341174</v>
      </c>
      <c r="P8" s="16">
        <f>-Inputs!$B$11*(1+Inputs!$B$12)^(P$4-1)</f>
        <v>-1.3950659740187998</v>
      </c>
      <c r="Q8" s="16">
        <f>-Inputs!$B$11*(1+Inputs!$B$12)^(Q$4-1)</f>
        <v>-1.4229672934991757</v>
      </c>
      <c r="R8" s="16">
        <f>-Inputs!$B$11*(1+Inputs!$B$12)^(R$4-1)</f>
        <v>-1.4514266393691595</v>
      </c>
      <c r="S8" s="16">
        <f>-Inputs!$B$11*(1+Inputs!$B$12)^(S$4-1)</f>
        <v>-1.4804551721565422</v>
      </c>
      <c r="T8" s="16">
        <f>-Inputs!$B$11*(1+Inputs!$B$12)^(T$4-1)</f>
        <v>-1.5100642755996734</v>
      </c>
      <c r="U8" s="16">
        <f>-Inputs!$B$11*(1+Inputs!$B$12)^(U$4-1)</f>
        <v>-1.5402655611116669</v>
      </c>
      <c r="V8" s="16">
        <f>-Inputs!$B$11*(1+Inputs!$B$12)^(V$4-1)</f>
        <v>-1.5710708723339002</v>
      </c>
      <c r="W8" s="16">
        <f>-Inputs!$B$11*(1+Inputs!$B$12)^(W$4-1)</f>
        <v>-1.602492289780578</v>
      </c>
    </row>
    <row r="9" spans="1:23" ht="15" customHeight="1" x14ac:dyDescent="0.2">
      <c r="A9" s="3" t="s">
        <v>139</v>
      </c>
      <c r="B9" s="2" t="s">
        <v>35</v>
      </c>
      <c r="C9" s="16">
        <f>SUM(D9:W9)</f>
        <v>139.97752568366323</v>
      </c>
      <c r="D9" s="22">
        <f t="shared" ref="D9:W9" si="0">D7+D8</f>
        <v>7.6380999999999997</v>
      </c>
      <c r="E9" s="22">
        <f t="shared" si="0"/>
        <v>7.5724095000000009</v>
      </c>
      <c r="F9" s="22">
        <f t="shared" si="0"/>
        <v>7.5064974525000006</v>
      </c>
      <c r="G9" s="22">
        <f t="shared" si="0"/>
        <v>7.4403539652374988</v>
      </c>
      <c r="H9" s="22">
        <f t="shared" si="0"/>
        <v>7.3739689754113122</v>
      </c>
      <c r="I9" s="22">
        <f t="shared" si="0"/>
        <v>7.3073322461342567</v>
      </c>
      <c r="J9" s="22">
        <f t="shared" si="0"/>
        <v>7.2404333628155868</v>
      </c>
      <c r="K9" s="22">
        <f t="shared" si="0"/>
        <v>7.1732617294717471</v>
      </c>
      <c r="L9" s="22">
        <f t="shared" si="0"/>
        <v>7.1058065649640332</v>
      </c>
      <c r="M9" s="22">
        <f t="shared" si="0"/>
        <v>7.0380568991616501</v>
      </c>
      <c r="N9" s="22">
        <f t="shared" si="0"/>
        <v>6.9700015690287289</v>
      </c>
      <c r="O9" s="22">
        <f t="shared" si="0"/>
        <v>6.9016292146337292</v>
      </c>
      <c r="P9" s="22">
        <f t="shared" si="0"/>
        <v>6.8329282750797082</v>
      </c>
      <c r="Q9" s="22">
        <f t="shared" si="0"/>
        <v>6.7638869843538414</v>
      </c>
      <c r="R9" s="22">
        <f t="shared" si="0"/>
        <v>6.6944933670945925</v>
      </c>
      <c r="S9" s="22">
        <f t="shared" si="0"/>
        <v>6.6247352342748904</v>
      </c>
      <c r="T9" s="22">
        <f t="shared" si="0"/>
        <v>6.5546001787996007</v>
      </c>
      <c r="U9" s="22">
        <f t="shared" si="0"/>
        <v>6.4840755710156106</v>
      </c>
      <c r="V9" s="22">
        <f t="shared" si="0"/>
        <v>6.413148554132742</v>
      </c>
      <c r="W9" s="22">
        <f t="shared" si="0"/>
        <v>6.3418060395537301</v>
      </c>
    </row>
    <row r="10" spans="1:23" ht="15" customHeight="1" x14ac:dyDescent="0.2">
      <c r="A10" s="2" t="s">
        <v>140</v>
      </c>
      <c r="B10" s="2" t="s">
        <v>35</v>
      </c>
      <c r="D10" s="16">
        <f>-'Capital Stack'!$B$9/Inputs!$B$15</f>
        <v>-2.75</v>
      </c>
      <c r="E10" s="16">
        <f>-'Capital Stack'!$B$9/Inputs!$B$15</f>
        <v>-2.75</v>
      </c>
      <c r="F10" s="16">
        <f>-'Capital Stack'!$B$9/Inputs!$B$15</f>
        <v>-2.75</v>
      </c>
      <c r="G10" s="16">
        <f>-'Capital Stack'!$B$9/Inputs!$B$15</f>
        <v>-2.75</v>
      </c>
      <c r="H10" s="16">
        <f>-'Capital Stack'!$B$9/Inputs!$B$15</f>
        <v>-2.75</v>
      </c>
      <c r="I10" s="16">
        <f>-'Capital Stack'!$B$9/Inputs!$B$15</f>
        <v>-2.75</v>
      </c>
      <c r="J10" s="16">
        <f>-'Capital Stack'!$B$9/Inputs!$B$15</f>
        <v>-2.75</v>
      </c>
      <c r="K10" s="16">
        <f>-'Capital Stack'!$B$9/Inputs!$B$15</f>
        <v>-2.75</v>
      </c>
      <c r="L10" s="16">
        <f>-'Capital Stack'!$B$9/Inputs!$B$15</f>
        <v>-2.75</v>
      </c>
      <c r="M10" s="16">
        <f>-'Capital Stack'!$B$9/Inputs!$B$15</f>
        <v>-2.75</v>
      </c>
      <c r="N10" s="16">
        <f>-'Capital Stack'!$B$9/Inputs!$B$15</f>
        <v>-2.75</v>
      </c>
      <c r="O10" s="16">
        <f>-'Capital Stack'!$B$9/Inputs!$B$15</f>
        <v>-2.75</v>
      </c>
      <c r="P10" s="16">
        <f>-'Capital Stack'!$B$9/Inputs!$B$15</f>
        <v>-2.75</v>
      </c>
      <c r="Q10" s="16">
        <f>-'Capital Stack'!$B$9/Inputs!$B$15</f>
        <v>-2.75</v>
      </c>
      <c r="R10" s="16">
        <f>-'Capital Stack'!$B$9/Inputs!$B$15</f>
        <v>-2.75</v>
      </c>
      <c r="S10" s="16">
        <f>-'Capital Stack'!$B$9/Inputs!$B$15</f>
        <v>-2.75</v>
      </c>
      <c r="T10" s="16">
        <f>-'Capital Stack'!$B$9/Inputs!$B$15</f>
        <v>-2.75</v>
      </c>
      <c r="U10" s="16">
        <f>-'Capital Stack'!$B$9/Inputs!$B$15</f>
        <v>-2.75</v>
      </c>
      <c r="V10" s="16">
        <f>-'Capital Stack'!$B$9/Inputs!$B$15</f>
        <v>-2.75</v>
      </c>
      <c r="W10" s="16">
        <f>-'Capital Stack'!$B$9/Inputs!$B$15</f>
        <v>-2.75</v>
      </c>
    </row>
    <row r="11" spans="1:23" ht="15" customHeight="1" x14ac:dyDescent="0.2">
      <c r="A11" s="2" t="s">
        <v>141</v>
      </c>
      <c r="B11" s="2" t="s">
        <v>35</v>
      </c>
      <c r="C11" s="16">
        <f>SUM(D11:W11)</f>
        <v>-18.358858737154335</v>
      </c>
      <c r="D11" s="16">
        <f>IF(D$4&lt;=Inputs!$B$14,0,-MAX(0,(D9+D10)*Inputs!$B$13))</f>
        <v>0</v>
      </c>
      <c r="E11" s="16">
        <f>IF(E$4&lt;=Inputs!$B$14,0,-MAX(0,(E9+E10)*Inputs!$B$13))</f>
        <v>0</v>
      </c>
      <c r="F11" s="16">
        <f>IF(F$4&lt;=Inputs!$B$14,0,-MAX(0,(F9+F10)*Inputs!$B$13))</f>
        <v>0</v>
      </c>
      <c r="G11" s="16">
        <f>IF(G$4&lt;=Inputs!$B$14,0,-MAX(0,(G9+G10)*Inputs!$B$13))</f>
        <v>0</v>
      </c>
      <c r="H11" s="16">
        <f>IF(H$4&lt;=Inputs!$B$14,0,-MAX(0,(H9+H10)*Inputs!$B$13))</f>
        <v>0</v>
      </c>
      <c r="I11" s="16">
        <f>IF(I$4&lt;=Inputs!$B$14,0,-MAX(0,(I9+I10)*Inputs!$B$13))</f>
        <v>-1.367199673840277</v>
      </c>
      <c r="J11" s="16">
        <f>IF(J$4&lt;=Inputs!$B$14,0,-MAX(0,(J9+J10)*Inputs!$B$13))</f>
        <v>-1.347130008844676</v>
      </c>
      <c r="K11" s="16">
        <f>IF(K$4&lt;=Inputs!$B$14,0,-MAX(0,(K9+K10)*Inputs!$B$13))</f>
        <v>-1.3269785188415242</v>
      </c>
      <c r="L11" s="16">
        <f>IF(L$4&lt;=Inputs!$B$14,0,-MAX(0,(L9+L10)*Inputs!$B$13))</f>
        <v>-1.30674196948921</v>
      </c>
      <c r="M11" s="16">
        <f>IF(M$4&lt;=Inputs!$B$14,0,-MAX(0,(M9+M10)*Inputs!$B$13))</f>
        <v>-1.2864170697484949</v>
      </c>
      <c r="N11" s="16">
        <f>IF(N$4&lt;=Inputs!$B$14,0,-MAX(0,(N9+N10)*Inputs!$B$13))</f>
        <v>-1.2660004707086185</v>
      </c>
      <c r="O11" s="16">
        <f>IF(O$4&lt;=Inputs!$B$14,0,-MAX(0,(O9+O10)*Inputs!$B$13))</f>
        <v>-1.2454887643901187</v>
      </c>
      <c r="P11" s="16">
        <f>IF(P$4&lt;=Inputs!$B$14,0,-MAX(0,(P9+P10)*Inputs!$B$13))</f>
        <v>-1.2248784825239125</v>
      </c>
      <c r="Q11" s="16">
        <f>IF(Q$4&lt;=Inputs!$B$14,0,-MAX(0,(Q9+Q10)*Inputs!$B$13))</f>
        <v>-1.2041660953061524</v>
      </c>
      <c r="R11" s="16">
        <f>IF(R$4&lt;=Inputs!$B$14,0,-MAX(0,(R9+R10)*Inputs!$B$13))</f>
        <v>-1.1833480101283778</v>
      </c>
      <c r="S11" s="16">
        <f>IF(S$4&lt;=Inputs!$B$14,0,-MAX(0,(S9+S10)*Inputs!$B$13))</f>
        <v>-1.162420570282467</v>
      </c>
      <c r="T11" s="16">
        <f>IF(T$4&lt;=Inputs!$B$14,0,-MAX(0,(T9+T10)*Inputs!$B$13))</f>
        <v>-1.1413800536398802</v>
      </c>
      <c r="U11" s="16">
        <f>IF(U$4&lt;=Inputs!$B$14,0,-MAX(0,(U9+U10)*Inputs!$B$13))</f>
        <v>-1.1202226713046832</v>
      </c>
      <c r="V11" s="16">
        <f>IF(V$4&lt;=Inputs!$B$14,0,-MAX(0,(V9+V10)*Inputs!$B$13))</f>
        <v>-1.0989445662398225</v>
      </c>
      <c r="W11" s="16">
        <f>IF(W$4&lt;=Inputs!$B$14,0,-MAX(0,(W9+W10)*Inputs!$B$13))</f>
        <v>-1.0775418118661191</v>
      </c>
    </row>
    <row r="12" spans="1:23" ht="15" customHeight="1" x14ac:dyDescent="0.2">
      <c r="A12" s="3" t="s">
        <v>142</v>
      </c>
      <c r="B12" s="2" t="s">
        <v>35</v>
      </c>
      <c r="C12" s="16">
        <f>SUM(D12:W12)</f>
        <v>121.61866694650891</v>
      </c>
      <c r="D12" s="22">
        <f t="shared" ref="D12:W12" si="1">D9+D11</f>
        <v>7.6380999999999997</v>
      </c>
      <c r="E12" s="22">
        <f t="shared" si="1"/>
        <v>7.5724095000000009</v>
      </c>
      <c r="F12" s="22">
        <f t="shared" si="1"/>
        <v>7.5064974525000006</v>
      </c>
      <c r="G12" s="22">
        <f t="shared" si="1"/>
        <v>7.4403539652374988</v>
      </c>
      <c r="H12" s="22">
        <f t="shared" si="1"/>
        <v>7.3739689754113122</v>
      </c>
      <c r="I12" s="22">
        <f t="shared" si="1"/>
        <v>5.9401325722939795</v>
      </c>
      <c r="J12" s="22">
        <f t="shared" si="1"/>
        <v>5.8933033539709108</v>
      </c>
      <c r="K12" s="22">
        <f t="shared" si="1"/>
        <v>5.8462832106302232</v>
      </c>
      <c r="L12" s="22">
        <f t="shared" si="1"/>
        <v>5.7990645954748228</v>
      </c>
      <c r="M12" s="22">
        <f t="shared" si="1"/>
        <v>5.751639829413155</v>
      </c>
      <c r="N12" s="22">
        <f t="shared" si="1"/>
        <v>5.7040010983201102</v>
      </c>
      <c r="O12" s="22">
        <f t="shared" si="1"/>
        <v>5.6561404502436101</v>
      </c>
      <c r="P12" s="22">
        <f t="shared" si="1"/>
        <v>5.6080497925557955</v>
      </c>
      <c r="Q12" s="22">
        <f t="shared" si="1"/>
        <v>5.5597208890476892</v>
      </c>
      <c r="R12" s="22">
        <f t="shared" si="1"/>
        <v>5.5111453569662148</v>
      </c>
      <c r="S12" s="22">
        <f t="shared" si="1"/>
        <v>5.4623146639924229</v>
      </c>
      <c r="T12" s="22">
        <f t="shared" si="1"/>
        <v>5.4132201251597207</v>
      </c>
      <c r="U12" s="22">
        <f t="shared" si="1"/>
        <v>5.3638528997109276</v>
      </c>
      <c r="V12" s="22">
        <f t="shared" si="1"/>
        <v>5.3142039878929195</v>
      </c>
      <c r="W12" s="22">
        <f t="shared" si="1"/>
        <v>5.2642642276876108</v>
      </c>
    </row>
    <row r="14" spans="1:23" ht="15" customHeight="1" x14ac:dyDescent="0.2">
      <c r="A14" s="4" t="s">
        <v>143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5" customHeight="1" x14ac:dyDescent="0.2">
      <c r="A15" s="2" t="s">
        <v>144</v>
      </c>
      <c r="B15" s="2" t="s">
        <v>136</v>
      </c>
      <c r="D15" s="21">
        <f>D6*(1-Inputs!$B$33)</f>
        <v>91980</v>
      </c>
      <c r="E15" s="21">
        <f>E6*(1-Inputs!$B$33)</f>
        <v>91520.1</v>
      </c>
      <c r="F15" s="21">
        <f>F6*(1-Inputs!$B$33)</f>
        <v>91062.499500000005</v>
      </c>
      <c r="G15" s="21">
        <f>G6*(1-Inputs!$B$33)</f>
        <v>90607.187002499995</v>
      </c>
      <c r="H15" s="21">
        <f>H6*(1-Inputs!$B$33)</f>
        <v>90154.151067487503</v>
      </c>
      <c r="I15" s="21">
        <f>I6*(1-Inputs!$B$33)</f>
        <v>89703.380312150068</v>
      </c>
      <c r="J15" s="21">
        <f>J6*(1-Inputs!$B$33)</f>
        <v>89254.863410589329</v>
      </c>
      <c r="K15" s="21">
        <f>K6*(1-Inputs!$B$33)</f>
        <v>88808.589093536371</v>
      </c>
      <c r="L15" s="21">
        <f>L6*(1-Inputs!$B$33)</f>
        <v>88364.546148068694</v>
      </c>
      <c r="M15" s="21">
        <f>M6*(1-Inputs!$B$33)</f>
        <v>87922.723417328336</v>
      </c>
      <c r="N15" s="21">
        <f>N6*(1-Inputs!$B$33)</f>
        <v>87483.109800241713</v>
      </c>
      <c r="O15" s="21">
        <f>O6*(1-Inputs!$B$33)</f>
        <v>87045.694251240493</v>
      </c>
      <c r="P15" s="21">
        <f>P6*(1-Inputs!$B$33)</f>
        <v>86610.465779984297</v>
      </c>
      <c r="Q15" s="21">
        <f>Q6*(1-Inputs!$B$33)</f>
        <v>86177.413451084387</v>
      </c>
      <c r="R15" s="21">
        <f>R6*(1-Inputs!$B$33)</f>
        <v>85746.526383828968</v>
      </c>
      <c r="S15" s="21">
        <f>S6*(1-Inputs!$B$33)</f>
        <v>85317.79375190982</v>
      </c>
      <c r="T15" s="21">
        <f>T6*(1-Inputs!$B$33)</f>
        <v>84891.204783150257</v>
      </c>
      <c r="U15" s="21">
        <f>U6*(1-Inputs!$B$33)</f>
        <v>84466.748759234513</v>
      </c>
      <c r="V15" s="21">
        <f>V6*(1-Inputs!$B$33)</f>
        <v>84044.415015438339</v>
      </c>
      <c r="W15" s="21">
        <f>W6*(1-Inputs!$B$33)</f>
        <v>83624.192940361143</v>
      </c>
    </row>
    <row r="16" spans="1:23" ht="15" customHeight="1" x14ac:dyDescent="0.2">
      <c r="A16" s="2" t="s">
        <v>145</v>
      </c>
      <c r="B16" s="2" t="s">
        <v>146</v>
      </c>
      <c r="D16" s="23">
        <f>1-Inputs!$B$30*(1-Inputs!$B$31)</f>
        <v>1</v>
      </c>
      <c r="E16" s="23">
        <f>1-Inputs!$B$30*(1-Inputs!$B$31)</f>
        <v>1</v>
      </c>
      <c r="F16" s="23">
        <f>1-Inputs!$B$30*(1-Inputs!$B$31)</f>
        <v>1</v>
      </c>
      <c r="G16" s="23">
        <f>1-Inputs!$B$30*(1-Inputs!$B$31)</f>
        <v>1</v>
      </c>
      <c r="H16" s="23">
        <f>1-Inputs!$B$30*(1-Inputs!$B$31)</f>
        <v>1</v>
      </c>
      <c r="I16" s="23">
        <f>1-Inputs!$B$30*(1-Inputs!$B$31)</f>
        <v>1</v>
      </c>
      <c r="J16" s="23">
        <f>1-Inputs!$B$30*(1-Inputs!$B$31)</f>
        <v>1</v>
      </c>
      <c r="K16" s="23">
        <f>1-Inputs!$B$30*(1-Inputs!$B$31)</f>
        <v>1</v>
      </c>
      <c r="L16" s="23">
        <f>1-Inputs!$B$30*(1-Inputs!$B$31)</f>
        <v>1</v>
      </c>
      <c r="M16" s="23">
        <f>1-Inputs!$B$30*(1-Inputs!$B$31)</f>
        <v>1</v>
      </c>
      <c r="N16" s="23">
        <f>1-Inputs!$B$30*(1-Inputs!$B$31)</f>
        <v>1</v>
      </c>
      <c r="O16" s="23">
        <f>1-Inputs!$B$30*(1-Inputs!$B$31)</f>
        <v>1</v>
      </c>
      <c r="P16" s="23">
        <f>1-Inputs!$B$30*(1-Inputs!$B$31)</f>
        <v>1</v>
      </c>
      <c r="Q16" s="23">
        <f>1-Inputs!$B$30*(1-Inputs!$B$31)</f>
        <v>1</v>
      </c>
      <c r="R16" s="23">
        <f>1-Inputs!$B$30*(1-Inputs!$B$31)</f>
        <v>1</v>
      </c>
      <c r="S16" s="23">
        <f>1-Inputs!$B$30*(1-Inputs!$B$31)</f>
        <v>1</v>
      </c>
      <c r="T16" s="23">
        <f>1-Inputs!$B$30*(1-Inputs!$B$31)</f>
        <v>1</v>
      </c>
      <c r="U16" s="23">
        <f>1-Inputs!$B$30*(1-Inputs!$B$31)</f>
        <v>1</v>
      </c>
      <c r="V16" s="23">
        <f>1-Inputs!$B$30*(1-Inputs!$B$31)</f>
        <v>1</v>
      </c>
      <c r="W16" s="23">
        <f>1-Inputs!$B$30*(1-Inputs!$B$31)</f>
        <v>1</v>
      </c>
    </row>
    <row r="17" spans="1:23" ht="15" customHeight="1" x14ac:dyDescent="0.2">
      <c r="A17" s="2" t="s">
        <v>147</v>
      </c>
      <c r="B17" s="2" t="s">
        <v>35</v>
      </c>
      <c r="C17" s="16">
        <f>SUM(D17:W17)</f>
        <v>166.70463246247277</v>
      </c>
      <c r="D17" s="16">
        <f>D15*Inputs!$B$9/10^6*D16*Inputs!$B$32</f>
        <v>8.7380999999999993</v>
      </c>
      <c r="E17" s="16">
        <f>E15*Inputs!$B$9/10^6*E16*Inputs!$B$32</f>
        <v>8.6944095000000008</v>
      </c>
      <c r="F17" s="16">
        <f>F15*Inputs!$B$9/10^6*F16*Inputs!$B$32</f>
        <v>8.6509374525000009</v>
      </c>
      <c r="G17" s="16">
        <f>G15*Inputs!$B$9/10^6*G16*Inputs!$B$32</f>
        <v>8.6076827652374988</v>
      </c>
      <c r="H17" s="16">
        <f>H15*Inputs!$B$9/10^6*H16*Inputs!$B$32</f>
        <v>8.564644351411312</v>
      </c>
      <c r="I17" s="16">
        <f>I15*Inputs!$B$9/10^6*I16*Inputs!$B$32</f>
        <v>8.5218211296542563</v>
      </c>
      <c r="J17" s="16">
        <f>J15*Inputs!$B$9/10^6*J16*Inputs!$B$32</f>
        <v>8.4792120240059869</v>
      </c>
      <c r="K17" s="16">
        <f>K15*Inputs!$B$9/10^6*K16*Inputs!$B$32</f>
        <v>8.4368159638859552</v>
      </c>
      <c r="L17" s="16">
        <f>L15*Inputs!$B$9/10^6*L16*Inputs!$B$32</f>
        <v>8.3946318840665253</v>
      </c>
      <c r="M17" s="16">
        <f>M15*Inputs!$B$9/10^6*M16*Inputs!$B$32</f>
        <v>8.3526587246461919</v>
      </c>
      <c r="N17" s="16">
        <f>N15*Inputs!$B$9/10^6*N16*Inputs!$B$32</f>
        <v>8.3108954310229617</v>
      </c>
      <c r="O17" s="16">
        <f>O15*Inputs!$B$9/10^6*O16*Inputs!$B$32</f>
        <v>8.2693409538678466</v>
      </c>
      <c r="P17" s="16">
        <f>P15*Inputs!$B$9/10^6*P16*Inputs!$B$32</f>
        <v>8.2279942490985079</v>
      </c>
      <c r="Q17" s="16">
        <f>Q15*Inputs!$B$9/10^6*Q16*Inputs!$B$32</f>
        <v>8.1868542778530173</v>
      </c>
      <c r="R17" s="16">
        <f>R15*Inputs!$B$9/10^6*R16*Inputs!$B$32</f>
        <v>8.1459200064637525</v>
      </c>
      <c r="S17" s="16">
        <f>S15*Inputs!$B$9/10^6*S16*Inputs!$B$32</f>
        <v>8.1051904064314328</v>
      </c>
      <c r="T17" s="16">
        <f>T15*Inputs!$B$9/10^6*T16*Inputs!$B$32</f>
        <v>8.0646644543992743</v>
      </c>
      <c r="U17" s="16">
        <f>U15*Inputs!$B$9/10^6*U16*Inputs!$B$32</f>
        <v>8.0243411321272777</v>
      </c>
      <c r="V17" s="16">
        <f>V15*Inputs!$B$9/10^6*V16*Inputs!$B$32</f>
        <v>7.984219426466642</v>
      </c>
      <c r="W17" s="16">
        <f>W15*Inputs!$B$9/10^6*W16*Inputs!$B$32</f>
        <v>7.9442983293343081</v>
      </c>
    </row>
    <row r="18" spans="1:23" ht="15" customHeight="1" x14ac:dyDescent="0.2">
      <c r="A18" s="2" t="s">
        <v>148</v>
      </c>
      <c r="B18" s="2" t="s">
        <v>35</v>
      </c>
      <c r="C18" s="16">
        <f>SUM(D18:W18)</f>
        <v>-26.727106778809492</v>
      </c>
      <c r="D18" s="16">
        <f>D8*(1+Inputs!$B$34)</f>
        <v>-1.1000000000000001</v>
      </c>
      <c r="E18" s="16">
        <f>E8*(1+Inputs!$B$34)</f>
        <v>-1.1220000000000001</v>
      </c>
      <c r="F18" s="16">
        <f>F8*(1+Inputs!$B$34)</f>
        <v>-1.1444400000000001</v>
      </c>
      <c r="G18" s="16">
        <f>G8*(1+Inputs!$B$34)</f>
        <v>-1.1673287999999999</v>
      </c>
      <c r="H18" s="16">
        <f>H8*(1+Inputs!$B$34)</f>
        <v>-1.1906753760000002</v>
      </c>
      <c r="I18" s="16">
        <f>I8*(1+Inputs!$B$34)</f>
        <v>-1.2144888835200001</v>
      </c>
      <c r="J18" s="16">
        <f>J8*(1+Inputs!$B$34)</f>
        <v>-1.2387786611904001</v>
      </c>
      <c r="K18" s="16">
        <f>K8*(1+Inputs!$B$34)</f>
        <v>-1.2635542344142079</v>
      </c>
      <c r="L18" s="16">
        <f>L8*(1+Inputs!$B$34)</f>
        <v>-1.2888253191024921</v>
      </c>
      <c r="M18" s="16">
        <f>M8*(1+Inputs!$B$34)</f>
        <v>-1.314601825484542</v>
      </c>
      <c r="N18" s="16">
        <f>N8*(1+Inputs!$B$34)</f>
        <v>-1.340893861994233</v>
      </c>
      <c r="O18" s="16">
        <f>O8*(1+Inputs!$B$34)</f>
        <v>-1.3677117392341174</v>
      </c>
      <c r="P18" s="16">
        <f>P8*(1+Inputs!$B$34)</f>
        <v>-1.3950659740187998</v>
      </c>
      <c r="Q18" s="16">
        <f>Q8*(1+Inputs!$B$34)</f>
        <v>-1.4229672934991757</v>
      </c>
      <c r="R18" s="16">
        <f>R8*(1+Inputs!$B$34)</f>
        <v>-1.4514266393691595</v>
      </c>
      <c r="S18" s="16">
        <f>S8*(1+Inputs!$B$34)</f>
        <v>-1.4804551721565422</v>
      </c>
      <c r="T18" s="16">
        <f>T8*(1+Inputs!$B$34)</f>
        <v>-1.5100642755996734</v>
      </c>
      <c r="U18" s="16">
        <f>U8*(1+Inputs!$B$34)</f>
        <v>-1.5402655611116669</v>
      </c>
      <c r="V18" s="16">
        <f>V8*(1+Inputs!$B$34)</f>
        <v>-1.5710708723339002</v>
      </c>
      <c r="W18" s="16">
        <f>W8*(1+Inputs!$B$34)</f>
        <v>-1.602492289780578</v>
      </c>
    </row>
    <row r="19" spans="1:23" ht="15" customHeight="1" x14ac:dyDescent="0.2">
      <c r="A19" s="3" t="s">
        <v>139</v>
      </c>
      <c r="B19" s="2" t="s">
        <v>35</v>
      </c>
      <c r="C19" s="16">
        <f>SUM(D19:W19)</f>
        <v>139.97752568366323</v>
      </c>
      <c r="D19" s="22">
        <f t="shared" ref="D19:W19" si="2">D17+D18</f>
        <v>7.6380999999999997</v>
      </c>
      <c r="E19" s="22">
        <f t="shared" si="2"/>
        <v>7.5724095000000009</v>
      </c>
      <c r="F19" s="22">
        <f t="shared" si="2"/>
        <v>7.5064974525000006</v>
      </c>
      <c r="G19" s="22">
        <f t="shared" si="2"/>
        <v>7.4403539652374988</v>
      </c>
      <c r="H19" s="22">
        <f t="shared" si="2"/>
        <v>7.3739689754113122</v>
      </c>
      <c r="I19" s="22">
        <f t="shared" si="2"/>
        <v>7.3073322461342567</v>
      </c>
      <c r="J19" s="22">
        <f t="shared" si="2"/>
        <v>7.2404333628155868</v>
      </c>
      <c r="K19" s="22">
        <f t="shared" si="2"/>
        <v>7.1732617294717471</v>
      </c>
      <c r="L19" s="22">
        <f t="shared" si="2"/>
        <v>7.1058065649640332</v>
      </c>
      <c r="M19" s="22">
        <f t="shared" si="2"/>
        <v>7.0380568991616501</v>
      </c>
      <c r="N19" s="22">
        <f t="shared" si="2"/>
        <v>6.9700015690287289</v>
      </c>
      <c r="O19" s="22">
        <f t="shared" si="2"/>
        <v>6.9016292146337292</v>
      </c>
      <c r="P19" s="22">
        <f t="shared" si="2"/>
        <v>6.8329282750797082</v>
      </c>
      <c r="Q19" s="22">
        <f t="shared" si="2"/>
        <v>6.7638869843538414</v>
      </c>
      <c r="R19" s="22">
        <f t="shared" si="2"/>
        <v>6.6944933670945925</v>
      </c>
      <c r="S19" s="22">
        <f t="shared" si="2"/>
        <v>6.6247352342748904</v>
      </c>
      <c r="T19" s="22">
        <f t="shared" si="2"/>
        <v>6.5546001787996007</v>
      </c>
      <c r="U19" s="22">
        <f t="shared" si="2"/>
        <v>6.4840755710156106</v>
      </c>
      <c r="V19" s="22">
        <f t="shared" si="2"/>
        <v>6.413148554132742</v>
      </c>
      <c r="W19" s="22">
        <f t="shared" si="2"/>
        <v>6.3418060395537301</v>
      </c>
    </row>
    <row r="20" spans="1:23" ht="15" customHeight="1" x14ac:dyDescent="0.2">
      <c r="A20" s="2" t="s">
        <v>141</v>
      </c>
      <c r="B20" s="2" t="s">
        <v>35</v>
      </c>
      <c r="C20" s="16">
        <f>SUM(D20:W20)</f>
        <v>-18.358858737154335</v>
      </c>
      <c r="D20" s="16">
        <f>IF(D$4&lt;=Inputs!$B$14,0,-MAX(0,(D19+D10)*Inputs!$B$13))</f>
        <v>0</v>
      </c>
      <c r="E20" s="16">
        <f>IF(E$4&lt;=Inputs!$B$14,0,-MAX(0,(E19+E10)*Inputs!$B$13))</f>
        <v>0</v>
      </c>
      <c r="F20" s="16">
        <f>IF(F$4&lt;=Inputs!$B$14,0,-MAX(0,(F19+F10)*Inputs!$B$13))</f>
        <v>0</v>
      </c>
      <c r="G20" s="16">
        <f>IF(G$4&lt;=Inputs!$B$14,0,-MAX(0,(G19+G10)*Inputs!$B$13))</f>
        <v>0</v>
      </c>
      <c r="H20" s="16">
        <f>IF(H$4&lt;=Inputs!$B$14,0,-MAX(0,(H19+H10)*Inputs!$B$13))</f>
        <v>0</v>
      </c>
      <c r="I20" s="16">
        <f>IF(I$4&lt;=Inputs!$B$14,0,-MAX(0,(I19+I10)*Inputs!$B$13))</f>
        <v>-1.367199673840277</v>
      </c>
      <c r="J20" s="16">
        <f>IF(J$4&lt;=Inputs!$B$14,0,-MAX(0,(J19+J10)*Inputs!$B$13))</f>
        <v>-1.347130008844676</v>
      </c>
      <c r="K20" s="16">
        <f>IF(K$4&lt;=Inputs!$B$14,0,-MAX(0,(K19+K10)*Inputs!$B$13))</f>
        <v>-1.3269785188415242</v>
      </c>
      <c r="L20" s="16">
        <f>IF(L$4&lt;=Inputs!$B$14,0,-MAX(0,(L19+L10)*Inputs!$B$13))</f>
        <v>-1.30674196948921</v>
      </c>
      <c r="M20" s="16">
        <f>IF(M$4&lt;=Inputs!$B$14,0,-MAX(0,(M19+M10)*Inputs!$B$13))</f>
        <v>-1.2864170697484949</v>
      </c>
      <c r="N20" s="16">
        <f>IF(N$4&lt;=Inputs!$B$14,0,-MAX(0,(N19+N10)*Inputs!$B$13))</f>
        <v>-1.2660004707086185</v>
      </c>
      <c r="O20" s="16">
        <f>IF(O$4&lt;=Inputs!$B$14,0,-MAX(0,(O19+O10)*Inputs!$B$13))</f>
        <v>-1.2454887643901187</v>
      </c>
      <c r="P20" s="16">
        <f>IF(P$4&lt;=Inputs!$B$14,0,-MAX(0,(P19+P10)*Inputs!$B$13))</f>
        <v>-1.2248784825239125</v>
      </c>
      <c r="Q20" s="16">
        <f>IF(Q$4&lt;=Inputs!$B$14,0,-MAX(0,(Q19+Q10)*Inputs!$B$13))</f>
        <v>-1.2041660953061524</v>
      </c>
      <c r="R20" s="16">
        <f>IF(R$4&lt;=Inputs!$B$14,0,-MAX(0,(R19+R10)*Inputs!$B$13))</f>
        <v>-1.1833480101283778</v>
      </c>
      <c r="S20" s="16">
        <f>IF(S$4&lt;=Inputs!$B$14,0,-MAX(0,(S19+S10)*Inputs!$B$13))</f>
        <v>-1.162420570282467</v>
      </c>
      <c r="T20" s="16">
        <f>IF(T$4&lt;=Inputs!$B$14,0,-MAX(0,(T19+T10)*Inputs!$B$13))</f>
        <v>-1.1413800536398802</v>
      </c>
      <c r="U20" s="16">
        <f>IF(U$4&lt;=Inputs!$B$14,0,-MAX(0,(U19+U10)*Inputs!$B$13))</f>
        <v>-1.1202226713046832</v>
      </c>
      <c r="V20" s="16">
        <f>IF(V$4&lt;=Inputs!$B$14,0,-MAX(0,(V19+V10)*Inputs!$B$13))</f>
        <v>-1.0989445662398225</v>
      </c>
      <c r="W20" s="16">
        <f>IF(W$4&lt;=Inputs!$B$14,0,-MAX(0,(W19+W10)*Inputs!$B$13))</f>
        <v>-1.0775418118661191</v>
      </c>
    </row>
    <row r="21" spans="1:23" ht="15" customHeight="1" x14ac:dyDescent="0.2">
      <c r="A21" s="3" t="s">
        <v>149</v>
      </c>
      <c r="B21" s="2" t="s">
        <v>35</v>
      </c>
      <c r="C21" s="16">
        <f>SUM(D21:W21)</f>
        <v>121.61866694650891</v>
      </c>
      <c r="D21" s="22">
        <f t="shared" ref="D21:W21" si="3">D19+D20</f>
        <v>7.6380999999999997</v>
      </c>
      <c r="E21" s="22">
        <f t="shared" si="3"/>
        <v>7.5724095000000009</v>
      </c>
      <c r="F21" s="22">
        <f t="shared" si="3"/>
        <v>7.5064974525000006</v>
      </c>
      <c r="G21" s="22">
        <f t="shared" si="3"/>
        <v>7.4403539652374988</v>
      </c>
      <c r="H21" s="22">
        <f t="shared" si="3"/>
        <v>7.3739689754113122</v>
      </c>
      <c r="I21" s="22">
        <f t="shared" si="3"/>
        <v>5.9401325722939795</v>
      </c>
      <c r="J21" s="22">
        <f t="shared" si="3"/>
        <v>5.8933033539709108</v>
      </c>
      <c r="K21" s="22">
        <f t="shared" si="3"/>
        <v>5.8462832106302232</v>
      </c>
      <c r="L21" s="22">
        <f t="shared" si="3"/>
        <v>5.7990645954748228</v>
      </c>
      <c r="M21" s="22">
        <f t="shared" si="3"/>
        <v>5.751639829413155</v>
      </c>
      <c r="N21" s="22">
        <f t="shared" si="3"/>
        <v>5.7040010983201102</v>
      </c>
      <c r="O21" s="22">
        <f t="shared" si="3"/>
        <v>5.6561404502436101</v>
      </c>
      <c r="P21" s="22">
        <f t="shared" si="3"/>
        <v>5.6080497925557955</v>
      </c>
      <c r="Q21" s="22">
        <f t="shared" si="3"/>
        <v>5.5597208890476892</v>
      </c>
      <c r="R21" s="22">
        <f t="shared" si="3"/>
        <v>5.5111453569662148</v>
      </c>
      <c r="S21" s="22">
        <f t="shared" si="3"/>
        <v>5.4623146639924229</v>
      </c>
      <c r="T21" s="22">
        <f t="shared" si="3"/>
        <v>5.4132201251597207</v>
      </c>
      <c r="U21" s="22">
        <f t="shared" si="3"/>
        <v>5.3638528997109276</v>
      </c>
      <c r="V21" s="22">
        <f t="shared" si="3"/>
        <v>5.3142039878929195</v>
      </c>
      <c r="W21" s="22">
        <f t="shared" si="3"/>
        <v>5.2642642276876108</v>
      </c>
    </row>
    <row r="23" spans="1:23" ht="15" customHeight="1" x14ac:dyDescent="0.2">
      <c r="A23" s="4" t="s">
        <v>150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" customHeight="1" x14ac:dyDescent="0.2">
      <c r="A24" s="2" t="s">
        <v>151</v>
      </c>
      <c r="B24" s="2" t="s">
        <v>152</v>
      </c>
      <c r="D24" s="24">
        <f>IF(D$4&lt;=Inputs!$B$25,1,0)</f>
        <v>1</v>
      </c>
      <c r="E24" s="24">
        <f>IF(E$4&lt;=Inputs!$B$25,1,0)</f>
        <v>1</v>
      </c>
      <c r="F24" s="24">
        <f>IF(F$4&lt;=Inputs!$B$25,1,0)</f>
        <v>1</v>
      </c>
      <c r="G24" s="24">
        <f>IF(G$4&lt;=Inputs!$B$25,1,0)</f>
        <v>1</v>
      </c>
      <c r="H24" s="24">
        <f>IF(H$4&lt;=Inputs!$B$25,1,0)</f>
        <v>1</v>
      </c>
      <c r="I24" s="24">
        <f>IF(I$4&lt;=Inputs!$B$25,1,0)</f>
        <v>1</v>
      </c>
      <c r="J24" s="24">
        <f>IF(J$4&lt;=Inputs!$B$25,1,0)</f>
        <v>1</v>
      </c>
      <c r="K24" s="24">
        <f>IF(K$4&lt;=Inputs!$B$25,1,0)</f>
        <v>1</v>
      </c>
      <c r="L24" s="24">
        <f>IF(L$4&lt;=Inputs!$B$25,1,0)</f>
        <v>1</v>
      </c>
      <c r="M24" s="24">
        <f>IF(M$4&lt;=Inputs!$B$25,1,0)</f>
        <v>1</v>
      </c>
      <c r="N24" s="24">
        <f>IF(N$4&lt;=Inputs!$B$25,1,0)</f>
        <v>1</v>
      </c>
      <c r="O24" s="24">
        <f>IF(O$4&lt;=Inputs!$B$25,1,0)</f>
        <v>1</v>
      </c>
      <c r="P24" s="24">
        <f>IF(P$4&lt;=Inputs!$B$25,1,0)</f>
        <v>1</v>
      </c>
      <c r="Q24" s="24">
        <f>IF(Q$4&lt;=Inputs!$B$25,1,0)</f>
        <v>1</v>
      </c>
      <c r="R24" s="24">
        <f>IF(R$4&lt;=Inputs!$B$25,1,0)</f>
        <v>1</v>
      </c>
      <c r="S24" s="24">
        <f>IF(S$4&lt;=Inputs!$B$25,1,0)</f>
        <v>0</v>
      </c>
      <c r="T24" s="24">
        <f>IF(T$4&lt;=Inputs!$B$25,1,0)</f>
        <v>0</v>
      </c>
      <c r="U24" s="24">
        <f>IF(U$4&lt;=Inputs!$B$25,1,0)</f>
        <v>0</v>
      </c>
      <c r="V24" s="24">
        <f>IF(V$4&lt;=Inputs!$B$25,1,0)</f>
        <v>0</v>
      </c>
      <c r="W24" s="24">
        <f>IF(W$4&lt;=Inputs!$B$25,1,0)</f>
        <v>0</v>
      </c>
    </row>
    <row r="25" spans="1:23" ht="15" customHeight="1" x14ac:dyDescent="0.2">
      <c r="A25" s="2" t="s">
        <v>153</v>
      </c>
      <c r="B25" s="2" t="s">
        <v>35</v>
      </c>
      <c r="C25" s="16">
        <f>SUM(D25:W25)</f>
        <v>70.222822994122467</v>
      </c>
      <c r="D25" s="16">
        <f>D12/Inputs!$B$23*D24</f>
        <v>5.6578518518518512</v>
      </c>
      <c r="E25" s="16">
        <f>E12/Inputs!$B$23*E24</f>
        <v>5.6091922222222221</v>
      </c>
      <c r="F25" s="16">
        <f>F12/Inputs!$B$23*F24</f>
        <v>5.5603684833333338</v>
      </c>
      <c r="G25" s="16">
        <f>G12/Inputs!$B$23*G24</f>
        <v>5.511373307583332</v>
      </c>
      <c r="H25" s="16">
        <f>H12/Inputs!$B$23*H24</f>
        <v>5.4621992410454165</v>
      </c>
      <c r="I25" s="16">
        <f>I12/Inputs!$B$23*I24</f>
        <v>4.4000982016992438</v>
      </c>
      <c r="J25" s="16">
        <f>J12/Inputs!$B$23*J24</f>
        <v>4.3654098918303044</v>
      </c>
      <c r="K25" s="16">
        <f>K12/Inputs!$B$23*K24</f>
        <v>4.3305801560223873</v>
      </c>
      <c r="L25" s="16">
        <f>L12/Inputs!$B$23*L24</f>
        <v>4.2956034040554236</v>
      </c>
      <c r="M25" s="16">
        <f>M12/Inputs!$B$23*M24</f>
        <v>4.2604739477134475</v>
      </c>
      <c r="N25" s="16">
        <f>N12/Inputs!$B$23*N24</f>
        <v>4.2251859987556371</v>
      </c>
      <c r="O25" s="16">
        <f>O12/Inputs!$B$23*O24</f>
        <v>4.1897336668471183</v>
      </c>
      <c r="P25" s="16">
        <f>P12/Inputs!$B$23*P24</f>
        <v>4.1541109574487374</v>
      </c>
      <c r="Q25" s="16">
        <f>Q12/Inputs!$B$23*Q24</f>
        <v>4.1183117696649552</v>
      </c>
      <c r="R25" s="16">
        <f>R12/Inputs!$B$23*R24</f>
        <v>4.0823298940490478</v>
      </c>
      <c r="S25" s="16">
        <f>S12/Inputs!$B$23*S24</f>
        <v>0</v>
      </c>
      <c r="T25" s="16">
        <f>T12/Inputs!$B$23*T24</f>
        <v>0</v>
      </c>
      <c r="U25" s="16">
        <f>U12/Inputs!$B$23*U24</f>
        <v>0</v>
      </c>
      <c r="V25" s="16">
        <f>V12/Inputs!$B$23*V24</f>
        <v>0</v>
      </c>
      <c r="W25" s="16">
        <f>W12/Inputs!$B$23*W24</f>
        <v>0</v>
      </c>
    </row>
    <row r="26" spans="1:23" ht="15" customHeight="1" x14ac:dyDescent="0.2">
      <c r="A26" s="2" t="s">
        <v>154</v>
      </c>
      <c r="B26" s="2" t="s">
        <v>146</v>
      </c>
      <c r="D26" s="25">
        <f>1/(1+Inputs!$B$26)^D$4</f>
        <v>0.90909090909090906</v>
      </c>
      <c r="E26" s="25">
        <f>1/(1+Inputs!$B$26)^E$4</f>
        <v>0.82644628099173545</v>
      </c>
      <c r="F26" s="25">
        <f>1/(1+Inputs!$B$26)^F$4</f>
        <v>0.75131480090157754</v>
      </c>
      <c r="G26" s="25">
        <f>1/(1+Inputs!$B$26)^G$4</f>
        <v>0.68301345536507052</v>
      </c>
      <c r="H26" s="25">
        <f>1/(1+Inputs!$B$26)^H$4</f>
        <v>0.62092132305915493</v>
      </c>
      <c r="I26" s="25">
        <f>1/(1+Inputs!$B$26)^I$4</f>
        <v>0.56447393005377722</v>
      </c>
      <c r="J26" s="25">
        <f>1/(1+Inputs!$B$26)^J$4</f>
        <v>0.51315811823070645</v>
      </c>
      <c r="K26" s="25">
        <f>1/(1+Inputs!$B$26)^K$4</f>
        <v>0.46650738020973315</v>
      </c>
      <c r="L26" s="25">
        <f>1/(1+Inputs!$B$26)^L$4</f>
        <v>0.42409761837248466</v>
      </c>
      <c r="M26" s="25">
        <f>1/(1+Inputs!$B$26)^M$4</f>
        <v>0.38554328942953148</v>
      </c>
      <c r="N26" s="25">
        <f>1/(1+Inputs!$B$26)^N$4</f>
        <v>0.3504938994813922</v>
      </c>
      <c r="O26" s="25">
        <f>1/(1+Inputs!$B$26)^O$4</f>
        <v>0.31863081771035656</v>
      </c>
      <c r="P26" s="25">
        <f>1/(1+Inputs!$B$26)^P$4</f>
        <v>0.28966437973668779</v>
      </c>
      <c r="Q26" s="25">
        <f>1/(1+Inputs!$B$26)^Q$4</f>
        <v>0.26333125430607973</v>
      </c>
      <c r="R26" s="25">
        <f>1/(1+Inputs!$B$26)^R$4</f>
        <v>0.23939204936916339</v>
      </c>
      <c r="S26" s="25">
        <f>1/(1+Inputs!$B$26)^S$4</f>
        <v>0.21762913579014853</v>
      </c>
      <c r="T26" s="25">
        <f>1/(1+Inputs!$B$26)^T$4</f>
        <v>0.19784466890013502</v>
      </c>
      <c r="U26" s="25">
        <f>1/(1+Inputs!$B$26)^U$4</f>
        <v>0.17985878990921364</v>
      </c>
      <c r="V26" s="25">
        <f>1/(1+Inputs!$B$26)^V$4</f>
        <v>0.16350799082655781</v>
      </c>
      <c r="W26" s="25">
        <f>1/(1+Inputs!$B$26)^W$4</f>
        <v>0.14864362802414349</v>
      </c>
    </row>
    <row r="27" spans="1:23" ht="15" customHeight="1" x14ac:dyDescent="0.2">
      <c r="A27" s="2" t="s">
        <v>155</v>
      </c>
      <c r="B27" s="2" t="s">
        <v>35</v>
      </c>
      <c r="C27" s="16">
        <f>SUM(D27:W27)</f>
        <v>37.402144826179864</v>
      </c>
      <c r="D27" s="16">
        <f t="shared" ref="D27:W27" si="4">D25*D26</f>
        <v>5.1435016835016825</v>
      </c>
      <c r="E27" s="16">
        <f t="shared" si="4"/>
        <v>4.6356960514233236</v>
      </c>
      <c r="F27" s="16">
        <f t="shared" si="4"/>
        <v>4.1775871399949907</v>
      </c>
      <c r="G27" s="16">
        <f t="shared" si="4"/>
        <v>3.7643421266193093</v>
      </c>
      <c r="H27" s="16">
        <f t="shared" si="4"/>
        <v>3.391595979562632</v>
      </c>
      <c r="I27" s="16">
        <f t="shared" si="4"/>
        <v>2.4837407245357297</v>
      </c>
      <c r="J27" s="16">
        <f t="shared" si="4"/>
        <v>2.2401455253973506</v>
      </c>
      <c r="K27" s="16">
        <f t="shared" si="4"/>
        <v>2.0202476033742611</v>
      </c>
      <c r="L27" s="16">
        <f t="shared" si="4"/>
        <v>1.8217551731326431</v>
      </c>
      <c r="M27" s="16">
        <f t="shared" si="4"/>
        <v>1.6425971403302642</v>
      </c>
      <c r="N27" s="16">
        <f t="shared" si="4"/>
        <v>1.4809019167380439</v>
      </c>
      <c r="O27" s="16">
        <f t="shared" si="4"/>
        <v>1.3349782642561079</v>
      </c>
      <c r="P27" s="16">
        <f t="shared" si="4"/>
        <v>1.2032979738467668</v>
      </c>
      <c r="Q27" s="16">
        <f t="shared" si="4"/>
        <v>1.0844802039293635</v>
      </c>
      <c r="R27" s="16">
        <f t="shared" si="4"/>
        <v>0.97727731953740116</v>
      </c>
      <c r="S27" s="16">
        <f t="shared" si="4"/>
        <v>0</v>
      </c>
      <c r="T27" s="16">
        <f t="shared" si="4"/>
        <v>0</v>
      </c>
      <c r="U27" s="16">
        <f t="shared" si="4"/>
        <v>0</v>
      </c>
      <c r="V27" s="16">
        <f t="shared" si="4"/>
        <v>0</v>
      </c>
      <c r="W27" s="16">
        <f t="shared" si="4"/>
        <v>0</v>
      </c>
    </row>
    <row r="30" spans="1:23" ht="15" customHeight="1" x14ac:dyDescent="0.2">
      <c r="A30" s="3" t="s">
        <v>156</v>
      </c>
      <c r="C30" s="14">
        <f>C27</f>
        <v>37.402144826179864</v>
      </c>
    </row>
    <row r="31" spans="1:23" ht="15" customHeight="1" x14ac:dyDescent="0.2">
      <c r="A31" t="s">
        <v>157</v>
      </c>
      <c r="C31" s="12">
        <f>'Capital Stack'!$B$14</f>
        <v>37.402144826179864</v>
      </c>
    </row>
    <row r="32" spans="1:23" ht="15" customHeight="1" x14ac:dyDescent="0.2">
      <c r="A32" t="s">
        <v>158</v>
      </c>
      <c r="C32" s="26">
        <f>IF(C30=0,0,C31/C30)</f>
        <v>1</v>
      </c>
    </row>
    <row r="34" spans="1:23" ht="15" customHeight="1" x14ac:dyDescent="0.2">
      <c r="A34" s="4" t="s">
        <v>159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5" customHeight="1" x14ac:dyDescent="0.2">
      <c r="A35" s="2" t="s">
        <v>160</v>
      </c>
      <c r="B35" s="2" t="s">
        <v>35</v>
      </c>
      <c r="D35" s="16">
        <f>$C$31</f>
        <v>37.402144826179864</v>
      </c>
      <c r="E35" s="16">
        <f t="shared" ref="E35:W35" si="5">D39</f>
        <v>35.484507456945998</v>
      </c>
      <c r="F35" s="16">
        <f t="shared" si="5"/>
        <v>33.423765980418374</v>
      </c>
      <c r="G35" s="16">
        <f t="shared" si="5"/>
        <v>31.205774095126877</v>
      </c>
      <c r="H35" s="16">
        <f t="shared" si="5"/>
        <v>28.814978197056234</v>
      </c>
      <c r="I35" s="16">
        <f t="shared" si="5"/>
        <v>26.234276775716442</v>
      </c>
      <c r="J35" s="16">
        <f t="shared" si="5"/>
        <v>24.457606251588842</v>
      </c>
      <c r="K35" s="16">
        <f t="shared" si="5"/>
        <v>22.537956984917422</v>
      </c>
      <c r="L35" s="16">
        <f t="shared" si="5"/>
        <v>20.461172527386775</v>
      </c>
      <c r="M35" s="16">
        <f t="shared" si="5"/>
        <v>18.21168637607003</v>
      </c>
      <c r="N35" s="16">
        <f t="shared" si="5"/>
        <v>15.772381065963586</v>
      </c>
      <c r="O35" s="16">
        <f t="shared" si="5"/>
        <v>13.124433173804308</v>
      </c>
      <c r="P35" s="16">
        <f t="shared" si="5"/>
        <v>10.247142824337621</v>
      </c>
      <c r="Q35" s="16">
        <f t="shared" si="5"/>
        <v>7.1177461493226453</v>
      </c>
      <c r="R35" s="16">
        <f t="shared" si="5"/>
        <v>3.7112089945899545</v>
      </c>
      <c r="S35" s="16">
        <f t="shared" si="5"/>
        <v>-9.7699626167013776E-14</v>
      </c>
      <c r="T35" s="16">
        <f t="shared" si="5"/>
        <v>-1.0746958878371515E-13</v>
      </c>
      <c r="U35" s="16">
        <f t="shared" si="5"/>
        <v>-1.1821654766208666E-13</v>
      </c>
      <c r="V35" s="16">
        <f t="shared" si="5"/>
        <v>-1.3003820242829533E-13</v>
      </c>
      <c r="W35" s="16">
        <f t="shared" si="5"/>
        <v>-1.4304202267112486E-13</v>
      </c>
    </row>
    <row r="36" spans="1:23" ht="15" customHeight="1" x14ac:dyDescent="0.2">
      <c r="A36" s="2" t="s">
        <v>161</v>
      </c>
      <c r="B36" s="2" t="s">
        <v>35</v>
      </c>
      <c r="C36" s="16">
        <f>SUM(D36:W36)</f>
        <v>70.222822994122467</v>
      </c>
      <c r="D36" s="16">
        <f t="shared" ref="D36:W36" si="6">D25*$C$32</f>
        <v>5.6578518518518512</v>
      </c>
      <c r="E36" s="16">
        <f t="shared" si="6"/>
        <v>5.6091922222222221</v>
      </c>
      <c r="F36" s="16">
        <f t="shared" si="6"/>
        <v>5.5603684833333338</v>
      </c>
      <c r="G36" s="16">
        <f t="shared" si="6"/>
        <v>5.511373307583332</v>
      </c>
      <c r="H36" s="16">
        <f t="shared" si="6"/>
        <v>5.4621992410454165</v>
      </c>
      <c r="I36" s="16">
        <f t="shared" si="6"/>
        <v>4.4000982016992438</v>
      </c>
      <c r="J36" s="16">
        <f t="shared" si="6"/>
        <v>4.3654098918303044</v>
      </c>
      <c r="K36" s="16">
        <f t="shared" si="6"/>
        <v>4.3305801560223873</v>
      </c>
      <c r="L36" s="16">
        <f t="shared" si="6"/>
        <v>4.2956034040554236</v>
      </c>
      <c r="M36" s="16">
        <f t="shared" si="6"/>
        <v>4.2604739477134475</v>
      </c>
      <c r="N36" s="16">
        <f t="shared" si="6"/>
        <v>4.2251859987556371</v>
      </c>
      <c r="O36" s="16">
        <f t="shared" si="6"/>
        <v>4.1897336668471183</v>
      </c>
      <c r="P36" s="16">
        <f t="shared" si="6"/>
        <v>4.1541109574487374</v>
      </c>
      <c r="Q36" s="16">
        <f t="shared" si="6"/>
        <v>4.1183117696649552</v>
      </c>
      <c r="R36" s="16">
        <f t="shared" si="6"/>
        <v>4.0823298940490478</v>
      </c>
      <c r="S36" s="16">
        <f t="shared" si="6"/>
        <v>0</v>
      </c>
      <c r="T36" s="16">
        <f t="shared" si="6"/>
        <v>0</v>
      </c>
      <c r="U36" s="16">
        <f t="shared" si="6"/>
        <v>0</v>
      </c>
      <c r="V36" s="16">
        <f t="shared" si="6"/>
        <v>0</v>
      </c>
      <c r="W36" s="16">
        <f t="shared" si="6"/>
        <v>0</v>
      </c>
    </row>
    <row r="37" spans="1:23" ht="15" customHeight="1" x14ac:dyDescent="0.2">
      <c r="A37" s="2" t="s">
        <v>162</v>
      </c>
      <c r="B37" s="2" t="s">
        <v>35</v>
      </c>
      <c r="C37" s="16">
        <f>SUM(D37:W37)</f>
        <v>32.820678167942432</v>
      </c>
      <c r="D37" s="16">
        <f>D35*Inputs!$B$26</f>
        <v>3.7402144826179864</v>
      </c>
      <c r="E37" s="16">
        <f>E35*Inputs!$B$26</f>
        <v>3.5484507456946002</v>
      </c>
      <c r="F37" s="16">
        <f>F35*Inputs!$B$26</f>
        <v>3.3423765980418376</v>
      </c>
      <c r="G37" s="16">
        <f>G35*Inputs!$B$26</f>
        <v>3.1205774095126877</v>
      </c>
      <c r="H37" s="16">
        <f>H35*Inputs!$B$26</f>
        <v>2.8814978197056238</v>
      </c>
      <c r="I37" s="16">
        <f>I35*Inputs!$B$26</f>
        <v>2.6234276775716445</v>
      </c>
      <c r="J37" s="16">
        <f>J35*Inputs!$B$26</f>
        <v>2.4457606251588846</v>
      </c>
      <c r="K37" s="16">
        <f>K35*Inputs!$B$26</f>
        <v>2.2537956984917424</v>
      </c>
      <c r="L37" s="16">
        <f>L35*Inputs!$B$26</f>
        <v>2.0461172527386777</v>
      </c>
      <c r="M37" s="16">
        <f>M35*Inputs!$B$26</f>
        <v>1.8211686376070031</v>
      </c>
      <c r="N37" s="16">
        <f>N35*Inputs!$B$26</f>
        <v>1.5772381065963588</v>
      </c>
      <c r="O37" s="16">
        <f>O35*Inputs!$B$26</f>
        <v>1.3124433173804309</v>
      </c>
      <c r="P37" s="16">
        <f>P35*Inputs!$B$26</f>
        <v>1.0247142824337621</v>
      </c>
      <c r="Q37" s="16">
        <f>Q35*Inputs!$B$26</f>
        <v>0.71177461493226457</v>
      </c>
      <c r="R37" s="16">
        <f>R35*Inputs!$B$26</f>
        <v>0.37112089945899546</v>
      </c>
      <c r="S37" s="16">
        <f>S35*Inputs!$B$26</f>
        <v>-9.7699626167013776E-15</v>
      </c>
      <c r="T37" s="16">
        <f>T35*Inputs!$B$26</f>
        <v>-1.0746958878371517E-14</v>
      </c>
      <c r="U37" s="16">
        <f>U35*Inputs!$B$26</f>
        <v>-1.1821654766208667E-14</v>
      </c>
      <c r="V37" s="16">
        <f>V35*Inputs!$B$26</f>
        <v>-1.3003820242829534E-14</v>
      </c>
      <c r="W37" s="16">
        <f>W35*Inputs!$B$26</f>
        <v>-1.4304202267112487E-14</v>
      </c>
    </row>
    <row r="38" spans="1:23" ht="15" customHeight="1" x14ac:dyDescent="0.2">
      <c r="A38" s="2" t="s">
        <v>163</v>
      </c>
      <c r="B38" s="2" t="s">
        <v>35</v>
      </c>
      <c r="C38" s="16">
        <f>SUM(D38:W38)</f>
        <v>37.40214482618002</v>
      </c>
      <c r="D38" s="16">
        <f t="shared" ref="D38:W38" si="7">D36-D37</f>
        <v>1.9176373692338649</v>
      </c>
      <c r="E38" s="16">
        <f t="shared" si="7"/>
        <v>2.060741476527622</v>
      </c>
      <c r="F38" s="16">
        <f t="shared" si="7"/>
        <v>2.2179918852914962</v>
      </c>
      <c r="G38" s="16">
        <f t="shared" si="7"/>
        <v>2.3907958980706443</v>
      </c>
      <c r="H38" s="16">
        <f t="shared" si="7"/>
        <v>2.5807014213397927</v>
      </c>
      <c r="I38" s="16">
        <f t="shared" si="7"/>
        <v>1.7766705241275993</v>
      </c>
      <c r="J38" s="16">
        <f t="shared" si="7"/>
        <v>1.9196492666714198</v>
      </c>
      <c r="K38" s="16">
        <f t="shared" si="7"/>
        <v>2.0767844575306449</v>
      </c>
      <c r="L38" s="16">
        <f t="shared" si="7"/>
        <v>2.2494861513167459</v>
      </c>
      <c r="M38" s="16">
        <f t="shared" si="7"/>
        <v>2.4393053101064446</v>
      </c>
      <c r="N38" s="16">
        <f t="shared" si="7"/>
        <v>2.6479478921592783</v>
      </c>
      <c r="O38" s="16">
        <f t="shared" si="7"/>
        <v>2.8772903494666875</v>
      </c>
      <c r="P38" s="16">
        <f t="shared" si="7"/>
        <v>3.1293966750149753</v>
      </c>
      <c r="Q38" s="16">
        <f t="shared" si="7"/>
        <v>3.4065371547326908</v>
      </c>
      <c r="R38" s="16">
        <f t="shared" si="7"/>
        <v>3.7112089945900522</v>
      </c>
      <c r="S38" s="16">
        <f t="shared" si="7"/>
        <v>9.7699626167013776E-15</v>
      </c>
      <c r="T38" s="16">
        <f t="shared" si="7"/>
        <v>1.0746958878371517E-14</v>
      </c>
      <c r="U38" s="16">
        <f t="shared" si="7"/>
        <v>1.1821654766208667E-14</v>
      </c>
      <c r="V38" s="16">
        <f t="shared" si="7"/>
        <v>1.3003820242829534E-14</v>
      </c>
      <c r="W38" s="16">
        <f t="shared" si="7"/>
        <v>1.4304202267112487E-14</v>
      </c>
    </row>
    <row r="39" spans="1:23" ht="15" customHeight="1" x14ac:dyDescent="0.2">
      <c r="A39" s="2" t="s">
        <v>164</v>
      </c>
      <c r="B39" s="2" t="s">
        <v>35</v>
      </c>
      <c r="D39" s="16">
        <f t="shared" ref="D39:W39" si="8">D35-D38</f>
        <v>35.484507456945998</v>
      </c>
      <c r="E39" s="16">
        <f t="shared" si="8"/>
        <v>33.423765980418374</v>
      </c>
      <c r="F39" s="16">
        <f t="shared" si="8"/>
        <v>31.205774095126877</v>
      </c>
      <c r="G39" s="16">
        <f t="shared" si="8"/>
        <v>28.814978197056234</v>
      </c>
      <c r="H39" s="16">
        <f t="shared" si="8"/>
        <v>26.234276775716442</v>
      </c>
      <c r="I39" s="16">
        <f t="shared" si="8"/>
        <v>24.457606251588842</v>
      </c>
      <c r="J39" s="16">
        <f t="shared" si="8"/>
        <v>22.537956984917422</v>
      </c>
      <c r="K39" s="16">
        <f t="shared" si="8"/>
        <v>20.461172527386775</v>
      </c>
      <c r="L39" s="16">
        <f t="shared" si="8"/>
        <v>18.21168637607003</v>
      </c>
      <c r="M39" s="16">
        <f t="shared" si="8"/>
        <v>15.772381065963586</v>
      </c>
      <c r="N39" s="16">
        <f t="shared" si="8"/>
        <v>13.124433173804308</v>
      </c>
      <c r="O39" s="16">
        <f t="shared" si="8"/>
        <v>10.247142824337621</v>
      </c>
      <c r="P39" s="16">
        <f t="shared" si="8"/>
        <v>7.1177461493226453</v>
      </c>
      <c r="Q39" s="16">
        <f t="shared" si="8"/>
        <v>3.7112089945899545</v>
      </c>
      <c r="R39" s="16">
        <f t="shared" si="8"/>
        <v>-9.7699626167013776E-14</v>
      </c>
      <c r="S39" s="16">
        <f t="shared" si="8"/>
        <v>-1.0746958878371515E-13</v>
      </c>
      <c r="T39" s="16">
        <f t="shared" si="8"/>
        <v>-1.1821654766208666E-13</v>
      </c>
      <c r="U39" s="16">
        <f t="shared" si="8"/>
        <v>-1.3003820242829533E-13</v>
      </c>
      <c r="V39" s="16">
        <f t="shared" si="8"/>
        <v>-1.4304202267112486E-13</v>
      </c>
      <c r="W39" s="16">
        <f t="shared" si="8"/>
        <v>-1.5734622493823734E-13</v>
      </c>
    </row>
    <row r="41" spans="1:23" ht="15" customHeight="1" x14ac:dyDescent="0.2">
      <c r="A41" s="2" t="s">
        <v>165</v>
      </c>
      <c r="B41" s="2" t="s">
        <v>55</v>
      </c>
      <c r="D41" s="27">
        <f t="shared" ref="D41:W41" si="9">IF(D36&gt;0,D21/D36,"")</f>
        <v>1.35</v>
      </c>
      <c r="E41" s="27">
        <f t="shared" si="9"/>
        <v>1.35</v>
      </c>
      <c r="F41" s="27">
        <f t="shared" si="9"/>
        <v>1.35</v>
      </c>
      <c r="G41" s="27">
        <f t="shared" si="9"/>
        <v>1.35</v>
      </c>
      <c r="H41" s="27">
        <f t="shared" si="9"/>
        <v>1.35</v>
      </c>
      <c r="I41" s="27">
        <f t="shared" si="9"/>
        <v>1.35</v>
      </c>
      <c r="J41" s="27">
        <f t="shared" si="9"/>
        <v>1.3499999999999999</v>
      </c>
      <c r="K41" s="27">
        <f t="shared" si="9"/>
        <v>1.35</v>
      </c>
      <c r="L41" s="27">
        <f t="shared" si="9"/>
        <v>1.3500000000000003</v>
      </c>
      <c r="M41" s="27">
        <f t="shared" si="9"/>
        <v>1.3500000000000003</v>
      </c>
      <c r="N41" s="27">
        <f t="shared" si="9"/>
        <v>1.35</v>
      </c>
      <c r="O41" s="27">
        <f t="shared" si="9"/>
        <v>1.35</v>
      </c>
      <c r="P41" s="27">
        <f t="shared" si="9"/>
        <v>1.35</v>
      </c>
      <c r="Q41" s="27">
        <f t="shared" si="9"/>
        <v>1.3499999999999999</v>
      </c>
      <c r="R41" s="27">
        <f t="shared" si="9"/>
        <v>1.35</v>
      </c>
      <c r="S41" s="27" t="str">
        <f t="shared" si="9"/>
        <v/>
      </c>
      <c r="T41" s="27" t="str">
        <f t="shared" si="9"/>
        <v/>
      </c>
      <c r="U41" s="27" t="str">
        <f t="shared" si="9"/>
        <v/>
      </c>
      <c r="V41" s="27" t="str">
        <f t="shared" si="9"/>
        <v/>
      </c>
      <c r="W41" s="27" t="str">
        <f t="shared" si="9"/>
        <v/>
      </c>
    </row>
    <row r="42" spans="1:23" ht="15" customHeight="1" x14ac:dyDescent="0.2">
      <c r="A42" s="2" t="s">
        <v>166</v>
      </c>
      <c r="B42" s="2" t="s">
        <v>35</v>
      </c>
      <c r="C42" s="16">
        <f>SUM(D42:W42)</f>
        <v>51.395843952386471</v>
      </c>
      <c r="D42" s="16">
        <f t="shared" ref="D42:W42" si="10">D21-D36</f>
        <v>1.9802481481481484</v>
      </c>
      <c r="E42" s="16">
        <f t="shared" si="10"/>
        <v>1.9632172777777788</v>
      </c>
      <c r="F42" s="16">
        <f t="shared" si="10"/>
        <v>1.9461289691666668</v>
      </c>
      <c r="G42" s="16">
        <f t="shared" si="10"/>
        <v>1.9289806576541668</v>
      </c>
      <c r="H42" s="16">
        <f t="shared" si="10"/>
        <v>1.9117697343658957</v>
      </c>
      <c r="I42" s="16">
        <f t="shared" si="10"/>
        <v>1.5400343705947357</v>
      </c>
      <c r="J42" s="16">
        <f t="shared" si="10"/>
        <v>1.5278934621406064</v>
      </c>
      <c r="K42" s="16">
        <f t="shared" si="10"/>
        <v>1.5157030546078358</v>
      </c>
      <c r="L42" s="16">
        <f t="shared" si="10"/>
        <v>1.5034611914193992</v>
      </c>
      <c r="M42" s="16">
        <f t="shared" si="10"/>
        <v>1.4911658816997075</v>
      </c>
      <c r="N42" s="16">
        <f t="shared" si="10"/>
        <v>1.4788150995644731</v>
      </c>
      <c r="O42" s="16">
        <f t="shared" si="10"/>
        <v>1.4664067833964918</v>
      </c>
      <c r="P42" s="16">
        <f t="shared" si="10"/>
        <v>1.4539388351070581</v>
      </c>
      <c r="Q42" s="16">
        <f t="shared" si="10"/>
        <v>1.4414091193827341</v>
      </c>
      <c r="R42" s="16">
        <f t="shared" si="10"/>
        <v>1.428815462917167</v>
      </c>
      <c r="S42" s="16">
        <f t="shared" si="10"/>
        <v>5.4623146639924229</v>
      </c>
      <c r="T42" s="16">
        <f t="shared" si="10"/>
        <v>5.4132201251597207</v>
      </c>
      <c r="U42" s="16">
        <f t="shared" si="10"/>
        <v>5.3638528997109276</v>
      </c>
      <c r="V42" s="16">
        <f t="shared" si="10"/>
        <v>5.3142039878929195</v>
      </c>
      <c r="W42" s="16">
        <f t="shared" si="10"/>
        <v>5.2642642276876108</v>
      </c>
    </row>
    <row r="43" spans="1:23" ht="15" customHeight="1" x14ac:dyDescent="0.2">
      <c r="A43" s="2" t="s">
        <v>167</v>
      </c>
      <c r="B43" s="2" t="s">
        <v>35</v>
      </c>
      <c r="C43" s="16">
        <f>SUM(D43:W43)</f>
        <v>50.492895515342838</v>
      </c>
      <c r="D43" s="16">
        <f t="shared" ref="D43:W43" si="11">D21*D26*D24</f>
        <v>6.9437272727272719</v>
      </c>
      <c r="E43" s="16">
        <f t="shared" si="11"/>
        <v>6.2581896694214878</v>
      </c>
      <c r="F43" s="16">
        <f t="shared" si="11"/>
        <v>5.639742638993237</v>
      </c>
      <c r="G43" s="16">
        <f t="shared" si="11"/>
        <v>5.0818618709360681</v>
      </c>
      <c r="H43" s="16">
        <f t="shared" si="11"/>
        <v>4.5786545724095529</v>
      </c>
      <c r="I43" s="16">
        <f t="shared" si="11"/>
        <v>3.3530499781232357</v>
      </c>
      <c r="J43" s="16">
        <f t="shared" si="11"/>
        <v>3.0241964592864234</v>
      </c>
      <c r="K43" s="16">
        <f t="shared" si="11"/>
        <v>2.7273342645552527</v>
      </c>
      <c r="L43" s="16">
        <f t="shared" si="11"/>
        <v>2.4593694837290685</v>
      </c>
      <c r="M43" s="16">
        <f t="shared" si="11"/>
        <v>2.2175061394458573</v>
      </c>
      <c r="N43" s="16">
        <f t="shared" si="11"/>
        <v>1.9992175875963594</v>
      </c>
      <c r="O43" s="16">
        <f t="shared" si="11"/>
        <v>1.8022206567457457</v>
      </c>
      <c r="P43" s="16">
        <f t="shared" si="11"/>
        <v>1.6244522646931352</v>
      </c>
      <c r="Q43" s="16">
        <f t="shared" si="11"/>
        <v>1.4640482753046407</v>
      </c>
      <c r="R43" s="16">
        <f t="shared" si="11"/>
        <v>1.3193243813754916</v>
      </c>
      <c r="S43" s="16">
        <f t="shared" si="11"/>
        <v>0</v>
      </c>
      <c r="T43" s="16">
        <f t="shared" si="11"/>
        <v>0</v>
      </c>
      <c r="U43" s="16">
        <f t="shared" si="11"/>
        <v>0</v>
      </c>
      <c r="V43" s="16">
        <f t="shared" si="11"/>
        <v>0</v>
      </c>
      <c r="W43" s="16">
        <f t="shared" si="11"/>
        <v>0</v>
      </c>
    </row>
    <row r="45" spans="1:23" ht="15" customHeight="1" x14ac:dyDescent="0.2">
      <c r="A45" s="4" t="s">
        <v>168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7" spans="1:23" ht="15" customHeight="1" x14ac:dyDescent="0.2">
      <c r="A47" s="3" t="s">
        <v>169</v>
      </c>
      <c r="C47" s="28">
        <f>MIN(D41:W41)</f>
        <v>1.3499999999999999</v>
      </c>
    </row>
    <row r="48" spans="1:23" ht="15" customHeight="1" x14ac:dyDescent="0.2">
      <c r="A48" s="3" t="s">
        <v>170</v>
      </c>
      <c r="C48" s="28">
        <f>AVERAGE(D41:W41)</f>
        <v>1.3500000000000003</v>
      </c>
    </row>
    <row r="49" spans="1:23" ht="15" customHeight="1" x14ac:dyDescent="0.2">
      <c r="A49" s="3" t="s">
        <v>171</v>
      </c>
      <c r="C49" s="28">
        <f>IF(C31=0,0,C43/C31)</f>
        <v>1.3500000000000005</v>
      </c>
    </row>
    <row r="50" spans="1:23" ht="15" customHeight="1" x14ac:dyDescent="0.2">
      <c r="A50" s="3" t="s">
        <v>172</v>
      </c>
      <c r="C50" s="29">
        <f>COUNTIF(D41:W41,"&lt;1")</f>
        <v>0</v>
      </c>
    </row>
    <row r="51" spans="1:23" ht="15" customHeight="1" x14ac:dyDescent="0.2">
      <c r="A51" s="3" t="s">
        <v>173</v>
      </c>
      <c r="C51" s="29">
        <f>COUNTIF(D41:W41,"&lt;1.2")</f>
        <v>0</v>
      </c>
    </row>
    <row r="52" spans="1:23" ht="15" customHeight="1" x14ac:dyDescent="0.2">
      <c r="A52" s="3" t="s">
        <v>174</v>
      </c>
      <c r="C52" s="30">
        <f>IRR(C54:W54)</f>
        <v>0.10253897578101667</v>
      </c>
    </row>
    <row r="54" spans="1:23" ht="15" customHeight="1" x14ac:dyDescent="0.2">
      <c r="A54" t="s">
        <v>175</v>
      </c>
      <c r="C54" s="16">
        <f>-('Capital Stack'!$B$9-'Capital Stack'!$B$14)</f>
        <v>-17.597855173820136</v>
      </c>
      <c r="D54" s="16">
        <f t="shared" ref="D54:W54" si="12">D42</f>
        <v>1.9802481481481484</v>
      </c>
      <c r="E54" s="16">
        <f t="shared" si="12"/>
        <v>1.9632172777777788</v>
      </c>
      <c r="F54" s="16">
        <f t="shared" si="12"/>
        <v>1.9461289691666668</v>
      </c>
      <c r="G54" s="16">
        <f t="shared" si="12"/>
        <v>1.9289806576541668</v>
      </c>
      <c r="H54" s="16">
        <f t="shared" si="12"/>
        <v>1.9117697343658957</v>
      </c>
      <c r="I54" s="16">
        <f t="shared" si="12"/>
        <v>1.5400343705947357</v>
      </c>
      <c r="J54" s="16">
        <f t="shared" si="12"/>
        <v>1.5278934621406064</v>
      </c>
      <c r="K54" s="16">
        <f t="shared" si="12"/>
        <v>1.5157030546078358</v>
      </c>
      <c r="L54" s="16">
        <f t="shared" si="12"/>
        <v>1.5034611914193992</v>
      </c>
      <c r="M54" s="16">
        <f t="shared" si="12"/>
        <v>1.4911658816997075</v>
      </c>
      <c r="N54" s="16">
        <f t="shared" si="12"/>
        <v>1.4788150995644731</v>
      </c>
      <c r="O54" s="16">
        <f t="shared" si="12"/>
        <v>1.4664067833964918</v>
      </c>
      <c r="P54" s="16">
        <f t="shared" si="12"/>
        <v>1.4539388351070581</v>
      </c>
      <c r="Q54" s="16">
        <f t="shared" si="12"/>
        <v>1.4414091193827341</v>
      </c>
      <c r="R54" s="16">
        <f t="shared" si="12"/>
        <v>1.428815462917167</v>
      </c>
      <c r="S54" s="16">
        <f t="shared" si="12"/>
        <v>5.4623146639924229</v>
      </c>
      <c r="T54" s="16">
        <f t="shared" si="12"/>
        <v>5.4132201251597207</v>
      </c>
      <c r="U54" s="16">
        <f t="shared" si="12"/>
        <v>5.3638528997109276</v>
      </c>
      <c r="V54" s="16">
        <f t="shared" si="12"/>
        <v>5.3142039878929195</v>
      </c>
      <c r="W54" s="16">
        <f t="shared" si="12"/>
        <v>5.2642642276876108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&amp;LMIPF Boot Camp  |  Lagos Business School&amp;RDay 1  |  Sahel Sun capital-stack template</oddHeader>
    <oddFooter>&amp;C&amp;8 Prof Bongo Adi  |  +234 706 164 8699  |  badi@lbs.edu.ng  |  bongo.adi@fulbrightmail.org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1B4D"/>
  </sheetPr>
  <dimension ref="A1:K12"/>
  <sheetViews>
    <sheetView zoomScaleNormal="100" workbookViewId="0"/>
  </sheetViews>
  <sheetFormatPr baseColWidth="10" defaultColWidth="8.6640625" defaultRowHeight="15" x14ac:dyDescent="0.2"/>
  <cols>
    <col min="1" max="9" width="16" customWidth="1"/>
    <col min="10" max="11" width="34" customWidth="1"/>
  </cols>
  <sheetData>
    <row r="1" spans="1:11" ht="17.25" customHeight="1" x14ac:dyDescent="0.2">
      <c r="A1" s="1" t="s">
        <v>176</v>
      </c>
    </row>
    <row r="3" spans="1:11" ht="15" customHeight="1" x14ac:dyDescent="0.2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181</v>
      </c>
      <c r="F3" s="4" t="s">
        <v>75</v>
      </c>
      <c r="G3" s="4" t="s">
        <v>182</v>
      </c>
      <c r="H3" s="4" t="s">
        <v>183</v>
      </c>
      <c r="I3" s="4" t="s">
        <v>184</v>
      </c>
      <c r="J3" s="4" t="s">
        <v>185</v>
      </c>
      <c r="K3" s="4" t="s">
        <v>186</v>
      </c>
    </row>
    <row r="4" spans="1:11" ht="15" customHeight="1" x14ac:dyDescent="0.2">
      <c r="A4" s="2" t="s">
        <v>187</v>
      </c>
      <c r="B4" s="8">
        <v>0</v>
      </c>
      <c r="C4" s="8">
        <v>1</v>
      </c>
      <c r="D4" s="8">
        <v>1</v>
      </c>
      <c r="E4" s="8">
        <v>0</v>
      </c>
      <c r="F4" s="8">
        <v>0</v>
      </c>
      <c r="G4" s="31" t="s">
        <v>188</v>
      </c>
      <c r="J4" s="31" t="s">
        <v>189</v>
      </c>
      <c r="K4" s="31" t="s">
        <v>190</v>
      </c>
    </row>
    <row r="12" spans="1:11" ht="15" customHeight="1" x14ac:dyDescent="0.2">
      <c r="A12" s="32" t="s">
        <v>191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&amp;LMIPF Boot Camp  |  Lagos Business School&amp;RDay 1  |  Sahel Sun capital-stack template</oddHeader>
    <oddFooter>&amp;C&amp;8 Prof Bongo Adi  |  +234 706 164 8699  |  badi@lbs.edu.ng  |  bongo.adi@fulbrightmail.org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Inputs</vt:lpstr>
      <vt:lpstr>Capital Stack</vt:lpstr>
      <vt:lpstr>CashFlow_Debt</vt:lpstr>
      <vt:lpstr>Exercise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Sahel Sun: capital stack and debt sizing template (MIPF Boot Camp, Day 1)</dc:title>
  <dc:creator>Prof Bongo Adi, Lagos Business School</dc:creator>
  <cp:lastModifiedBy>Prof Bongo Adi</cp:lastModifiedBy>
  <cp:revision>1</cp:revision>
  <dcterms:created xsi:type="dcterms:W3CDTF">2026-09-18T10:50:26Z</dcterms:created>
  <dcterms:modified xsi:type="dcterms:W3CDTF">2026-10-14T03:37:04Z</dcterms:modified>
  <dc:language>en-US</dc:language>
</cp:coreProperties>
</file>