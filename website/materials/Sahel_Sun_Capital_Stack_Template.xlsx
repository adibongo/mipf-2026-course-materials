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Capital Stack" sheetId="3" state="visible" r:id="rId5"/>
    <sheet name="CashFlow_Debt" sheetId="4" state="visible" r:id="rId6"/>
    <sheet name="Exercise 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<sst xmlns="http://schemas.openxmlformats.org/spreadsheetml/2006/main" count="242" uniqueCount="189">
  <si>
    <t xml:space="preserve">Project Sahel Sun — 50MW Solar IPP: Capital Stack &amp; Debt Sizing Template</t>
  </si>
  <si>
    <t xml:space="preserve">CIBNCFS Workshop — Infrastructure Finance: Structuring, Risk Management &amp; Sustainable Project Delivery (23 Sept 2026)</t>
  </si>
  <si>
    <t xml:space="preserve">Facilitator: Prof. Bongo Adi, Lagos Business School</t>
  </si>
  <si>
    <t xml:space="preserve">HOW TO USE</t>
  </si>
  <si>
    <t xml:space="preserve">1. Go to 'Inputs'. Change only BLUE cells. YELLOW cells are the key levers used in the workshop exercises.</t>
  </si>
  <si>
    <t xml:space="preserve">2. 'Capital Stack' shows Uses and Sources of funds, gearing and the layered stack. Debt is sized automatically.</t>
  </si>
  <si>
    <t xml:space="preserve">3. 'CashFlow_Debt' builds CFADS, sizes debt by DSCR sculpting, and reports DSCR, LLCR and equity IRR.</t>
  </si>
  <si>
    <t xml:space="preserve">4. Stress-test the deal with the scenario levers (naira depreciation, FX pass-through, offtaker payment rate, P90 output, opex overrun).</t>
  </si>
  <si>
    <t xml:space="preserve">   Lenders SIZE debt on the base case; the stress levers then show what happens to DSCR once the debt is fixed.</t>
  </si>
  <si>
    <t xml:space="preserve">COLOUR CODE: Blue text = input · Black = formula · Green = link from another sheet · Yellow fill = key exercise lever</t>
  </si>
  <si>
    <t xml:space="preserve">UNITS: US$ millions unless stated. Model is annual, 20-year operations, construction collapsed to Year 0 for teaching simplicity.</t>
  </si>
  <si>
    <t xml:space="preserve">IMPORTANT: Project Sahel Sun is a fictional teaching case. All numbers are illustrative, chosen to be realistic for a Nigerian utility-scale</t>
  </si>
  <si>
    <t xml:space="preserve">solar IPP, not taken from any actual transaction. Market reference points used: CBN MPR 26.5% (MPC, July 2026); CBN USD/NGN ≈ 1,330 (Sept 2026).</t>
  </si>
  <si>
    <t xml:space="preserve">Inputs &amp; Assumptions</t>
  </si>
  <si>
    <t xml:space="preserve">TECHNICAL</t>
  </si>
  <si>
    <t xml:space="preserve">Installed capacity (MWac)</t>
  </si>
  <si>
    <t xml:space="preserve">MW</t>
  </si>
  <si>
    <t xml:space="preserve">Project Sahel Sun, Kano State (fictional)</t>
  </si>
  <si>
    <t xml:space="preserve">Net capacity factor (P50)</t>
  </si>
  <si>
    <t xml:space="preserve">%</t>
  </si>
  <si>
    <t xml:space="preserve">Northern Nigeria irradiation supports ~19-23% for single-axis/fixed PV; illustrative</t>
  </si>
  <si>
    <t xml:space="preserve">Annual degradation</t>
  </si>
  <si>
    <t xml:space="preserve">Typical panel warranty assumption</t>
  </si>
  <si>
    <t xml:space="preserve">Operating life modelled (years)</t>
  </si>
  <si>
    <t xml:space="preserve">yrs</t>
  </si>
  <si>
    <t xml:space="preserve">Equal to the PPA term</t>
  </si>
  <si>
    <t xml:space="preserve">REVENUE</t>
  </si>
  <si>
    <t xml:space="preserve">PPA tariff (US$/MWh, dollar-indexed)</t>
  </si>
  <si>
    <t xml:space="preserve">$/MWh</t>
  </si>
  <si>
    <t xml:space="preserve">Illustrative; paid in naira at prevailing CBN rate if pass-through = 100%</t>
  </si>
  <si>
    <t xml:space="preserve">COSTS</t>
  </si>
  <si>
    <t xml:space="preserve">Opex year 1 (US$m)</t>
  </si>
  <si>
    <t xml:space="preserve">$m</t>
  </si>
  <si>
    <t xml:space="preserve">O&amp;M, insurance, land lease, security, admin</t>
  </si>
  <si>
    <t xml:space="preserve">Opex escalation</t>
  </si>
  <si>
    <t xml:space="preserve">US$ inflation-linked</t>
  </si>
  <si>
    <t xml:space="preserve">Corporate income tax rate</t>
  </si>
  <si>
    <t xml:space="preserve">Illustrative; confirm current CIT rate for the project's size</t>
  </si>
  <si>
    <t xml:space="preserve">Tax holiday (pioneer status) years</t>
  </si>
  <si>
    <t xml:space="preserve">Pioneer status incentive; illustrative</t>
  </si>
  <si>
    <t xml:space="preserve">Depreciation life (years)</t>
  </si>
  <si>
    <t xml:space="preserve">Straight-line, simplified capital allowances</t>
  </si>
  <si>
    <t xml:space="preserve">USES OF FUNDS (US$m)</t>
  </si>
  <si>
    <t xml:space="preserve">EPC contract (modules, inverters, BoS)</t>
  </si>
  <si>
    <t xml:space="preserve">Development costs, permits, land, ESIA</t>
  </si>
  <si>
    <t xml:space="preserve">Grid connection / evacuation line</t>
  </si>
  <si>
    <t xml:space="preserve">Often a TCN-interface risk item</t>
  </si>
  <si>
    <t xml:space="preserve">Financing fees &amp; interest during construction</t>
  </si>
  <si>
    <t xml:space="preserve">Initial DSRA funding</t>
  </si>
  <si>
    <t xml:space="preserve">Debt Service Reserve Account</t>
  </si>
  <si>
    <t xml:space="preserve">FINANCING TERMS</t>
  </si>
  <si>
    <t xml:space="preserve">Target minimum DSCR (base case)</t>
  </si>
  <si>
    <t xml:space="preserve">x</t>
  </si>
  <si>
    <t xml:space="preserve">Lenders' sizing covenant; solar with creditworthy offtaker 1.25-1.40x</t>
  </si>
  <si>
    <t xml:space="preserve">Maximum gearing (debt / total cost)</t>
  </si>
  <si>
    <t xml:space="preserve">Lenders' cap</t>
  </si>
  <si>
    <t xml:space="preserve">Senior debt tenor (years)</t>
  </si>
  <si>
    <t xml:space="preserve">Blended senior interest rate (US$-equivalent)</t>
  </si>
  <si>
    <t xml:space="preserve">Mix of DFI US$ loan and InfraCredit-guaranteed naira bond; illustrative</t>
  </si>
  <si>
    <t xml:space="preserve">Share of senior debt: DFI US$ loan</t>
  </si>
  <si>
    <t xml:space="preserve">Remainder = InfraCredit-guaranteed local-currency green bond</t>
  </si>
  <si>
    <t xml:space="preserve">Share of equity funded as shareholder loan</t>
  </si>
  <si>
    <t xml:space="preserve">Sub-debt from sponsors; rest ordinary shares</t>
  </si>
  <si>
    <t xml:space="preserve">SCENARIO LEVERS (set to base values for the base case)</t>
  </si>
  <si>
    <t xml:space="preserve">Naira depreciation after financial close</t>
  </si>
  <si>
    <t xml:space="preserve">Exercise lever. e.g. 0.30 = naira loses 30% vs US$</t>
  </si>
  <si>
    <t xml:space="preserve">Tariff FX pass-through</t>
  </si>
  <si>
    <t xml:space="preserve">Exercise lever. 1.0 = tariff fully dollar-indexed; 0.5 = only half indexed</t>
  </si>
  <si>
    <t xml:space="preserve">Offtaker payment rate (collections)</t>
  </si>
  <si>
    <t xml:space="preserve">Exercise lever. 0.8 = offtaker pays only 80% of invoices</t>
  </si>
  <si>
    <t xml:space="preserve">Generation haircut (e.g. P90 vs P50)</t>
  </si>
  <si>
    <t xml:space="preserve">Exercise lever. 0.08 ≈ P90 case</t>
  </si>
  <si>
    <t xml:space="preserve">Opex overrun</t>
  </si>
  <si>
    <t xml:space="preserve">Exercise lever</t>
  </si>
  <si>
    <t xml:space="preserve">Capital Stack — Uses &amp; Sources of Funds (US$m)</t>
  </si>
  <si>
    <t xml:space="preserve">USES OF FUNDS</t>
  </si>
  <si>
    <t xml:space="preserve">US$m</t>
  </si>
  <si>
    <t xml:space="preserve">% total</t>
  </si>
  <si>
    <t xml:space="preserve">Total project cost</t>
  </si>
  <si>
    <t xml:space="preserve">DEBT SIZING (from CashFlow_Debt)</t>
  </si>
  <si>
    <t xml:space="preserve">Debt capacity at target DSCR (PV of sculpted debt service)</t>
  </si>
  <si>
    <t xml:space="preserve">Lenders ask: how much debt can the cash flow carry?</t>
  </si>
  <si>
    <t xml:space="preserve">Debt allowed by gearing cap</t>
  </si>
  <si>
    <t xml:space="preserve">Lenders ask: how much skin does the sponsor have in the game?</t>
  </si>
  <si>
    <t xml:space="preserve">Senior debt raised = MIN(DSCR capacity, gearing cap)</t>
  </si>
  <si>
    <t xml:space="preserve">Binding constraint</t>
  </si>
  <si>
    <t xml:space="preserve">SOURCES OF FUNDS (the capital stack, most senior first)</t>
  </si>
  <si>
    <t xml:space="preserve">Typical provider / pricing logic</t>
  </si>
  <si>
    <t xml:space="preserve">Senior A — DFI US$ term loan</t>
  </si>
  <si>
    <t xml:space="preserve">e.g. IFC, AfDB, FMO, BII; 15-yr, hard currency</t>
  </si>
  <si>
    <t xml:space="preserve">Senior B — InfraCredit-guaranteed naira green bond</t>
  </si>
  <si>
    <t xml:space="preserve">Pension funds / insurers; AAA(NG) wrap, local currency</t>
  </si>
  <si>
    <t xml:space="preserve">Shareholder loan (subordinated)</t>
  </si>
  <si>
    <t xml:space="preserve">Sponsors; paid after senior debt service</t>
  </si>
  <si>
    <t xml:space="preserve">Ordinary equity</t>
  </si>
  <si>
    <t xml:space="preserve">Sponsors / infrastructure funds; first loss</t>
  </si>
  <si>
    <t xml:space="preserve">Total sources</t>
  </si>
  <si>
    <t xml:space="preserve">Check: sources − uses (must be zero)</t>
  </si>
  <si>
    <t xml:space="preserve">KEY RATIOS</t>
  </si>
  <si>
    <t xml:space="preserve">Gearing (senior debt / total cost)</t>
  </si>
  <si>
    <t xml:space="preserve">Sponsor funding (equity + shareholder loan) / total cost</t>
  </si>
  <si>
    <t xml:space="preserve">Minimum DSCR (current scenario)</t>
  </si>
  <si>
    <t xml:space="preserve">Average DSCR (current scenario)</t>
  </si>
  <si>
    <t xml:space="preserve">LLCR at financial close (current scenario)</t>
  </si>
  <si>
    <t xml:space="preserve">Equity IRR — sponsor funds, 20 yrs (current scenario)</t>
  </si>
  <si>
    <t xml:space="preserve">Years with DSCR below 1.0x (default on debt service)</t>
  </si>
  <si>
    <t xml:space="preserve">Cash Flow Available for Debt Service (CFADS), Debt Sculpting &amp; Cover Ratios (US$m)</t>
  </si>
  <si>
    <t xml:space="preserve">Line item</t>
  </si>
  <si>
    <t xml:space="preserve">Unit</t>
  </si>
  <si>
    <t xml:space="preserve">Total / key</t>
  </si>
  <si>
    <t xml:space="preserve">Yr 1</t>
  </si>
  <si>
    <t xml:space="preserve">Yr 2</t>
  </si>
  <si>
    <t xml:space="preserve">Yr 3</t>
  </si>
  <si>
    <t xml:space="preserve">Yr 4</t>
  </si>
  <si>
    <t xml:space="preserve">Yr 5</t>
  </si>
  <si>
    <t xml:space="preserve">Yr 6</t>
  </si>
  <si>
    <t xml:space="preserve">Yr 7</t>
  </si>
  <si>
    <t xml:space="preserve">Yr 8</t>
  </si>
  <si>
    <t xml:space="preserve">Yr 9</t>
  </si>
  <si>
    <t xml:space="preserve">Yr 10</t>
  </si>
  <si>
    <t xml:space="preserve">Yr 11</t>
  </si>
  <si>
    <t xml:space="preserve">Yr 12</t>
  </si>
  <si>
    <t xml:space="preserve">Yr 13</t>
  </si>
  <si>
    <t xml:space="preserve">Yr 14</t>
  </si>
  <si>
    <t xml:space="preserve">Yr 15</t>
  </si>
  <si>
    <t xml:space="preserve">Yr 16</t>
  </si>
  <si>
    <t xml:space="preserve">Yr 17</t>
  </si>
  <si>
    <t xml:space="preserve">Yr 18</t>
  </si>
  <si>
    <t xml:space="preserve">Yr 19</t>
  </si>
  <si>
    <t xml:space="preserve">Yr 20</t>
  </si>
  <si>
    <t xml:space="preserve">Operating year</t>
  </si>
  <si>
    <t xml:space="preserve">BASE CASE (used by lenders to SIZE the debt)</t>
  </si>
  <si>
    <t xml:space="preserve">Net generation (P50)</t>
  </si>
  <si>
    <t xml:space="preserve">MWh</t>
  </si>
  <si>
    <t xml:space="preserve">Revenue</t>
  </si>
  <si>
    <t xml:space="preserve">Opex</t>
  </si>
  <si>
    <t xml:space="preserve">EBITDA</t>
  </si>
  <si>
    <t xml:space="preserve">Depreciation (tax)</t>
  </si>
  <si>
    <t xml:space="preserve">Tax paid</t>
  </si>
  <si>
    <t xml:space="preserve">CFADS — base case</t>
  </si>
  <si>
    <t xml:space="preserve">CURRENT SCENARIO (applies the stress levers on the Inputs sheet)</t>
  </si>
  <si>
    <t xml:space="preserve">Net generation after haircut</t>
  </si>
  <si>
    <t xml:space="preserve">US$ value of tariff after FX (1 − depreciation × (1 − pass-through))</t>
  </si>
  <si>
    <t xml:space="preserve">factor</t>
  </si>
  <si>
    <t xml:space="preserve">Revenue collected</t>
  </si>
  <si>
    <t xml:space="preserve">Opex (with overrun)</t>
  </si>
  <si>
    <t xml:space="preserve">CFADS — current scenario</t>
  </si>
  <si>
    <t xml:space="preserve">DEBT SIZING BY SCULPTING (on base case)</t>
  </si>
  <si>
    <t xml:space="preserve">In tenor? (1 = yes)</t>
  </si>
  <si>
    <t xml:space="preserve">flag</t>
  </si>
  <si>
    <t xml:space="preserve">Sculpted debt service capacity = CFADS ÷ target DSCR</t>
  </si>
  <si>
    <t xml:space="preserve">Discount factor at senior rate</t>
  </si>
  <si>
    <t xml:space="preserve">PV of debt service capacity</t>
  </si>
  <si>
    <t xml:space="preserve">Debt capacity at target DSCR (sum of PVs)</t>
  </si>
  <si>
    <t xml:space="preserve">Senior debt actually raised (from Capital Stack)</t>
  </si>
  <si>
    <t xml:space="preserve">Scale factor (raised ÷ capacity)</t>
  </si>
  <si>
    <t xml:space="preserve">SENIOR DEBT SCHEDULE (debt service fixed at financial close)</t>
  </si>
  <si>
    <t xml:space="preserve">Opening balance</t>
  </si>
  <si>
    <t xml:space="preserve">Scheduled debt service (sculpted)</t>
  </si>
  <si>
    <t xml:space="preserve">Interest</t>
  </si>
  <si>
    <t xml:space="preserve">Principal repaid</t>
  </si>
  <si>
    <t xml:space="preserve">Closing balance</t>
  </si>
  <si>
    <t xml:space="preserve">DSCR = CFADS (scenario) ÷ debt service</t>
  </si>
  <si>
    <t xml:space="preserve">Cash to equity after senior debt service</t>
  </si>
  <si>
    <t xml:space="preserve">PV of remaining CFADS over debt life (for LLCR, yr 1 only)</t>
  </si>
  <si>
    <t xml:space="preserve">RESULTS</t>
  </si>
  <si>
    <t xml:space="preserve">Minimum DSCR</t>
  </si>
  <si>
    <t xml:space="preserve">Average DSCR</t>
  </si>
  <si>
    <t xml:space="preserve">LLCR at close = PV(CFADS over tenor) ÷ debt</t>
  </si>
  <si>
    <t xml:space="preserve">Years with DSCR &lt; 1.00x</t>
  </si>
  <si>
    <t xml:space="preserve">Years with DSCR &lt; 1.20x (lock-up trigger)</t>
  </si>
  <si>
    <t xml:space="preserve">Sponsor IRR (equity + shareholder loan, 20 yrs)</t>
  </si>
  <si>
    <t xml:space="preserve">Sponsor cash flow (Yr0 = −sponsor funding)</t>
  </si>
  <si>
    <t xml:space="preserve">Workshop exercise — record each scenario you run</t>
  </si>
  <si>
    <t xml:space="preserve">Scenario</t>
  </si>
  <si>
    <t xml:space="preserve">Naira depreciation</t>
  </si>
  <si>
    <t xml:space="preserve">FX pass-through</t>
  </si>
  <si>
    <t xml:space="preserve">Payment rate</t>
  </si>
  <si>
    <t xml:space="preserve">Gen. haircut</t>
  </si>
  <si>
    <t xml:space="preserve">Min DSCR</t>
  </si>
  <si>
    <t xml:space="preserve">LLCR</t>
  </si>
  <si>
    <t xml:space="preserve">Sponsor IRR</t>
  </si>
  <si>
    <t xml:space="preserve">Fund / Restructure / Reject?</t>
  </si>
  <si>
    <t xml:space="preserve">Mitigant proposed</t>
  </si>
  <si>
    <t xml:space="preserve">Example: base case</t>
  </si>
  <si>
    <t xml:space="preserve">(type result)</t>
  </si>
  <si>
    <t xml:space="preserve">Fund</t>
  </si>
  <si>
    <t xml:space="preserve">—</t>
  </si>
  <si>
    <t xml:space="preserve">Copy the Min DSCR, LLCR and Sponsor IRR from the 'Capital Stack' sheet after changing the yellow levers on 'Inputs'.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</si>
</sst>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#,##0.00"/>
    <numFmt numFmtId="168" formatCode="0.00\x"/>
    <numFmt numFmtId="169" formatCode="#,##0.0;\(#,##0.0\);\-"/>
    <numFmt numFmtId="170" formatCode="\$#,##0.00;&quot;($&quot;#,##0.00\);\-"/>
    <numFmt numFmtId="171" formatCode="0"/>
    <numFmt numFmtId="172" formatCode="#,##0;\(#,##0\);\-"/>
    <numFmt numFmtId="173" formatCode="0.00"/>
    <numFmt numFmtId="174" formatCode="0.0000"/>
    <numFmt numFmtId="175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06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2060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Capital stack (US$m)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"Senior A — DFI US$ term loan"</c:f>
              <c:strCache>
                <c:ptCount val="1"/>
                <c:pt idx="0">
                  <c:v>Senior A — DFI US$ term loan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'Capital Stack'!$B$18</c:f>
              <c:numCache>
                <c:formatCode>#,##0.0;\(#,##0.0\);\-</c:formatCode>
                <c:ptCount val="1"/>
                <c:pt idx="0">
                  <c:v>22.4412868957079</c:v>
                </c:pt>
              </c:numCache>
            </c:numRef>
          </c:val>
        </c:ser>
        <c:ser>
          <c:idx val="1"/>
          <c:order val="1"/>
          <c:tx>
            <c:strRef>
              <c:f>"Senior B — InfraCredit-guaranteed naira green bond"</c:f>
              <c:strCache>
                <c:ptCount val="1"/>
                <c:pt idx="0">
                  <c:v>Senior B — InfraCredit-guaranteed naira green bond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'Capital Stack'!$B$19</c:f>
              <c:numCache>
                <c:formatCode>#,##0.0;\(#,##0.0\);\-</c:formatCode>
                <c:ptCount val="1"/>
                <c:pt idx="0">
                  <c:v>14.9608579304719</c:v>
                </c:pt>
              </c:numCache>
            </c:numRef>
          </c:val>
        </c:ser>
        <c:ser>
          <c:idx val="2"/>
          <c:order val="2"/>
          <c:tx>
            <c:strRef>
              <c:f>"Shareholder loan (subordinated)"</c:f>
              <c:strCache>
                <c:ptCount val="1"/>
                <c:pt idx="0">
                  <c:v>Shareholder loan (subordinated)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'Capital Stack'!$B$20</c:f>
              <c:numCache>
                <c:formatCode>#,##0.0;\(#,##0.0\);\-</c:formatCode>
                <c:ptCount val="1"/>
                <c:pt idx="0">
                  <c:v>8.79892758691007</c:v>
                </c:pt>
              </c:numCache>
            </c:numRef>
          </c:val>
        </c:ser>
        <c:ser>
          <c:idx val="3"/>
          <c:order val="3"/>
          <c:tx>
            <c:strRef>
              <c:f>"Ordinary equity"</c:f>
              <c:strCache>
                <c:ptCount val="1"/>
                <c:pt idx="0">
                  <c:v>Ordinary equity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'Capital Stack'!$B$21</c:f>
              <c:numCache>
                <c:formatCode>#,##0.0;\(#,##0.0\);\-</c:formatCode>
                <c:ptCount val="1"/>
                <c:pt idx="0">
                  <c:v>8.79892758691007</c:v>
                </c:pt>
              </c:numCache>
            </c:numRef>
          </c:val>
        </c:ser>
        <c:gapWidth val="150"/>
        <c:overlap val="100"/>
        <c:axId val="72396340"/>
        <c:axId val="54490828"/>
      </c:barChart>
      <c:catAx>
        <c:axId val="723963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90828"/>
        <c:crosses val="autoZero"/>
        <c:auto val="1"/>
        <c:lblAlgn val="ctr"/>
        <c:lblOffset val="100"/>
        <c:noMultiLvlLbl val="0"/>
      </c:catAx>
      <c:valAx>
        <c:axId val="544908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963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DSCR by year (current scenario)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CashFlow_Debt!$D$3:$R$3</c:f>
              <c:strCache>
                <c:ptCount val="15"/>
                <c:pt idx="0">
                  <c:v>Yr 1</c:v>
                </c:pt>
                <c:pt idx="1">
                  <c:v>Yr 2</c:v>
                </c:pt>
                <c:pt idx="2">
                  <c:v>Yr 3</c:v>
                </c:pt>
                <c:pt idx="3">
                  <c:v>Yr 4</c:v>
                </c:pt>
                <c:pt idx="4">
                  <c:v>Yr 5</c:v>
                </c:pt>
                <c:pt idx="5">
                  <c:v>Yr 6</c:v>
                </c:pt>
                <c:pt idx="6">
                  <c:v>Yr 7</c:v>
                </c:pt>
                <c:pt idx="7">
                  <c:v>Yr 8</c:v>
                </c:pt>
                <c:pt idx="8">
                  <c:v>Yr 9</c:v>
                </c:pt>
                <c:pt idx="9">
                  <c:v>Yr 10</c:v>
                </c:pt>
                <c:pt idx="10">
                  <c:v>Yr 11</c:v>
                </c:pt>
                <c:pt idx="11">
                  <c:v>Yr 12</c:v>
                </c:pt>
                <c:pt idx="12">
                  <c:v>Yr 13</c:v>
                </c:pt>
                <c:pt idx="13">
                  <c:v>Yr 14</c:v>
                </c:pt>
                <c:pt idx="14">
                  <c:v>Yr 15</c:v>
                </c:pt>
              </c:strCache>
            </c:strRef>
          </c:cat>
          <c:val>
            <c:numRef>
              <c:f>CashFlow_Debt!$D$41:$R$41</c:f>
              <c:numCache>
                <c:formatCode>0.00\x</c:formatCode>
                <c:ptCount val="15"/>
                <c:pt idx="0">
                  <c:v>1.35</c:v>
                </c:pt>
                <c:pt idx="1">
                  <c:v>1.35</c:v>
                </c:pt>
                <c:pt idx="2">
                  <c:v>1.35</c:v>
                </c:pt>
                <c:pt idx="3">
                  <c:v>1.35</c:v>
                </c:pt>
                <c:pt idx="4">
                  <c:v>1.35</c:v>
                </c:pt>
                <c:pt idx="5">
                  <c:v>1.35</c:v>
                </c:pt>
                <c:pt idx="6">
                  <c:v>1.35</c:v>
                </c:pt>
                <c:pt idx="7">
                  <c:v>1.35</c:v>
                </c:pt>
                <c:pt idx="8">
                  <c:v>1.35</c:v>
                </c:pt>
                <c:pt idx="9">
                  <c:v>1.35</c:v>
                </c:pt>
                <c:pt idx="10">
                  <c:v>1.35</c:v>
                </c:pt>
                <c:pt idx="11">
                  <c:v>1.35</c:v>
                </c:pt>
                <c:pt idx="12">
                  <c:v>1.35</c:v>
                </c:pt>
                <c:pt idx="13">
                  <c:v>1.35</c:v>
                </c:pt>
                <c:pt idx="14">
                  <c:v>1.35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784756"/>
        <c:axId val="2545093"/>
      </c:lineChart>
      <c:catAx>
        <c:axId val="617847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5093"/>
        <c:crosses val="autoZero"/>
        <c:auto val="1"/>
        <c:lblAlgn val="ctr"/>
        <c:lblOffset val="100"/>
        <c:noMultiLvlLbl val="0"/>
      </c:catAx>
      <c:valAx>
        <c:axId val="25450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\x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847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00566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55</xdr:row>
      <xdr:rowOff>160560</xdr:rowOff>
    </xdr:from>
    <xdr:to>
      <xdr:col>14</xdr:col>
      <xdr:colOff>485280</xdr:colOff>
      <xdr:row>69</xdr:row>
      <xdr:rowOff>13320</xdr:rowOff>
    </xdr:to>
    <xdr:graphicFrame>
      <xdr:nvGraphicFramePr>
        <xdr:cNvPr id="1" name="Chart 1"/>
        <xdr:cNvGraphicFramePr/>
      </xdr:nvGraphicFramePr>
      <xdr:xfrm>
        <a:off x="5603760" y="10667880"/>
        <a:ext cx="64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13</v>
      </c>
    </row>
    <row r="3" customFormat="false" ht="15" hidden="false" customHeight="false" outlineLevel="0" collapsed="false">
      <c r="A3" s="4" t="s">
        <v>14</v>
      </c>
      <c r="B3" s="5"/>
      <c r="C3" s="5"/>
      <c r="D3" s="5"/>
    </row>
    <row r="4" customFormat="false" ht="15" hidden="false" customHeight="false" outlineLevel="0" collapsed="false">
      <c r="A4" s="2" t="s">
        <v>15</v>
      </c>
      <c r="B4" s="6" t="n">
        <v>50</v>
      </c>
      <c r="C4" s="2" t="s">
        <v>16</v>
      </c>
      <c r="D4" s="7" t="s">
        <v>17</v>
      </c>
    </row>
    <row r="5" customFormat="false" ht="15" hidden="false" customHeight="false" outlineLevel="0" collapsed="false">
      <c r="A5" s="2" t="s">
        <v>18</v>
      </c>
      <c r="B5" s="8" t="n">
        <v>0.21</v>
      </c>
      <c r="C5" s="2" t="s">
        <v>19</v>
      </c>
      <c r="D5" s="7" t="s">
        <v>20</v>
      </c>
    </row>
    <row r="6" customFormat="false" ht="15" hidden="false" customHeight="false" outlineLevel="0" collapsed="false">
      <c r="A6" s="2" t="s">
        <v>21</v>
      </c>
      <c r="B6" s="8" t="n">
        <v>0.005</v>
      </c>
      <c r="C6" s="2" t="s">
        <v>19</v>
      </c>
      <c r="D6" s="7" t="s">
        <v>22</v>
      </c>
    </row>
    <row r="7" customFormat="false" ht="15" hidden="false" customHeight="false" outlineLevel="0" collapsed="false">
      <c r="A7" s="2" t="s">
        <v>23</v>
      </c>
      <c r="B7" s="6" t="n">
        <v>20</v>
      </c>
      <c r="C7" s="2" t="s">
        <v>24</v>
      </c>
      <c r="D7" s="7" t="s">
        <v>25</v>
      </c>
    </row>
    <row r="8" customFormat="false" ht="15" hidden="false" customHeight="false" outlineLevel="0" collapsed="false">
      <c r="A8" s="4" t="s">
        <v>26</v>
      </c>
      <c r="B8" s="5"/>
      <c r="C8" s="5"/>
      <c r="D8" s="5"/>
    </row>
    <row r="9" customFormat="false" ht="15" hidden="false" customHeight="false" outlineLevel="0" collapsed="false">
      <c r="A9" s="2" t="s">
        <v>27</v>
      </c>
      <c r="B9" s="6" t="n">
        <v>95</v>
      </c>
      <c r="C9" s="2" t="s">
        <v>28</v>
      </c>
      <c r="D9" s="7" t="s">
        <v>29</v>
      </c>
    </row>
    <row r="10" customFormat="false" ht="15" hidden="false" customHeight="false" outlineLevel="0" collapsed="false">
      <c r="A10" s="4" t="s">
        <v>30</v>
      </c>
      <c r="B10" s="5"/>
      <c r="C10" s="5"/>
      <c r="D10" s="5"/>
    </row>
    <row r="11" customFormat="false" ht="15" hidden="false" customHeight="false" outlineLevel="0" collapsed="false">
      <c r="A11" s="2" t="s">
        <v>31</v>
      </c>
      <c r="B11" s="9" t="n">
        <v>1.1</v>
      </c>
      <c r="C11" s="2" t="s">
        <v>32</v>
      </c>
      <c r="D11" s="7" t="s">
        <v>33</v>
      </c>
    </row>
    <row r="12" customFormat="false" ht="15" hidden="false" customHeight="false" outlineLevel="0" collapsed="false">
      <c r="A12" s="2" t="s">
        <v>34</v>
      </c>
      <c r="B12" s="8" t="n">
        <v>0.02</v>
      </c>
      <c r="C12" s="2" t="s">
        <v>19</v>
      </c>
      <c r="D12" s="7" t="s">
        <v>35</v>
      </c>
    </row>
    <row r="13" customFormat="false" ht="15" hidden="false" customHeight="false" outlineLevel="0" collapsed="false">
      <c r="A13" s="2" t="s">
        <v>36</v>
      </c>
      <c r="B13" s="8" t="n">
        <v>0.3</v>
      </c>
      <c r="C13" s="2" t="s">
        <v>19</v>
      </c>
      <c r="D13" s="7" t="s">
        <v>37</v>
      </c>
    </row>
    <row r="14" customFormat="false" ht="15" hidden="false" customHeight="false" outlineLevel="0" collapsed="false">
      <c r="A14" s="2" t="s">
        <v>38</v>
      </c>
      <c r="B14" s="6" t="n">
        <v>5</v>
      </c>
      <c r="C14" s="2" t="s">
        <v>24</v>
      </c>
      <c r="D14" s="7" t="s">
        <v>39</v>
      </c>
    </row>
    <row r="15" customFormat="false" ht="15" hidden="false" customHeight="false" outlineLevel="0" collapsed="false">
      <c r="A15" s="2" t="s">
        <v>40</v>
      </c>
      <c r="B15" s="6" t="n">
        <v>20</v>
      </c>
      <c r="C15" s="2" t="s">
        <v>24</v>
      </c>
      <c r="D15" s="7" t="s">
        <v>41</v>
      </c>
    </row>
    <row r="16" customFormat="false" ht="15" hidden="false" customHeight="false" outlineLevel="0" collapsed="false">
      <c r="A16" s="4" t="s">
        <v>42</v>
      </c>
      <c r="B16" s="5"/>
      <c r="C16" s="5"/>
      <c r="D16" s="5"/>
    </row>
    <row r="17" customFormat="false" ht="15" hidden="false" customHeight="false" outlineLevel="0" collapsed="false">
      <c r="A17" s="2" t="s">
        <v>43</v>
      </c>
      <c r="B17" s="9" t="n">
        <v>44</v>
      </c>
      <c r="C17" s="2" t="s">
        <v>32</v>
      </c>
      <c r="D17" s="7"/>
    </row>
    <row r="18" customFormat="false" ht="15" hidden="false" customHeight="false" outlineLevel="0" collapsed="false">
      <c r="A18" s="2" t="s">
        <v>44</v>
      </c>
      <c r="B18" s="9" t="n">
        <v>3</v>
      </c>
      <c r="C18" s="2" t="s">
        <v>32</v>
      </c>
      <c r="D18" s="7"/>
    </row>
    <row r="19" customFormat="false" ht="15" hidden="false" customHeight="false" outlineLevel="0" collapsed="false">
      <c r="A19" s="2" t="s">
        <v>45</v>
      </c>
      <c r="B19" s="9" t="n">
        <v>3.5</v>
      </c>
      <c r="C19" s="2" t="s">
        <v>32</v>
      </c>
      <c r="D19" s="7" t="s">
        <v>46</v>
      </c>
    </row>
    <row r="20" customFormat="false" ht="15" hidden="false" customHeight="false" outlineLevel="0" collapsed="false">
      <c r="A20" s="2" t="s">
        <v>47</v>
      </c>
      <c r="B20" s="9" t="n">
        <v>3</v>
      </c>
      <c r="C20" s="2" t="s">
        <v>32</v>
      </c>
      <c r="D20" s="7"/>
    </row>
    <row r="21" customFormat="false" ht="15" hidden="false" customHeight="false" outlineLevel="0" collapsed="false">
      <c r="A21" s="2" t="s">
        <v>48</v>
      </c>
      <c r="B21" s="9" t="n">
        <v>1.5</v>
      </c>
      <c r="C21" s="2" t="s">
        <v>32</v>
      </c>
      <c r="D21" s="7" t="s">
        <v>49</v>
      </c>
    </row>
    <row r="22" customFormat="false" ht="15" hidden="false" customHeight="false" outlineLevel="0" collapsed="false">
      <c r="A22" s="4" t="s">
        <v>50</v>
      </c>
      <c r="B22" s="5"/>
      <c r="C22" s="5"/>
      <c r="D22" s="5"/>
    </row>
    <row r="23" customFormat="false" ht="15" hidden="false" customHeight="false" outlineLevel="0" collapsed="false">
      <c r="A23" s="2" t="s">
        <v>51</v>
      </c>
      <c r="B23" s="10" t="n">
        <v>1.35</v>
      </c>
      <c r="C23" s="2" t="s">
        <v>52</v>
      </c>
      <c r="D23" s="7" t="s">
        <v>53</v>
      </c>
    </row>
    <row r="24" customFormat="false" ht="15" hidden="false" customHeight="false" outlineLevel="0" collapsed="false">
      <c r="A24" s="2" t="s">
        <v>54</v>
      </c>
      <c r="B24" s="11" t="n">
        <v>0.7</v>
      </c>
      <c r="C24" s="2" t="s">
        <v>19</v>
      </c>
      <c r="D24" s="7" t="s">
        <v>55</v>
      </c>
    </row>
    <row r="25" customFormat="false" ht="15" hidden="false" customHeight="false" outlineLevel="0" collapsed="false">
      <c r="A25" s="2" t="s">
        <v>56</v>
      </c>
      <c r="B25" s="6" t="n">
        <v>15</v>
      </c>
      <c r="C25" s="2" t="s">
        <v>24</v>
      </c>
      <c r="D25" s="7"/>
    </row>
    <row r="26" customFormat="false" ht="15" hidden="false" customHeight="false" outlineLevel="0" collapsed="false">
      <c r="A26" s="2" t="s">
        <v>57</v>
      </c>
      <c r="B26" s="8" t="n">
        <v>0.1</v>
      </c>
      <c r="C26" s="2" t="s">
        <v>19</v>
      </c>
      <c r="D26" s="7" t="s">
        <v>58</v>
      </c>
    </row>
    <row r="27" customFormat="false" ht="15" hidden="false" customHeight="false" outlineLevel="0" collapsed="false">
      <c r="A27" s="2" t="s">
        <v>59</v>
      </c>
      <c r="B27" s="8" t="n">
        <v>0.6</v>
      </c>
      <c r="C27" s="2" t="s">
        <v>19</v>
      </c>
      <c r="D27" s="7" t="s">
        <v>60</v>
      </c>
    </row>
    <row r="28" customFormat="false" ht="15" hidden="false" customHeight="false" outlineLevel="0" collapsed="false">
      <c r="A28" s="2" t="s">
        <v>61</v>
      </c>
      <c r="B28" s="8" t="n">
        <v>0.5</v>
      </c>
      <c r="C28" s="2" t="s">
        <v>19</v>
      </c>
      <c r="D28" s="7" t="s">
        <v>62</v>
      </c>
    </row>
    <row r="29" customFormat="false" ht="15" hidden="false" customHeight="false" outlineLevel="0" collapsed="false">
      <c r="A29" s="4" t="s">
        <v>63</v>
      </c>
      <c r="B29" s="5"/>
      <c r="C29" s="5"/>
      <c r="D29" s="5"/>
    </row>
    <row r="30" customFormat="false" ht="15" hidden="false" customHeight="false" outlineLevel="0" collapsed="false">
      <c r="A30" s="2" t="s">
        <v>64</v>
      </c>
      <c r="B30" s="11" t="n">
        <v>0</v>
      </c>
      <c r="C30" s="2" t="s">
        <v>19</v>
      </c>
      <c r="D30" s="7" t="s">
        <v>65</v>
      </c>
    </row>
    <row r="31" customFormat="false" ht="15" hidden="false" customHeight="false" outlineLevel="0" collapsed="false">
      <c r="A31" s="2" t="s">
        <v>66</v>
      </c>
      <c r="B31" s="11" t="n">
        <v>1</v>
      </c>
      <c r="C31" s="2" t="s">
        <v>19</v>
      </c>
      <c r="D31" s="7" t="s">
        <v>67</v>
      </c>
    </row>
    <row r="32" customFormat="false" ht="15" hidden="false" customHeight="false" outlineLevel="0" collapsed="false">
      <c r="A32" s="2" t="s">
        <v>68</v>
      </c>
      <c r="B32" s="11" t="n">
        <v>1</v>
      </c>
      <c r="C32" s="2" t="s">
        <v>19</v>
      </c>
      <c r="D32" s="7" t="s">
        <v>69</v>
      </c>
    </row>
    <row r="33" customFormat="false" ht="15" hidden="false" customHeight="false" outlineLevel="0" collapsed="false">
      <c r="A33" s="2" t="s">
        <v>70</v>
      </c>
      <c r="B33" s="11" t="n">
        <v>0</v>
      </c>
      <c r="C33" s="2" t="s">
        <v>19</v>
      </c>
      <c r="D33" s="7" t="s">
        <v>71</v>
      </c>
    </row>
    <row r="34" customFormat="false" ht="15" hidden="false" customHeight="false" outlineLevel="0" collapsed="false">
      <c r="A34" s="2" t="s">
        <v>72</v>
      </c>
      <c r="B34" s="11" t="n">
        <v>0</v>
      </c>
      <c r="C34" s="2" t="s">
        <v>19</v>
      </c>
      <c r="D34" s="7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74</v>
      </c>
    </row>
    <row r="3" customFormat="false" ht="15" hidden="false" customHeight="false" outlineLevel="0" collapsed="false">
      <c r="A3" s="4" t="s">
        <v>75</v>
      </c>
      <c r="B3" s="4" t="s">
        <v>76</v>
      </c>
      <c r="C3" s="4" t="s">
        <v>77</v>
      </c>
      <c r="D3" s="5"/>
    </row>
    <row r="4" customFormat="false" ht="15" hidden="false" customHeight="false" outlineLevel="0" collapsed="false">
      <c r="A4" s="2" t="s">
        <v>43</v>
      </c>
      <c r="B4" s="12" t="n">
        <f aca="false">Inputs!$B$17</f>
        <v>44</v>
      </c>
      <c r="C4" s="13" t="n">
        <f aca="false">B4/$B$9</f>
        <v>0.8</v>
      </c>
    </row>
    <row r="5" customFormat="false" ht="15" hidden="false" customHeight="false" outlineLevel="0" collapsed="false">
      <c r="A5" s="2" t="s">
        <v>44</v>
      </c>
      <c r="B5" s="12" t="n">
        <f aca="false">Inputs!$B$18</f>
        <v>3</v>
      </c>
      <c r="C5" s="13" t="n">
        <f aca="false">B5/$B$9</f>
        <v>0.0545454545454545</v>
      </c>
    </row>
    <row r="6" customFormat="false" ht="15" hidden="false" customHeight="false" outlineLevel="0" collapsed="false">
      <c r="A6" s="2" t="s">
        <v>45</v>
      </c>
      <c r="B6" s="12" t="n">
        <f aca="false">Inputs!$B$19</f>
        <v>3.5</v>
      </c>
      <c r="C6" s="13" t="n">
        <f aca="false">B6/$B$9</f>
        <v>0.0636363636363636</v>
      </c>
    </row>
    <row r="7" customFormat="false" ht="15" hidden="false" customHeight="false" outlineLevel="0" collapsed="false">
      <c r="A7" s="2" t="s">
        <v>47</v>
      </c>
      <c r="B7" s="12" t="n">
        <f aca="false">Inputs!$B$20</f>
        <v>3</v>
      </c>
      <c r="C7" s="13" t="n">
        <f aca="false">B7/$B$9</f>
        <v>0.0545454545454545</v>
      </c>
    </row>
    <row r="8" customFormat="false" ht="15" hidden="false" customHeight="false" outlineLevel="0" collapsed="false">
      <c r="A8" s="2" t="s">
        <v>48</v>
      </c>
      <c r="B8" s="12" t="n">
        <f aca="false">Inputs!$B$21</f>
        <v>1.5</v>
      </c>
      <c r="C8" s="13" t="n">
        <f aca="false">B8/$B$9</f>
        <v>0.0272727272727273</v>
      </c>
    </row>
    <row r="9" customFormat="false" ht="15" hidden="false" customHeight="false" outlineLevel="0" collapsed="false">
      <c r="A9" s="3" t="s">
        <v>78</v>
      </c>
      <c r="B9" s="14" t="n">
        <f aca="false">SUM(B4:B8)</f>
        <v>55</v>
      </c>
      <c r="C9" s="13" t="n">
        <f aca="false">SUM(C4:C8)</f>
        <v>1</v>
      </c>
    </row>
    <row r="11" customFormat="false" ht="15" hidden="false" customHeight="false" outlineLevel="0" collapsed="false">
      <c r="A11" s="4" t="s">
        <v>79</v>
      </c>
      <c r="B11" s="5"/>
      <c r="C11" s="5"/>
      <c r="D11" s="5"/>
    </row>
    <row r="12" customFormat="false" ht="15" hidden="false" customHeight="false" outlineLevel="0" collapsed="false">
      <c r="A12" s="0" t="s">
        <v>80</v>
      </c>
      <c r="B12" s="12" t="n">
        <f aca="false">CashFlow_Debt!$C$30</f>
        <v>37.4021448261799</v>
      </c>
      <c r="D12" s="7" t="s">
        <v>81</v>
      </c>
    </row>
    <row r="13" customFormat="false" ht="15" hidden="false" customHeight="false" outlineLevel="0" collapsed="false">
      <c r="A13" s="0" t="s">
        <v>82</v>
      </c>
      <c r="B13" s="15" t="n">
        <f aca="false">B9*Inputs!$B$24</f>
        <v>38.5</v>
      </c>
      <c r="D13" s="7" t="s">
        <v>83</v>
      </c>
    </row>
    <row r="14" customFormat="false" ht="15" hidden="false" customHeight="false" outlineLevel="0" collapsed="false">
      <c r="A14" s="3" t="s">
        <v>84</v>
      </c>
      <c r="B14" s="14" t="n">
        <f aca="false">MIN(B12,B13)</f>
        <v>37.4021448261799</v>
      </c>
    </row>
    <row r="15" customFormat="false" ht="15" hidden="false" customHeight="false" outlineLevel="0" collapsed="false">
      <c r="A15" s="0" t="s">
        <v>85</v>
      </c>
      <c r="B15" s="0" t="str">
        <f aca="false">IF(B12&lt;=B13,"DSCR","Gearing")</f>
        <v>DSCR</v>
      </c>
    </row>
    <row r="17" customFormat="false" ht="15" hidden="false" customHeight="false" outlineLevel="0" collapsed="false">
      <c r="A17" s="4" t="s">
        <v>86</v>
      </c>
      <c r="B17" s="4" t="s">
        <v>76</v>
      </c>
      <c r="C17" s="4" t="s">
        <v>77</v>
      </c>
      <c r="D17" s="4" t="s">
        <v>87</v>
      </c>
    </row>
    <row r="18" customFormat="false" ht="15" hidden="false" customHeight="false" outlineLevel="0" collapsed="false">
      <c r="A18" s="2" t="s">
        <v>88</v>
      </c>
      <c r="B18" s="15" t="n">
        <f aca="false">B14*Inputs!$B$27</f>
        <v>22.4412868957079</v>
      </c>
      <c r="C18" s="13" t="n">
        <f aca="false">B18/$B$22</f>
        <v>0.40802339810378</v>
      </c>
      <c r="D18" s="7" t="s">
        <v>89</v>
      </c>
    </row>
    <row r="19" customFormat="false" ht="15" hidden="false" customHeight="false" outlineLevel="0" collapsed="false">
      <c r="A19" s="2" t="s">
        <v>90</v>
      </c>
      <c r="B19" s="15" t="n">
        <f aca="false">B14*(1-Inputs!$B$27)</f>
        <v>14.9608579304719</v>
      </c>
      <c r="C19" s="13" t="n">
        <f aca="false">B19/$B$22</f>
        <v>0.272015598735854</v>
      </c>
      <c r="D19" s="7" t="s">
        <v>91</v>
      </c>
    </row>
    <row r="20" customFormat="false" ht="15" hidden="false" customHeight="false" outlineLevel="0" collapsed="false">
      <c r="A20" s="2" t="s">
        <v>92</v>
      </c>
      <c r="B20" s="15" t="n">
        <f aca="false">(B9-B14)*Inputs!$B$28</f>
        <v>8.79892758691007</v>
      </c>
      <c r="C20" s="13" t="n">
        <f aca="false">B20/$B$22</f>
        <v>0.159980501580183</v>
      </c>
      <c r="D20" s="7" t="s">
        <v>93</v>
      </c>
    </row>
    <row r="21" customFormat="false" ht="15" hidden="false" customHeight="false" outlineLevel="0" collapsed="false">
      <c r="A21" s="2" t="s">
        <v>94</v>
      </c>
      <c r="B21" s="15" t="n">
        <f aca="false">(B9-B14)*(1-Inputs!$B$28)</f>
        <v>8.79892758691007</v>
      </c>
      <c r="C21" s="13" t="n">
        <f aca="false">B21/$B$22</f>
        <v>0.159980501580183</v>
      </c>
      <c r="D21" s="7" t="s">
        <v>95</v>
      </c>
    </row>
    <row r="22" customFormat="false" ht="15" hidden="false" customHeight="false" outlineLevel="0" collapsed="false">
      <c r="A22" s="3" t="s">
        <v>96</v>
      </c>
      <c r="B22" s="14" t="n">
        <f aca="false">SUM(B18:B21)</f>
        <v>55</v>
      </c>
      <c r="C22" s="13" t="n">
        <f aca="false">SUM(C18:C21)</f>
        <v>1</v>
      </c>
    </row>
    <row r="23" customFormat="false" ht="15" hidden="false" customHeight="false" outlineLevel="0" collapsed="false">
      <c r="A23" s="0" t="s">
        <v>97</v>
      </c>
      <c r="B23" s="16" t="n">
        <f aca="false">B22-B9</f>
        <v>0</v>
      </c>
    </row>
    <row r="25" customFormat="false" ht="15" hidden="false" customHeight="false" outlineLevel="0" collapsed="false">
      <c r="A25" s="4" t="s">
        <v>98</v>
      </c>
      <c r="B25" s="5"/>
      <c r="C25" s="5"/>
      <c r="D25" s="5"/>
    </row>
    <row r="26" customFormat="false" ht="15" hidden="false" customHeight="false" outlineLevel="0" collapsed="false">
      <c r="A26" s="0" t="s">
        <v>99</v>
      </c>
      <c r="B26" s="13" t="n">
        <f aca="false">B14/B9</f>
        <v>0.680038996839634</v>
      </c>
    </row>
    <row r="27" customFormat="false" ht="15" hidden="false" customHeight="false" outlineLevel="0" collapsed="false">
      <c r="A27" s="0" t="s">
        <v>100</v>
      </c>
      <c r="B27" s="13" t="n">
        <f aca="false">(B20+B21)/B9</f>
        <v>0.319961003160366</v>
      </c>
    </row>
    <row r="28" customFormat="false" ht="15" hidden="false" customHeight="false" outlineLevel="0" collapsed="false">
      <c r="A28" s="0" t="s">
        <v>101</v>
      </c>
      <c r="B28" s="17" t="n">
        <f aca="false">CashFlow_Debt!$C$47</f>
        <v>1.35</v>
      </c>
    </row>
    <row r="29" customFormat="false" ht="15" hidden="false" customHeight="false" outlineLevel="0" collapsed="false">
      <c r="A29" s="0" t="s">
        <v>102</v>
      </c>
      <c r="B29" s="17" t="n">
        <f aca="false">CashFlow_Debt!$C$48</f>
        <v>1.35</v>
      </c>
    </row>
    <row r="30" customFormat="false" ht="15" hidden="false" customHeight="false" outlineLevel="0" collapsed="false">
      <c r="A30" s="0" t="s">
        <v>103</v>
      </c>
      <c r="B30" s="17" t="n">
        <f aca="false">CashFlow_Debt!$C$49</f>
        <v>1.35</v>
      </c>
    </row>
    <row r="31" customFormat="false" ht="15" hidden="false" customHeight="false" outlineLevel="0" collapsed="false">
      <c r="A31" s="0" t="s">
        <v>104</v>
      </c>
      <c r="B31" s="18" t="n">
        <f aca="false">CashFlow_Debt!$C$52</f>
        <v>0.102538975781018</v>
      </c>
    </row>
    <row r="32" customFormat="false" ht="15" hidden="false" customHeight="false" outlineLevel="0" collapsed="false">
      <c r="A32" s="0" t="s">
        <v>105</v>
      </c>
      <c r="B32" s="19" t="n">
        <f aca="false">CashFlow_Debt!$C$50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23" min="4" style="0" width="8.5"/>
  </cols>
  <sheetData>
    <row r="1" customFormat="false" ht="17.35" hidden="false" customHeight="false" outlineLevel="0" collapsed="false">
      <c r="A1" s="1" t="s">
        <v>106</v>
      </c>
    </row>
    <row r="3" customFormat="false" ht="15" hidden="false" customHeight="false" outlineLevel="0" collapsed="false">
      <c r="A3" s="4" t="s">
        <v>107</v>
      </c>
      <c r="B3" s="4" t="s">
        <v>108</v>
      </c>
      <c r="C3" s="4" t="s">
        <v>109</v>
      </c>
      <c r="D3" s="20" t="s">
        <v>110</v>
      </c>
      <c r="E3" s="20" t="s">
        <v>111</v>
      </c>
      <c r="F3" s="20" t="s">
        <v>112</v>
      </c>
      <c r="G3" s="20" t="s">
        <v>113</v>
      </c>
      <c r="H3" s="20" t="s">
        <v>114</v>
      </c>
      <c r="I3" s="20" t="s">
        <v>115</v>
      </c>
      <c r="J3" s="20" t="s">
        <v>116</v>
      </c>
      <c r="K3" s="20" t="s">
        <v>117</v>
      </c>
      <c r="L3" s="20" t="s">
        <v>118</v>
      </c>
      <c r="M3" s="20" t="s">
        <v>119</v>
      </c>
      <c r="N3" s="20" t="s">
        <v>120</v>
      </c>
      <c r="O3" s="20" t="s">
        <v>121</v>
      </c>
      <c r="P3" s="20" t="s">
        <v>122</v>
      </c>
      <c r="Q3" s="20" t="s">
        <v>123</v>
      </c>
      <c r="R3" s="20" t="s">
        <v>124</v>
      </c>
      <c r="S3" s="20" t="s">
        <v>125</v>
      </c>
      <c r="T3" s="20" t="s">
        <v>126</v>
      </c>
      <c r="U3" s="20" t="s">
        <v>127</v>
      </c>
      <c r="V3" s="20" t="s">
        <v>128</v>
      </c>
      <c r="W3" s="20" t="s">
        <v>129</v>
      </c>
    </row>
    <row r="4" customFormat="false" ht="15" hidden="false" customHeight="false" outlineLevel="0" collapsed="false">
      <c r="A4" s="0" t="s">
        <v>130</v>
      </c>
      <c r="D4" s="0" t="n">
        <v>1</v>
      </c>
      <c r="E4" s="0" t="n">
        <v>2</v>
      </c>
      <c r="F4" s="0" t="n">
        <v>3</v>
      </c>
      <c r="G4" s="0" t="n">
        <v>4</v>
      </c>
      <c r="H4" s="0" t="n">
        <v>5</v>
      </c>
      <c r="I4" s="0" t="n">
        <v>6</v>
      </c>
      <c r="J4" s="0" t="n">
        <v>7</v>
      </c>
      <c r="K4" s="0" t="n">
        <v>8</v>
      </c>
      <c r="L4" s="0" t="n">
        <v>9</v>
      </c>
      <c r="M4" s="0" t="n">
        <v>10</v>
      </c>
      <c r="N4" s="0" t="n">
        <v>11</v>
      </c>
      <c r="O4" s="0" t="n">
        <v>12</v>
      </c>
      <c r="P4" s="0" t="n">
        <v>13</v>
      </c>
      <c r="Q4" s="0" t="n">
        <v>14</v>
      </c>
      <c r="R4" s="0" t="n">
        <v>15</v>
      </c>
      <c r="S4" s="0" t="n">
        <v>16</v>
      </c>
      <c r="T4" s="0" t="n">
        <v>17</v>
      </c>
      <c r="U4" s="0" t="n">
        <v>18</v>
      </c>
      <c r="V4" s="0" t="n">
        <v>19</v>
      </c>
      <c r="W4" s="0" t="n">
        <v>20</v>
      </c>
    </row>
    <row r="5" customFormat="false" ht="15" hidden="false" customHeight="false" outlineLevel="0" collapsed="false">
      <c r="A5" s="4" t="s">
        <v>131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customFormat="false" ht="15" hidden="false" customHeight="false" outlineLevel="0" collapsed="false">
      <c r="A6" s="2" t="s">
        <v>132</v>
      </c>
      <c r="B6" s="2" t="s">
        <v>133</v>
      </c>
      <c r="D6" s="21" t="n">
        <f aca="false">Inputs!$B$4*8760*Inputs!$B$5*(1-Inputs!$B$6)^(D$4-1)</f>
        <v>91980</v>
      </c>
      <c r="E6" s="21" t="n">
        <f aca="false">Inputs!$B$4*8760*Inputs!$B$5*(1-Inputs!$B$6)^(E$4-1)</f>
        <v>91520.1</v>
      </c>
      <c r="F6" s="21" t="n">
        <f aca="false">Inputs!$B$4*8760*Inputs!$B$5*(1-Inputs!$B$6)^(F$4-1)</f>
        <v>91062.4995</v>
      </c>
      <c r="G6" s="21" t="n">
        <f aca="false">Inputs!$B$4*8760*Inputs!$B$5*(1-Inputs!$B$6)^(G$4-1)</f>
        <v>90607.1870025</v>
      </c>
      <c r="H6" s="21" t="n">
        <f aca="false">Inputs!$B$4*8760*Inputs!$B$5*(1-Inputs!$B$6)^(H$4-1)</f>
        <v>90154.1510674875</v>
      </c>
      <c r="I6" s="21" t="n">
        <f aca="false">Inputs!$B$4*8760*Inputs!$B$5*(1-Inputs!$B$6)^(I$4-1)</f>
        <v>89703.3803121501</v>
      </c>
      <c r="J6" s="21" t="n">
        <f aca="false">Inputs!$B$4*8760*Inputs!$B$5*(1-Inputs!$B$6)^(J$4-1)</f>
        <v>89254.8634105893</v>
      </c>
      <c r="K6" s="21" t="n">
        <f aca="false">Inputs!$B$4*8760*Inputs!$B$5*(1-Inputs!$B$6)^(K$4-1)</f>
        <v>88808.5890935364</v>
      </c>
      <c r="L6" s="21" t="n">
        <f aca="false">Inputs!$B$4*8760*Inputs!$B$5*(1-Inputs!$B$6)^(L$4-1)</f>
        <v>88364.5461480687</v>
      </c>
      <c r="M6" s="21" t="n">
        <f aca="false">Inputs!$B$4*8760*Inputs!$B$5*(1-Inputs!$B$6)^(M$4-1)</f>
        <v>87922.7234173283</v>
      </c>
      <c r="N6" s="21" t="n">
        <f aca="false">Inputs!$B$4*8760*Inputs!$B$5*(1-Inputs!$B$6)^(N$4-1)</f>
        <v>87483.1098002417</v>
      </c>
      <c r="O6" s="21" t="n">
        <f aca="false">Inputs!$B$4*8760*Inputs!$B$5*(1-Inputs!$B$6)^(O$4-1)</f>
        <v>87045.6942512405</v>
      </c>
      <c r="P6" s="21" t="n">
        <f aca="false">Inputs!$B$4*8760*Inputs!$B$5*(1-Inputs!$B$6)^(P$4-1)</f>
        <v>86610.4657799843</v>
      </c>
      <c r="Q6" s="21" t="n">
        <f aca="false">Inputs!$B$4*8760*Inputs!$B$5*(1-Inputs!$B$6)^(Q$4-1)</f>
        <v>86177.4134510844</v>
      </c>
      <c r="R6" s="21" t="n">
        <f aca="false">Inputs!$B$4*8760*Inputs!$B$5*(1-Inputs!$B$6)^(R$4-1)</f>
        <v>85746.5263838289</v>
      </c>
      <c r="S6" s="21" t="n">
        <f aca="false">Inputs!$B$4*8760*Inputs!$B$5*(1-Inputs!$B$6)^(S$4-1)</f>
        <v>85317.7937519098</v>
      </c>
      <c r="T6" s="21" t="n">
        <f aca="false">Inputs!$B$4*8760*Inputs!$B$5*(1-Inputs!$B$6)^(T$4-1)</f>
        <v>84891.2047831502</v>
      </c>
      <c r="U6" s="21" t="n">
        <f aca="false">Inputs!$B$4*8760*Inputs!$B$5*(1-Inputs!$B$6)^(U$4-1)</f>
        <v>84466.7487592345</v>
      </c>
      <c r="V6" s="21" t="n">
        <f aca="false">Inputs!$B$4*8760*Inputs!$B$5*(1-Inputs!$B$6)^(V$4-1)</f>
        <v>84044.4150154383</v>
      </c>
      <c r="W6" s="21" t="n">
        <f aca="false">Inputs!$B$4*8760*Inputs!$B$5*(1-Inputs!$B$6)^(W$4-1)</f>
        <v>83624.1929403611</v>
      </c>
    </row>
    <row r="7" customFormat="false" ht="15" hidden="false" customHeight="false" outlineLevel="0" collapsed="false">
      <c r="A7" s="2" t="s">
        <v>134</v>
      </c>
      <c r="B7" s="2" t="s">
        <v>32</v>
      </c>
      <c r="C7" s="16" t="n">
        <f aca="false">SUM(D7:W7)</f>
        <v>166.704632462473</v>
      </c>
      <c r="D7" s="16" t="n">
        <f aca="false">D6*Inputs!$B$9/10^6</f>
        <v>8.7381</v>
      </c>
      <c r="E7" s="16" t="n">
        <f aca="false">E6*Inputs!$B$9/10^6</f>
        <v>8.6944095</v>
      </c>
      <c r="F7" s="16" t="n">
        <f aca="false">F6*Inputs!$B$9/10^6</f>
        <v>8.6509374525</v>
      </c>
      <c r="G7" s="16" t="n">
        <f aca="false">G6*Inputs!$B$9/10^6</f>
        <v>8.6076827652375</v>
      </c>
      <c r="H7" s="16" t="n">
        <f aca="false">H6*Inputs!$B$9/10^6</f>
        <v>8.56464435141131</v>
      </c>
      <c r="I7" s="16" t="n">
        <f aca="false">I6*Inputs!$B$9/10^6</f>
        <v>8.52182112965426</v>
      </c>
      <c r="J7" s="16" t="n">
        <f aca="false">J6*Inputs!$B$9/10^6</f>
        <v>8.47921202400599</v>
      </c>
      <c r="K7" s="16" t="n">
        <f aca="false">K6*Inputs!$B$9/10^6</f>
        <v>8.43681596388595</v>
      </c>
      <c r="L7" s="16" t="n">
        <f aca="false">L6*Inputs!$B$9/10^6</f>
        <v>8.39463188406652</v>
      </c>
      <c r="M7" s="16" t="n">
        <f aca="false">M6*Inputs!$B$9/10^6</f>
        <v>8.35265872464619</v>
      </c>
      <c r="N7" s="16" t="n">
        <f aca="false">N6*Inputs!$B$9/10^6</f>
        <v>8.31089543102296</v>
      </c>
      <c r="O7" s="16" t="n">
        <f aca="false">O6*Inputs!$B$9/10^6</f>
        <v>8.26934095386785</v>
      </c>
      <c r="P7" s="16" t="n">
        <f aca="false">P6*Inputs!$B$9/10^6</f>
        <v>8.22799424909851</v>
      </c>
      <c r="Q7" s="16" t="n">
        <f aca="false">Q6*Inputs!$B$9/10^6</f>
        <v>8.18685427785301</v>
      </c>
      <c r="R7" s="16" t="n">
        <f aca="false">R6*Inputs!$B$9/10^6</f>
        <v>8.14592000646375</v>
      </c>
      <c r="S7" s="16" t="n">
        <f aca="false">S6*Inputs!$B$9/10^6</f>
        <v>8.10519040643143</v>
      </c>
      <c r="T7" s="16" t="n">
        <f aca="false">T6*Inputs!$B$9/10^6</f>
        <v>8.06466445439927</v>
      </c>
      <c r="U7" s="16" t="n">
        <f aca="false">U6*Inputs!$B$9/10^6</f>
        <v>8.02434113212728</v>
      </c>
      <c r="V7" s="16" t="n">
        <f aca="false">V6*Inputs!$B$9/10^6</f>
        <v>7.98421942646664</v>
      </c>
      <c r="W7" s="16" t="n">
        <f aca="false">W6*Inputs!$B$9/10^6</f>
        <v>7.94429832933431</v>
      </c>
    </row>
    <row r="8" customFormat="false" ht="15" hidden="false" customHeight="false" outlineLevel="0" collapsed="false">
      <c r="A8" s="2" t="s">
        <v>135</v>
      </c>
      <c r="B8" s="2" t="s">
        <v>32</v>
      </c>
      <c r="C8" s="16" t="n">
        <f aca="false">SUM(D8:W8)</f>
        <v>-26.7271067788095</v>
      </c>
      <c r="D8" s="16" t="n">
        <f aca="false">-Inputs!$B$11*(1+Inputs!$B$12)^(D$4-1)</f>
        <v>-1.1</v>
      </c>
      <c r="E8" s="16" t="n">
        <f aca="false">-Inputs!$B$11*(1+Inputs!$B$12)^(E$4-1)</f>
        <v>-1.122</v>
      </c>
      <c r="F8" s="16" t="n">
        <f aca="false">-Inputs!$B$11*(1+Inputs!$B$12)^(F$4-1)</f>
        <v>-1.14444</v>
      </c>
      <c r="G8" s="16" t="n">
        <f aca="false">-Inputs!$B$11*(1+Inputs!$B$12)^(G$4-1)</f>
        <v>-1.1673288</v>
      </c>
      <c r="H8" s="16" t="n">
        <f aca="false">-Inputs!$B$11*(1+Inputs!$B$12)^(H$4-1)</f>
        <v>-1.190675376</v>
      </c>
      <c r="I8" s="16" t="n">
        <f aca="false">-Inputs!$B$11*(1+Inputs!$B$12)^(I$4-1)</f>
        <v>-1.21448888352</v>
      </c>
      <c r="J8" s="16" t="n">
        <f aca="false">-Inputs!$B$11*(1+Inputs!$B$12)^(J$4-1)</f>
        <v>-1.2387786611904</v>
      </c>
      <c r="K8" s="16" t="n">
        <f aca="false">-Inputs!$B$11*(1+Inputs!$B$12)^(K$4-1)</f>
        <v>-1.26355423441421</v>
      </c>
      <c r="L8" s="16" t="n">
        <f aca="false">-Inputs!$B$11*(1+Inputs!$B$12)^(L$4-1)</f>
        <v>-1.28882531910249</v>
      </c>
      <c r="M8" s="16" t="n">
        <f aca="false">-Inputs!$B$11*(1+Inputs!$B$12)^(M$4-1)</f>
        <v>-1.31460182548454</v>
      </c>
      <c r="N8" s="16" t="n">
        <f aca="false">-Inputs!$B$11*(1+Inputs!$B$12)^(N$4-1)</f>
        <v>-1.34089386199423</v>
      </c>
      <c r="O8" s="16" t="n">
        <f aca="false">-Inputs!$B$11*(1+Inputs!$B$12)^(O$4-1)</f>
        <v>-1.36771173923412</v>
      </c>
      <c r="P8" s="16" t="n">
        <f aca="false">-Inputs!$B$11*(1+Inputs!$B$12)^(P$4-1)</f>
        <v>-1.3950659740188</v>
      </c>
      <c r="Q8" s="16" t="n">
        <f aca="false">-Inputs!$B$11*(1+Inputs!$B$12)^(Q$4-1)</f>
        <v>-1.42296729349918</v>
      </c>
      <c r="R8" s="16" t="n">
        <f aca="false">-Inputs!$B$11*(1+Inputs!$B$12)^(R$4-1)</f>
        <v>-1.45142663936916</v>
      </c>
      <c r="S8" s="16" t="n">
        <f aca="false">-Inputs!$B$11*(1+Inputs!$B$12)^(S$4-1)</f>
        <v>-1.48045517215654</v>
      </c>
      <c r="T8" s="16" t="n">
        <f aca="false">-Inputs!$B$11*(1+Inputs!$B$12)^(T$4-1)</f>
        <v>-1.51006427559967</v>
      </c>
      <c r="U8" s="16" t="n">
        <f aca="false">-Inputs!$B$11*(1+Inputs!$B$12)^(U$4-1)</f>
        <v>-1.54026556111167</v>
      </c>
      <c r="V8" s="16" t="n">
        <f aca="false">-Inputs!$B$11*(1+Inputs!$B$12)^(V$4-1)</f>
        <v>-1.5710708723339</v>
      </c>
      <c r="W8" s="16" t="n">
        <f aca="false">-Inputs!$B$11*(1+Inputs!$B$12)^(W$4-1)</f>
        <v>-1.60249228978058</v>
      </c>
    </row>
    <row r="9" customFormat="false" ht="15" hidden="false" customHeight="false" outlineLevel="0" collapsed="false">
      <c r="A9" s="3" t="s">
        <v>136</v>
      </c>
      <c r="B9" s="2" t="s">
        <v>32</v>
      </c>
      <c r="C9" s="16" t="n">
        <f aca="false">SUM(D9:W9)</f>
        <v>139.977525683663</v>
      </c>
      <c r="D9" s="22" t="n">
        <f aca="false">D7+D8</f>
        <v>7.6381</v>
      </c>
      <c r="E9" s="22" t="n">
        <f aca="false">E7+E8</f>
        <v>7.5724095</v>
      </c>
      <c r="F9" s="22" t="n">
        <f aca="false">F7+F8</f>
        <v>7.5064974525</v>
      </c>
      <c r="G9" s="22" t="n">
        <f aca="false">G7+G8</f>
        <v>7.4403539652375</v>
      </c>
      <c r="H9" s="22" t="n">
        <f aca="false">H7+H8</f>
        <v>7.37396897541131</v>
      </c>
      <c r="I9" s="22" t="n">
        <f aca="false">I7+I8</f>
        <v>7.30733224613426</v>
      </c>
      <c r="J9" s="22" t="n">
        <f aca="false">J7+J8</f>
        <v>7.24043336281559</v>
      </c>
      <c r="K9" s="22" t="n">
        <f aca="false">K7+K8</f>
        <v>7.17326172947175</v>
      </c>
      <c r="L9" s="22" t="n">
        <f aca="false">L7+L8</f>
        <v>7.10580656496403</v>
      </c>
      <c r="M9" s="22" t="n">
        <f aca="false">M7+M8</f>
        <v>7.03805689916165</v>
      </c>
      <c r="N9" s="22" t="n">
        <f aca="false">N7+N8</f>
        <v>6.97000156902873</v>
      </c>
      <c r="O9" s="22" t="n">
        <f aca="false">O7+O8</f>
        <v>6.90162921463373</v>
      </c>
      <c r="P9" s="22" t="n">
        <f aca="false">P7+P8</f>
        <v>6.83292827507971</v>
      </c>
      <c r="Q9" s="22" t="n">
        <f aca="false">Q7+Q8</f>
        <v>6.76388698435384</v>
      </c>
      <c r="R9" s="22" t="n">
        <f aca="false">R7+R8</f>
        <v>6.69449336709459</v>
      </c>
      <c r="S9" s="22" t="n">
        <f aca="false">S7+S8</f>
        <v>6.62473523427489</v>
      </c>
      <c r="T9" s="22" t="n">
        <f aca="false">T7+T8</f>
        <v>6.5546001787996</v>
      </c>
      <c r="U9" s="22" t="n">
        <f aca="false">U7+U8</f>
        <v>6.48407557101561</v>
      </c>
      <c r="V9" s="22" t="n">
        <f aca="false">V7+V8</f>
        <v>6.41314855413274</v>
      </c>
      <c r="W9" s="22" t="n">
        <f aca="false">W7+W8</f>
        <v>6.34180603955373</v>
      </c>
    </row>
    <row r="10" customFormat="false" ht="15" hidden="false" customHeight="false" outlineLevel="0" collapsed="false">
      <c r="A10" s="2" t="s">
        <v>137</v>
      </c>
      <c r="B10" s="2" t="s">
        <v>32</v>
      </c>
      <c r="D10" s="16" t="n">
        <f aca="false">-'Capital Stack'!$B$9/Inputs!$B$15</f>
        <v>-2.75</v>
      </c>
      <c r="E10" s="16" t="n">
        <f aca="false">-'Capital Stack'!$B$9/Inputs!$B$15</f>
        <v>-2.75</v>
      </c>
      <c r="F10" s="16" t="n">
        <f aca="false">-'Capital Stack'!$B$9/Inputs!$B$15</f>
        <v>-2.75</v>
      </c>
      <c r="G10" s="16" t="n">
        <f aca="false">-'Capital Stack'!$B$9/Inputs!$B$15</f>
        <v>-2.75</v>
      </c>
      <c r="H10" s="16" t="n">
        <f aca="false">-'Capital Stack'!$B$9/Inputs!$B$15</f>
        <v>-2.75</v>
      </c>
      <c r="I10" s="16" t="n">
        <f aca="false">-'Capital Stack'!$B$9/Inputs!$B$15</f>
        <v>-2.75</v>
      </c>
      <c r="J10" s="16" t="n">
        <f aca="false">-'Capital Stack'!$B$9/Inputs!$B$15</f>
        <v>-2.75</v>
      </c>
      <c r="K10" s="16" t="n">
        <f aca="false">-'Capital Stack'!$B$9/Inputs!$B$15</f>
        <v>-2.75</v>
      </c>
      <c r="L10" s="16" t="n">
        <f aca="false">-'Capital Stack'!$B$9/Inputs!$B$15</f>
        <v>-2.75</v>
      </c>
      <c r="M10" s="16" t="n">
        <f aca="false">-'Capital Stack'!$B$9/Inputs!$B$15</f>
        <v>-2.75</v>
      </c>
      <c r="N10" s="16" t="n">
        <f aca="false">-'Capital Stack'!$B$9/Inputs!$B$15</f>
        <v>-2.75</v>
      </c>
      <c r="O10" s="16" t="n">
        <f aca="false">-'Capital Stack'!$B$9/Inputs!$B$15</f>
        <v>-2.75</v>
      </c>
      <c r="P10" s="16" t="n">
        <f aca="false">-'Capital Stack'!$B$9/Inputs!$B$15</f>
        <v>-2.75</v>
      </c>
      <c r="Q10" s="16" t="n">
        <f aca="false">-'Capital Stack'!$B$9/Inputs!$B$15</f>
        <v>-2.75</v>
      </c>
      <c r="R10" s="16" t="n">
        <f aca="false">-'Capital Stack'!$B$9/Inputs!$B$15</f>
        <v>-2.75</v>
      </c>
      <c r="S10" s="16" t="n">
        <f aca="false">-'Capital Stack'!$B$9/Inputs!$B$15</f>
        <v>-2.75</v>
      </c>
      <c r="T10" s="16" t="n">
        <f aca="false">-'Capital Stack'!$B$9/Inputs!$B$15</f>
        <v>-2.75</v>
      </c>
      <c r="U10" s="16" t="n">
        <f aca="false">-'Capital Stack'!$B$9/Inputs!$B$15</f>
        <v>-2.75</v>
      </c>
      <c r="V10" s="16" t="n">
        <f aca="false">-'Capital Stack'!$B$9/Inputs!$B$15</f>
        <v>-2.75</v>
      </c>
      <c r="W10" s="16" t="n">
        <f aca="false">-'Capital Stack'!$B$9/Inputs!$B$15</f>
        <v>-2.75</v>
      </c>
    </row>
    <row r="11" customFormat="false" ht="15" hidden="false" customHeight="false" outlineLevel="0" collapsed="false">
      <c r="A11" s="2" t="s">
        <v>138</v>
      </c>
      <c r="B11" s="2" t="s">
        <v>32</v>
      </c>
      <c r="C11" s="16" t="n">
        <f aca="false">SUM(D11:W11)</f>
        <v>-18.3588587371543</v>
      </c>
      <c r="D11" s="16" t="n">
        <f aca="false">IF(D$4&lt;=Inputs!$B$14,0,-MAX(0,(D9+D10)*Inputs!$B$13))</f>
        <v>0</v>
      </c>
      <c r="E11" s="16" t="n">
        <f aca="false">IF(E$4&lt;=Inputs!$B$14,0,-MAX(0,(E9+E10)*Inputs!$B$13))</f>
        <v>0</v>
      </c>
      <c r="F11" s="16" t="n">
        <f aca="false">IF(F$4&lt;=Inputs!$B$14,0,-MAX(0,(F9+F10)*Inputs!$B$13))</f>
        <v>0</v>
      </c>
      <c r="G11" s="16" t="n">
        <f aca="false">IF(G$4&lt;=Inputs!$B$14,0,-MAX(0,(G9+G10)*Inputs!$B$13))</f>
        <v>0</v>
      </c>
      <c r="H11" s="16" t="n">
        <f aca="false">IF(H$4&lt;=Inputs!$B$14,0,-MAX(0,(H9+H10)*Inputs!$B$13))</f>
        <v>0</v>
      </c>
      <c r="I11" s="16" t="n">
        <f aca="false">IF(I$4&lt;=Inputs!$B$14,0,-MAX(0,(I9+I10)*Inputs!$B$13))</f>
        <v>-1.36719967384028</v>
      </c>
      <c r="J11" s="16" t="n">
        <f aca="false">IF(J$4&lt;=Inputs!$B$14,0,-MAX(0,(J9+J10)*Inputs!$B$13))</f>
        <v>-1.34713000884468</v>
      </c>
      <c r="K11" s="16" t="n">
        <f aca="false">IF(K$4&lt;=Inputs!$B$14,0,-MAX(0,(K9+K10)*Inputs!$B$13))</f>
        <v>-1.32697851884152</v>
      </c>
      <c r="L11" s="16" t="n">
        <f aca="false">IF(L$4&lt;=Inputs!$B$14,0,-MAX(0,(L9+L10)*Inputs!$B$13))</f>
        <v>-1.30674196948921</v>
      </c>
      <c r="M11" s="16" t="n">
        <f aca="false">IF(M$4&lt;=Inputs!$B$14,0,-MAX(0,(M9+M10)*Inputs!$B$13))</f>
        <v>-1.28641706974849</v>
      </c>
      <c r="N11" s="16" t="n">
        <f aca="false">IF(N$4&lt;=Inputs!$B$14,0,-MAX(0,(N9+N10)*Inputs!$B$13))</f>
        <v>-1.26600047070862</v>
      </c>
      <c r="O11" s="16" t="n">
        <f aca="false">IF(O$4&lt;=Inputs!$B$14,0,-MAX(0,(O9+O10)*Inputs!$B$13))</f>
        <v>-1.24548876439012</v>
      </c>
      <c r="P11" s="16" t="n">
        <f aca="false">IF(P$4&lt;=Inputs!$B$14,0,-MAX(0,(P9+P10)*Inputs!$B$13))</f>
        <v>-1.22487848252391</v>
      </c>
      <c r="Q11" s="16" t="n">
        <f aca="false">IF(Q$4&lt;=Inputs!$B$14,0,-MAX(0,(Q9+Q10)*Inputs!$B$13))</f>
        <v>-1.20416609530615</v>
      </c>
      <c r="R11" s="16" t="n">
        <f aca="false">IF(R$4&lt;=Inputs!$B$14,0,-MAX(0,(R9+R10)*Inputs!$B$13))</f>
        <v>-1.18334801012838</v>
      </c>
      <c r="S11" s="16" t="n">
        <f aca="false">IF(S$4&lt;=Inputs!$B$14,0,-MAX(0,(S9+S10)*Inputs!$B$13))</f>
        <v>-1.16242057028247</v>
      </c>
      <c r="T11" s="16" t="n">
        <f aca="false">IF(T$4&lt;=Inputs!$B$14,0,-MAX(0,(T9+T10)*Inputs!$B$13))</f>
        <v>-1.14138005363988</v>
      </c>
      <c r="U11" s="16" t="n">
        <f aca="false">IF(U$4&lt;=Inputs!$B$14,0,-MAX(0,(U9+U10)*Inputs!$B$13))</f>
        <v>-1.12022267130468</v>
      </c>
      <c r="V11" s="16" t="n">
        <f aca="false">IF(V$4&lt;=Inputs!$B$14,0,-MAX(0,(V9+V10)*Inputs!$B$13))</f>
        <v>-1.09894456623982</v>
      </c>
      <c r="W11" s="16" t="n">
        <f aca="false">IF(W$4&lt;=Inputs!$B$14,0,-MAX(0,(W9+W10)*Inputs!$B$13))</f>
        <v>-1.07754181186612</v>
      </c>
    </row>
    <row r="12" customFormat="false" ht="15" hidden="false" customHeight="false" outlineLevel="0" collapsed="false">
      <c r="A12" s="3" t="s">
        <v>139</v>
      </c>
      <c r="B12" s="2" t="s">
        <v>32</v>
      </c>
      <c r="C12" s="16" t="n">
        <f aca="false">SUM(D12:W12)</f>
        <v>121.618666946509</v>
      </c>
      <c r="D12" s="22" t="n">
        <f aca="false">D9+D11</f>
        <v>7.6381</v>
      </c>
      <c r="E12" s="22" t="n">
        <f aca="false">E9+E11</f>
        <v>7.5724095</v>
      </c>
      <c r="F12" s="22" t="n">
        <f aca="false">F9+F11</f>
        <v>7.5064974525</v>
      </c>
      <c r="G12" s="22" t="n">
        <f aca="false">G9+G11</f>
        <v>7.4403539652375</v>
      </c>
      <c r="H12" s="22" t="n">
        <f aca="false">H9+H11</f>
        <v>7.37396897541131</v>
      </c>
      <c r="I12" s="22" t="n">
        <f aca="false">I9+I11</f>
        <v>5.94013257229398</v>
      </c>
      <c r="J12" s="22" t="n">
        <f aca="false">J9+J11</f>
        <v>5.89330335397091</v>
      </c>
      <c r="K12" s="22" t="n">
        <f aca="false">K9+K11</f>
        <v>5.84628321063022</v>
      </c>
      <c r="L12" s="22" t="n">
        <f aca="false">L9+L11</f>
        <v>5.79906459547482</v>
      </c>
      <c r="M12" s="22" t="n">
        <f aca="false">M9+M11</f>
        <v>5.75163982941315</v>
      </c>
      <c r="N12" s="22" t="n">
        <f aca="false">N9+N11</f>
        <v>5.70400109832011</v>
      </c>
      <c r="O12" s="22" t="n">
        <f aca="false">O9+O11</f>
        <v>5.65614045024361</v>
      </c>
      <c r="P12" s="22" t="n">
        <f aca="false">P9+P11</f>
        <v>5.60804979255579</v>
      </c>
      <c r="Q12" s="22" t="n">
        <f aca="false">Q9+Q11</f>
        <v>5.55972088904769</v>
      </c>
      <c r="R12" s="22" t="n">
        <f aca="false">R9+R11</f>
        <v>5.51114535696621</v>
      </c>
      <c r="S12" s="22" t="n">
        <f aca="false">S9+S11</f>
        <v>5.46231466399242</v>
      </c>
      <c r="T12" s="22" t="n">
        <f aca="false">T9+T11</f>
        <v>5.41322012515972</v>
      </c>
      <c r="U12" s="22" t="n">
        <f aca="false">U9+U11</f>
        <v>5.36385289971093</v>
      </c>
      <c r="V12" s="22" t="n">
        <f aca="false">V9+V11</f>
        <v>5.31420398789292</v>
      </c>
      <c r="W12" s="22" t="n">
        <f aca="false">W9+W11</f>
        <v>5.26426422768761</v>
      </c>
    </row>
    <row r="14" customFormat="false" ht="15" hidden="false" customHeight="false" outlineLevel="0" collapsed="false">
      <c r="A14" s="4" t="s">
        <v>140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customFormat="false" ht="15" hidden="false" customHeight="false" outlineLevel="0" collapsed="false">
      <c r="A15" s="2" t="s">
        <v>141</v>
      </c>
      <c r="B15" s="2" t="s">
        <v>133</v>
      </c>
      <c r="D15" s="21" t="n">
        <f aca="false">D6*(1-Inputs!$B$33)</f>
        <v>91980</v>
      </c>
      <c r="E15" s="21" t="n">
        <f aca="false">E6*(1-Inputs!$B$33)</f>
        <v>91520.1</v>
      </c>
      <c r="F15" s="21" t="n">
        <f aca="false">F6*(1-Inputs!$B$33)</f>
        <v>91062.4995</v>
      </c>
      <c r="G15" s="21" t="n">
        <f aca="false">G6*(1-Inputs!$B$33)</f>
        <v>90607.1870025</v>
      </c>
      <c r="H15" s="21" t="n">
        <f aca="false">H6*(1-Inputs!$B$33)</f>
        <v>90154.1510674875</v>
      </c>
      <c r="I15" s="21" t="n">
        <f aca="false">I6*(1-Inputs!$B$33)</f>
        <v>89703.3803121501</v>
      </c>
      <c r="J15" s="21" t="n">
        <f aca="false">J6*(1-Inputs!$B$33)</f>
        <v>89254.8634105893</v>
      </c>
      <c r="K15" s="21" t="n">
        <f aca="false">K6*(1-Inputs!$B$33)</f>
        <v>88808.5890935364</v>
      </c>
      <c r="L15" s="21" t="n">
        <f aca="false">L6*(1-Inputs!$B$33)</f>
        <v>88364.5461480687</v>
      </c>
      <c r="M15" s="21" t="n">
        <f aca="false">M6*(1-Inputs!$B$33)</f>
        <v>87922.7234173283</v>
      </c>
      <c r="N15" s="21" t="n">
        <f aca="false">N6*(1-Inputs!$B$33)</f>
        <v>87483.1098002417</v>
      </c>
      <c r="O15" s="21" t="n">
        <f aca="false">O6*(1-Inputs!$B$33)</f>
        <v>87045.6942512405</v>
      </c>
      <c r="P15" s="21" t="n">
        <f aca="false">P6*(1-Inputs!$B$33)</f>
        <v>86610.4657799843</v>
      </c>
      <c r="Q15" s="21" t="n">
        <f aca="false">Q6*(1-Inputs!$B$33)</f>
        <v>86177.4134510844</v>
      </c>
      <c r="R15" s="21" t="n">
        <f aca="false">R6*(1-Inputs!$B$33)</f>
        <v>85746.5263838289</v>
      </c>
      <c r="S15" s="21" t="n">
        <f aca="false">S6*(1-Inputs!$B$33)</f>
        <v>85317.7937519098</v>
      </c>
      <c r="T15" s="21" t="n">
        <f aca="false">T6*(1-Inputs!$B$33)</f>
        <v>84891.2047831502</v>
      </c>
      <c r="U15" s="21" t="n">
        <f aca="false">U6*(1-Inputs!$B$33)</f>
        <v>84466.7487592345</v>
      </c>
      <c r="V15" s="21" t="n">
        <f aca="false">V6*(1-Inputs!$B$33)</f>
        <v>84044.4150154383</v>
      </c>
      <c r="W15" s="21" t="n">
        <f aca="false">W6*(1-Inputs!$B$33)</f>
        <v>83624.1929403611</v>
      </c>
    </row>
    <row r="16" customFormat="false" ht="15" hidden="false" customHeight="false" outlineLevel="0" collapsed="false">
      <c r="A16" s="2" t="s">
        <v>142</v>
      </c>
      <c r="B16" s="2" t="s">
        <v>143</v>
      </c>
      <c r="D16" s="23" t="n">
        <f aca="false">1-Inputs!$B$30*(1-Inputs!$B$31)</f>
        <v>1</v>
      </c>
      <c r="E16" s="23" t="n">
        <f aca="false">1-Inputs!$B$30*(1-Inputs!$B$31)</f>
        <v>1</v>
      </c>
      <c r="F16" s="23" t="n">
        <f aca="false">1-Inputs!$B$30*(1-Inputs!$B$31)</f>
        <v>1</v>
      </c>
      <c r="G16" s="23" t="n">
        <f aca="false">1-Inputs!$B$30*(1-Inputs!$B$31)</f>
        <v>1</v>
      </c>
      <c r="H16" s="23" t="n">
        <f aca="false">1-Inputs!$B$30*(1-Inputs!$B$31)</f>
        <v>1</v>
      </c>
      <c r="I16" s="23" t="n">
        <f aca="false">1-Inputs!$B$30*(1-Inputs!$B$31)</f>
        <v>1</v>
      </c>
      <c r="J16" s="23" t="n">
        <f aca="false">1-Inputs!$B$30*(1-Inputs!$B$31)</f>
        <v>1</v>
      </c>
      <c r="K16" s="23" t="n">
        <f aca="false">1-Inputs!$B$30*(1-Inputs!$B$31)</f>
        <v>1</v>
      </c>
      <c r="L16" s="23" t="n">
        <f aca="false">1-Inputs!$B$30*(1-Inputs!$B$31)</f>
        <v>1</v>
      </c>
      <c r="M16" s="23" t="n">
        <f aca="false">1-Inputs!$B$30*(1-Inputs!$B$31)</f>
        <v>1</v>
      </c>
      <c r="N16" s="23" t="n">
        <f aca="false">1-Inputs!$B$30*(1-Inputs!$B$31)</f>
        <v>1</v>
      </c>
      <c r="O16" s="23" t="n">
        <f aca="false">1-Inputs!$B$30*(1-Inputs!$B$31)</f>
        <v>1</v>
      </c>
      <c r="P16" s="23" t="n">
        <f aca="false">1-Inputs!$B$30*(1-Inputs!$B$31)</f>
        <v>1</v>
      </c>
      <c r="Q16" s="23" t="n">
        <f aca="false">1-Inputs!$B$30*(1-Inputs!$B$31)</f>
        <v>1</v>
      </c>
      <c r="R16" s="23" t="n">
        <f aca="false">1-Inputs!$B$30*(1-Inputs!$B$31)</f>
        <v>1</v>
      </c>
      <c r="S16" s="23" t="n">
        <f aca="false">1-Inputs!$B$30*(1-Inputs!$B$31)</f>
        <v>1</v>
      </c>
      <c r="T16" s="23" t="n">
        <f aca="false">1-Inputs!$B$30*(1-Inputs!$B$31)</f>
        <v>1</v>
      </c>
      <c r="U16" s="23" t="n">
        <f aca="false">1-Inputs!$B$30*(1-Inputs!$B$31)</f>
        <v>1</v>
      </c>
      <c r="V16" s="23" t="n">
        <f aca="false">1-Inputs!$B$30*(1-Inputs!$B$31)</f>
        <v>1</v>
      </c>
      <c r="W16" s="23" t="n">
        <f aca="false">1-Inputs!$B$30*(1-Inputs!$B$31)</f>
        <v>1</v>
      </c>
    </row>
    <row r="17" customFormat="false" ht="15" hidden="false" customHeight="false" outlineLevel="0" collapsed="false">
      <c r="A17" s="2" t="s">
        <v>144</v>
      </c>
      <c r="B17" s="2" t="s">
        <v>32</v>
      </c>
      <c r="C17" s="16" t="n">
        <f aca="false">SUM(D17:W17)</f>
        <v>166.704632462473</v>
      </c>
      <c r="D17" s="16" t="n">
        <f aca="false">D15*Inputs!$B$9/10^6*D16*Inputs!$B$32</f>
        <v>8.7381</v>
      </c>
      <c r="E17" s="16" t="n">
        <f aca="false">E15*Inputs!$B$9/10^6*E16*Inputs!$B$32</f>
        <v>8.6944095</v>
      </c>
      <c r="F17" s="16" t="n">
        <f aca="false">F15*Inputs!$B$9/10^6*F16*Inputs!$B$32</f>
        <v>8.6509374525</v>
      </c>
      <c r="G17" s="16" t="n">
        <f aca="false">G15*Inputs!$B$9/10^6*G16*Inputs!$B$32</f>
        <v>8.6076827652375</v>
      </c>
      <c r="H17" s="16" t="n">
        <f aca="false">H15*Inputs!$B$9/10^6*H16*Inputs!$B$32</f>
        <v>8.56464435141131</v>
      </c>
      <c r="I17" s="16" t="n">
        <f aca="false">I15*Inputs!$B$9/10^6*I16*Inputs!$B$32</f>
        <v>8.52182112965426</v>
      </c>
      <c r="J17" s="16" t="n">
        <f aca="false">J15*Inputs!$B$9/10^6*J16*Inputs!$B$32</f>
        <v>8.47921202400599</v>
      </c>
      <c r="K17" s="16" t="n">
        <f aca="false">K15*Inputs!$B$9/10^6*K16*Inputs!$B$32</f>
        <v>8.43681596388595</v>
      </c>
      <c r="L17" s="16" t="n">
        <f aca="false">L15*Inputs!$B$9/10^6*L16*Inputs!$B$32</f>
        <v>8.39463188406652</v>
      </c>
      <c r="M17" s="16" t="n">
        <f aca="false">M15*Inputs!$B$9/10^6*M16*Inputs!$B$32</f>
        <v>8.35265872464619</v>
      </c>
      <c r="N17" s="16" t="n">
        <f aca="false">N15*Inputs!$B$9/10^6*N16*Inputs!$B$32</f>
        <v>8.31089543102296</v>
      </c>
      <c r="O17" s="16" t="n">
        <f aca="false">O15*Inputs!$B$9/10^6*O16*Inputs!$B$32</f>
        <v>8.26934095386785</v>
      </c>
      <c r="P17" s="16" t="n">
        <f aca="false">P15*Inputs!$B$9/10^6*P16*Inputs!$B$32</f>
        <v>8.22799424909851</v>
      </c>
      <c r="Q17" s="16" t="n">
        <f aca="false">Q15*Inputs!$B$9/10^6*Q16*Inputs!$B$32</f>
        <v>8.18685427785301</v>
      </c>
      <c r="R17" s="16" t="n">
        <f aca="false">R15*Inputs!$B$9/10^6*R16*Inputs!$B$32</f>
        <v>8.14592000646375</v>
      </c>
      <c r="S17" s="16" t="n">
        <f aca="false">S15*Inputs!$B$9/10^6*S16*Inputs!$B$32</f>
        <v>8.10519040643143</v>
      </c>
      <c r="T17" s="16" t="n">
        <f aca="false">T15*Inputs!$B$9/10^6*T16*Inputs!$B$32</f>
        <v>8.06466445439927</v>
      </c>
      <c r="U17" s="16" t="n">
        <f aca="false">U15*Inputs!$B$9/10^6*U16*Inputs!$B$32</f>
        <v>8.02434113212728</v>
      </c>
      <c r="V17" s="16" t="n">
        <f aca="false">V15*Inputs!$B$9/10^6*V16*Inputs!$B$32</f>
        <v>7.98421942646664</v>
      </c>
      <c r="W17" s="16" t="n">
        <f aca="false">W15*Inputs!$B$9/10^6*W16*Inputs!$B$32</f>
        <v>7.94429832933431</v>
      </c>
    </row>
    <row r="18" customFormat="false" ht="15" hidden="false" customHeight="false" outlineLevel="0" collapsed="false">
      <c r="A18" s="2" t="s">
        <v>145</v>
      </c>
      <c r="B18" s="2" t="s">
        <v>32</v>
      </c>
      <c r="C18" s="16" t="n">
        <f aca="false">SUM(D18:W18)</f>
        <v>-26.7271067788095</v>
      </c>
      <c r="D18" s="16" t="n">
        <f aca="false">D8*(1+Inputs!$B$34)</f>
        <v>-1.1</v>
      </c>
      <c r="E18" s="16" t="n">
        <f aca="false">E8*(1+Inputs!$B$34)</f>
        <v>-1.122</v>
      </c>
      <c r="F18" s="16" t="n">
        <f aca="false">F8*(1+Inputs!$B$34)</f>
        <v>-1.14444</v>
      </c>
      <c r="G18" s="16" t="n">
        <f aca="false">G8*(1+Inputs!$B$34)</f>
        <v>-1.1673288</v>
      </c>
      <c r="H18" s="16" t="n">
        <f aca="false">H8*(1+Inputs!$B$34)</f>
        <v>-1.190675376</v>
      </c>
      <c r="I18" s="16" t="n">
        <f aca="false">I8*(1+Inputs!$B$34)</f>
        <v>-1.21448888352</v>
      </c>
      <c r="J18" s="16" t="n">
        <f aca="false">J8*(1+Inputs!$B$34)</f>
        <v>-1.2387786611904</v>
      </c>
      <c r="K18" s="16" t="n">
        <f aca="false">K8*(1+Inputs!$B$34)</f>
        <v>-1.26355423441421</v>
      </c>
      <c r="L18" s="16" t="n">
        <f aca="false">L8*(1+Inputs!$B$34)</f>
        <v>-1.28882531910249</v>
      </c>
      <c r="M18" s="16" t="n">
        <f aca="false">M8*(1+Inputs!$B$34)</f>
        <v>-1.31460182548454</v>
      </c>
      <c r="N18" s="16" t="n">
        <f aca="false">N8*(1+Inputs!$B$34)</f>
        <v>-1.34089386199423</v>
      </c>
      <c r="O18" s="16" t="n">
        <f aca="false">O8*(1+Inputs!$B$34)</f>
        <v>-1.36771173923412</v>
      </c>
      <c r="P18" s="16" t="n">
        <f aca="false">P8*(1+Inputs!$B$34)</f>
        <v>-1.3950659740188</v>
      </c>
      <c r="Q18" s="16" t="n">
        <f aca="false">Q8*(1+Inputs!$B$34)</f>
        <v>-1.42296729349918</v>
      </c>
      <c r="R18" s="16" t="n">
        <f aca="false">R8*(1+Inputs!$B$34)</f>
        <v>-1.45142663936916</v>
      </c>
      <c r="S18" s="16" t="n">
        <f aca="false">S8*(1+Inputs!$B$34)</f>
        <v>-1.48045517215654</v>
      </c>
      <c r="T18" s="16" t="n">
        <f aca="false">T8*(1+Inputs!$B$34)</f>
        <v>-1.51006427559967</v>
      </c>
      <c r="U18" s="16" t="n">
        <f aca="false">U8*(1+Inputs!$B$34)</f>
        <v>-1.54026556111167</v>
      </c>
      <c r="V18" s="16" t="n">
        <f aca="false">V8*(1+Inputs!$B$34)</f>
        <v>-1.5710708723339</v>
      </c>
      <c r="W18" s="16" t="n">
        <f aca="false">W8*(1+Inputs!$B$34)</f>
        <v>-1.60249228978058</v>
      </c>
    </row>
    <row r="19" customFormat="false" ht="15" hidden="false" customHeight="false" outlineLevel="0" collapsed="false">
      <c r="A19" s="3" t="s">
        <v>136</v>
      </c>
      <c r="B19" s="2" t="s">
        <v>32</v>
      </c>
      <c r="C19" s="16" t="n">
        <f aca="false">SUM(D19:W19)</f>
        <v>139.977525683663</v>
      </c>
      <c r="D19" s="22" t="n">
        <f aca="false">D17+D18</f>
        <v>7.6381</v>
      </c>
      <c r="E19" s="22" t="n">
        <f aca="false">E17+E18</f>
        <v>7.5724095</v>
      </c>
      <c r="F19" s="22" t="n">
        <f aca="false">F17+F18</f>
        <v>7.5064974525</v>
      </c>
      <c r="G19" s="22" t="n">
        <f aca="false">G17+G18</f>
        <v>7.4403539652375</v>
      </c>
      <c r="H19" s="22" t="n">
        <f aca="false">H17+H18</f>
        <v>7.37396897541131</v>
      </c>
      <c r="I19" s="22" t="n">
        <f aca="false">I17+I18</f>
        <v>7.30733224613426</v>
      </c>
      <c r="J19" s="22" t="n">
        <f aca="false">J17+J18</f>
        <v>7.24043336281559</v>
      </c>
      <c r="K19" s="22" t="n">
        <f aca="false">K17+K18</f>
        <v>7.17326172947175</v>
      </c>
      <c r="L19" s="22" t="n">
        <f aca="false">L17+L18</f>
        <v>7.10580656496403</v>
      </c>
      <c r="M19" s="22" t="n">
        <f aca="false">M17+M18</f>
        <v>7.03805689916165</v>
      </c>
      <c r="N19" s="22" t="n">
        <f aca="false">N17+N18</f>
        <v>6.97000156902873</v>
      </c>
      <c r="O19" s="22" t="n">
        <f aca="false">O17+O18</f>
        <v>6.90162921463373</v>
      </c>
      <c r="P19" s="22" t="n">
        <f aca="false">P17+P18</f>
        <v>6.83292827507971</v>
      </c>
      <c r="Q19" s="22" t="n">
        <f aca="false">Q17+Q18</f>
        <v>6.76388698435384</v>
      </c>
      <c r="R19" s="22" t="n">
        <f aca="false">R17+R18</f>
        <v>6.69449336709459</v>
      </c>
      <c r="S19" s="22" t="n">
        <f aca="false">S17+S18</f>
        <v>6.62473523427489</v>
      </c>
      <c r="T19" s="22" t="n">
        <f aca="false">T17+T18</f>
        <v>6.5546001787996</v>
      </c>
      <c r="U19" s="22" t="n">
        <f aca="false">U17+U18</f>
        <v>6.48407557101561</v>
      </c>
      <c r="V19" s="22" t="n">
        <f aca="false">V17+V18</f>
        <v>6.41314855413274</v>
      </c>
      <c r="W19" s="22" t="n">
        <f aca="false">W17+W18</f>
        <v>6.34180603955373</v>
      </c>
    </row>
    <row r="20" customFormat="false" ht="15" hidden="false" customHeight="false" outlineLevel="0" collapsed="false">
      <c r="A20" s="2" t="s">
        <v>138</v>
      </c>
      <c r="B20" s="2" t="s">
        <v>32</v>
      </c>
      <c r="C20" s="16" t="n">
        <f aca="false">SUM(D20:W20)</f>
        <v>-18.3588587371543</v>
      </c>
      <c r="D20" s="16" t="n">
        <f aca="false">IF(D$4&lt;=Inputs!$B$14,0,-MAX(0,(D19+D10)*Inputs!$B$13))</f>
        <v>0</v>
      </c>
      <c r="E20" s="16" t="n">
        <f aca="false">IF(E$4&lt;=Inputs!$B$14,0,-MAX(0,(E19+E10)*Inputs!$B$13))</f>
        <v>0</v>
      </c>
      <c r="F20" s="16" t="n">
        <f aca="false">IF(F$4&lt;=Inputs!$B$14,0,-MAX(0,(F19+F10)*Inputs!$B$13))</f>
        <v>0</v>
      </c>
      <c r="G20" s="16" t="n">
        <f aca="false">IF(G$4&lt;=Inputs!$B$14,0,-MAX(0,(G19+G10)*Inputs!$B$13))</f>
        <v>0</v>
      </c>
      <c r="H20" s="16" t="n">
        <f aca="false">IF(H$4&lt;=Inputs!$B$14,0,-MAX(0,(H19+H10)*Inputs!$B$13))</f>
        <v>0</v>
      </c>
      <c r="I20" s="16" t="n">
        <f aca="false">IF(I$4&lt;=Inputs!$B$14,0,-MAX(0,(I19+I10)*Inputs!$B$13))</f>
        <v>-1.36719967384028</v>
      </c>
      <c r="J20" s="16" t="n">
        <f aca="false">IF(J$4&lt;=Inputs!$B$14,0,-MAX(0,(J19+J10)*Inputs!$B$13))</f>
        <v>-1.34713000884468</v>
      </c>
      <c r="K20" s="16" t="n">
        <f aca="false">IF(K$4&lt;=Inputs!$B$14,0,-MAX(0,(K19+K10)*Inputs!$B$13))</f>
        <v>-1.32697851884152</v>
      </c>
      <c r="L20" s="16" t="n">
        <f aca="false">IF(L$4&lt;=Inputs!$B$14,0,-MAX(0,(L19+L10)*Inputs!$B$13))</f>
        <v>-1.30674196948921</v>
      </c>
      <c r="M20" s="16" t="n">
        <f aca="false">IF(M$4&lt;=Inputs!$B$14,0,-MAX(0,(M19+M10)*Inputs!$B$13))</f>
        <v>-1.28641706974849</v>
      </c>
      <c r="N20" s="16" t="n">
        <f aca="false">IF(N$4&lt;=Inputs!$B$14,0,-MAX(0,(N19+N10)*Inputs!$B$13))</f>
        <v>-1.26600047070862</v>
      </c>
      <c r="O20" s="16" t="n">
        <f aca="false">IF(O$4&lt;=Inputs!$B$14,0,-MAX(0,(O19+O10)*Inputs!$B$13))</f>
        <v>-1.24548876439012</v>
      </c>
      <c r="P20" s="16" t="n">
        <f aca="false">IF(P$4&lt;=Inputs!$B$14,0,-MAX(0,(P19+P10)*Inputs!$B$13))</f>
        <v>-1.22487848252391</v>
      </c>
      <c r="Q20" s="16" t="n">
        <f aca="false">IF(Q$4&lt;=Inputs!$B$14,0,-MAX(0,(Q19+Q10)*Inputs!$B$13))</f>
        <v>-1.20416609530615</v>
      </c>
      <c r="R20" s="16" t="n">
        <f aca="false">IF(R$4&lt;=Inputs!$B$14,0,-MAX(0,(R19+R10)*Inputs!$B$13))</f>
        <v>-1.18334801012838</v>
      </c>
      <c r="S20" s="16" t="n">
        <f aca="false">IF(S$4&lt;=Inputs!$B$14,0,-MAX(0,(S19+S10)*Inputs!$B$13))</f>
        <v>-1.16242057028247</v>
      </c>
      <c r="T20" s="16" t="n">
        <f aca="false">IF(T$4&lt;=Inputs!$B$14,0,-MAX(0,(T19+T10)*Inputs!$B$13))</f>
        <v>-1.14138005363988</v>
      </c>
      <c r="U20" s="16" t="n">
        <f aca="false">IF(U$4&lt;=Inputs!$B$14,0,-MAX(0,(U19+U10)*Inputs!$B$13))</f>
        <v>-1.12022267130468</v>
      </c>
      <c r="V20" s="16" t="n">
        <f aca="false">IF(V$4&lt;=Inputs!$B$14,0,-MAX(0,(V19+V10)*Inputs!$B$13))</f>
        <v>-1.09894456623982</v>
      </c>
      <c r="W20" s="16" t="n">
        <f aca="false">IF(W$4&lt;=Inputs!$B$14,0,-MAX(0,(W19+W10)*Inputs!$B$13))</f>
        <v>-1.07754181186612</v>
      </c>
    </row>
    <row r="21" customFormat="false" ht="15" hidden="false" customHeight="false" outlineLevel="0" collapsed="false">
      <c r="A21" s="3" t="s">
        <v>146</v>
      </c>
      <c r="B21" s="2" t="s">
        <v>32</v>
      </c>
      <c r="C21" s="16" t="n">
        <f aca="false">SUM(D21:W21)</f>
        <v>121.618666946509</v>
      </c>
      <c r="D21" s="22" t="n">
        <f aca="false">D19+D20</f>
        <v>7.6381</v>
      </c>
      <c r="E21" s="22" t="n">
        <f aca="false">E19+E20</f>
        <v>7.5724095</v>
      </c>
      <c r="F21" s="22" t="n">
        <f aca="false">F19+F20</f>
        <v>7.5064974525</v>
      </c>
      <c r="G21" s="22" t="n">
        <f aca="false">G19+G20</f>
        <v>7.4403539652375</v>
      </c>
      <c r="H21" s="22" t="n">
        <f aca="false">H19+H20</f>
        <v>7.37396897541131</v>
      </c>
      <c r="I21" s="22" t="n">
        <f aca="false">I19+I20</f>
        <v>5.94013257229398</v>
      </c>
      <c r="J21" s="22" t="n">
        <f aca="false">J19+J20</f>
        <v>5.89330335397091</v>
      </c>
      <c r="K21" s="22" t="n">
        <f aca="false">K19+K20</f>
        <v>5.84628321063022</v>
      </c>
      <c r="L21" s="22" t="n">
        <f aca="false">L19+L20</f>
        <v>5.79906459547482</v>
      </c>
      <c r="M21" s="22" t="n">
        <f aca="false">M19+M20</f>
        <v>5.75163982941315</v>
      </c>
      <c r="N21" s="22" t="n">
        <f aca="false">N19+N20</f>
        <v>5.70400109832011</v>
      </c>
      <c r="O21" s="22" t="n">
        <f aca="false">O19+O20</f>
        <v>5.65614045024361</v>
      </c>
      <c r="P21" s="22" t="n">
        <f aca="false">P19+P20</f>
        <v>5.60804979255579</v>
      </c>
      <c r="Q21" s="22" t="n">
        <f aca="false">Q19+Q20</f>
        <v>5.55972088904769</v>
      </c>
      <c r="R21" s="22" t="n">
        <f aca="false">R19+R20</f>
        <v>5.51114535696621</v>
      </c>
      <c r="S21" s="22" t="n">
        <f aca="false">S19+S20</f>
        <v>5.46231466399242</v>
      </c>
      <c r="T21" s="22" t="n">
        <f aca="false">T19+T20</f>
        <v>5.41322012515972</v>
      </c>
      <c r="U21" s="22" t="n">
        <f aca="false">U19+U20</f>
        <v>5.36385289971093</v>
      </c>
      <c r="V21" s="22" t="n">
        <f aca="false">V19+V20</f>
        <v>5.31420398789292</v>
      </c>
      <c r="W21" s="22" t="n">
        <f aca="false">W19+W20</f>
        <v>5.26426422768761</v>
      </c>
    </row>
    <row r="23" customFormat="false" ht="15" hidden="false" customHeight="false" outlineLevel="0" collapsed="false">
      <c r="A23" s="4" t="s">
        <v>147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customFormat="false" ht="15" hidden="false" customHeight="false" outlineLevel="0" collapsed="false">
      <c r="A24" s="2" t="s">
        <v>148</v>
      </c>
      <c r="B24" s="2" t="s">
        <v>149</v>
      </c>
      <c r="D24" s="24" t="n">
        <f aca="false">IF(D$4&lt;=Inputs!$B$25,1,0)</f>
        <v>1</v>
      </c>
      <c r="E24" s="24" t="n">
        <f aca="false">IF(E$4&lt;=Inputs!$B$25,1,0)</f>
        <v>1</v>
      </c>
      <c r="F24" s="24" t="n">
        <f aca="false">IF(F$4&lt;=Inputs!$B$25,1,0)</f>
        <v>1</v>
      </c>
      <c r="G24" s="24" t="n">
        <f aca="false">IF(G$4&lt;=Inputs!$B$25,1,0)</f>
        <v>1</v>
      </c>
      <c r="H24" s="24" t="n">
        <f aca="false">IF(H$4&lt;=Inputs!$B$25,1,0)</f>
        <v>1</v>
      </c>
      <c r="I24" s="24" t="n">
        <f aca="false">IF(I$4&lt;=Inputs!$B$25,1,0)</f>
        <v>1</v>
      </c>
      <c r="J24" s="24" t="n">
        <f aca="false">IF(J$4&lt;=Inputs!$B$25,1,0)</f>
        <v>1</v>
      </c>
      <c r="K24" s="24" t="n">
        <f aca="false">IF(K$4&lt;=Inputs!$B$25,1,0)</f>
        <v>1</v>
      </c>
      <c r="L24" s="24" t="n">
        <f aca="false">IF(L$4&lt;=Inputs!$B$25,1,0)</f>
        <v>1</v>
      </c>
      <c r="M24" s="24" t="n">
        <f aca="false">IF(M$4&lt;=Inputs!$B$25,1,0)</f>
        <v>1</v>
      </c>
      <c r="N24" s="24" t="n">
        <f aca="false">IF(N$4&lt;=Inputs!$B$25,1,0)</f>
        <v>1</v>
      </c>
      <c r="O24" s="24" t="n">
        <f aca="false">IF(O$4&lt;=Inputs!$B$25,1,0)</f>
        <v>1</v>
      </c>
      <c r="P24" s="24" t="n">
        <f aca="false">IF(P$4&lt;=Inputs!$B$25,1,0)</f>
        <v>1</v>
      </c>
      <c r="Q24" s="24" t="n">
        <f aca="false">IF(Q$4&lt;=Inputs!$B$25,1,0)</f>
        <v>1</v>
      </c>
      <c r="R24" s="24" t="n">
        <f aca="false">IF(R$4&lt;=Inputs!$B$25,1,0)</f>
        <v>1</v>
      </c>
      <c r="S24" s="24" t="n">
        <f aca="false">IF(S$4&lt;=Inputs!$B$25,1,0)</f>
        <v>0</v>
      </c>
      <c r="T24" s="24" t="n">
        <f aca="false">IF(T$4&lt;=Inputs!$B$25,1,0)</f>
        <v>0</v>
      </c>
      <c r="U24" s="24" t="n">
        <f aca="false">IF(U$4&lt;=Inputs!$B$25,1,0)</f>
        <v>0</v>
      </c>
      <c r="V24" s="24" t="n">
        <f aca="false">IF(V$4&lt;=Inputs!$B$25,1,0)</f>
        <v>0</v>
      </c>
      <c r="W24" s="24" t="n">
        <f aca="false">IF(W$4&lt;=Inputs!$B$25,1,0)</f>
        <v>0</v>
      </c>
    </row>
    <row r="25" customFormat="false" ht="15" hidden="false" customHeight="false" outlineLevel="0" collapsed="false">
      <c r="A25" s="2" t="s">
        <v>150</v>
      </c>
      <c r="B25" s="2" t="s">
        <v>32</v>
      </c>
      <c r="C25" s="16" t="n">
        <f aca="false">SUM(D25:W25)</f>
        <v>70.2228229941225</v>
      </c>
      <c r="D25" s="16" t="n">
        <f aca="false">D12/Inputs!$B$23*D24</f>
        <v>5.65785185185185</v>
      </c>
      <c r="E25" s="16" t="n">
        <f aca="false">E12/Inputs!$B$23*E24</f>
        <v>5.60919222222222</v>
      </c>
      <c r="F25" s="16" t="n">
        <f aca="false">F12/Inputs!$B$23*F24</f>
        <v>5.56036848333333</v>
      </c>
      <c r="G25" s="16" t="n">
        <f aca="false">G12/Inputs!$B$23*G24</f>
        <v>5.51137330758333</v>
      </c>
      <c r="H25" s="16" t="n">
        <f aca="false">H12/Inputs!$B$23*H24</f>
        <v>5.46219924104542</v>
      </c>
      <c r="I25" s="16" t="n">
        <f aca="false">I12/Inputs!$B$23*I24</f>
        <v>4.40009820169924</v>
      </c>
      <c r="J25" s="16" t="n">
        <f aca="false">J12/Inputs!$B$23*J24</f>
        <v>4.3654098918303</v>
      </c>
      <c r="K25" s="16" t="n">
        <f aca="false">K12/Inputs!$B$23*K24</f>
        <v>4.33058015602239</v>
      </c>
      <c r="L25" s="16" t="n">
        <f aca="false">L12/Inputs!$B$23*L24</f>
        <v>4.29560340405542</v>
      </c>
      <c r="M25" s="16" t="n">
        <f aca="false">M12/Inputs!$B$23*M24</f>
        <v>4.26047394771345</v>
      </c>
      <c r="N25" s="16" t="n">
        <f aca="false">N12/Inputs!$B$23*N24</f>
        <v>4.22518599875564</v>
      </c>
      <c r="O25" s="16" t="n">
        <f aca="false">O12/Inputs!$B$23*O24</f>
        <v>4.18973366684712</v>
      </c>
      <c r="P25" s="16" t="n">
        <f aca="false">P12/Inputs!$B$23*P24</f>
        <v>4.15411095744874</v>
      </c>
      <c r="Q25" s="16" t="n">
        <f aca="false">Q12/Inputs!$B$23*Q24</f>
        <v>4.11831176966495</v>
      </c>
      <c r="R25" s="16" t="n">
        <f aca="false">R12/Inputs!$B$23*R24</f>
        <v>4.08232989404905</v>
      </c>
      <c r="S25" s="16" t="n">
        <f aca="false">S12/Inputs!$B$23*S24</f>
        <v>0</v>
      </c>
      <c r="T25" s="16" t="n">
        <f aca="false">T12/Inputs!$B$23*T24</f>
        <v>0</v>
      </c>
      <c r="U25" s="16" t="n">
        <f aca="false">U12/Inputs!$B$23*U24</f>
        <v>0</v>
      </c>
      <c r="V25" s="16" t="n">
        <f aca="false">V12/Inputs!$B$23*V24</f>
        <v>0</v>
      </c>
      <c r="W25" s="16" t="n">
        <f aca="false">W12/Inputs!$B$23*W24</f>
        <v>0</v>
      </c>
    </row>
    <row r="26" customFormat="false" ht="15" hidden="false" customHeight="false" outlineLevel="0" collapsed="false">
      <c r="A26" s="2" t="s">
        <v>151</v>
      </c>
      <c r="B26" s="2" t="s">
        <v>143</v>
      </c>
      <c r="D26" s="25" t="n">
        <f aca="false">1/(1+Inputs!$B$26)^D$4</f>
        <v>0.909090909090909</v>
      </c>
      <c r="E26" s="25" t="n">
        <f aca="false">1/(1+Inputs!$B$26)^E$4</f>
        <v>0.826446280991735</v>
      </c>
      <c r="F26" s="25" t="n">
        <f aca="false">1/(1+Inputs!$B$26)^F$4</f>
        <v>0.751314800901578</v>
      </c>
      <c r="G26" s="25" t="n">
        <f aca="false">1/(1+Inputs!$B$26)^G$4</f>
        <v>0.683013455365071</v>
      </c>
      <c r="H26" s="25" t="n">
        <f aca="false">1/(1+Inputs!$B$26)^H$4</f>
        <v>0.620921323059155</v>
      </c>
      <c r="I26" s="25" t="n">
        <f aca="false">1/(1+Inputs!$B$26)^I$4</f>
        <v>0.564473930053777</v>
      </c>
      <c r="J26" s="25" t="n">
        <f aca="false">1/(1+Inputs!$B$26)^J$4</f>
        <v>0.513158118230707</v>
      </c>
      <c r="K26" s="25" t="n">
        <f aca="false">1/(1+Inputs!$B$26)^K$4</f>
        <v>0.466507380209733</v>
      </c>
      <c r="L26" s="25" t="n">
        <f aca="false">1/(1+Inputs!$B$26)^L$4</f>
        <v>0.424097618372485</v>
      </c>
      <c r="M26" s="25" t="n">
        <f aca="false">1/(1+Inputs!$B$26)^M$4</f>
        <v>0.385543289429531</v>
      </c>
      <c r="N26" s="25" t="n">
        <f aca="false">1/(1+Inputs!$B$26)^N$4</f>
        <v>0.350493899481392</v>
      </c>
      <c r="O26" s="25" t="n">
        <f aca="false">1/(1+Inputs!$B$26)^O$4</f>
        <v>0.318630817710357</v>
      </c>
      <c r="P26" s="25" t="n">
        <f aca="false">1/(1+Inputs!$B$26)^P$4</f>
        <v>0.289664379736688</v>
      </c>
      <c r="Q26" s="25" t="n">
        <f aca="false">1/(1+Inputs!$B$26)^Q$4</f>
        <v>0.26333125430608</v>
      </c>
      <c r="R26" s="25" t="n">
        <f aca="false">1/(1+Inputs!$B$26)^R$4</f>
        <v>0.239392049369163</v>
      </c>
      <c r="S26" s="25" t="n">
        <f aca="false">1/(1+Inputs!$B$26)^S$4</f>
        <v>0.217629135790149</v>
      </c>
      <c r="T26" s="25" t="n">
        <f aca="false">1/(1+Inputs!$B$26)^T$4</f>
        <v>0.197844668900135</v>
      </c>
      <c r="U26" s="25" t="n">
        <f aca="false">1/(1+Inputs!$B$26)^U$4</f>
        <v>0.179858789909214</v>
      </c>
      <c r="V26" s="25" t="n">
        <f aca="false">1/(1+Inputs!$B$26)^V$4</f>
        <v>0.163507990826558</v>
      </c>
      <c r="W26" s="25" t="n">
        <f aca="false">1/(1+Inputs!$B$26)^W$4</f>
        <v>0.148643628024143</v>
      </c>
    </row>
    <row r="27" customFormat="false" ht="15" hidden="false" customHeight="false" outlineLevel="0" collapsed="false">
      <c r="A27" s="2" t="s">
        <v>152</v>
      </c>
      <c r="B27" s="2" t="s">
        <v>32</v>
      </c>
      <c r="C27" s="16" t="n">
        <f aca="false">SUM(D27:W27)</f>
        <v>37.4021448261799</v>
      </c>
      <c r="D27" s="16" t="n">
        <f aca="false">D25*D26</f>
        <v>5.14350168350168</v>
      </c>
      <c r="E27" s="16" t="n">
        <f aca="false">E25*E26</f>
        <v>4.63569605142332</v>
      </c>
      <c r="F27" s="16" t="n">
        <f aca="false">F25*F26</f>
        <v>4.17758713999499</v>
      </c>
      <c r="G27" s="16" t="n">
        <f aca="false">G25*G26</f>
        <v>3.76434212661931</v>
      </c>
      <c r="H27" s="16" t="n">
        <f aca="false">H25*H26</f>
        <v>3.39159597956263</v>
      </c>
      <c r="I27" s="16" t="n">
        <f aca="false">I25*I26</f>
        <v>2.48374072453573</v>
      </c>
      <c r="J27" s="16" t="n">
        <f aca="false">J25*J26</f>
        <v>2.24014552539735</v>
      </c>
      <c r="K27" s="16" t="n">
        <f aca="false">K25*K26</f>
        <v>2.02024760337426</v>
      </c>
      <c r="L27" s="16" t="n">
        <f aca="false">L25*L26</f>
        <v>1.82175517313264</v>
      </c>
      <c r="M27" s="16" t="n">
        <f aca="false">M25*M26</f>
        <v>1.64259714033026</v>
      </c>
      <c r="N27" s="16" t="n">
        <f aca="false">N25*N26</f>
        <v>1.48090191673804</v>
      </c>
      <c r="O27" s="16" t="n">
        <f aca="false">O25*O26</f>
        <v>1.33497826425611</v>
      </c>
      <c r="P27" s="16" t="n">
        <f aca="false">P25*P26</f>
        <v>1.20329797384677</v>
      </c>
      <c r="Q27" s="16" t="n">
        <f aca="false">Q25*Q26</f>
        <v>1.08448020392936</v>
      </c>
      <c r="R27" s="16" t="n">
        <f aca="false">R25*R26</f>
        <v>0.977277319537401</v>
      </c>
      <c r="S27" s="16" t="n">
        <f aca="false">S25*S26</f>
        <v>0</v>
      </c>
      <c r="T27" s="16" t="n">
        <f aca="false">T25*T26</f>
        <v>0</v>
      </c>
      <c r="U27" s="16" t="n">
        <f aca="false">U25*U26</f>
        <v>0</v>
      </c>
      <c r="V27" s="16" t="n">
        <f aca="false">V25*V26</f>
        <v>0</v>
      </c>
      <c r="W27" s="16" t="n">
        <f aca="false">W25*W26</f>
        <v>0</v>
      </c>
    </row>
    <row r="30" customFormat="false" ht="15" hidden="false" customHeight="false" outlineLevel="0" collapsed="false">
      <c r="A30" s="3" t="s">
        <v>153</v>
      </c>
      <c r="C30" s="14" t="n">
        <f aca="false">C27</f>
        <v>37.4021448261799</v>
      </c>
    </row>
    <row r="31" customFormat="false" ht="15" hidden="false" customHeight="false" outlineLevel="0" collapsed="false">
      <c r="A31" s="0" t="s">
        <v>154</v>
      </c>
      <c r="C31" s="12" t="n">
        <f aca="false">'Capital Stack'!$B$14</f>
        <v>37.4021448261799</v>
      </c>
    </row>
    <row r="32" customFormat="false" ht="15" hidden="false" customHeight="false" outlineLevel="0" collapsed="false">
      <c r="A32" s="0" t="s">
        <v>155</v>
      </c>
      <c r="C32" s="26" t="n">
        <f aca="false">IF(C30=0,0,C31/C30)</f>
        <v>1</v>
      </c>
    </row>
    <row r="34" customFormat="false" ht="15" hidden="false" customHeight="false" outlineLevel="0" collapsed="false">
      <c r="A34" s="4" t="s">
        <v>156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customFormat="false" ht="15" hidden="false" customHeight="false" outlineLevel="0" collapsed="false">
      <c r="A35" s="2" t="s">
        <v>157</v>
      </c>
      <c r="B35" s="2" t="s">
        <v>32</v>
      </c>
      <c r="D35" s="16" t="n">
        <f aca="false">$C$31</f>
        <v>37.4021448261799</v>
      </c>
      <c r="E35" s="16" t="n">
        <f aca="false">D39</f>
        <v>35.484507456946</v>
      </c>
      <c r="F35" s="16" t="n">
        <f aca="false">E39</f>
        <v>33.4237659804184</v>
      </c>
      <c r="G35" s="16" t="n">
        <f aca="false">F39</f>
        <v>31.2057740951269</v>
      </c>
      <c r="H35" s="16" t="n">
        <f aca="false">G39</f>
        <v>28.8149781970562</v>
      </c>
      <c r="I35" s="16" t="n">
        <f aca="false">H39</f>
        <v>26.2342767757164</v>
      </c>
      <c r="J35" s="16" t="n">
        <f aca="false">I39</f>
        <v>24.4576062515888</v>
      </c>
      <c r="K35" s="16" t="n">
        <f aca="false">J39</f>
        <v>22.5379569849174</v>
      </c>
      <c r="L35" s="16" t="n">
        <f aca="false">K39</f>
        <v>20.4611725273868</v>
      </c>
      <c r="M35" s="16" t="n">
        <f aca="false">L39</f>
        <v>18.21168637607</v>
      </c>
      <c r="N35" s="16" t="n">
        <f aca="false">M39</f>
        <v>15.7723810659636</v>
      </c>
      <c r="O35" s="16" t="n">
        <f aca="false">N39</f>
        <v>13.1244331738043</v>
      </c>
      <c r="P35" s="16" t="n">
        <f aca="false">O39</f>
        <v>10.2471428243376</v>
      </c>
      <c r="Q35" s="16" t="n">
        <f aca="false">P39</f>
        <v>7.11774614932267</v>
      </c>
      <c r="R35" s="16" t="n">
        <f aca="false">Q39</f>
        <v>3.71120899458998</v>
      </c>
      <c r="S35" s="16" t="n">
        <f aca="false">R39</f>
        <v>-6.92779167366098E-014</v>
      </c>
      <c r="T35" s="16" t="n">
        <f aca="false">S39</f>
        <v>-7.62057084102707E-014</v>
      </c>
      <c r="U35" s="16" t="n">
        <f aca="false">T39</f>
        <v>-8.38262792512978E-014</v>
      </c>
      <c r="V35" s="16" t="n">
        <f aca="false">U39</f>
        <v>-9.22089071764276E-014</v>
      </c>
      <c r="W35" s="16" t="n">
        <f aca="false">V39</f>
        <v>-1.0142979789407E-013</v>
      </c>
    </row>
    <row r="36" customFormat="false" ht="15" hidden="false" customHeight="false" outlineLevel="0" collapsed="false">
      <c r="A36" s="2" t="s">
        <v>158</v>
      </c>
      <c r="B36" s="2" t="s">
        <v>32</v>
      </c>
      <c r="C36" s="16" t="n">
        <f aca="false">SUM(D36:W36)</f>
        <v>70.2228229941225</v>
      </c>
      <c r="D36" s="16" t="n">
        <f aca="false">D25*$C$32</f>
        <v>5.65785185185185</v>
      </c>
      <c r="E36" s="16" t="n">
        <f aca="false">E25*$C$32</f>
        <v>5.60919222222222</v>
      </c>
      <c r="F36" s="16" t="n">
        <f aca="false">F25*$C$32</f>
        <v>5.56036848333333</v>
      </c>
      <c r="G36" s="16" t="n">
        <f aca="false">G25*$C$32</f>
        <v>5.51137330758333</v>
      </c>
      <c r="H36" s="16" t="n">
        <f aca="false">H25*$C$32</f>
        <v>5.46219924104542</v>
      </c>
      <c r="I36" s="16" t="n">
        <f aca="false">I25*$C$32</f>
        <v>4.40009820169924</v>
      </c>
      <c r="J36" s="16" t="n">
        <f aca="false">J25*$C$32</f>
        <v>4.3654098918303</v>
      </c>
      <c r="K36" s="16" t="n">
        <f aca="false">K25*$C$32</f>
        <v>4.33058015602239</v>
      </c>
      <c r="L36" s="16" t="n">
        <f aca="false">L25*$C$32</f>
        <v>4.29560340405542</v>
      </c>
      <c r="M36" s="16" t="n">
        <f aca="false">M25*$C$32</f>
        <v>4.26047394771345</v>
      </c>
      <c r="N36" s="16" t="n">
        <f aca="false">N25*$C$32</f>
        <v>4.22518599875564</v>
      </c>
      <c r="O36" s="16" t="n">
        <f aca="false">O25*$C$32</f>
        <v>4.18973366684712</v>
      </c>
      <c r="P36" s="16" t="n">
        <f aca="false">P25*$C$32</f>
        <v>4.15411095744874</v>
      </c>
      <c r="Q36" s="16" t="n">
        <f aca="false">Q25*$C$32</f>
        <v>4.11831176966495</v>
      </c>
      <c r="R36" s="16" t="n">
        <f aca="false">R25*$C$32</f>
        <v>4.08232989404905</v>
      </c>
      <c r="S36" s="16" t="n">
        <f aca="false">S25*$C$32</f>
        <v>0</v>
      </c>
      <c r="T36" s="16" t="n">
        <f aca="false">T25*$C$32</f>
        <v>0</v>
      </c>
      <c r="U36" s="16" t="n">
        <f aca="false">U25*$C$32</f>
        <v>0</v>
      </c>
      <c r="V36" s="16" t="n">
        <f aca="false">V25*$C$32</f>
        <v>0</v>
      </c>
      <c r="W36" s="16" t="n">
        <f aca="false">W25*$C$32</f>
        <v>0</v>
      </c>
    </row>
    <row r="37" customFormat="false" ht="15" hidden="false" customHeight="false" outlineLevel="0" collapsed="false">
      <c r="A37" s="2" t="s">
        <v>159</v>
      </c>
      <c r="B37" s="2" t="s">
        <v>32</v>
      </c>
      <c r="C37" s="16" t="n">
        <f aca="false">SUM(D37:W37)</f>
        <v>32.8206781679425</v>
      </c>
      <c r="D37" s="16" t="n">
        <f aca="false">D35*Inputs!$B$26</f>
        <v>3.74021448261799</v>
      </c>
      <c r="E37" s="16" t="n">
        <f aca="false">E35*Inputs!$B$26</f>
        <v>3.5484507456946</v>
      </c>
      <c r="F37" s="16" t="n">
        <f aca="false">F35*Inputs!$B$26</f>
        <v>3.34237659804184</v>
      </c>
      <c r="G37" s="16" t="n">
        <f aca="false">G35*Inputs!$B$26</f>
        <v>3.12057740951269</v>
      </c>
      <c r="H37" s="16" t="n">
        <f aca="false">H35*Inputs!$B$26</f>
        <v>2.88149781970562</v>
      </c>
      <c r="I37" s="16" t="n">
        <f aca="false">I35*Inputs!$B$26</f>
        <v>2.62342767757164</v>
      </c>
      <c r="J37" s="16" t="n">
        <f aca="false">J35*Inputs!$B$26</f>
        <v>2.44576062515888</v>
      </c>
      <c r="K37" s="16" t="n">
        <f aca="false">K35*Inputs!$B$26</f>
        <v>2.25379569849174</v>
      </c>
      <c r="L37" s="16" t="n">
        <f aca="false">L35*Inputs!$B$26</f>
        <v>2.04611725273868</v>
      </c>
      <c r="M37" s="16" t="n">
        <f aca="false">M35*Inputs!$B$26</f>
        <v>1.821168637607</v>
      </c>
      <c r="N37" s="16" t="n">
        <f aca="false">N35*Inputs!$B$26</f>
        <v>1.57723810659636</v>
      </c>
      <c r="O37" s="16" t="n">
        <f aca="false">O35*Inputs!$B$26</f>
        <v>1.31244331738043</v>
      </c>
      <c r="P37" s="16" t="n">
        <f aca="false">P35*Inputs!$B$26</f>
        <v>1.02471428243376</v>
      </c>
      <c r="Q37" s="16" t="n">
        <f aca="false">Q35*Inputs!$B$26</f>
        <v>0.711774614932267</v>
      </c>
      <c r="R37" s="16" t="n">
        <f aca="false">R35*Inputs!$B$26</f>
        <v>0.371120899458998</v>
      </c>
      <c r="S37" s="16" t="n">
        <f aca="false">S35*Inputs!$B$26</f>
        <v>-6.92779167366098E-015</v>
      </c>
      <c r="T37" s="16" t="n">
        <f aca="false">T35*Inputs!$B$26</f>
        <v>-7.62057084102708E-015</v>
      </c>
      <c r="U37" s="16" t="n">
        <f aca="false">U35*Inputs!$B$26</f>
        <v>-8.38262792512978E-015</v>
      </c>
      <c r="V37" s="16" t="n">
        <f aca="false">V35*Inputs!$B$26</f>
        <v>-9.22089071764276E-015</v>
      </c>
      <c r="W37" s="16" t="n">
        <f aca="false">W35*Inputs!$B$26</f>
        <v>-1.0142979789407E-014</v>
      </c>
    </row>
    <row r="38" customFormat="false" ht="15" hidden="false" customHeight="false" outlineLevel="0" collapsed="false">
      <c r="A38" s="2" t="s">
        <v>160</v>
      </c>
      <c r="B38" s="2" t="s">
        <v>32</v>
      </c>
      <c r="C38" s="16" t="n">
        <f aca="false">SUM(D38:W38)</f>
        <v>37.40214482618</v>
      </c>
      <c r="D38" s="16" t="n">
        <f aca="false">D36-D37</f>
        <v>1.91763736923386</v>
      </c>
      <c r="E38" s="16" t="n">
        <f aca="false">E36-E37</f>
        <v>2.06074147652762</v>
      </c>
      <c r="F38" s="16" t="n">
        <f aca="false">F36-F37</f>
        <v>2.2179918852915</v>
      </c>
      <c r="G38" s="16" t="n">
        <f aca="false">G36-G37</f>
        <v>2.39079589807064</v>
      </c>
      <c r="H38" s="16" t="n">
        <f aca="false">H36-H37</f>
        <v>2.58070142133979</v>
      </c>
      <c r="I38" s="16" t="n">
        <f aca="false">I36-I37</f>
        <v>1.7766705241276</v>
      </c>
      <c r="J38" s="16" t="n">
        <f aca="false">J36-J37</f>
        <v>1.91964926667142</v>
      </c>
      <c r="K38" s="16" t="n">
        <f aca="false">K36-K37</f>
        <v>2.07678445753064</v>
      </c>
      <c r="L38" s="16" t="n">
        <f aca="false">L36-L37</f>
        <v>2.24948615131675</v>
      </c>
      <c r="M38" s="16" t="n">
        <f aca="false">M36-M37</f>
        <v>2.43930531010644</v>
      </c>
      <c r="N38" s="16" t="n">
        <f aca="false">N36-N37</f>
        <v>2.64794789215928</v>
      </c>
      <c r="O38" s="16" t="n">
        <f aca="false">O36-O37</f>
        <v>2.87729034946669</v>
      </c>
      <c r="P38" s="16" t="n">
        <f aca="false">P36-P37</f>
        <v>3.12939667501497</v>
      </c>
      <c r="Q38" s="16" t="n">
        <f aca="false">Q36-Q37</f>
        <v>3.40653715473269</v>
      </c>
      <c r="R38" s="16" t="n">
        <f aca="false">R36-R37</f>
        <v>3.71120899459005</v>
      </c>
      <c r="S38" s="16" t="n">
        <f aca="false">S36-S37</f>
        <v>6.92779167366098E-015</v>
      </c>
      <c r="T38" s="16" t="n">
        <f aca="false">T36-T37</f>
        <v>7.62057084102708E-015</v>
      </c>
      <c r="U38" s="16" t="n">
        <f aca="false">U36-U37</f>
        <v>8.38262792512978E-015</v>
      </c>
      <c r="V38" s="16" t="n">
        <f aca="false">V36-V37</f>
        <v>9.22089071764276E-015</v>
      </c>
      <c r="W38" s="16" t="n">
        <f aca="false">W36-W37</f>
        <v>1.0142979789407E-014</v>
      </c>
    </row>
    <row r="39" customFormat="false" ht="15" hidden="false" customHeight="false" outlineLevel="0" collapsed="false">
      <c r="A39" s="2" t="s">
        <v>161</v>
      </c>
      <c r="B39" s="2" t="s">
        <v>32</v>
      </c>
      <c r="D39" s="16" t="n">
        <f aca="false">D35-D38</f>
        <v>35.484507456946</v>
      </c>
      <c r="E39" s="16" t="n">
        <f aca="false">E35-E38</f>
        <v>33.4237659804184</v>
      </c>
      <c r="F39" s="16" t="n">
        <f aca="false">F35-F38</f>
        <v>31.2057740951269</v>
      </c>
      <c r="G39" s="16" t="n">
        <f aca="false">G35-G38</f>
        <v>28.8149781970562</v>
      </c>
      <c r="H39" s="16" t="n">
        <f aca="false">H35-H38</f>
        <v>26.2342767757164</v>
      </c>
      <c r="I39" s="16" t="n">
        <f aca="false">I35-I38</f>
        <v>24.4576062515888</v>
      </c>
      <c r="J39" s="16" t="n">
        <f aca="false">J35-J38</f>
        <v>22.5379569849174</v>
      </c>
      <c r="K39" s="16" t="n">
        <f aca="false">K35-K38</f>
        <v>20.4611725273868</v>
      </c>
      <c r="L39" s="16" t="n">
        <f aca="false">L35-L38</f>
        <v>18.21168637607</v>
      </c>
      <c r="M39" s="16" t="n">
        <f aca="false">M35-M38</f>
        <v>15.7723810659636</v>
      </c>
      <c r="N39" s="16" t="n">
        <f aca="false">N35-N38</f>
        <v>13.1244331738043</v>
      </c>
      <c r="O39" s="16" t="n">
        <f aca="false">O35-O38</f>
        <v>10.2471428243376</v>
      </c>
      <c r="P39" s="16" t="n">
        <f aca="false">P35-P38</f>
        <v>7.11774614932267</v>
      </c>
      <c r="Q39" s="16" t="n">
        <f aca="false">Q35-Q38</f>
        <v>3.71120899458998</v>
      </c>
      <c r="R39" s="16" t="n">
        <f aca="false">R35-R38</f>
        <v>-6.92779167366098E-014</v>
      </c>
      <c r="S39" s="16" t="n">
        <f aca="false">S35-S38</f>
        <v>-7.62057084102707E-014</v>
      </c>
      <c r="T39" s="16" t="n">
        <f aca="false">T35-T38</f>
        <v>-8.38262792512978E-014</v>
      </c>
      <c r="U39" s="16" t="n">
        <f aca="false">U35-U38</f>
        <v>-9.22089071764276E-014</v>
      </c>
      <c r="V39" s="16" t="n">
        <f aca="false">V35-V38</f>
        <v>-1.0142979789407E-013</v>
      </c>
      <c r="W39" s="16" t="n">
        <f aca="false">W35-W38</f>
        <v>-1.11572777683477E-013</v>
      </c>
    </row>
    <row r="41" customFormat="false" ht="15" hidden="false" customHeight="false" outlineLevel="0" collapsed="false">
      <c r="A41" s="2" t="s">
        <v>162</v>
      </c>
      <c r="B41" s="2" t="s">
        <v>52</v>
      </c>
      <c r="D41" s="27" t="n">
        <f aca="false">IF(D36&gt;0,D21/D36,"")</f>
        <v>1.35</v>
      </c>
      <c r="E41" s="27" t="n">
        <f aca="false">IF(E36&gt;0,E21/E36,"")</f>
        <v>1.35</v>
      </c>
      <c r="F41" s="27" t="n">
        <f aca="false">IF(F36&gt;0,F21/F36,"")</f>
        <v>1.35</v>
      </c>
      <c r="G41" s="27" t="n">
        <f aca="false">IF(G36&gt;0,G21/G36,"")</f>
        <v>1.35</v>
      </c>
      <c r="H41" s="27" t="n">
        <f aca="false">IF(H36&gt;0,H21/H36,"")</f>
        <v>1.35</v>
      </c>
      <c r="I41" s="27" t="n">
        <f aca="false">IF(I36&gt;0,I21/I36,"")</f>
        <v>1.35</v>
      </c>
      <c r="J41" s="27" t="n">
        <f aca="false">IF(J36&gt;0,J21/J36,"")</f>
        <v>1.35</v>
      </c>
      <c r="K41" s="27" t="n">
        <f aca="false">IF(K36&gt;0,K21/K36,"")</f>
        <v>1.35</v>
      </c>
      <c r="L41" s="27" t="n">
        <f aca="false">IF(L36&gt;0,L21/L36,"")</f>
        <v>1.35</v>
      </c>
      <c r="M41" s="27" t="n">
        <f aca="false">IF(M36&gt;0,M21/M36,"")</f>
        <v>1.35</v>
      </c>
      <c r="N41" s="27" t="n">
        <f aca="false">IF(N36&gt;0,N21/N36,"")</f>
        <v>1.35</v>
      </c>
      <c r="O41" s="27" t="n">
        <f aca="false">IF(O36&gt;0,O21/O36,"")</f>
        <v>1.35</v>
      </c>
      <c r="P41" s="27" t="n">
        <f aca="false">IF(P36&gt;0,P21/P36,"")</f>
        <v>1.35</v>
      </c>
      <c r="Q41" s="27" t="n">
        <f aca="false">IF(Q36&gt;0,Q21/Q36,"")</f>
        <v>1.35</v>
      </c>
      <c r="R41" s="27" t="n">
        <f aca="false">IF(R36&gt;0,R21/R36,"")</f>
        <v>1.35</v>
      </c>
      <c r="S41" s="27" t="str">
        <f aca="false">IF(S36&gt;0,S21/S36,"")</f>
        <v/>
      </c>
      <c r="T41" s="27" t="str">
        <f aca="false">IF(T36&gt;0,T21/T36,"")</f>
        <v/>
      </c>
      <c r="U41" s="27" t="str">
        <f aca="false">IF(U36&gt;0,U21/U36,"")</f>
        <v/>
      </c>
      <c r="V41" s="27" t="str">
        <f aca="false">IF(V36&gt;0,V21/V36,"")</f>
        <v/>
      </c>
      <c r="W41" s="27" t="str">
        <f aca="false">IF(W36&gt;0,W21/W36,"")</f>
        <v/>
      </c>
    </row>
    <row r="42" customFormat="false" ht="15" hidden="false" customHeight="false" outlineLevel="0" collapsed="false">
      <c r="A42" s="2" t="s">
        <v>163</v>
      </c>
      <c r="B42" s="2" t="s">
        <v>32</v>
      </c>
      <c r="C42" s="16" t="n">
        <f aca="false">SUM(D42:W42)</f>
        <v>51.3958439523865</v>
      </c>
      <c r="D42" s="16" t="n">
        <f aca="false">D21-D36</f>
        <v>1.98024814814815</v>
      </c>
      <c r="E42" s="16" t="n">
        <f aca="false">E21-E36</f>
        <v>1.96321727777778</v>
      </c>
      <c r="F42" s="16" t="n">
        <f aca="false">F21-F36</f>
        <v>1.94612896916667</v>
      </c>
      <c r="G42" s="16" t="n">
        <f aca="false">G21-G36</f>
        <v>1.92898065765417</v>
      </c>
      <c r="H42" s="16" t="n">
        <f aca="false">H21-H36</f>
        <v>1.9117697343659</v>
      </c>
      <c r="I42" s="16" t="n">
        <f aca="false">I21-I36</f>
        <v>1.54003437059474</v>
      </c>
      <c r="J42" s="16" t="n">
        <f aca="false">J21-J36</f>
        <v>1.52789346214061</v>
      </c>
      <c r="K42" s="16" t="n">
        <f aca="false">K21-K36</f>
        <v>1.51570305460784</v>
      </c>
      <c r="L42" s="16" t="n">
        <f aca="false">L21-L36</f>
        <v>1.5034611914194</v>
      </c>
      <c r="M42" s="16" t="n">
        <f aca="false">M21-M36</f>
        <v>1.49116588169971</v>
      </c>
      <c r="N42" s="16" t="n">
        <f aca="false">N21-N36</f>
        <v>1.47881509956447</v>
      </c>
      <c r="O42" s="16" t="n">
        <f aca="false">O21-O36</f>
        <v>1.46640678339649</v>
      </c>
      <c r="P42" s="16" t="n">
        <f aca="false">P21-P36</f>
        <v>1.45393883510706</v>
      </c>
      <c r="Q42" s="16" t="n">
        <f aca="false">Q21-Q36</f>
        <v>1.44140911938273</v>
      </c>
      <c r="R42" s="16" t="n">
        <f aca="false">R21-R36</f>
        <v>1.42881546291717</v>
      </c>
      <c r="S42" s="16" t="n">
        <f aca="false">S21-S36</f>
        <v>5.46231466399242</v>
      </c>
      <c r="T42" s="16" t="n">
        <f aca="false">T21-T36</f>
        <v>5.41322012515972</v>
      </c>
      <c r="U42" s="16" t="n">
        <f aca="false">U21-U36</f>
        <v>5.36385289971093</v>
      </c>
      <c r="V42" s="16" t="n">
        <f aca="false">V21-V36</f>
        <v>5.31420398789292</v>
      </c>
      <c r="W42" s="16" t="n">
        <f aca="false">W21-W36</f>
        <v>5.26426422768761</v>
      </c>
    </row>
    <row r="43" customFormat="false" ht="15" hidden="false" customHeight="false" outlineLevel="0" collapsed="false">
      <c r="A43" s="2" t="s">
        <v>164</v>
      </c>
      <c r="B43" s="2" t="s">
        <v>32</v>
      </c>
      <c r="C43" s="16" t="n">
        <f aca="false">SUM(D43:W43)</f>
        <v>50.4928955153428</v>
      </c>
      <c r="D43" s="16" t="n">
        <f aca="false">D21*D26*D24</f>
        <v>6.94372727272727</v>
      </c>
      <c r="E43" s="16" t="n">
        <f aca="false">E21*E26*E24</f>
        <v>6.25818966942149</v>
      </c>
      <c r="F43" s="16" t="n">
        <f aca="false">F21*F26*F24</f>
        <v>5.63974263899324</v>
      </c>
      <c r="G43" s="16" t="n">
        <f aca="false">G21*G26*G24</f>
        <v>5.08186187093607</v>
      </c>
      <c r="H43" s="16" t="n">
        <f aca="false">H21*H26*H24</f>
        <v>4.57865457240955</v>
      </c>
      <c r="I43" s="16" t="n">
        <f aca="false">I21*I26*I24</f>
        <v>3.35304997812324</v>
      </c>
      <c r="J43" s="16" t="n">
        <f aca="false">J21*J26*J24</f>
        <v>3.02419645928642</v>
      </c>
      <c r="K43" s="16" t="n">
        <f aca="false">K21*K26*K24</f>
        <v>2.72733426455525</v>
      </c>
      <c r="L43" s="16" t="n">
        <f aca="false">L21*L26*L24</f>
        <v>2.45936948372907</v>
      </c>
      <c r="M43" s="16" t="n">
        <f aca="false">M21*M26*M24</f>
        <v>2.21750613944586</v>
      </c>
      <c r="N43" s="16" t="n">
        <f aca="false">N21*N26*N24</f>
        <v>1.99921758759636</v>
      </c>
      <c r="O43" s="16" t="n">
        <f aca="false">O21*O26*O24</f>
        <v>1.80222065674575</v>
      </c>
      <c r="P43" s="16" t="n">
        <f aca="false">P21*P26*P24</f>
        <v>1.62445226469313</v>
      </c>
      <c r="Q43" s="16" t="n">
        <f aca="false">Q21*Q26*Q24</f>
        <v>1.46404827530464</v>
      </c>
      <c r="R43" s="16" t="n">
        <f aca="false">R21*R26*R24</f>
        <v>1.31932438137549</v>
      </c>
      <c r="S43" s="16" t="n">
        <f aca="false">S21*S26*S24</f>
        <v>0</v>
      </c>
      <c r="T43" s="16" t="n">
        <f aca="false">T21*T26*T24</f>
        <v>0</v>
      </c>
      <c r="U43" s="16" t="n">
        <f aca="false">U21*U26*U24</f>
        <v>0</v>
      </c>
      <c r="V43" s="16" t="n">
        <f aca="false">V21*V26*V24</f>
        <v>0</v>
      </c>
      <c r="W43" s="16" t="n">
        <f aca="false">W21*W26*W24</f>
        <v>0</v>
      </c>
    </row>
    <row r="45" customFormat="false" ht="15" hidden="false" customHeight="false" outlineLevel="0" collapsed="false">
      <c r="A45" s="4" t="s">
        <v>165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7" customFormat="false" ht="15" hidden="false" customHeight="false" outlineLevel="0" collapsed="false">
      <c r="A47" s="3" t="s">
        <v>166</v>
      </c>
      <c r="C47" s="28" t="n">
        <f aca="false">MIN(D41:W41)</f>
        <v>1.35</v>
      </c>
    </row>
    <row r="48" customFormat="false" ht="15" hidden="false" customHeight="false" outlineLevel="0" collapsed="false">
      <c r="A48" s="3" t="s">
        <v>167</v>
      </c>
      <c r="C48" s="28" t="n">
        <f aca="false">AVERAGE(D41:W41)</f>
        <v>1.35</v>
      </c>
    </row>
    <row r="49" customFormat="false" ht="15" hidden="false" customHeight="false" outlineLevel="0" collapsed="false">
      <c r="A49" s="3" t="s">
        <v>168</v>
      </c>
      <c r="C49" s="28" t="n">
        <f aca="false">IF(C31=0,0,C43/C31)</f>
        <v>1.35</v>
      </c>
    </row>
    <row r="50" customFormat="false" ht="15" hidden="false" customHeight="false" outlineLevel="0" collapsed="false">
      <c r="A50" s="3" t="s">
        <v>169</v>
      </c>
      <c r="C50" s="29" t="n">
        <f aca="false">COUNTIF(D41:W41,"&lt;1")</f>
        <v>0</v>
      </c>
    </row>
    <row r="51" customFormat="false" ht="15" hidden="false" customHeight="false" outlineLevel="0" collapsed="false">
      <c r="A51" s="3" t="s">
        <v>170</v>
      </c>
      <c r="C51" s="29" t="n">
        <f aca="false">COUNTIF(D41:W41,"&lt;1.2")</f>
        <v>0</v>
      </c>
    </row>
    <row r="52" customFormat="false" ht="15" hidden="false" customHeight="false" outlineLevel="0" collapsed="false">
      <c r="A52" s="3" t="s">
        <v>171</v>
      </c>
      <c r="C52" s="30" t="n">
        <f aca="false">IRR(C54:W54)</f>
        <v>0.102538975781018</v>
      </c>
    </row>
    <row r="54" customFormat="false" ht="15" hidden="false" customHeight="false" outlineLevel="0" collapsed="false">
      <c r="A54" s="0" t="s">
        <v>172</v>
      </c>
      <c r="C54" s="16" t="n">
        <f aca="false">-('Capital Stack'!$B$9-'Capital Stack'!$B$14)</f>
        <v>-17.5978551738201</v>
      </c>
      <c r="D54" s="16" t="n">
        <f aca="false">D42</f>
        <v>1.98024814814815</v>
      </c>
      <c r="E54" s="16" t="n">
        <f aca="false">E42</f>
        <v>1.96321727777778</v>
      </c>
      <c r="F54" s="16" t="n">
        <f aca="false">F42</f>
        <v>1.94612896916667</v>
      </c>
      <c r="G54" s="16" t="n">
        <f aca="false">G42</f>
        <v>1.92898065765417</v>
      </c>
      <c r="H54" s="16" t="n">
        <f aca="false">H42</f>
        <v>1.9117697343659</v>
      </c>
      <c r="I54" s="16" t="n">
        <f aca="false">I42</f>
        <v>1.54003437059474</v>
      </c>
      <c r="J54" s="16" t="n">
        <f aca="false">J42</f>
        <v>1.52789346214061</v>
      </c>
      <c r="K54" s="16" t="n">
        <f aca="false">K42</f>
        <v>1.51570305460784</v>
      </c>
      <c r="L54" s="16" t="n">
        <f aca="false">L42</f>
        <v>1.5034611914194</v>
      </c>
      <c r="M54" s="16" t="n">
        <f aca="false">M42</f>
        <v>1.49116588169971</v>
      </c>
      <c r="N54" s="16" t="n">
        <f aca="false">N42</f>
        <v>1.47881509956447</v>
      </c>
      <c r="O54" s="16" t="n">
        <f aca="false">O42</f>
        <v>1.46640678339649</v>
      </c>
      <c r="P54" s="16" t="n">
        <f aca="false">P42</f>
        <v>1.45393883510706</v>
      </c>
      <c r="Q54" s="16" t="n">
        <f aca="false">Q42</f>
        <v>1.44140911938273</v>
      </c>
      <c r="R54" s="16" t="n">
        <f aca="false">R42</f>
        <v>1.42881546291717</v>
      </c>
      <c r="S54" s="16" t="n">
        <f aca="false">S42</f>
        <v>5.46231466399242</v>
      </c>
      <c r="T54" s="16" t="n">
        <f aca="false">T42</f>
        <v>5.41322012515972</v>
      </c>
      <c r="U54" s="16" t="n">
        <f aca="false">U42</f>
        <v>5.36385289971093</v>
      </c>
      <c r="V54" s="16" t="n">
        <f aca="false">V42</f>
        <v>5.31420398789292</v>
      </c>
      <c r="W54" s="16" t="n">
        <f aca="false">W42</f>
        <v>5.26426422768761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6"/>
    <col collapsed="false" customWidth="true" hidden="false" outlineLevel="0" max="11" min="10" style="0" width="34"/>
  </cols>
  <sheetData>
    <row r="1" customFormat="false" ht="17.35" hidden="false" customHeight="false" outlineLevel="0" collapsed="false">
      <c r="A1" s="1" t="s">
        <v>173</v>
      </c>
    </row>
    <row r="3" customFormat="false" ht="15" hidden="false" customHeight="false" outlineLevel="0" collapsed="false">
      <c r="A3" s="4" t="s">
        <v>174</v>
      </c>
      <c r="B3" s="4" t="s">
        <v>175</v>
      </c>
      <c r="C3" s="4" t="s">
        <v>176</v>
      </c>
      <c r="D3" s="4" t="s">
        <v>177</v>
      </c>
      <c r="E3" s="4" t="s">
        <v>178</v>
      </c>
      <c r="F3" s="4" t="s">
        <v>72</v>
      </c>
      <c r="G3" s="4" t="s">
        <v>179</v>
      </c>
      <c r="H3" s="4" t="s">
        <v>180</v>
      </c>
      <c r="I3" s="4" t="s">
        <v>181</v>
      </c>
      <c r="J3" s="4" t="s">
        <v>182</v>
      </c>
      <c r="K3" s="4" t="s">
        <v>183</v>
      </c>
    </row>
    <row r="4" customFormat="false" ht="15" hidden="false" customHeight="false" outlineLevel="0" collapsed="false">
      <c r="A4" s="2" t="s">
        <v>184</v>
      </c>
      <c r="B4" s="8" t="n">
        <v>0</v>
      </c>
      <c r="C4" s="8" t="n">
        <v>1</v>
      </c>
      <c r="D4" s="8" t="n">
        <v>1</v>
      </c>
      <c r="E4" s="8" t="n">
        <v>0</v>
      </c>
      <c r="F4" s="8" t="n">
        <v>0</v>
      </c>
      <c r="G4" s="31" t="s">
        <v>185</v>
      </c>
      <c r="J4" s="31" t="s">
        <v>186</v>
      </c>
      <c r="K4" s="31" t="s">
        <v>187</v>
      </c>
    </row>
    <row r="12" customFormat="false" ht="15" hidden="false" customHeight="false" outlineLevel="0" collapsed="false">
      <c r="A12" s="32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2026-09-18T10:50:26Z</dcterms:created>
  <dc:creator>openpyxl</dc:creator>
  <dc:description/>
  <dc:language>en-US</dc:language>
  <cp:lastModifiedBy/>
  <dcterms:modified xsi:type="dcterms:W3CDTF">2026-09-18T11:50:28Z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