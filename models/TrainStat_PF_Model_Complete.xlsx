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InpC" sheetId="3" state="visible" r:id="rId3"/>
    <sheet xmlns:r="http://schemas.openxmlformats.org/officeDocument/2006/relationships" name="InpS" sheetId="4" state="visible" r:id="rId4"/>
    <sheet xmlns:r="http://schemas.openxmlformats.org/officeDocument/2006/relationships" name="Time" sheetId="5" state="visible" r:id="rId5"/>
    <sheet xmlns:r="http://schemas.openxmlformats.org/officeDocument/2006/relationships" name="Esc" sheetId="6" state="visible" r:id="rId6"/>
    <sheet xmlns:r="http://schemas.openxmlformats.org/officeDocument/2006/relationships" name="Constr" sheetId="7" state="visible" r:id="rId7"/>
    <sheet xmlns:r="http://schemas.openxmlformats.org/officeDocument/2006/relationships" name="OpRev" sheetId="8" state="visible" r:id="rId8"/>
    <sheet xmlns:r="http://schemas.openxmlformats.org/officeDocument/2006/relationships" name="OpCost" sheetId="9" state="visible" r:id="rId9"/>
    <sheet xmlns:r="http://schemas.openxmlformats.org/officeDocument/2006/relationships" name="Tax" sheetId="10" state="visible" r:id="rId10"/>
    <sheet xmlns:r="http://schemas.openxmlformats.org/officeDocument/2006/relationships" name="NCA" sheetId="11" state="visible" r:id="rId11"/>
    <sheet xmlns:r="http://schemas.openxmlformats.org/officeDocument/2006/relationships" name="Debt" sheetId="12" state="visible" r:id="rId12"/>
    <sheet xmlns:r="http://schemas.openxmlformats.org/officeDocument/2006/relationships" name="Sculpt" sheetId="13" state="visible" r:id="rId13"/>
    <sheet xmlns:r="http://schemas.openxmlformats.org/officeDocument/2006/relationships" name="DSRA" sheetId="14" state="visible" r:id="rId14"/>
    <sheet xmlns:r="http://schemas.openxmlformats.org/officeDocument/2006/relationships" name="SHL" sheetId="15" state="visible" r:id="rId15"/>
    <sheet xmlns:r="http://schemas.openxmlformats.org/officeDocument/2006/relationships" name="Equity" sheetId="16" state="visible" r:id="rId16"/>
    <sheet xmlns:r="http://schemas.openxmlformats.org/officeDocument/2006/relationships" name="FinStat" sheetId="17" state="visible" r:id="rId17"/>
    <sheet xmlns:r="http://schemas.openxmlformats.org/officeDocument/2006/relationships" name="Ratios" sheetId="18" state="visible" r:id="rId18"/>
    <sheet xmlns:r="http://schemas.openxmlformats.org/officeDocument/2006/relationships" name="Val" sheetId="19" state="visible" r:id="rId19"/>
    <sheet xmlns:r="http://schemas.openxmlformats.org/officeDocument/2006/relationships" name="Track" sheetId="20" state="visible" r:id="rId20"/>
  </sheets>
  <definedNames>
    <definedName name="CHK_TOL">InpC!$F$101</definedName>
    <definedName name="SMU">InpC!$F$103</definedName>
    <definedName name="LIVE_RESULTS">Track!$H$8:$H$69</definedName>
    <definedName name="TRACK_ACTIVE">Track!$H$5</definedName>
    <definedName name="TRK_COMMENT">Track!$H$77:$H$78</definedName>
    <definedName name="unit">InpC!$F$102</definedName>
    <definedName name="_xlnm.Print_Titles" localSheetId="2">'InpC'!$1:$5,'InpC'!$A:$G</definedName>
    <definedName name="_xlnm.Print_Titles" localSheetId="3">'InpS'!$1:$5,'InpS'!$A:$G</definedName>
    <definedName name="_xlnm.Print_Titles" localSheetId="4">'Time'!$1:$5,'Time'!$A:$G</definedName>
    <definedName name="_xlnm.Print_Area" localSheetId="4">'Time'!$A$1:$CO$111</definedName>
    <definedName name="_xlnm.Print_Titles" localSheetId="5">'Esc'!$1:$5,'Esc'!$A:$G</definedName>
    <definedName name="_xlnm.Print_Titles" localSheetId="7">'OpRev'!$1:$5,'OpRev'!$A:$G</definedName>
    <definedName name="_xlnm.Print_Titles" localSheetId="8">'OpCost'!$1:$5,'OpCost'!$A:$G</definedName>
    <definedName name="_xlnm.Print_Titles" localSheetId="9">'Tax'!$1:$5,'Tax'!$A:$G</definedName>
    <definedName name="_xlnm.Print_Titles" localSheetId="10">'NCA'!$1:$5,'NCA'!$A:$G</definedName>
    <definedName name="_xlnm.Print_Titles" localSheetId="11">'Debt'!$1:$5,'Debt'!$A:$G</definedName>
    <definedName name="_xlnm.Print_Titles" localSheetId="15">'Equity'!$1:$5,'Equity'!$A:$G</definedName>
    <definedName name="_xlnm.Print_Titles" localSheetId="16">'FinStat'!$1:$5,'FinStat'!$A:$G</definedName>
    <definedName name="_xlnm.Print_Titles" localSheetId="18">'Val'!$1:$5,'Val'!$A:$G</definedName>
    <definedName name="_xlnm.Print_Titles" localSheetId="19">'Track'!$1:$2,'Track'!$A:$G</definedName>
  </definedNames>
  <calcPr calcId="191029" calcMode="auto" fullCalcOnLoad="1" iterateDelta="0.0001"/>
</workbook>
</file>

<file path=xl/styles.xml><?xml version="1.0" encoding="utf-8"?>
<styleSheet xmlns="http://schemas.openxmlformats.org/spreadsheetml/2006/main">
  <numFmts count="20">
    <numFmt numFmtId="164" formatCode="#,##0_);\(#,##0\);&quot;-  &quot;;&quot; &quot;@&quot; &quot;"/>
    <numFmt numFmtId="165" formatCode="#,##0_);\(#,##0\);&quot;-  &quot;;&quot; &quot;@"/>
    <numFmt numFmtId="166" formatCode="dd\ mmm\ yy_);\(###0\);&quot;-  &quot;;&quot; &quot;@&quot; &quot;"/>
    <numFmt numFmtId="167" formatCode="dd\ mmm\ yyyy_);\(###0\);&quot;-  &quot;;&quot; &quot;@&quot; &quot;"/>
    <numFmt numFmtId="168" formatCode="0.00_)%_);\(0.00\)%_);&quot;-  &quot;;&quot; &quot;@&quot; &quot;"/>
    <numFmt numFmtId="169" formatCode="#,##0.0000_);\(#,##0.0000\);&quot;-  &quot;;&quot; &quot;@&quot; &quot;"/>
    <numFmt numFmtId="170" formatCode="###0_);\(#,##0\);&quot;-  &quot;;&quot; &quot;@"/>
    <numFmt numFmtId="171" formatCode="#,##0.0_);\(#,##0.0\);&quot;-  &quot;;&quot; &quot;@"/>
    <numFmt numFmtId="172" formatCode="dd\ mmm\ yyyy_);;&quot;-  &quot;;&quot; &quot;@"/>
    <numFmt numFmtId="173" formatCode="0.00%_);\-0.00%_);&quot;-  &quot;;&quot; &quot;@"/>
    <numFmt numFmtId="174" formatCode="[$-F400]h:mm:ss\ AM/PM"/>
    <numFmt numFmtId="175" formatCode="###0_);\(###0\);&quot;-  &quot;;&quot; &quot;@&quot; &quot;"/>
    <numFmt numFmtId="176" formatCode="0.00_);(0.00)"/>
    <numFmt numFmtId="177" formatCode="0.00&quot;x&quot;"/>
    <numFmt numFmtId="178" formatCode="#,##0_);(#,##0);&quot;-  &quot;"/>
    <numFmt numFmtId="179" formatCode="0.0%"/>
    <numFmt numFmtId="180" formatCode="dd mmm yyyy"/>
    <numFmt numFmtId="181" formatCode="dd mmm yy"/>
    <numFmt numFmtId="182" formatCode="#,##0.000_);(#,##0.000);&quot;-  &quot;"/>
    <numFmt numFmtId="183" formatCode="0.0000%"/>
  </numFmts>
  <fonts count="42">
    <font>
      <name val="Calibri"/>
      <family val="2"/>
      <color theme="1"/>
      <sz val="11"/>
      <scheme val="minor"/>
    </font>
    <font>
      <name val="Calibri"/>
      <family val="2"/>
      <color theme="1"/>
      <sz val="11"/>
      <scheme val="minor"/>
    </font>
    <font>
      <name val="Arial"/>
      <family val="2"/>
      <sz val="10"/>
    </font>
    <font>
      <name val="Arial"/>
      <family val="2"/>
      <b val="1"/>
      <sz val="20"/>
    </font>
    <font>
      <name val="Arial"/>
      <family val="2"/>
      <b val="1"/>
      <sz val="10"/>
    </font>
    <font>
      <name val="Arial"/>
      <family val="2"/>
      <sz val="10"/>
      <u val="single"/>
    </font>
    <font>
      <name val="Arial"/>
      <family val="2"/>
      <b val="1"/>
      <sz val="10"/>
      <u val="single"/>
    </font>
    <font>
      <name val="Arial"/>
      <family val="2"/>
      <color rgb="FF000000"/>
      <sz val="10"/>
    </font>
    <font>
      <name val="Arial"/>
      <family val="2"/>
      <color rgb="FF0000FF"/>
      <sz val="10"/>
    </font>
    <font>
      <name val="Arial"/>
      <family val="2"/>
      <color indexed="12"/>
      <sz val="10"/>
    </font>
    <font>
      <name val="Arial"/>
      <family val="2"/>
      <b val="1"/>
      <color rgb="FFFF0000"/>
      <sz val="10"/>
    </font>
    <font>
      <name val="Arial"/>
      <family val="2"/>
      <color rgb="FFFF0000"/>
      <sz val="10"/>
      <u val="single"/>
    </font>
    <font>
      <name val="Arial"/>
      <family val="2"/>
      <color rgb="FFFF0000"/>
      <sz val="10"/>
    </font>
    <font>
      <name val="Arial"/>
      <family val="2"/>
      <b val="1"/>
      <color indexed="10"/>
      <sz val="10"/>
    </font>
    <font>
      <name val="Arial"/>
      <family val="2"/>
      <color indexed="10"/>
      <sz val="10"/>
      <u val="single"/>
    </font>
    <font>
      <name val="Arial"/>
      <family val="2"/>
      <color indexed="10"/>
      <sz val="10"/>
    </font>
    <font>
      <name val="Arial"/>
      <family val="2"/>
      <sz val="20"/>
      <u val="single"/>
    </font>
    <font>
      <name val="Arial"/>
      <family val="2"/>
      <sz val="20"/>
    </font>
    <font>
      <name val="Arial"/>
      <family val="2"/>
      <color indexed="48"/>
      <sz val="16"/>
      <u val="single"/>
    </font>
    <font>
      <name val="Arial"/>
      <family val="2"/>
      <i val="1"/>
      <sz val="20"/>
    </font>
    <font>
      <name val="Arial"/>
      <family val="2"/>
      <color indexed="12"/>
      <sz val="16"/>
    </font>
    <font>
      <name val="Arial"/>
      <family val="2"/>
      <b val="1"/>
      <color rgb="FF000000"/>
      <sz val="10"/>
    </font>
    <font>
      <name val="Arial"/>
      <family val="2"/>
      <color rgb="FF000000"/>
      <sz val="10"/>
      <u val="single"/>
    </font>
    <font>
      <name val="Arial"/>
      <family val="2"/>
      <b val="1"/>
      <color rgb="FF0000FF"/>
      <sz val="10"/>
    </font>
    <font>
      <name val="Arial"/>
      <family val="2"/>
      <color rgb="FF0000FF"/>
      <sz val="10"/>
      <u val="single"/>
    </font>
    <font>
      <b val="1"/>
      <color rgb="00141B4D"/>
    </font>
    <font>
      <name val="Georgia"/>
      <b val="1"/>
      <color rgb="00FFFFFF"/>
      <sz val="22"/>
    </font>
    <font>
      <name val="Calibri"/>
      <color rgb="00F0C06A"/>
      <sz val="12"/>
    </font>
    <font>
      <name val="Calibri"/>
      <color rgb="00C9D3F5"/>
      <sz val="11"/>
    </font>
    <font>
      <b val="1"/>
      <color rgb="000B5E82"/>
    </font>
    <font>
      <b val="1"/>
      <color rgb="001E7B34"/>
      <sz val="13"/>
    </font>
    <font>
      <b val="1"/>
    </font>
    <font>
      <b val="1"/>
      <color rgb="000B5E82"/>
      <u val="single"/>
    </font>
    <font>
      <b val="1"/>
      <color rgb="000000FF"/>
    </font>
    <font>
      <b val="1"/>
      <color rgb="00FF0000"/>
    </font>
    <font>
      <b val="1"/>
      <color rgb="00000000"/>
    </font>
    <font>
      <name val="Georgia"/>
      <b val="1"/>
      <color rgb="00FFFFFF"/>
      <sz val="20"/>
    </font>
    <font>
      <b val="1"/>
      <color rgb="00F0C06A"/>
      <sz val="13"/>
    </font>
    <font>
      <b val="1"/>
      <color rgb="00FFFFFF"/>
      <sz val="12"/>
    </font>
    <font>
      <b val="1"/>
      <color rgb="005C6B7A"/>
      <sz val="10"/>
    </font>
    <font>
      <name val="Georgia"/>
      <b val="1"/>
      <color rgb="00141B4D"/>
      <sz val="18"/>
    </font>
    <font>
      <name val="Calibri"/>
      <b val="1"/>
      <color rgb="00FFFFFF"/>
    </font>
  </fonts>
  <fills count="17">
    <fill>
      <patternFill/>
    </fill>
    <fill>
      <patternFill patternType="gray125"/>
    </fill>
    <fill>
      <patternFill patternType="solid">
        <fgColor rgb="FFDDDDDD"/>
        <bgColor indexed="64"/>
      </patternFill>
    </fill>
    <fill>
      <patternFill patternType="solid">
        <fgColor indexed="11"/>
        <bgColor indexed="64"/>
      </patternFill>
    </fill>
    <fill>
      <patternFill patternType="solid">
        <fgColor theme="4"/>
        <bgColor indexed="64"/>
      </patternFill>
    </fill>
    <fill>
      <patternFill patternType="solid">
        <fgColor rgb="FFFFFF99"/>
        <bgColor indexed="64"/>
      </patternFill>
    </fill>
    <fill>
      <patternFill patternType="solid">
        <fgColor indexed="43"/>
        <bgColor indexed="64"/>
      </patternFill>
    </fill>
    <fill>
      <patternFill patternType="solid">
        <fgColor rgb="FFC0C0C0"/>
        <bgColor indexed="64"/>
      </patternFill>
    </fill>
    <fill>
      <patternFill patternType="solid">
        <fgColor indexed="44"/>
        <bgColor indexed="64"/>
      </patternFill>
    </fill>
    <fill>
      <patternFill patternType="solid">
        <fgColor indexed="22"/>
        <bgColor indexed="64"/>
      </patternFill>
    </fill>
    <fill>
      <patternFill patternType="solid">
        <fgColor indexed="13"/>
        <bgColor indexed="64"/>
      </patternFill>
    </fill>
    <fill>
      <patternFill patternType="solid">
        <fgColor rgb="FF92D050"/>
        <bgColor indexed="64"/>
      </patternFill>
    </fill>
    <fill>
      <patternFill patternType="solid">
        <fgColor indexed="41"/>
        <bgColor indexed="64"/>
      </patternFill>
    </fill>
    <fill>
      <patternFill patternType="solid">
        <fgColor rgb="FFFFFF00"/>
        <bgColor indexed="64"/>
      </patternFill>
    </fill>
    <fill>
      <patternFill patternType="solid">
        <fgColor rgb="00FFFF99"/>
      </patternFill>
    </fill>
    <fill>
      <patternFill patternType="solid">
        <fgColor rgb="00141B4D"/>
      </patternFill>
    </fill>
    <fill>
      <patternFill patternType="solid">
        <fgColor rgb="00F3F6F9"/>
      </patternFill>
    </fill>
  </fills>
  <borders count="8">
    <border>
      <left/>
      <right/>
      <top/>
      <bottom/>
      <diagonal/>
    </border>
    <border>
      <left/>
      <right/>
      <top style="thin">
        <color indexed="23"/>
      </top>
      <bottom style="thin">
        <color indexed="23"/>
      </bottom>
      <diagonal/>
    </border>
    <border>
      <left/>
      <right/>
      <top style="thin">
        <color indexed="23"/>
      </top>
      <bottom/>
      <diagonal/>
    </border>
    <border>
      <left/>
      <right/>
      <top/>
      <bottom style="thin">
        <color indexed="23"/>
      </bottom>
      <diagonal/>
    </border>
    <border>
      <left/>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right/>
      <top style="thin">
        <color rgb="FF808080"/>
      </top>
      <bottom/>
      <diagonal/>
    </border>
    <border>
      <left/>
      <right/>
      <top/>
      <bottom style="thin">
        <color rgb="FF808080"/>
      </bottom>
      <diagonal/>
    </border>
  </borders>
  <cellStyleXfs count="9">
    <xf numFmtId="164" fontId="1" fillId="0" borderId="0" applyAlignment="1">
      <alignment vertical="top"/>
    </xf>
    <xf numFmtId="168" fontId="1" fillId="0" borderId="0" applyAlignment="1">
      <alignment vertical="top"/>
    </xf>
    <xf numFmtId="164" fontId="2" fillId="0" borderId="0" applyAlignment="1">
      <alignment vertical="top"/>
    </xf>
    <xf numFmtId="165" fontId="2" fillId="0" borderId="0" applyAlignment="1">
      <alignment vertical="top"/>
    </xf>
    <xf numFmtId="166" fontId="2" fillId="0" borderId="0" applyAlignment="1">
      <alignment vertical="top"/>
    </xf>
    <xf numFmtId="167" fontId="2" fillId="0" borderId="0" applyAlignment="1">
      <alignment vertical="top"/>
    </xf>
    <xf numFmtId="168" fontId="2" fillId="0" borderId="0" applyAlignment="1">
      <alignment vertical="top"/>
    </xf>
    <xf numFmtId="169" fontId="2" fillId="0" borderId="0" applyAlignment="1">
      <alignment vertical="top"/>
    </xf>
    <xf numFmtId="175" fontId="2" fillId="0" borderId="0" applyAlignment="1">
      <alignment vertical="top"/>
    </xf>
  </cellStyleXfs>
  <cellXfs count="539">
    <xf numFmtId="164" fontId="0" fillId="0" borderId="0" applyAlignment="1" pivotButton="0" quotePrefix="0" xfId="0">
      <alignment vertical="top"/>
    </xf>
    <xf numFmtId="164" fontId="3" fillId="0" borderId="0" applyAlignment="1" pivotButton="0" quotePrefix="0" xfId="2">
      <alignment vertical="top"/>
    </xf>
    <xf numFmtId="164" fontId="4" fillId="0" borderId="0" applyAlignment="1" pivotButton="0" quotePrefix="0" xfId="2">
      <alignment vertical="top"/>
    </xf>
    <xf numFmtId="164" fontId="5" fillId="0" borderId="0" applyAlignment="1" pivotButton="0" quotePrefix="0" xfId="2">
      <alignment vertical="top"/>
    </xf>
    <xf numFmtId="164" fontId="2" fillId="0" borderId="0" applyAlignment="1" pivotButton="0" quotePrefix="0" xfId="2">
      <alignment horizontal="right" vertical="top"/>
    </xf>
    <xf numFmtId="164" fontId="2" fillId="0" borderId="0" applyAlignment="1" pivotButton="0" quotePrefix="0" xfId="2">
      <alignment vertical="top"/>
    </xf>
    <xf numFmtId="164" fontId="2" fillId="2" borderId="0" applyAlignment="1" pivotButton="0" quotePrefix="0" xfId="2">
      <alignment vertical="top"/>
    </xf>
    <xf numFmtId="165" fontId="2" fillId="3" borderId="0" applyAlignment="1" pivotButton="0" quotePrefix="0" xfId="3">
      <alignment vertical="top"/>
    </xf>
    <xf numFmtId="164" fontId="2" fillId="4" borderId="0" applyAlignment="1" pivotButton="0" quotePrefix="0" xfId="2">
      <alignment horizontal="right" vertical="top"/>
    </xf>
    <xf numFmtId="164" fontId="4" fillId="0" borderId="0" applyAlignment="1" pivotButton="0" quotePrefix="0" xfId="2">
      <alignment vertical="top"/>
    </xf>
    <xf numFmtId="164" fontId="5" fillId="0" borderId="0" applyAlignment="1" pivotButton="0" quotePrefix="0" xfId="2">
      <alignment vertical="top"/>
    </xf>
    <xf numFmtId="164" fontId="2" fillId="0" borderId="0" applyAlignment="1" pivotButton="0" quotePrefix="0" xfId="2">
      <alignment horizontal="right" vertical="top"/>
    </xf>
    <xf numFmtId="164" fontId="2" fillId="0" borderId="0" applyAlignment="1" pivotButton="0" quotePrefix="0" xfId="2">
      <alignment vertical="top"/>
    </xf>
    <xf numFmtId="164" fontId="2" fillId="0" borderId="0" applyAlignment="1" pivotButton="0" quotePrefix="0" xfId="2">
      <alignment vertical="top"/>
    </xf>
    <xf numFmtId="164" fontId="2" fillId="0" borderId="0" applyAlignment="1" pivotButton="0" quotePrefix="0" xfId="2">
      <alignment vertical="top"/>
    </xf>
    <xf numFmtId="164" fontId="2" fillId="2" borderId="0" applyAlignment="1" pivotButton="0" quotePrefix="0" xfId="2">
      <alignment vertical="top"/>
    </xf>
    <xf numFmtId="166" fontId="4" fillId="0" borderId="0" applyAlignment="1" pivotButton="0" quotePrefix="0" xfId="4">
      <alignment vertical="top"/>
    </xf>
    <xf numFmtId="166" fontId="6" fillId="0" borderId="0" applyAlignment="1" pivotButton="0" quotePrefix="0" xfId="4">
      <alignment vertical="top"/>
    </xf>
    <xf numFmtId="166" fontId="4" fillId="0" borderId="0" applyAlignment="1" pivotButton="0" quotePrefix="0" xfId="4">
      <alignment horizontal="right" vertical="top"/>
    </xf>
    <xf numFmtId="166" fontId="2" fillId="0" borderId="0" applyAlignment="1" pivotButton="0" quotePrefix="0" xfId="4">
      <alignment vertical="top"/>
    </xf>
    <xf numFmtId="164" fontId="4" fillId="0" borderId="0" applyAlignment="1" pivotButton="0" quotePrefix="0" xfId="2">
      <alignment horizontal="right" vertical="top"/>
    </xf>
    <xf numFmtId="166" fontId="4" fillId="2" borderId="0" applyAlignment="1" pivotButton="0" quotePrefix="0" xfId="4">
      <alignment vertical="top"/>
    </xf>
    <xf numFmtId="167" fontId="4" fillId="0" borderId="0" applyAlignment="1" pivotButton="0" quotePrefix="0" xfId="5">
      <alignment vertical="top"/>
    </xf>
    <xf numFmtId="167" fontId="5" fillId="0" borderId="0" applyAlignment="1" pivotButton="0" quotePrefix="0" xfId="5">
      <alignment vertical="top"/>
    </xf>
    <xf numFmtId="167" fontId="2" fillId="0" borderId="0" applyAlignment="1" pivotButton="0" quotePrefix="0" xfId="5">
      <alignment horizontal="right" vertical="top"/>
    </xf>
    <xf numFmtId="167" fontId="2" fillId="0" borderId="0" applyAlignment="1" pivotButton="0" quotePrefix="0" xfId="5">
      <alignment vertical="top"/>
    </xf>
    <xf numFmtId="167" fontId="2" fillId="2" borderId="0" applyAlignment="1" pivotButton="0" quotePrefix="0" xfId="5">
      <alignment vertical="top"/>
    </xf>
    <xf numFmtId="167" fontId="2" fillId="0" borderId="0" applyAlignment="1" pivotButton="0" quotePrefix="0" xfId="5">
      <alignment vertical="top"/>
    </xf>
    <xf numFmtId="166" fontId="2" fillId="0" borderId="0" applyAlignment="1" pivotButton="0" quotePrefix="0" xfId="4">
      <alignment vertical="top"/>
    </xf>
    <xf numFmtId="164" fontId="2" fillId="2" borderId="0" applyAlignment="1" pivotButton="0" quotePrefix="0" xfId="2">
      <alignment vertical="top"/>
    </xf>
    <xf numFmtId="165" fontId="4" fillId="0" borderId="0" applyAlignment="1" pivotButton="0" quotePrefix="0" xfId="3">
      <alignment vertical="top"/>
    </xf>
    <xf numFmtId="165" fontId="5" fillId="0" borderId="0" applyAlignment="1" pivotButton="0" quotePrefix="0" xfId="3">
      <alignment vertical="top"/>
    </xf>
    <xf numFmtId="165" fontId="2" fillId="0" borderId="0" applyAlignment="1" pivotButton="0" quotePrefix="0" xfId="3">
      <alignment horizontal="right" vertical="top"/>
    </xf>
    <xf numFmtId="165" fontId="2" fillId="0" borderId="0" applyAlignment="1" pivotButton="0" quotePrefix="0" xfId="3">
      <alignment vertical="top"/>
    </xf>
    <xf numFmtId="164" fontId="2" fillId="0" borderId="0" applyAlignment="1" pivotButton="0" quotePrefix="0" xfId="2">
      <alignment vertical="top"/>
    </xf>
    <xf numFmtId="165" fontId="0" fillId="0" borderId="0" applyAlignment="1" pivotButton="0" quotePrefix="0" xfId="3">
      <alignment vertical="top"/>
    </xf>
    <xf numFmtId="164" fontId="5" fillId="0" borderId="0" applyAlignment="1" pivotButton="0" quotePrefix="0" xfId="2">
      <alignment horizontal="right" vertical="top"/>
    </xf>
    <xf numFmtId="164" fontId="5" fillId="0" borderId="0" applyAlignment="1" pivotButton="0" quotePrefix="0" xfId="2">
      <alignment horizontal="right" vertical="top"/>
    </xf>
    <xf numFmtId="168" fontId="2" fillId="0" borderId="0" applyAlignment="1" pivotButton="0" quotePrefix="0" xfId="6">
      <alignment vertical="top"/>
    </xf>
    <xf numFmtId="165" fontId="4" fillId="0" borderId="0" applyAlignment="1" pivotButton="0" quotePrefix="0" xfId="2">
      <alignment vertical="top"/>
    </xf>
    <xf numFmtId="165" fontId="5" fillId="0" borderId="0" applyAlignment="1" pivotButton="0" quotePrefix="0" xfId="2">
      <alignment vertical="top"/>
    </xf>
    <xf numFmtId="165" fontId="2" fillId="0" borderId="0" applyAlignment="1" pivotButton="0" quotePrefix="0" xfId="2">
      <alignment horizontal="right" vertical="top"/>
    </xf>
    <xf numFmtId="165" fontId="2" fillId="0" borderId="0" applyAlignment="1" pivotButton="0" quotePrefix="0" xfId="3">
      <alignment vertical="top"/>
    </xf>
    <xf numFmtId="165" fontId="2" fillId="2" borderId="0" applyAlignment="1" pivotButton="0" quotePrefix="0" xfId="2">
      <alignment vertical="top"/>
    </xf>
    <xf numFmtId="165" fontId="2" fillId="5" borderId="0" applyAlignment="1" pivotButton="0" quotePrefix="0" xfId="3">
      <alignment vertical="top"/>
    </xf>
    <xf numFmtId="165" fontId="2" fillId="0" borderId="0" applyAlignment="1" pivotButton="0" quotePrefix="0" xfId="2">
      <alignment vertical="top"/>
    </xf>
    <xf numFmtId="169" fontId="4" fillId="0" borderId="0" applyAlignment="1" pivotButton="0" quotePrefix="0" xfId="2">
      <alignment vertical="top"/>
    </xf>
    <xf numFmtId="169" fontId="5" fillId="0" borderId="0" applyAlignment="1" pivotButton="0" quotePrefix="0" xfId="2">
      <alignment vertical="top"/>
    </xf>
    <xf numFmtId="169" fontId="2" fillId="0" borderId="0" applyAlignment="1" pivotButton="0" quotePrefix="0" xfId="2">
      <alignment horizontal="right" vertical="top"/>
    </xf>
    <xf numFmtId="169" fontId="2" fillId="0" borderId="0" applyAlignment="1" pivotButton="0" quotePrefix="0" xfId="2">
      <alignment vertical="top"/>
    </xf>
    <xf numFmtId="169" fontId="2" fillId="0" borderId="0" applyAlignment="1" pivotButton="0" quotePrefix="0" xfId="7">
      <alignment vertical="top"/>
    </xf>
    <xf numFmtId="169" fontId="2" fillId="2" borderId="0" applyAlignment="1" pivotButton="0" quotePrefix="0" xfId="2">
      <alignment vertical="top"/>
    </xf>
    <xf numFmtId="169" fontId="2" fillId="0" borderId="0" applyAlignment="1" pivotButton="0" quotePrefix="0" xfId="2">
      <alignment vertical="top"/>
    </xf>
    <xf numFmtId="168" fontId="4" fillId="0" borderId="0" applyAlignment="1" pivotButton="0" quotePrefix="0" xfId="2">
      <alignment vertical="top"/>
    </xf>
    <xf numFmtId="168" fontId="5" fillId="0" borderId="0" applyAlignment="1" pivotButton="0" quotePrefix="0" xfId="2">
      <alignment vertical="top"/>
    </xf>
    <xf numFmtId="168" fontId="2" fillId="0" borderId="0" applyAlignment="1" pivotButton="0" quotePrefix="0" xfId="2">
      <alignment horizontal="right" vertical="top"/>
    </xf>
    <xf numFmtId="168" fontId="2" fillId="0" borderId="0" applyAlignment="1" pivotButton="0" quotePrefix="0" xfId="2">
      <alignment vertical="top"/>
    </xf>
    <xf numFmtId="168" fontId="2" fillId="2" borderId="0" applyAlignment="1" pivotButton="0" quotePrefix="0" xfId="2">
      <alignment vertical="top"/>
    </xf>
    <xf numFmtId="168" fontId="2" fillId="0" borderId="0" applyAlignment="1" pivotButton="0" quotePrefix="0" xfId="2">
      <alignment vertical="top"/>
    </xf>
    <xf numFmtId="164" fontId="5" fillId="0" borderId="0" applyAlignment="1" pivotButton="0" quotePrefix="0" xfId="2">
      <alignment horizontal="right" vertical="top"/>
    </xf>
    <xf numFmtId="164" fontId="5" fillId="0" borderId="0" applyAlignment="1" pivotButton="0" quotePrefix="0" xfId="2">
      <alignment horizontal="right" vertical="top"/>
    </xf>
    <xf numFmtId="164" fontId="2" fillId="0" borderId="0" applyAlignment="1" pivotButton="0" quotePrefix="0" xfId="2">
      <alignment vertical="top"/>
    </xf>
    <xf numFmtId="167" fontId="2" fillId="0" borderId="0" applyAlignment="1" pivotButton="0" quotePrefix="0" xfId="5">
      <alignment vertical="top"/>
    </xf>
    <xf numFmtId="167" fontId="4" fillId="0" borderId="0" applyAlignment="1" pivotButton="0" quotePrefix="0" xfId="2">
      <alignment vertical="top"/>
    </xf>
    <xf numFmtId="167" fontId="5" fillId="0" borderId="0" applyAlignment="1" pivotButton="0" quotePrefix="0" xfId="2">
      <alignment vertical="top"/>
    </xf>
    <xf numFmtId="167" fontId="2" fillId="0" borderId="0" applyAlignment="1" pivotButton="0" quotePrefix="0" xfId="2">
      <alignment horizontal="right" vertical="top"/>
    </xf>
    <xf numFmtId="167" fontId="2" fillId="0" borderId="0" applyAlignment="1" pivotButton="0" quotePrefix="0" xfId="2">
      <alignment vertical="top"/>
    </xf>
    <xf numFmtId="167" fontId="2" fillId="2" borderId="0" applyAlignment="1" pivotButton="0" quotePrefix="0" xfId="2">
      <alignment vertical="top"/>
    </xf>
    <xf numFmtId="167" fontId="2" fillId="0" borderId="0" applyAlignment="1" pivotButton="0" quotePrefix="0" xfId="2">
      <alignment vertical="top"/>
    </xf>
    <xf numFmtId="165" fontId="4" fillId="0" borderId="0" applyAlignment="1" pivotButton="0" quotePrefix="0" xfId="3">
      <alignment vertical="top"/>
    </xf>
    <xf numFmtId="165" fontId="5" fillId="0" borderId="0" applyAlignment="1" pivotButton="0" quotePrefix="0" xfId="3">
      <alignment vertical="top"/>
    </xf>
    <xf numFmtId="165" fontId="2" fillId="0" borderId="0" applyAlignment="1" pivotButton="0" quotePrefix="0" xfId="3">
      <alignment horizontal="right" vertical="top"/>
    </xf>
    <xf numFmtId="165" fontId="2" fillId="2" borderId="0" applyAlignment="1" pivotButton="0" quotePrefix="0" xfId="3">
      <alignment vertical="top"/>
    </xf>
    <xf numFmtId="169" fontId="2" fillId="0" borderId="0" applyAlignment="1" pivotButton="0" quotePrefix="0" xfId="7">
      <alignment vertical="top"/>
    </xf>
    <xf numFmtId="169" fontId="2" fillId="2" borderId="0" applyAlignment="1" pivotButton="0" quotePrefix="0" xfId="7">
      <alignment vertical="top"/>
    </xf>
    <xf numFmtId="169" fontId="2" fillId="0" borderId="0" applyAlignment="1" pivotButton="0" quotePrefix="0" xfId="7">
      <alignment vertical="top"/>
    </xf>
    <xf numFmtId="164" fontId="7" fillId="0" borderId="0" applyAlignment="1" pivotButton="0" quotePrefix="0" xfId="2">
      <alignment vertical="top"/>
    </xf>
    <xf numFmtId="164" fontId="7" fillId="2" borderId="0" applyAlignment="1" pivotButton="0" quotePrefix="0" xfId="2">
      <alignment vertical="top"/>
    </xf>
    <xf numFmtId="165" fontId="8" fillId="0" borderId="0" applyAlignment="1" pivotButton="0" quotePrefix="0" xfId="3">
      <alignment vertical="top"/>
    </xf>
    <xf numFmtId="166" fontId="5" fillId="0" borderId="0" applyAlignment="1" pivotButton="0" quotePrefix="0" xfId="4">
      <alignment vertical="top"/>
    </xf>
    <xf numFmtId="166" fontId="2" fillId="0" borderId="0" applyAlignment="1" pivotButton="0" quotePrefix="0" xfId="4">
      <alignment horizontal="right" vertical="top"/>
    </xf>
    <xf numFmtId="164" fontId="2" fillId="7" borderId="0" applyAlignment="1" pivotButton="0" quotePrefix="0" xfId="2">
      <alignment horizontal="right" vertical="top"/>
    </xf>
    <xf numFmtId="1" fontId="4" fillId="0" borderId="0" applyAlignment="1" pivotButton="0" quotePrefix="0" xfId="2">
      <alignment vertical="top"/>
    </xf>
    <xf numFmtId="1" fontId="5" fillId="0" borderId="0" applyAlignment="1" pivotButton="0" quotePrefix="0" xfId="2">
      <alignment vertical="top"/>
    </xf>
    <xf numFmtId="1" fontId="2" fillId="0" borderId="0" applyAlignment="1" pivotButton="0" quotePrefix="0" xfId="2">
      <alignment horizontal="right" vertical="top"/>
    </xf>
    <xf numFmtId="1" fontId="2" fillId="0" borderId="0" applyAlignment="1" pivotButton="0" quotePrefix="0" xfId="2">
      <alignment vertical="top"/>
    </xf>
    <xf numFmtId="170" fontId="2" fillId="0" borderId="0" applyAlignment="1" pivotButton="0" quotePrefix="0" xfId="2">
      <alignment vertical="top"/>
    </xf>
    <xf numFmtId="165" fontId="4" fillId="0" borderId="0" applyAlignment="1" pivotButton="0" quotePrefix="0" xfId="3">
      <alignment vertical="top"/>
    </xf>
    <xf numFmtId="165" fontId="2" fillId="0" borderId="0" applyAlignment="1" pivotButton="0" quotePrefix="0" xfId="3">
      <alignment horizontal="right" vertical="top"/>
    </xf>
    <xf numFmtId="165" fontId="2" fillId="0" borderId="0" applyAlignment="1" pivotButton="0" quotePrefix="0" xfId="3">
      <alignment vertical="top"/>
    </xf>
    <xf numFmtId="165" fontId="2" fillId="6" borderId="0" applyAlignment="1" pivotButton="0" quotePrefix="0" xfId="3">
      <alignment vertical="top"/>
    </xf>
    <xf numFmtId="168" fontId="4" fillId="0" borderId="0" applyAlignment="1" pivotButton="0" quotePrefix="0" xfId="6">
      <alignment vertical="top"/>
    </xf>
    <xf numFmtId="168" fontId="4" fillId="0" borderId="0" applyAlignment="1" pivotButton="0" quotePrefix="0" xfId="6">
      <alignment vertical="top"/>
    </xf>
    <xf numFmtId="168" fontId="5" fillId="0" borderId="0" applyAlignment="1" pivotButton="0" quotePrefix="0" xfId="6">
      <alignment vertical="top"/>
    </xf>
    <xf numFmtId="168" fontId="2" fillId="0" borderId="0" applyAlignment="1" pivotButton="0" quotePrefix="0" xfId="6">
      <alignment vertical="top"/>
    </xf>
    <xf numFmtId="168" fontId="2" fillId="0" borderId="0" applyAlignment="1" pivotButton="0" quotePrefix="0" xfId="3">
      <alignment vertical="top"/>
    </xf>
    <xf numFmtId="168" fontId="2" fillId="6" borderId="0" applyAlignment="1" pivotButton="0" quotePrefix="0" xfId="6">
      <alignment vertical="top"/>
    </xf>
    <xf numFmtId="168" fontId="2" fillId="0" borderId="0" applyAlignment="1" pivotButton="0" quotePrefix="0" xfId="6">
      <alignment vertical="top"/>
    </xf>
    <xf numFmtId="164" fontId="3" fillId="2" borderId="0" applyAlignment="1" pivotButton="0" quotePrefix="0" xfId="2">
      <alignment vertical="top"/>
    </xf>
    <xf numFmtId="1" fontId="2" fillId="2" borderId="0" applyAlignment="1" pivotButton="0" quotePrefix="0" xfId="2">
      <alignment vertical="top"/>
    </xf>
    <xf numFmtId="164" fontId="9" fillId="0" borderId="0" applyAlignment="1" pivotButton="0" quotePrefix="0" xfId="2">
      <alignment vertical="top"/>
    </xf>
    <xf numFmtId="171" fontId="4" fillId="0" borderId="0" applyAlignment="1" pivotButton="0" quotePrefix="0" xfId="7">
      <alignment vertical="top"/>
    </xf>
    <xf numFmtId="171" fontId="5" fillId="0" borderId="0" applyAlignment="1" pivotButton="0" quotePrefix="0" xfId="7">
      <alignment vertical="top"/>
    </xf>
    <xf numFmtId="171" fontId="2" fillId="0" borderId="0" applyAlignment="1" pivotButton="0" quotePrefix="0" xfId="7">
      <alignment vertical="top"/>
    </xf>
    <xf numFmtId="171" fontId="2" fillId="0" borderId="0" applyAlignment="1" pivotButton="0" quotePrefix="0" xfId="2">
      <alignment vertical="top"/>
    </xf>
    <xf numFmtId="171" fontId="2" fillId="2" borderId="0" applyAlignment="1" pivotButton="0" quotePrefix="0" xfId="7">
      <alignment vertical="top"/>
    </xf>
    <xf numFmtId="167" fontId="8" fillId="2" borderId="0" applyAlignment="1" pivotButton="0" quotePrefix="0" xfId="5">
      <alignment vertical="top"/>
    </xf>
    <xf numFmtId="164" fontId="8" fillId="2" borderId="0" applyAlignment="1" pivotButton="0" quotePrefix="0" xfId="2">
      <alignment vertical="top"/>
    </xf>
    <xf numFmtId="166" fontId="4" fillId="0" borderId="0" applyAlignment="1" pivotButton="0" quotePrefix="0" xfId="4">
      <alignment vertical="top"/>
    </xf>
    <xf numFmtId="166" fontId="5" fillId="0" borderId="0" applyAlignment="1" pivotButton="0" quotePrefix="0" xfId="4">
      <alignment vertical="top"/>
    </xf>
    <xf numFmtId="166" fontId="2" fillId="0" borderId="0" applyAlignment="1" pivotButton="0" quotePrefix="0" xfId="4">
      <alignment horizontal="right" vertical="top"/>
    </xf>
    <xf numFmtId="166" fontId="2" fillId="9" borderId="0" applyAlignment="1" pivotButton="0" quotePrefix="0" xfId="4">
      <alignment vertical="top"/>
    </xf>
    <xf numFmtId="166" fontId="2" fillId="2" borderId="0" applyAlignment="1" pivotButton="0" quotePrefix="0" xfId="4">
      <alignment vertical="top"/>
    </xf>
    <xf numFmtId="166" fontId="8" fillId="2" borderId="0" applyAlignment="1" pivotButton="0" quotePrefix="0" xfId="4">
      <alignment vertical="top"/>
    </xf>
    <xf numFmtId="166" fontId="2" fillId="0" borderId="0" applyAlignment="1" pivotButton="0" quotePrefix="0" xfId="3">
      <alignment vertical="top"/>
    </xf>
    <xf numFmtId="165" fontId="12" fillId="0" borderId="0" applyAlignment="1" pivotButton="0" quotePrefix="0" xfId="3">
      <alignment vertical="top"/>
    </xf>
    <xf numFmtId="165" fontId="12" fillId="0" borderId="0" applyAlignment="1" pivotButton="0" quotePrefix="0" xfId="3">
      <alignment vertical="top"/>
    </xf>
    <xf numFmtId="165" fontId="8" fillId="0" borderId="0" applyAlignment="1" pivotButton="0" quotePrefix="0" xfId="3">
      <alignment vertical="top"/>
    </xf>
    <xf numFmtId="165" fontId="8" fillId="2" borderId="0" applyAlignment="1" pivotButton="0" quotePrefix="0" xfId="3">
      <alignment vertical="top"/>
    </xf>
    <xf numFmtId="166" fontId="2" fillId="2" borderId="0" applyAlignment="1" pivotButton="0" quotePrefix="0" xfId="4">
      <alignment vertical="top"/>
    </xf>
    <xf numFmtId="1" fontId="2" fillId="9" borderId="0" applyAlignment="1" pivotButton="0" quotePrefix="0" xfId="2">
      <alignment vertical="top"/>
    </xf>
    <xf numFmtId="166" fontId="0" fillId="0" borderId="0" applyAlignment="1" pivotButton="0" quotePrefix="0" xfId="4">
      <alignment horizontal="right" vertical="top"/>
    </xf>
    <xf numFmtId="166" fontId="0" fillId="0" borderId="0" applyAlignment="1" pivotButton="0" quotePrefix="0" xfId="4">
      <alignment vertical="top"/>
    </xf>
    <xf numFmtId="166" fontId="0" fillId="2" borderId="0" applyAlignment="1" pivotButton="0" quotePrefix="0" xfId="4">
      <alignment vertical="top"/>
    </xf>
    <xf numFmtId="165" fontId="0" fillId="2" borderId="0" applyAlignment="1" pivotButton="0" quotePrefix="0" xfId="3">
      <alignment vertical="top"/>
    </xf>
    <xf numFmtId="167" fontId="4" fillId="0" borderId="0" applyAlignment="1" pivotButton="0" quotePrefix="0" xfId="5">
      <alignment vertical="top"/>
    </xf>
    <xf numFmtId="167" fontId="5" fillId="0" borderId="0" applyAlignment="1" pivotButton="0" quotePrefix="0" xfId="5">
      <alignment vertical="top"/>
    </xf>
    <xf numFmtId="167" fontId="2" fillId="0" borderId="0" applyAlignment="1" pivotButton="0" quotePrefix="0" xfId="5">
      <alignment vertical="top"/>
    </xf>
    <xf numFmtId="167" fontId="0" fillId="2" borderId="0" applyAlignment="1" pivotButton="0" quotePrefix="0" xfId="5">
      <alignment vertical="top"/>
    </xf>
    <xf numFmtId="167" fontId="4" fillId="0" borderId="0" applyAlignment="1" pivotButton="0" quotePrefix="0" xfId="3">
      <alignment vertical="top"/>
    </xf>
    <xf numFmtId="167" fontId="5" fillId="0" borderId="0" applyAlignment="1" pivotButton="0" quotePrefix="0" xfId="3">
      <alignment vertical="top"/>
    </xf>
    <xf numFmtId="167" fontId="2" fillId="0" borderId="0" applyAlignment="1" pivotButton="0" quotePrefix="0" xfId="3">
      <alignment horizontal="right" vertical="top"/>
    </xf>
    <xf numFmtId="172" fontId="2" fillId="0" borderId="0" applyAlignment="1" pivotButton="0" quotePrefix="0" xfId="3">
      <alignment vertical="top"/>
    </xf>
    <xf numFmtId="167" fontId="2" fillId="2" borderId="0" applyAlignment="1" pivotButton="0" quotePrefix="0" xfId="3">
      <alignment vertical="top"/>
    </xf>
    <xf numFmtId="166" fontId="0" fillId="7" borderId="0" applyAlignment="1" pivotButton="0" quotePrefix="0" xfId="4">
      <alignment vertical="top"/>
    </xf>
    <xf numFmtId="165" fontId="13" fillId="0" borderId="0" applyAlignment="1" pivotButton="0" quotePrefix="0" xfId="3">
      <alignment vertical="top"/>
    </xf>
    <xf numFmtId="165" fontId="14" fillId="0" borderId="0" applyAlignment="1" pivotButton="0" quotePrefix="0" xfId="3">
      <alignment vertical="top"/>
    </xf>
    <xf numFmtId="165" fontId="15" fillId="0" borderId="0" applyAlignment="1" pivotButton="0" quotePrefix="0" xfId="3">
      <alignment horizontal="right" vertical="top"/>
    </xf>
    <xf numFmtId="165" fontId="15" fillId="0" borderId="0" applyAlignment="1" pivotButton="0" quotePrefix="0" xfId="3">
      <alignment vertical="top"/>
    </xf>
    <xf numFmtId="165" fontId="15" fillId="2" borderId="0" applyAlignment="1" pivotButton="0" quotePrefix="0" xfId="3">
      <alignment vertical="top"/>
    </xf>
    <xf numFmtId="166" fontId="0" fillId="0" borderId="0" applyAlignment="1" pivotButton="0" quotePrefix="0" xfId="4">
      <alignment vertical="top"/>
    </xf>
    <xf numFmtId="165" fontId="0" fillId="0" borderId="0" applyAlignment="1" pivotButton="0" quotePrefix="0" xfId="3">
      <alignment horizontal="right" vertical="top"/>
    </xf>
    <xf numFmtId="165" fontId="0" fillId="2" borderId="0" applyAlignment="1" pivotButton="0" quotePrefix="0" xfId="3">
      <alignment vertical="top"/>
    </xf>
    <xf numFmtId="165" fontId="2" fillId="7" borderId="0" applyAlignment="1" pivotButton="0" quotePrefix="0" xfId="2">
      <alignment vertical="top"/>
    </xf>
    <xf numFmtId="164" fontId="6" fillId="0" borderId="0" applyAlignment="1" pivotButton="0" quotePrefix="0" xfId="2">
      <alignment vertical="top"/>
    </xf>
    <xf numFmtId="164" fontId="2" fillId="9" borderId="0" applyAlignment="1" pivotButton="0" quotePrefix="0" xfId="2">
      <alignment vertical="top"/>
    </xf>
    <xf numFmtId="165" fontId="2" fillId="2" borderId="0" applyAlignment="1" pivotButton="0" quotePrefix="0" xfId="3">
      <alignment vertical="top"/>
    </xf>
    <xf numFmtId="165" fontId="10" fillId="0" borderId="0" applyAlignment="1" pivotButton="0" quotePrefix="0" xfId="3">
      <alignment vertical="top"/>
    </xf>
    <xf numFmtId="165" fontId="11" fillId="0" borderId="0" applyAlignment="1" pivotButton="0" quotePrefix="0" xfId="3">
      <alignment vertical="top"/>
    </xf>
    <xf numFmtId="165" fontId="12" fillId="0" borderId="0" applyAlignment="1" pivotButton="0" quotePrefix="0" xfId="3">
      <alignment horizontal="right" vertical="top"/>
    </xf>
    <xf numFmtId="165" fontId="12" fillId="0" borderId="0" applyAlignment="1" pivotButton="0" quotePrefix="0" xfId="3">
      <alignment vertical="top"/>
    </xf>
    <xf numFmtId="165" fontId="2" fillId="0" borderId="0" applyAlignment="1" pivotButton="0" quotePrefix="0" xfId="2">
      <alignment horizontal="right" vertical="top"/>
    </xf>
    <xf numFmtId="165" fontId="2" fillId="0" borderId="0" applyAlignment="1" pivotButton="0" quotePrefix="0" xfId="2">
      <alignment vertical="top"/>
    </xf>
    <xf numFmtId="171" fontId="2" fillId="0" borderId="0" applyAlignment="1" pivotButton="0" quotePrefix="0" xfId="3">
      <alignment vertical="top"/>
    </xf>
    <xf numFmtId="165" fontId="8" fillId="2" borderId="0" applyAlignment="1" pivotButton="0" quotePrefix="0" xfId="3">
      <alignment vertical="top"/>
    </xf>
    <xf numFmtId="171" fontId="4" fillId="0" borderId="0" applyAlignment="1" pivotButton="0" quotePrefix="0" xfId="3">
      <alignment vertical="top"/>
    </xf>
    <xf numFmtId="171" fontId="5" fillId="0" borderId="0" applyAlignment="1" pivotButton="0" quotePrefix="0" xfId="3">
      <alignment vertical="top"/>
    </xf>
    <xf numFmtId="171" fontId="2" fillId="0" borderId="0" applyAlignment="1" pivotButton="0" quotePrefix="0" xfId="3">
      <alignment horizontal="right" vertical="top"/>
    </xf>
    <xf numFmtId="171" fontId="2" fillId="0" borderId="0" applyAlignment="1" pivotButton="0" quotePrefix="0" xfId="3">
      <alignment vertical="top"/>
    </xf>
    <xf numFmtId="171" fontId="2" fillId="2" borderId="0" applyAlignment="1" pivotButton="0" quotePrefix="0" xfId="3">
      <alignment vertical="top"/>
    </xf>
    <xf numFmtId="164" fontId="2" fillId="0" borderId="0" applyAlignment="1" pivotButton="0" quotePrefix="0" xfId="2">
      <alignment horizontal="left" vertical="top"/>
    </xf>
    <xf numFmtId="164" fontId="2" fillId="2" borderId="0" applyAlignment="1" pivotButton="0" quotePrefix="0" xfId="2">
      <alignment horizontal="right" vertical="top"/>
    </xf>
    <xf numFmtId="164" fontId="2" fillId="0" borderId="0" applyAlignment="1" pivotButton="0" quotePrefix="0" xfId="3">
      <alignment vertical="top"/>
    </xf>
    <xf numFmtId="165" fontId="4" fillId="0" borderId="0" applyAlignment="1" pivotButton="0" quotePrefix="0" xfId="3">
      <alignment vertical="top"/>
    </xf>
    <xf numFmtId="164" fontId="2" fillId="3" borderId="0" applyAlignment="1" pivotButton="0" quotePrefix="0" xfId="2">
      <alignment horizontal="right" vertical="top"/>
    </xf>
    <xf numFmtId="165" fontId="3" fillId="0" borderId="0" applyAlignment="1" pivotButton="0" quotePrefix="0" xfId="3">
      <alignment vertical="top"/>
    </xf>
    <xf numFmtId="166" fontId="2" fillId="0" borderId="0" applyAlignment="1" pivotButton="0" quotePrefix="0" xfId="4">
      <alignment vertical="top"/>
    </xf>
    <xf numFmtId="166" fontId="4" fillId="0" borderId="0" applyAlignment="1" pivotButton="0" quotePrefix="0" xfId="4">
      <alignment vertical="top"/>
    </xf>
    <xf numFmtId="165" fontId="2" fillId="0" borderId="1" applyAlignment="1" pivotButton="0" quotePrefix="0" xfId="3">
      <alignment vertical="top"/>
    </xf>
    <xf numFmtId="165" fontId="2" fillId="0" borderId="0" applyAlignment="1" pivotButton="0" quotePrefix="0" xfId="3">
      <alignment vertical="top"/>
    </xf>
    <xf numFmtId="166" fontId="2" fillId="0" borderId="0" applyAlignment="1" pivotButton="0" quotePrefix="0" xfId="4">
      <alignment horizontal="right" vertical="top"/>
    </xf>
    <xf numFmtId="164" fontId="4" fillId="0" borderId="0" applyAlignment="1" pivotButton="0" quotePrefix="0" xfId="2">
      <alignment vertical="top"/>
    </xf>
    <xf numFmtId="165" fontId="5" fillId="0" borderId="0" applyAlignment="1" pivotButton="0" quotePrefix="0" xfId="3">
      <alignment vertical="top"/>
    </xf>
    <xf numFmtId="167" fontId="8" fillId="0" borderId="0" applyAlignment="1" pivotButton="0" quotePrefix="0" xfId="5">
      <alignment vertical="top"/>
    </xf>
    <xf numFmtId="164" fontId="8" fillId="0" borderId="0" applyAlignment="1" pivotButton="0" quotePrefix="0" xfId="2">
      <alignment vertical="top"/>
    </xf>
    <xf numFmtId="166" fontId="8" fillId="0" borderId="0" applyAlignment="1" pivotButton="0" quotePrefix="0" xfId="3">
      <alignment vertical="top"/>
    </xf>
    <xf numFmtId="164" fontId="8" fillId="0" borderId="0" applyAlignment="1" pivotButton="0" quotePrefix="0" xfId="3">
      <alignment vertical="top"/>
    </xf>
    <xf numFmtId="164" fontId="4" fillId="0" borderId="2" applyAlignment="1" pivotButton="0" quotePrefix="0" xfId="2">
      <alignment vertical="top"/>
    </xf>
    <xf numFmtId="164" fontId="5" fillId="0" borderId="2" applyAlignment="1" pivotButton="0" quotePrefix="0" xfId="2">
      <alignment vertical="top"/>
    </xf>
    <xf numFmtId="164" fontId="2" fillId="0" borderId="2" applyAlignment="1" pivotButton="0" quotePrefix="0" xfId="2">
      <alignment horizontal="right" vertical="top"/>
    </xf>
    <xf numFmtId="164" fontId="2" fillId="10" borderId="2" applyAlignment="1" pivotButton="0" quotePrefix="0" xfId="2">
      <alignment vertical="top"/>
    </xf>
    <xf numFmtId="164" fontId="2" fillId="0" borderId="2" applyAlignment="1" pivotButton="0" quotePrefix="0" xfId="2">
      <alignment vertical="top"/>
    </xf>
    <xf numFmtId="164" fontId="2" fillId="0" borderId="2" applyAlignment="1" pivotButton="0" quotePrefix="0" xfId="2">
      <alignment vertical="top"/>
    </xf>
    <xf numFmtId="164" fontId="2" fillId="10" borderId="0" applyAlignment="1" pivotButton="0" quotePrefix="0" xfId="2">
      <alignment vertical="top"/>
    </xf>
    <xf numFmtId="164" fontId="4" fillId="0" borderId="3" applyAlignment="1" pivotButton="0" quotePrefix="0" xfId="2">
      <alignment vertical="top"/>
    </xf>
    <xf numFmtId="164" fontId="5" fillId="0" borderId="3" applyAlignment="1" pivotButton="0" quotePrefix="0" xfId="2">
      <alignment vertical="top"/>
    </xf>
    <xf numFmtId="164" fontId="2" fillId="0" borderId="3" applyAlignment="1" pivotButton="0" quotePrefix="0" xfId="2">
      <alignment horizontal="right" vertical="top"/>
    </xf>
    <xf numFmtId="164" fontId="2" fillId="10" borderId="3" applyAlignment="1" pivotButton="0" quotePrefix="0" xfId="2">
      <alignment vertical="top"/>
    </xf>
    <xf numFmtId="164" fontId="2" fillId="0" borderId="3" applyAlignment="1" pivotButton="0" quotePrefix="0" xfId="2">
      <alignment vertical="top"/>
    </xf>
    <xf numFmtId="164" fontId="2" fillId="0" borderId="3" applyAlignment="1" pivotButton="0" quotePrefix="0" xfId="2">
      <alignment vertical="top"/>
    </xf>
    <xf numFmtId="164" fontId="2" fillId="9" borderId="3" applyAlignment="1" pivotButton="0" quotePrefix="0" xfId="2">
      <alignment vertical="top"/>
    </xf>
    <xf numFmtId="165" fontId="10" fillId="0" borderId="0" applyAlignment="1" pivotButton="0" quotePrefix="0" xfId="3">
      <alignment vertical="top"/>
    </xf>
    <xf numFmtId="165" fontId="11" fillId="0" borderId="0" applyAlignment="1" pivotButton="0" quotePrefix="0" xfId="3">
      <alignment vertical="top"/>
    </xf>
    <xf numFmtId="165" fontId="12" fillId="0" borderId="0" applyAlignment="1" pivotButton="0" quotePrefix="0" xfId="3">
      <alignment horizontal="right" vertical="top"/>
    </xf>
    <xf numFmtId="165" fontId="9" fillId="0" borderId="0" applyAlignment="1" pivotButton="0" quotePrefix="0" xfId="3">
      <alignment vertical="top"/>
    </xf>
    <xf numFmtId="165" fontId="3" fillId="0" borderId="0" applyAlignment="1" pivotButton="0" quotePrefix="0" xfId="2">
      <alignment vertical="top"/>
    </xf>
    <xf numFmtId="164" fontId="16" fillId="0" borderId="0" applyAlignment="1" pivotButton="0" quotePrefix="0" xfId="2">
      <alignment vertical="top"/>
    </xf>
    <xf numFmtId="164" fontId="17" fillId="0" borderId="0" applyAlignment="1" pivotButton="0" quotePrefix="0" xfId="2">
      <alignment vertical="top"/>
    </xf>
    <xf numFmtId="164" fontId="18" fillId="0" borderId="0" applyAlignment="1" pivotButton="0" quotePrefix="0" xfId="2">
      <alignment horizontal="center" vertical="top"/>
    </xf>
    <xf numFmtId="165" fontId="19" fillId="0" borderId="0" applyAlignment="1" pivotButton="0" quotePrefix="0" xfId="2">
      <alignment horizontal="left" vertical="top"/>
    </xf>
    <xf numFmtId="164" fontId="17" fillId="0" borderId="0" applyAlignment="1" pivotButton="0" quotePrefix="0" xfId="2">
      <alignment vertical="top"/>
    </xf>
    <xf numFmtId="164" fontId="20" fillId="0" borderId="0" applyAlignment="1" pivotButton="0" quotePrefix="0" xfId="2">
      <alignment horizontal="left" vertical="top"/>
    </xf>
    <xf numFmtId="173" fontId="17" fillId="0" borderId="0" applyAlignment="1" pivotButton="0" quotePrefix="0" xfId="2">
      <alignment vertical="top"/>
    </xf>
    <xf numFmtId="166" fontId="2" fillId="9" borderId="0" applyAlignment="1" pivotButton="0" quotePrefix="0" xfId="4">
      <alignment vertical="top"/>
    </xf>
    <xf numFmtId="0" fontId="2" fillId="0" borderId="0" applyAlignment="1" pivotButton="0" quotePrefix="0" xfId="2">
      <alignment vertical="top" wrapText="1"/>
    </xf>
    <xf numFmtId="166" fontId="2" fillId="0" borderId="0" applyAlignment="1" pivotButton="0" quotePrefix="0" xfId="4">
      <alignment vertical="top"/>
    </xf>
    <xf numFmtId="14" fontId="2" fillId="0" borderId="5" applyAlignment="1" pivotButton="0" quotePrefix="0" xfId="2">
      <alignment horizontal="left" vertical="top"/>
    </xf>
    <xf numFmtId="173" fontId="2" fillId="0" borderId="0" applyAlignment="1" pivotButton="0" quotePrefix="0" xfId="2">
      <alignment vertical="top"/>
    </xf>
    <xf numFmtId="165" fontId="4" fillId="0" borderId="5" applyAlignment="1" pivotButton="0" quotePrefix="0" xfId="2">
      <alignment horizontal="left" vertical="top"/>
    </xf>
    <xf numFmtId="165" fontId="4" fillId="0" borderId="0" applyAlignment="1" pivotButton="0" quotePrefix="0" xfId="2">
      <alignment horizontal="left" vertical="top"/>
    </xf>
    <xf numFmtId="164" fontId="5" fillId="0" borderId="0" applyAlignment="1" pivotButton="0" quotePrefix="0" xfId="2">
      <alignment vertical="top"/>
    </xf>
    <xf numFmtId="164" fontId="2" fillId="6" borderId="0" applyAlignment="1" pivotButton="0" quotePrefix="0" xfId="2">
      <alignment vertical="top"/>
    </xf>
    <xf numFmtId="164" fontId="5" fillId="0" borderId="0" applyAlignment="1" pivotButton="0" quotePrefix="0" xfId="2">
      <alignment vertical="top"/>
    </xf>
    <xf numFmtId="164" fontId="2" fillId="9" borderId="0" applyAlignment="1" pivotButton="0" quotePrefix="0" xfId="2">
      <alignment vertical="top"/>
    </xf>
    <xf numFmtId="164" fontId="4" fillId="9" borderId="0" applyAlignment="1" pivotButton="0" quotePrefix="0" xfId="2">
      <alignment vertical="top"/>
    </xf>
    <xf numFmtId="164" fontId="5" fillId="9" borderId="0" applyAlignment="1" pivotButton="0" quotePrefix="0" xfId="2">
      <alignment vertical="top"/>
    </xf>
    <xf numFmtId="164" fontId="2" fillId="9" borderId="0" applyAlignment="1" pivotButton="0" quotePrefix="0" xfId="2">
      <alignment horizontal="right" vertical="top"/>
    </xf>
    <xf numFmtId="164" fontId="2" fillId="7" borderId="0" applyAlignment="1" pivotButton="0" quotePrefix="0" xfId="2">
      <alignment vertical="top"/>
    </xf>
    <xf numFmtId="173" fontId="2" fillId="9" borderId="0" applyAlignment="1" pivotButton="0" quotePrefix="0" xfId="2">
      <alignment vertical="top"/>
    </xf>
    <xf numFmtId="164" fontId="4" fillId="11" borderId="0" applyAlignment="1" pivotButton="0" quotePrefix="0" xfId="2">
      <alignment vertical="top"/>
    </xf>
    <xf numFmtId="164" fontId="5" fillId="11" borderId="0" applyAlignment="1" pivotButton="0" quotePrefix="0" xfId="2">
      <alignment vertical="top"/>
    </xf>
    <xf numFmtId="164" fontId="2" fillId="11" borderId="0" applyAlignment="1" pivotButton="0" quotePrefix="0" xfId="2">
      <alignment vertical="top"/>
    </xf>
    <xf numFmtId="164" fontId="2" fillId="11" borderId="0" applyAlignment="1" pivotButton="0" quotePrefix="0" xfId="2">
      <alignment horizontal="right" vertical="top"/>
    </xf>
    <xf numFmtId="164" fontId="9" fillId="11" borderId="0" applyAlignment="1" pivotButton="0" quotePrefix="0" xfId="2">
      <alignment vertical="top"/>
    </xf>
    <xf numFmtId="173" fontId="9" fillId="11" borderId="0" applyAlignment="1" pivotButton="0" quotePrefix="0" xfId="2">
      <alignment vertical="top"/>
    </xf>
    <xf numFmtId="165" fontId="2" fillId="11" borderId="0" applyAlignment="1" pivotButton="0" quotePrefix="0" xfId="2">
      <alignment vertical="top"/>
    </xf>
    <xf numFmtId="164" fontId="2" fillId="4" borderId="0" applyAlignment="1" pivotButton="0" quotePrefix="0" xfId="2">
      <alignment vertical="top"/>
    </xf>
    <xf numFmtId="164" fontId="2" fillId="12" borderId="0" applyAlignment="1" pivotButton="0" quotePrefix="0" xfId="2">
      <alignment vertical="top"/>
    </xf>
    <xf numFmtId="164" fontId="9" fillId="9" borderId="0" applyAlignment="1" pivotButton="0" quotePrefix="0" xfId="2">
      <alignment vertical="top"/>
    </xf>
    <xf numFmtId="164" fontId="4" fillId="8" borderId="0" applyAlignment="1" pivotButton="0" quotePrefix="0" xfId="2">
      <alignment vertical="top"/>
    </xf>
    <xf numFmtId="164" fontId="5" fillId="8" borderId="0" applyAlignment="1" pivotButton="0" quotePrefix="0" xfId="2">
      <alignment vertical="top"/>
    </xf>
    <xf numFmtId="164" fontId="2" fillId="8" borderId="0" applyAlignment="1" pivotButton="0" quotePrefix="0" xfId="2">
      <alignment vertical="top"/>
    </xf>
    <xf numFmtId="164" fontId="2" fillId="8" borderId="0" applyAlignment="1" pivotButton="0" quotePrefix="0" xfId="2">
      <alignment horizontal="right" vertical="top"/>
    </xf>
    <xf numFmtId="173" fontId="2" fillId="8" borderId="0" applyAlignment="1" pivotButton="0" quotePrefix="0" xfId="2">
      <alignment vertical="top"/>
    </xf>
    <xf numFmtId="165" fontId="2" fillId="8" borderId="0" applyAlignment="1" pivotButton="0" quotePrefix="0" xfId="2">
      <alignment vertical="top"/>
    </xf>
    <xf numFmtId="173" fontId="2" fillId="0" borderId="0" applyAlignment="1" pivotButton="0" quotePrefix="0" xfId="2">
      <alignment vertical="top"/>
    </xf>
    <xf numFmtId="165" fontId="2" fillId="12" borderId="0" applyAlignment="1" pivotButton="0" quotePrefix="0" xfId="2">
      <alignment vertical="top"/>
    </xf>
    <xf numFmtId="166" fontId="5" fillId="0" borderId="0" applyAlignment="1" pivotButton="0" quotePrefix="0" xfId="4">
      <alignment vertical="top"/>
    </xf>
    <xf numFmtId="174" fontId="2" fillId="0" borderId="0" applyAlignment="1" pivotButton="0" quotePrefix="0" xfId="4">
      <alignment vertical="top"/>
    </xf>
    <xf numFmtId="166" fontId="2" fillId="12" borderId="0" applyAlignment="1" pivotButton="0" quotePrefix="0" xfId="4">
      <alignment vertical="top"/>
    </xf>
    <xf numFmtId="174" fontId="4" fillId="0" borderId="0" applyAlignment="1" pivotButton="0" quotePrefix="0" xfId="4">
      <alignment vertical="top"/>
    </xf>
    <xf numFmtId="174" fontId="4" fillId="0" borderId="0" applyAlignment="1" pivotButton="0" quotePrefix="0" xfId="4">
      <alignment vertical="top"/>
    </xf>
    <xf numFmtId="174" fontId="5" fillId="0" borderId="0" applyAlignment="1" pivotButton="0" quotePrefix="0" xfId="4">
      <alignment vertical="top"/>
    </xf>
    <xf numFmtId="174" fontId="2" fillId="0" borderId="0" applyAlignment="1" pivotButton="0" quotePrefix="0" xfId="4">
      <alignment vertical="top"/>
    </xf>
    <xf numFmtId="164" fontId="2" fillId="0" borderId="0" applyAlignment="1" pivotButton="0" quotePrefix="0" xfId="2">
      <alignment horizontal="right" vertical="top"/>
    </xf>
    <xf numFmtId="174" fontId="2" fillId="9" borderId="0" applyAlignment="1" pivotButton="0" quotePrefix="0" xfId="4">
      <alignment vertical="top"/>
    </xf>
    <xf numFmtId="174" fontId="2" fillId="12" borderId="0" applyAlignment="1" pivotButton="0" quotePrefix="0" xfId="4">
      <alignment vertical="top"/>
    </xf>
    <xf numFmtId="165" fontId="4" fillId="7" borderId="0" applyAlignment="1" pivotButton="0" quotePrefix="0" xfId="2">
      <alignment vertical="top"/>
    </xf>
    <xf numFmtId="165" fontId="5" fillId="7" borderId="0" applyAlignment="1" pivotButton="0" quotePrefix="0" xfId="2">
      <alignment vertical="top"/>
    </xf>
    <xf numFmtId="164" fontId="4" fillId="7" borderId="0" applyAlignment="1" pivotButton="0" quotePrefix="0" xfId="2">
      <alignment vertical="top"/>
    </xf>
    <xf numFmtId="165" fontId="2" fillId="7" borderId="0" applyAlignment="1" pivotButton="0" quotePrefix="0" xfId="2">
      <alignment horizontal="right"/>
    </xf>
    <xf numFmtId="165" fontId="2" fillId="7" borderId="0" applyAlignment="1" pivotButton="0" quotePrefix="0" xfId="2">
      <alignment horizontal="left"/>
    </xf>
    <xf numFmtId="173" fontId="2" fillId="7" borderId="0" applyAlignment="1" pivotButton="0" quotePrefix="0" xfId="2">
      <alignment vertical="top"/>
    </xf>
    <xf numFmtId="164" fontId="2" fillId="6" borderId="0" applyAlignment="1" pivotButton="0" quotePrefix="0" xfId="2">
      <alignment vertical="top" wrapText="1"/>
    </xf>
    <xf numFmtId="168" fontId="2" fillId="0" borderId="0" applyAlignment="1" pivotButton="0" quotePrefix="0" xfId="1">
      <alignment vertical="top"/>
    </xf>
    <xf numFmtId="168" fontId="8" fillId="0" borderId="0" applyAlignment="1" pivotButton="0" quotePrefix="0" xfId="1">
      <alignment vertical="top"/>
    </xf>
    <xf numFmtId="168" fontId="2" fillId="0" borderId="0" applyAlignment="1" pivotButton="0" quotePrefix="0" xfId="1">
      <alignment vertical="top"/>
    </xf>
    <xf numFmtId="164" fontId="2" fillId="0" borderId="4" applyAlignment="1" pivotButton="0" quotePrefix="0" xfId="2">
      <alignment vertical="top"/>
    </xf>
    <xf numFmtId="168" fontId="2" fillId="0" borderId="0" applyAlignment="1" pivotButton="0" quotePrefix="0" xfId="1">
      <alignment vertical="top"/>
    </xf>
    <xf numFmtId="164" fontId="8" fillId="0" borderId="0" applyAlignment="1" pivotButton="0" quotePrefix="0" xfId="2">
      <alignment vertical="top"/>
    </xf>
    <xf numFmtId="164" fontId="2" fillId="0" borderId="4" applyAlignment="1" pivotButton="0" quotePrefix="0" xfId="2">
      <alignment vertical="top"/>
    </xf>
    <xf numFmtId="169" fontId="2" fillId="0" borderId="0" applyAlignment="1" pivotButton="0" quotePrefix="0" xfId="7">
      <alignment vertical="top"/>
    </xf>
    <xf numFmtId="164" fontId="7" fillId="2" borderId="0" applyAlignment="1" pivotButton="0" quotePrefix="0" xfId="2">
      <alignment horizontal="right" vertical="top"/>
    </xf>
    <xf numFmtId="164" fontId="4" fillId="0" borderId="4" applyAlignment="1" pivotButton="0" quotePrefix="0" xfId="2">
      <alignment vertical="top"/>
    </xf>
    <xf numFmtId="164" fontId="5" fillId="0" borderId="4" applyAlignment="1" pivotButton="0" quotePrefix="0" xfId="2">
      <alignment vertical="top"/>
    </xf>
    <xf numFmtId="164" fontId="2" fillId="4" borderId="4" applyAlignment="1" pivotButton="0" quotePrefix="0" xfId="2">
      <alignment vertical="top"/>
    </xf>
    <xf numFmtId="168" fontId="2" fillId="0" borderId="4" applyAlignment="1" pivotButton="0" quotePrefix="0" xfId="6">
      <alignment vertical="top"/>
    </xf>
    <xf numFmtId="164" fontId="2" fillId="9" borderId="4" applyAlignment="1" pivotButton="0" quotePrefix="0" xfId="2">
      <alignment vertical="top"/>
    </xf>
    <xf numFmtId="164" fontId="2" fillId="12" borderId="4" applyAlignment="1" pivotButton="0" quotePrefix="0" xfId="2">
      <alignment vertical="top"/>
    </xf>
    <xf numFmtId="164" fontId="9" fillId="9" borderId="4" applyAlignment="1" pivotButton="0" quotePrefix="0" xfId="2">
      <alignment vertical="top"/>
    </xf>
    <xf numFmtId="168" fontId="4" fillId="0" borderId="0" applyAlignment="1" pivotButton="0" quotePrefix="0" xfId="1">
      <alignment vertical="top"/>
    </xf>
    <xf numFmtId="168" fontId="2" fillId="0" borderId="0" applyAlignment="1" pivotButton="0" quotePrefix="0" xfId="1">
      <alignment vertical="top"/>
    </xf>
    <xf numFmtId="168" fontId="2" fillId="4" borderId="0" applyAlignment="1" pivotButton="0" quotePrefix="0" xfId="1">
      <alignment vertical="top"/>
    </xf>
    <xf numFmtId="168" fontId="2" fillId="9" borderId="0" applyAlignment="1" pivotButton="0" quotePrefix="0" xfId="1">
      <alignment vertical="top"/>
    </xf>
    <xf numFmtId="168" fontId="2" fillId="12" borderId="0" applyAlignment="1" pivotButton="0" quotePrefix="0" xfId="1">
      <alignment vertical="top"/>
    </xf>
    <xf numFmtId="168" fontId="9" fillId="9" borderId="0" applyAlignment="1" pivotButton="0" quotePrefix="0" xfId="1">
      <alignment vertical="top"/>
    </xf>
    <xf numFmtId="169" fontId="4" fillId="0" borderId="0" applyAlignment="1" pivotButton="0" quotePrefix="0" xfId="7">
      <alignment vertical="top"/>
    </xf>
    <xf numFmtId="169" fontId="2" fillId="0" borderId="0" applyAlignment="1" pivotButton="0" quotePrefix="0" xfId="7">
      <alignment vertical="top"/>
    </xf>
    <xf numFmtId="169" fontId="8" fillId="0" borderId="0" applyAlignment="1" pivotButton="0" quotePrefix="0" xfId="7">
      <alignment vertical="top"/>
    </xf>
    <xf numFmtId="169" fontId="2" fillId="4" borderId="0" applyAlignment="1" pivotButton="0" quotePrefix="0" xfId="7">
      <alignment vertical="top"/>
    </xf>
    <xf numFmtId="169" fontId="2" fillId="9" borderId="0" applyAlignment="1" pivotButton="0" quotePrefix="0" xfId="7">
      <alignment vertical="top"/>
    </xf>
    <xf numFmtId="169" fontId="2" fillId="12" borderId="0" applyAlignment="1" pivotButton="0" quotePrefix="0" xfId="7">
      <alignment vertical="top"/>
    </xf>
    <xf numFmtId="169" fontId="9" fillId="9" borderId="0" applyAlignment="1" pivotButton="0" quotePrefix="0" xfId="7">
      <alignment vertical="top"/>
    </xf>
    <xf numFmtId="175" fontId="7" fillId="2" borderId="0" applyAlignment="1" pivotButton="0" quotePrefix="0" xfId="8">
      <alignment vertical="top"/>
    </xf>
    <xf numFmtId="166" fontId="8" fillId="0" borderId="0" applyAlignment="1" pivotButton="0" quotePrefix="0" xfId="4">
      <alignment vertical="top"/>
    </xf>
    <xf numFmtId="175" fontId="8" fillId="0" borderId="0" applyAlignment="1" pivotButton="0" quotePrefix="0" xfId="2">
      <alignment vertical="top"/>
    </xf>
    <xf numFmtId="166" fontId="8" fillId="0" borderId="0" applyAlignment="1" pivotButton="0" quotePrefix="0" xfId="8">
      <alignment vertical="top"/>
    </xf>
    <xf numFmtId="165" fontId="7" fillId="0" borderId="0" applyAlignment="1" pivotButton="0" quotePrefix="0" xfId="3">
      <alignment vertical="top"/>
    </xf>
    <xf numFmtId="165" fontId="21" fillId="0" borderId="0" applyAlignment="1" pivotButton="0" quotePrefix="0" xfId="3">
      <alignment vertical="top"/>
    </xf>
    <xf numFmtId="165" fontId="22" fillId="0" borderId="0" applyAlignment="1" pivotButton="0" quotePrefix="0" xfId="3">
      <alignment vertical="top"/>
    </xf>
    <xf numFmtId="165" fontId="7" fillId="0" borderId="0" applyAlignment="1" pivotButton="0" quotePrefix="0" xfId="3">
      <alignment horizontal="right" vertical="top"/>
    </xf>
    <xf numFmtId="165" fontId="7" fillId="0" borderId="0" applyAlignment="1" pivotButton="0" quotePrefix="0" xfId="3">
      <alignment vertical="top"/>
    </xf>
    <xf numFmtId="164" fontId="7" fillId="0" borderId="0" applyAlignment="1" pivotButton="0" quotePrefix="0" xfId="2">
      <alignment vertical="top"/>
    </xf>
    <xf numFmtId="164" fontId="2" fillId="12" borderId="0" applyAlignment="1" pivotButton="0" quotePrefix="0" xfId="2">
      <alignment vertical="top"/>
    </xf>
    <xf numFmtId="164" fontId="4" fillId="0" borderId="0" applyAlignment="1" pivotButton="0" quotePrefix="0" xfId="2">
      <alignment vertical="top"/>
    </xf>
    <xf numFmtId="164" fontId="8" fillId="0" borderId="4" applyAlignment="1" pivotButton="0" quotePrefix="0" xfId="2">
      <alignment vertical="top"/>
    </xf>
    <xf numFmtId="164" fontId="8" fillId="0" borderId="0" applyAlignment="1" pivotButton="0" quotePrefix="0" xfId="2">
      <alignment vertical="top"/>
    </xf>
    <xf numFmtId="164" fontId="2" fillId="11" borderId="0" applyAlignment="1" pivotButton="0" quotePrefix="0" xfId="2">
      <alignment vertical="top"/>
    </xf>
    <xf numFmtId="164" fontId="9" fillId="11" borderId="0" applyAlignment="1" pivotButton="0" quotePrefix="0" xfId="2">
      <alignment vertical="top"/>
    </xf>
    <xf numFmtId="165" fontId="2" fillId="11" borderId="0" applyAlignment="1" pivotButton="0" quotePrefix="0" xfId="2">
      <alignment vertical="top"/>
    </xf>
    <xf numFmtId="173" fontId="9" fillId="11" borderId="0" applyAlignment="1" pivotButton="0" quotePrefix="0" xfId="2">
      <alignment vertical="top"/>
    </xf>
    <xf numFmtId="164" fontId="2" fillId="11" borderId="0" applyAlignment="1" pivotButton="0" quotePrefix="0" xfId="2">
      <alignment horizontal="right" vertical="top"/>
    </xf>
    <xf numFmtId="164" fontId="5" fillId="11" borderId="0" applyAlignment="1" pivotButton="0" quotePrefix="0" xfId="2">
      <alignment vertical="top"/>
    </xf>
    <xf numFmtId="164" fontId="4" fillId="11" borderId="0" applyAlignment="1" pivotButton="0" quotePrefix="0" xfId="2">
      <alignment vertical="top"/>
    </xf>
    <xf numFmtId="164" fontId="9" fillId="9" borderId="0" applyAlignment="1" pivotButton="0" quotePrefix="0" xfId="2">
      <alignment vertical="top"/>
    </xf>
    <xf numFmtId="164" fontId="8" fillId="0" borderId="4" applyAlignment="1" pivotButton="0" quotePrefix="0" xfId="3">
      <alignment vertical="top"/>
    </xf>
    <xf numFmtId="164" fontId="8" fillId="0" borderId="0" applyAlignment="1" pivotButton="0" quotePrefix="0" xfId="7">
      <alignment vertical="top"/>
    </xf>
    <xf numFmtId="164" fontId="8" fillId="0" borderId="0" applyAlignment="1" pivotButton="0" quotePrefix="0" xfId="1">
      <alignment vertical="top"/>
    </xf>
    <xf numFmtId="164" fontId="8" fillId="0" borderId="0" applyAlignment="1" pivotButton="0" quotePrefix="0" xfId="3">
      <alignment vertical="top"/>
    </xf>
    <xf numFmtId="166" fontId="8" fillId="0" borderId="0" applyAlignment="1" pivotButton="0" quotePrefix="0" xfId="3">
      <alignment vertical="top"/>
    </xf>
    <xf numFmtId="167" fontId="2" fillId="0" borderId="0" applyAlignment="1" pivotButton="0" quotePrefix="0" xfId="3">
      <alignment vertical="top"/>
    </xf>
    <xf numFmtId="166" fontId="21" fillId="0" borderId="0" applyAlignment="1" pivotButton="0" quotePrefix="0" xfId="4">
      <alignment vertical="top"/>
    </xf>
    <xf numFmtId="166" fontId="22" fillId="0" borderId="0" applyAlignment="1" pivotButton="0" quotePrefix="0" xfId="4">
      <alignment vertical="top"/>
    </xf>
    <xf numFmtId="166" fontId="7" fillId="0" borderId="0" applyAlignment="1" pivotButton="0" quotePrefix="0" xfId="4">
      <alignment horizontal="right" vertical="top"/>
    </xf>
    <xf numFmtId="166" fontId="7" fillId="0" borderId="0" applyAlignment="1" pivotButton="0" quotePrefix="0" xfId="4">
      <alignment vertical="top"/>
    </xf>
    <xf numFmtId="166" fontId="7" fillId="2" borderId="0" applyAlignment="1" pivotButton="0" quotePrefix="0" xfId="4">
      <alignment vertical="top"/>
    </xf>
    <xf numFmtId="165" fontId="12" fillId="0" borderId="1" applyAlignment="1" pivotButton="0" quotePrefix="0" xfId="3">
      <alignment vertical="top"/>
    </xf>
    <xf numFmtId="165" fontId="8" fillId="2" borderId="0" applyAlignment="1" pivotButton="0" quotePrefix="0" xfId="2">
      <alignment vertical="top"/>
    </xf>
    <xf numFmtId="164" fontId="10" fillId="0" borderId="3" applyAlignment="1" pivotButton="0" quotePrefix="0" xfId="2">
      <alignment vertical="top"/>
    </xf>
    <xf numFmtId="164" fontId="11" fillId="0" borderId="3" applyAlignment="1" pivotButton="0" quotePrefix="0" xfId="2">
      <alignment vertical="top"/>
    </xf>
    <xf numFmtId="164" fontId="12" fillId="0" borderId="3" applyAlignment="1" pivotButton="0" quotePrefix="0" xfId="2">
      <alignment horizontal="right" vertical="top"/>
    </xf>
    <xf numFmtId="164" fontId="12" fillId="0" borderId="3" applyAlignment="1" pivotButton="0" quotePrefix="0" xfId="2">
      <alignment vertical="top"/>
    </xf>
    <xf numFmtId="164" fontId="12" fillId="0" borderId="3" applyAlignment="1" pivotButton="0" quotePrefix="0" xfId="2">
      <alignment vertical="top"/>
    </xf>
    <xf numFmtId="164" fontId="12" fillId="9" borderId="3" applyAlignment="1" pivotButton="0" quotePrefix="0" xfId="2">
      <alignment vertical="top"/>
    </xf>
    <xf numFmtId="165" fontId="8" fillId="0" borderId="0" applyAlignment="1" pivotButton="0" quotePrefix="0" xfId="2">
      <alignment vertical="top"/>
    </xf>
    <xf numFmtId="164" fontId="8" fillId="0" borderId="0" applyAlignment="1" pivotButton="0" quotePrefix="0" xfId="2">
      <alignment vertical="top"/>
    </xf>
    <xf numFmtId="164" fontId="10" fillId="0" borderId="0" applyAlignment="1" pivotButton="0" quotePrefix="0" xfId="2">
      <alignment vertical="top"/>
    </xf>
    <xf numFmtId="164" fontId="11" fillId="0" borderId="0" applyAlignment="1" pivotButton="0" quotePrefix="0" xfId="2">
      <alignment vertical="top"/>
    </xf>
    <xf numFmtId="164" fontId="12" fillId="0" borderId="0" applyAlignment="1" pivotButton="0" quotePrefix="0" xfId="2">
      <alignment horizontal="right" vertical="top"/>
    </xf>
    <xf numFmtId="164" fontId="12" fillId="0" borderId="0" applyAlignment="1" pivotButton="0" quotePrefix="0" xfId="2">
      <alignment vertical="top"/>
    </xf>
    <xf numFmtId="164" fontId="12" fillId="2" borderId="0" applyAlignment="1" pivotButton="0" quotePrefix="0" xfId="2">
      <alignment vertical="top"/>
    </xf>
    <xf numFmtId="164" fontId="4" fillId="0" borderId="6" applyAlignment="1" pivotButton="0" quotePrefix="0" xfId="2">
      <alignment vertical="top"/>
    </xf>
    <xf numFmtId="164" fontId="5" fillId="0" borderId="6" applyAlignment="1" pivotButton="0" quotePrefix="0" xfId="2">
      <alignment vertical="top"/>
    </xf>
    <xf numFmtId="164" fontId="2" fillId="0" borderId="6" applyAlignment="1" pivotButton="0" quotePrefix="0" xfId="2">
      <alignment horizontal="right" vertical="top"/>
    </xf>
    <xf numFmtId="164" fontId="2" fillId="0" borderId="6" applyAlignment="1" pivotButton="0" quotePrefix="0" xfId="2">
      <alignment vertical="top"/>
    </xf>
    <xf numFmtId="164" fontId="2" fillId="0" borderId="4" applyAlignment="1" pivotButton="0" quotePrefix="0" xfId="2">
      <alignment horizontal="right" vertical="top"/>
    </xf>
    <xf numFmtId="168" fontId="8" fillId="0" borderId="0" applyAlignment="1" pivotButton="0" quotePrefix="0" xfId="2">
      <alignment vertical="top"/>
    </xf>
    <xf numFmtId="168" fontId="8" fillId="0" borderId="0" applyAlignment="1" pivotButton="0" quotePrefix="0" xfId="1">
      <alignment vertical="top"/>
    </xf>
    <xf numFmtId="167" fontId="8" fillId="0" borderId="0" applyAlignment="1" pivotButton="0" quotePrefix="0" xfId="2">
      <alignment vertical="top"/>
    </xf>
    <xf numFmtId="164" fontId="8" fillId="0" borderId="0" applyAlignment="1" pivotButton="0" quotePrefix="0" xfId="2">
      <alignment horizontal="right" vertical="top"/>
    </xf>
    <xf numFmtId="166" fontId="23" fillId="0" borderId="0" applyAlignment="1" pivotButton="0" quotePrefix="0" xfId="4">
      <alignment vertical="top"/>
    </xf>
    <xf numFmtId="166" fontId="24" fillId="0" borderId="0" applyAlignment="1" pivotButton="0" quotePrefix="0" xfId="4">
      <alignment vertical="top"/>
    </xf>
    <xf numFmtId="166" fontId="23" fillId="0" borderId="0" applyAlignment="1" pivotButton="0" quotePrefix="0" xfId="4">
      <alignment horizontal="right" vertical="top"/>
    </xf>
    <xf numFmtId="166" fontId="8" fillId="0" borderId="0" applyAlignment="1" pivotButton="0" quotePrefix="0" xfId="4">
      <alignment vertical="top"/>
    </xf>
    <xf numFmtId="169" fontId="8" fillId="0" borderId="0" applyAlignment="1" pivotButton="0" quotePrefix="0" xfId="2">
      <alignment vertical="top"/>
    </xf>
    <xf numFmtId="164" fontId="12" fillId="0" borderId="0" applyAlignment="1" pivotButton="0" quotePrefix="0" xfId="2">
      <alignment vertical="top"/>
    </xf>
    <xf numFmtId="169" fontId="12" fillId="0" borderId="0" applyAlignment="1" pivotButton="0" quotePrefix="0" xfId="7">
      <alignment vertical="top"/>
    </xf>
    <xf numFmtId="169" fontId="8" fillId="0" borderId="0" applyAlignment="1" pivotButton="0" quotePrefix="0" xfId="7">
      <alignment vertical="top"/>
    </xf>
    <xf numFmtId="165" fontId="10" fillId="0" borderId="0" applyAlignment="1" pivotButton="0" quotePrefix="0" xfId="3">
      <alignment vertical="top"/>
    </xf>
    <xf numFmtId="165" fontId="11" fillId="0" borderId="0" applyAlignment="1" pivotButton="0" quotePrefix="0" xfId="3">
      <alignment vertical="top"/>
    </xf>
    <xf numFmtId="165" fontId="12" fillId="2" borderId="0" applyAlignment="1" pivotButton="0" quotePrefix="0" xfId="3">
      <alignment vertical="top"/>
    </xf>
    <xf numFmtId="164" fontId="2" fillId="13" borderId="0" applyAlignment="1" pivotButton="0" quotePrefix="0" xfId="2">
      <alignment vertical="top"/>
    </xf>
    <xf numFmtId="164" fontId="4" fillId="13" borderId="0" applyAlignment="1" pivotButton="0" quotePrefix="0" xfId="2">
      <alignment vertical="top"/>
    </xf>
    <xf numFmtId="164" fontId="5" fillId="13" borderId="0" applyAlignment="1" pivotButton="0" quotePrefix="0" xfId="2">
      <alignment vertical="top"/>
    </xf>
    <xf numFmtId="164" fontId="2" fillId="13" borderId="0" applyAlignment="1" pivotButton="0" quotePrefix="0" xfId="2">
      <alignment horizontal="right" vertical="top"/>
    </xf>
    <xf numFmtId="164" fontId="4" fillId="2" borderId="0" applyAlignment="1" pivotButton="0" quotePrefix="0" xfId="2">
      <alignment vertical="top"/>
    </xf>
    <xf numFmtId="164" fontId="5" fillId="2" borderId="0" applyAlignment="1" pivotButton="0" quotePrefix="0" xfId="2">
      <alignment vertical="top"/>
    </xf>
    <xf numFmtId="164" fontId="2" fillId="2" borderId="0" applyAlignment="1" pivotButton="0" quotePrefix="0" xfId="2">
      <alignment horizontal="right" vertical="top"/>
    </xf>
    <xf numFmtId="164" fontId="10" fillId="0" borderId="4" applyAlignment="1" pivotButton="0" quotePrefix="0" xfId="2">
      <alignment vertical="top"/>
    </xf>
    <xf numFmtId="164" fontId="11" fillId="0" borderId="4" applyAlignment="1" pivotButton="0" quotePrefix="0" xfId="2">
      <alignment vertical="top"/>
    </xf>
    <xf numFmtId="164" fontId="12" fillId="0" borderId="4" applyAlignment="1" pivotButton="0" quotePrefix="0" xfId="2">
      <alignment horizontal="right" vertical="top"/>
    </xf>
    <xf numFmtId="164" fontId="12" fillId="0" borderId="4" applyAlignment="1" pivotButton="0" quotePrefix="0" xfId="2">
      <alignment vertical="top"/>
    </xf>
    <xf numFmtId="164" fontId="21" fillId="0" borderId="4" applyAlignment="1" pivotButton="0" quotePrefix="0" xfId="2">
      <alignment vertical="top"/>
    </xf>
    <xf numFmtId="164" fontId="22" fillId="0" borderId="4" applyAlignment="1" pivotButton="0" quotePrefix="0" xfId="2">
      <alignment vertical="top"/>
    </xf>
    <xf numFmtId="164" fontId="7" fillId="0" borderId="4" applyAlignment="1" pivotButton="0" quotePrefix="0" xfId="2">
      <alignment horizontal="right" vertical="top"/>
    </xf>
    <xf numFmtId="164" fontId="7" fillId="0" borderId="4" applyAlignment="1" pivotButton="0" quotePrefix="0" xfId="2">
      <alignment vertical="top"/>
    </xf>
    <xf numFmtId="165" fontId="12" fillId="0" borderId="1" applyAlignment="1" pivotButton="0" quotePrefix="0" xfId="3">
      <alignment vertical="top"/>
    </xf>
    <xf numFmtId="165" fontId="8" fillId="2" borderId="0" applyAlignment="1" pivotButton="0" quotePrefix="0" xfId="2">
      <alignment vertical="top"/>
    </xf>
    <xf numFmtId="164" fontId="8" fillId="0" borderId="2" applyAlignment="1" pivotButton="0" quotePrefix="0" xfId="2">
      <alignment vertical="top"/>
    </xf>
    <xf numFmtId="165" fontId="12" fillId="2" borderId="0" applyAlignment="1" pivotButton="0" quotePrefix="0" xfId="3">
      <alignment vertical="top"/>
    </xf>
    <xf numFmtId="164" fontId="2" fillId="0" borderId="6" applyAlignment="1" pivotButton="0" quotePrefix="0" xfId="2">
      <alignment vertical="top"/>
    </xf>
    <xf numFmtId="171" fontId="10" fillId="0" borderId="0" applyAlignment="1" pivotButton="0" quotePrefix="0" xfId="7">
      <alignment vertical="top"/>
    </xf>
    <xf numFmtId="171" fontId="11" fillId="0" borderId="0" applyAlignment="1" pivotButton="0" quotePrefix="0" xfId="7">
      <alignment vertical="top"/>
    </xf>
    <xf numFmtId="171" fontId="12" fillId="0" borderId="0" applyAlignment="1" pivotButton="0" quotePrefix="0" xfId="7">
      <alignment vertical="top"/>
    </xf>
    <xf numFmtId="171" fontId="12" fillId="0" borderId="0" applyAlignment="1" pivotButton="0" quotePrefix="0" xfId="7">
      <alignment vertical="top"/>
    </xf>
    <xf numFmtId="171" fontId="12" fillId="9" borderId="0" applyAlignment="1" pivotButton="0" quotePrefix="0" xfId="7">
      <alignment vertical="top"/>
    </xf>
    <xf numFmtId="171" fontId="12" fillId="2" borderId="0" applyAlignment="1" pivotButton="0" quotePrefix="0" xfId="7">
      <alignment vertical="top"/>
    </xf>
    <xf numFmtId="171" fontId="8" fillId="0" borderId="0" applyAlignment="1" pivotButton="0" quotePrefix="0" xfId="2">
      <alignment vertical="top"/>
    </xf>
    <xf numFmtId="164" fontId="4" fillId="0" borderId="7" applyAlignment="1" pivotButton="0" quotePrefix="0" xfId="2">
      <alignment vertical="top"/>
    </xf>
    <xf numFmtId="164" fontId="5" fillId="0" borderId="7" applyAlignment="1" pivotButton="0" quotePrefix="0" xfId="2">
      <alignment vertical="top"/>
    </xf>
    <xf numFmtId="164" fontId="2" fillId="0" borderId="7" applyAlignment="1" pivotButton="0" quotePrefix="0" xfId="2">
      <alignment horizontal="right" vertical="top"/>
    </xf>
    <xf numFmtId="164" fontId="2" fillId="0" borderId="7" applyAlignment="1" pivotButton="0" quotePrefix="0" xfId="2">
      <alignment vertical="top"/>
    </xf>
    <xf numFmtId="164" fontId="2" fillId="2" borderId="7" applyAlignment="1" pivotButton="0" quotePrefix="0" xfId="2">
      <alignment vertical="top"/>
    </xf>
    <xf numFmtId="164" fontId="4" fillId="0" borderId="4" applyAlignment="1" pivotButton="0" quotePrefix="0" xfId="0">
      <alignment vertical="top"/>
    </xf>
    <xf numFmtId="164" fontId="5" fillId="0" borderId="4" applyAlignment="1" pivotButton="0" quotePrefix="0" xfId="0">
      <alignment vertical="top"/>
    </xf>
    <xf numFmtId="164" fontId="2" fillId="0" borderId="4" applyAlignment="1" pivotButton="0" quotePrefix="0" xfId="0">
      <alignment vertical="top"/>
    </xf>
    <xf numFmtId="164" fontId="2" fillId="0" borderId="4" applyAlignment="1" pivotButton="0" quotePrefix="0" xfId="0">
      <alignment vertical="top"/>
    </xf>
    <xf numFmtId="168" fontId="4" fillId="0" borderId="0" applyAlignment="1" pivotButton="0" quotePrefix="0" xfId="1">
      <alignment vertical="top"/>
    </xf>
    <xf numFmtId="168" fontId="5" fillId="0" borderId="0" applyAlignment="1" pivotButton="0" quotePrefix="0" xfId="1">
      <alignment vertical="top"/>
    </xf>
    <xf numFmtId="168" fontId="2" fillId="0" borderId="4" applyAlignment="1" pivotButton="0" quotePrefix="0" xfId="1">
      <alignment vertical="top"/>
    </xf>
    <xf numFmtId="164" fontId="12" fillId="0" borderId="4" applyAlignment="1" pivotButton="0" quotePrefix="0" xfId="2">
      <alignment vertical="top"/>
    </xf>
    <xf numFmtId="169" fontId="4" fillId="0" borderId="0" applyAlignment="1" pivotButton="0" quotePrefix="0" xfId="7">
      <alignment vertical="top"/>
    </xf>
    <xf numFmtId="169" fontId="5" fillId="0" borderId="0" applyAlignment="1" pivotButton="0" quotePrefix="0" xfId="7">
      <alignment vertical="top"/>
    </xf>
    <xf numFmtId="164" fontId="0" fillId="0" borderId="0" applyAlignment="1" pivotButton="0" quotePrefix="0" xfId="0">
      <alignment horizontal="center" vertical="top"/>
    </xf>
    <xf numFmtId="164" fontId="25" fillId="0" borderId="0" applyAlignment="1" pivotButton="0" quotePrefix="0" xfId="2">
      <alignment vertical="top"/>
    </xf>
    <xf numFmtId="175" fontId="7" fillId="2" borderId="0" applyAlignment="1" pivotButton="0" quotePrefix="0" xfId="8">
      <alignment vertical="top"/>
    </xf>
    <xf numFmtId="0" fontId="0" fillId="0" borderId="0" pivotButton="0" quotePrefix="0" xfId="0"/>
    <xf numFmtId="165" fontId="2" fillId="14" borderId="0" applyAlignment="1" pivotButton="0" quotePrefix="0" xfId="3">
      <alignment vertical="top"/>
    </xf>
    <xf numFmtId="175" fontId="8" fillId="0" borderId="0" applyAlignment="1" pivotButton="0" quotePrefix="0" xfId="2">
      <alignment vertical="top"/>
    </xf>
    <xf numFmtId="172" fontId="2" fillId="0" borderId="0" applyAlignment="1" pivotButton="0" quotePrefix="0" xfId="3">
      <alignment vertical="top"/>
    </xf>
    <xf numFmtId="176" fontId="2" fillId="0" borderId="1" applyAlignment="1" pivotButton="0" quotePrefix="0" xfId="3">
      <alignment vertical="top"/>
    </xf>
    <xf numFmtId="177" fontId="2" fillId="0" borderId="1" applyAlignment="1" pivotButton="0" quotePrefix="0" xfId="3">
      <alignment vertical="top"/>
    </xf>
    <xf numFmtId="173" fontId="2" fillId="0" borderId="0" applyAlignment="1" pivotButton="0" quotePrefix="0" xfId="2">
      <alignment vertical="top"/>
    </xf>
    <xf numFmtId="173" fontId="17" fillId="0" borderId="0" applyAlignment="1" pivotButton="0" quotePrefix="0" xfId="2">
      <alignment vertical="top"/>
    </xf>
    <xf numFmtId="173" fontId="2" fillId="9" borderId="0" applyAlignment="1" pivotButton="0" quotePrefix="0" xfId="2">
      <alignment vertical="top"/>
    </xf>
    <xf numFmtId="173" fontId="9" fillId="11" borderId="0" applyAlignment="1" pivotButton="0" quotePrefix="0" xfId="2">
      <alignment vertical="top"/>
    </xf>
    <xf numFmtId="178" fontId="2" fillId="0" borderId="0" applyAlignment="1" pivotButton="0" quotePrefix="0" xfId="2">
      <alignment vertical="top"/>
    </xf>
    <xf numFmtId="179" fontId="2" fillId="0" borderId="0" applyAlignment="1" pivotButton="0" quotePrefix="0" xfId="6">
      <alignment vertical="top"/>
    </xf>
    <xf numFmtId="178" fontId="2" fillId="9" borderId="0" applyAlignment="1" pivotButton="0" quotePrefix="0" xfId="2">
      <alignment vertical="top"/>
    </xf>
    <xf numFmtId="178" fontId="2" fillId="12" borderId="0" applyAlignment="1" pivotButton="0" quotePrefix="0" xfId="2">
      <alignment vertical="top"/>
    </xf>
    <xf numFmtId="178" fontId="9" fillId="9" borderId="0" applyAlignment="1" pivotButton="0" quotePrefix="0" xfId="2">
      <alignment vertical="top"/>
    </xf>
    <xf numFmtId="10" fontId="8" fillId="0" borderId="0" applyAlignment="1" pivotButton="0" quotePrefix="0" xfId="1">
      <alignment vertical="top"/>
    </xf>
    <xf numFmtId="10" fontId="2" fillId="0" borderId="0" applyAlignment="1" pivotButton="0" quotePrefix="0" xfId="1">
      <alignment vertical="top"/>
    </xf>
    <xf numFmtId="179" fontId="2" fillId="0" borderId="0" applyAlignment="1" pivotButton="0" quotePrefix="0" xfId="1">
      <alignment vertical="top"/>
    </xf>
    <xf numFmtId="10" fontId="2" fillId="9" borderId="0" applyAlignment="1" pivotButton="0" quotePrefix="0" xfId="1">
      <alignment vertical="top"/>
    </xf>
    <xf numFmtId="10" fontId="2" fillId="12" borderId="0" applyAlignment="1" pivotButton="0" quotePrefix="0" xfId="1">
      <alignment vertical="top"/>
    </xf>
    <xf numFmtId="10" fontId="9" fillId="9" borderId="0" applyAlignment="1" pivotButton="0" quotePrefix="0" xfId="1">
      <alignment vertical="top"/>
    </xf>
    <xf numFmtId="178" fontId="8" fillId="0" borderId="0" applyAlignment="1" pivotButton="0" quotePrefix="0" xfId="2">
      <alignment vertical="top"/>
    </xf>
    <xf numFmtId="177" fontId="8" fillId="0" borderId="0" applyAlignment="1" pivotButton="0" quotePrefix="0" xfId="7">
      <alignment vertical="top"/>
    </xf>
    <xf numFmtId="177" fontId="2" fillId="0" borderId="0" applyAlignment="1" pivotButton="0" quotePrefix="0" xfId="7">
      <alignment vertical="top"/>
    </xf>
    <xf numFmtId="179" fontId="2" fillId="0" borderId="0" applyAlignment="1" pivotButton="0" quotePrefix="0" xfId="7">
      <alignment vertical="top"/>
    </xf>
    <xf numFmtId="177" fontId="2" fillId="9" borderId="0" applyAlignment="1" pivotButton="0" quotePrefix="0" xfId="7">
      <alignment vertical="top"/>
    </xf>
    <xf numFmtId="177" fontId="2" fillId="12" borderId="0" applyAlignment="1" pivotButton="0" quotePrefix="0" xfId="7">
      <alignment vertical="top"/>
    </xf>
    <xf numFmtId="177" fontId="9" fillId="9" borderId="0" applyAlignment="1" pivotButton="0" quotePrefix="0" xfId="7">
      <alignment vertical="top"/>
    </xf>
    <xf numFmtId="178" fontId="8" fillId="0" borderId="0" applyAlignment="1" pivotButton="0" quotePrefix="0" xfId="3">
      <alignment vertical="top"/>
    </xf>
    <xf numFmtId="179" fontId="8" fillId="0" borderId="4" applyAlignment="1" pivotButton="0" quotePrefix="0" xfId="3">
      <alignment vertical="top"/>
    </xf>
    <xf numFmtId="179" fontId="2" fillId="0" borderId="4" applyAlignment="1" pivotButton="0" quotePrefix="0" xfId="2">
      <alignment vertical="top"/>
    </xf>
    <xf numFmtId="179" fontId="2" fillId="0" borderId="4" applyAlignment="1" pivotButton="0" quotePrefix="0" xfId="6">
      <alignment vertical="top"/>
    </xf>
    <xf numFmtId="179" fontId="2" fillId="9" borderId="4" applyAlignment="1" pivotButton="0" quotePrefix="0" xfId="2">
      <alignment vertical="top"/>
    </xf>
    <xf numFmtId="179" fontId="2" fillId="12" borderId="4" applyAlignment="1" pivotButton="0" quotePrefix="0" xfId="2">
      <alignment vertical="top"/>
    </xf>
    <xf numFmtId="179" fontId="9" fillId="9" borderId="4" applyAlignment="1" pivotButton="0" quotePrefix="0" xfId="2">
      <alignment vertical="top"/>
    </xf>
    <xf numFmtId="178" fontId="8" fillId="0" borderId="4" applyAlignment="1" pivotButton="0" quotePrefix="0" xfId="3">
      <alignment vertical="top"/>
    </xf>
    <xf numFmtId="178" fontId="2" fillId="0" borderId="4" applyAlignment="1" pivotButton="0" quotePrefix="0" xfId="2">
      <alignment vertical="top"/>
    </xf>
    <xf numFmtId="178" fontId="2" fillId="9" borderId="4" applyAlignment="1" pivotButton="0" quotePrefix="0" xfId="2">
      <alignment vertical="top"/>
    </xf>
    <xf numFmtId="178" fontId="2" fillId="12" borderId="4" applyAlignment="1" pivotButton="0" quotePrefix="0" xfId="2">
      <alignment vertical="top"/>
    </xf>
    <xf numFmtId="178" fontId="9" fillId="9" borderId="4" applyAlignment="1" pivotButton="0" quotePrefix="0" xfId="2">
      <alignment vertical="top"/>
    </xf>
    <xf numFmtId="179" fontId="8" fillId="0" borderId="0" applyAlignment="1" pivotButton="0" quotePrefix="0" xfId="3">
      <alignment vertical="top"/>
    </xf>
    <xf numFmtId="179" fontId="2" fillId="0" borderId="0" applyAlignment="1" pivotButton="0" quotePrefix="0" xfId="2">
      <alignment vertical="top"/>
    </xf>
    <xf numFmtId="179" fontId="2" fillId="9" borderId="0" applyAlignment="1" pivotButton="0" quotePrefix="0" xfId="2">
      <alignment vertical="top"/>
    </xf>
    <xf numFmtId="179" fontId="2" fillId="12" borderId="0" applyAlignment="1" pivotButton="0" quotePrefix="0" xfId="2">
      <alignment vertical="top"/>
    </xf>
    <xf numFmtId="179" fontId="9" fillId="9" borderId="0" applyAlignment="1" pivotButton="0" quotePrefix="0" xfId="2">
      <alignment vertical="top"/>
    </xf>
    <xf numFmtId="1" fontId="8" fillId="14" borderId="4" applyAlignment="1" pivotButton="0" quotePrefix="0" xfId="3">
      <alignment vertical="top"/>
    </xf>
    <xf numFmtId="1" fontId="8" fillId="14" borderId="0" applyAlignment="1" pivotButton="0" quotePrefix="0" xfId="3">
      <alignment vertical="top"/>
    </xf>
    <xf numFmtId="1" fontId="2" fillId="14" borderId="0" applyAlignment="1" pivotButton="0" quotePrefix="0" xfId="2">
      <alignment vertical="top"/>
    </xf>
    <xf numFmtId="178" fontId="8" fillId="0" borderId="4" applyAlignment="1" pivotButton="0" quotePrefix="0" xfId="2">
      <alignment vertical="top"/>
    </xf>
    <xf numFmtId="1" fontId="8" fillId="14" borderId="0" applyAlignment="1" pivotButton="0" quotePrefix="0" xfId="2">
      <alignment vertical="top"/>
    </xf>
    <xf numFmtId="1" fontId="8" fillId="14" borderId="4" applyAlignment="1" pivotButton="0" quotePrefix="0" xfId="2">
      <alignment vertical="top"/>
    </xf>
    <xf numFmtId="177" fontId="2" fillId="0" borderId="0" applyAlignment="1" pivotButton="0" quotePrefix="0" xfId="2">
      <alignment vertical="top"/>
    </xf>
    <xf numFmtId="177" fontId="2" fillId="9" borderId="0" applyAlignment="1" pivotButton="0" quotePrefix="0" xfId="2">
      <alignment vertical="top"/>
    </xf>
    <xf numFmtId="177" fontId="2" fillId="12" borderId="0" applyAlignment="1" pivotButton="0" quotePrefix="0" xfId="2">
      <alignment vertical="top"/>
    </xf>
    <xf numFmtId="177" fontId="9" fillId="9" borderId="0" applyAlignment="1" pivotButton="0" quotePrefix="0" xfId="2">
      <alignment vertical="top"/>
    </xf>
    <xf numFmtId="180" fontId="0" fillId="14" borderId="0" pivotButton="0" quotePrefix="0" xfId="0"/>
    <xf numFmtId="178" fontId="0" fillId="0" borderId="0" pivotButton="0" quotePrefix="0" xfId="0"/>
    <xf numFmtId="178" fontId="2" fillId="7" borderId="0" applyAlignment="1" pivotButton="0" quotePrefix="0" xfId="2">
      <alignment vertical="top"/>
    </xf>
    <xf numFmtId="173" fontId="2" fillId="8" borderId="0" applyAlignment="1" pivotButton="0" quotePrefix="0" xfId="2">
      <alignment vertical="top"/>
    </xf>
    <xf numFmtId="174" fontId="2" fillId="0" borderId="0" applyAlignment="1" pivotButton="0" quotePrefix="0" xfId="4">
      <alignment vertical="top"/>
    </xf>
    <xf numFmtId="174" fontId="4" fillId="0" borderId="0" applyAlignment="1" pivotButton="0" quotePrefix="0" xfId="4">
      <alignment vertical="top"/>
    </xf>
    <xf numFmtId="174" fontId="5" fillId="0" borderId="0" applyAlignment="1" pivotButton="0" quotePrefix="0" xfId="4">
      <alignment vertical="top"/>
    </xf>
    <xf numFmtId="174" fontId="2" fillId="9" borderId="0" applyAlignment="1" pivotButton="0" quotePrefix="0" xfId="4">
      <alignment vertical="top"/>
    </xf>
    <xf numFmtId="174" fontId="2" fillId="12" borderId="0" applyAlignment="1" pivotButton="0" quotePrefix="0" xfId="4">
      <alignment vertical="top"/>
    </xf>
    <xf numFmtId="173" fontId="2" fillId="7" borderId="0" applyAlignment="1" pivotButton="0" quotePrefix="0" xfId="2">
      <alignment vertical="top"/>
    </xf>
    <xf numFmtId="0" fontId="0" fillId="15" borderId="0" pivotButton="0" quotePrefix="0" xfId="0"/>
    <xf numFmtId="0" fontId="26" fillId="15" borderId="0" pivotButton="0" quotePrefix="0" xfId="0"/>
    <xf numFmtId="0" fontId="27" fillId="15" borderId="0" pivotButton="0" quotePrefix="0" xfId="0"/>
    <xf numFmtId="0" fontId="28" fillId="15" borderId="0" pivotButton="0" quotePrefix="0" xfId="0"/>
    <xf numFmtId="0" fontId="29" fillId="0" borderId="0" pivotButton="0" quotePrefix="0" xfId="0"/>
    <xf numFmtId="0" fontId="30" fillId="0" borderId="0" pivotButton="0" quotePrefix="0" xfId="0"/>
    <xf numFmtId="0" fontId="3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32" fillId="0" borderId="0" pivotButton="0" quotePrefix="0" xfId="0"/>
    <xf numFmtId="0" fontId="0" fillId="14" borderId="0" pivotButton="0" quotePrefix="0" xfId="0"/>
    <xf numFmtId="0" fontId="33" fillId="0" borderId="0" pivotButton="0" quotePrefix="0" xfId="0"/>
    <xf numFmtId="0" fontId="34" fillId="0" borderId="0" pivotButton="0" quotePrefix="0" xfId="0"/>
    <xf numFmtId="0" fontId="35" fillId="0" borderId="0" pivotButton="0" quotePrefix="0" xfId="0"/>
    <xf numFmtId="0" fontId="36" fillId="15" borderId="0" pivotButton="0" quotePrefix="0" xfId="0"/>
    <xf numFmtId="0" fontId="37" fillId="15" borderId="0" pivotButton="0" quotePrefix="0" xfId="0"/>
    <xf numFmtId="0" fontId="38" fillId="15" borderId="0" pivotButton="0" quotePrefix="0" xfId="0"/>
    <xf numFmtId="0" fontId="39" fillId="16" borderId="0" pivotButton="0" quotePrefix="0" xfId="0"/>
    <xf numFmtId="0" fontId="0" fillId="16" borderId="0" pivotButton="0" quotePrefix="0" xfId="0"/>
    <xf numFmtId="178" fontId="40" fillId="16" borderId="0" pivotButton="0" quotePrefix="0" xfId="0"/>
    <xf numFmtId="179" fontId="40" fillId="16" borderId="0" pivotButton="0" quotePrefix="0" xfId="0"/>
    <xf numFmtId="177" fontId="40" fillId="16" borderId="0" pivotButton="0" quotePrefix="0" xfId="0"/>
    <xf numFmtId="0" fontId="41" fillId="15" borderId="0" applyAlignment="1" pivotButton="0" quotePrefix="0" xfId="0">
      <alignment horizontal="center"/>
    </xf>
    <xf numFmtId="178" fontId="0" fillId="0" borderId="0" pivotButton="0" quotePrefix="0" xfId="0"/>
    <xf numFmtId="0" fontId="31" fillId="16" borderId="0" pivotButton="0" quotePrefix="0" xfId="0"/>
    <xf numFmtId="178" fontId="0" fillId="16" borderId="0" pivotButton="0" quotePrefix="0" xfId="0"/>
    <xf numFmtId="177" fontId="0" fillId="0" borderId="0" pivotButton="0" quotePrefix="0" xfId="0"/>
    <xf numFmtId="3" fontId="2" fillId="0" borderId="0" applyAlignment="1" pivotButton="0" quotePrefix="0" xfId="3">
      <alignment vertical="top"/>
    </xf>
    <xf numFmtId="3" fontId="2" fillId="14" borderId="0" applyAlignment="1" pivotButton="0" quotePrefix="0" xfId="3">
      <alignment vertical="top"/>
    </xf>
    <xf numFmtId="178" fontId="2" fillId="0" borderId="0" applyAlignment="1" pivotButton="0" quotePrefix="0" xfId="2">
      <alignment vertical="top"/>
    </xf>
    <xf numFmtId="178" fontId="2" fillId="14" borderId="0" applyAlignment="1" pivotButton="0" quotePrefix="0" xfId="2">
      <alignment vertical="top"/>
    </xf>
    <xf numFmtId="10" fontId="2" fillId="0" borderId="0" applyAlignment="1" pivotButton="0" quotePrefix="0" xfId="6">
      <alignment vertical="top"/>
    </xf>
    <xf numFmtId="10" fontId="2" fillId="14" borderId="0" applyAlignment="1" pivotButton="0" quotePrefix="0" xfId="6">
      <alignment vertical="top"/>
    </xf>
    <xf numFmtId="177" fontId="2" fillId="0" borderId="0" applyAlignment="1" pivotButton="0" quotePrefix="0" xfId="6">
      <alignment vertical="top"/>
    </xf>
    <xf numFmtId="177" fontId="2" fillId="14" borderId="0" applyAlignment="1" pivotButton="0" quotePrefix="0" xfId="6">
      <alignment vertical="top"/>
    </xf>
    <xf numFmtId="181" fontId="4" fillId="0" borderId="0" applyAlignment="1" pivotButton="0" quotePrefix="0" xfId="4">
      <alignment vertical="top"/>
    </xf>
    <xf numFmtId="181" fontId="8" fillId="0" borderId="0" applyAlignment="1" pivotButton="0" quotePrefix="0" xfId="2">
      <alignment vertical="top"/>
    </xf>
    <xf numFmtId="178" fontId="8" fillId="0" borderId="0" applyAlignment="1" pivotButton="0" quotePrefix="0" xfId="2">
      <alignment vertical="top"/>
    </xf>
    <xf numFmtId="181" fontId="12" fillId="0" borderId="4" applyAlignment="1" pivotButton="0" quotePrefix="0" xfId="2">
      <alignment vertical="top"/>
    </xf>
    <xf numFmtId="181" fontId="0" fillId="0" borderId="0" pivotButton="0" quotePrefix="0" xfId="0"/>
    <xf numFmtId="1" fontId="0" fillId="0" borderId="0" pivotButton="0" quotePrefix="0" xfId="0"/>
    <xf numFmtId="10" fontId="0" fillId="0" borderId="0" pivotButton="0" quotePrefix="0" xfId="0"/>
    <xf numFmtId="10" fontId="2" fillId="0" borderId="0" applyAlignment="1" pivotButton="0" quotePrefix="0" xfId="2">
      <alignment vertical="top"/>
    </xf>
    <xf numFmtId="178" fontId="12" fillId="0" borderId="4" applyAlignment="1" pivotButton="0" quotePrefix="0" xfId="2">
      <alignment vertical="top"/>
    </xf>
    <xf numFmtId="182" fontId="0" fillId="0" borderId="0" pivotButton="0" quotePrefix="0" xfId="0"/>
    <xf numFmtId="182" fontId="2" fillId="0" borderId="0" applyAlignment="1" pivotButton="0" quotePrefix="0" xfId="2">
      <alignment vertical="top"/>
    </xf>
    <xf numFmtId="10" fontId="8" fillId="0" borderId="0" applyAlignment="1" pivotButton="0" quotePrefix="0" xfId="2">
      <alignment vertical="top"/>
    </xf>
    <xf numFmtId="1" fontId="8" fillId="0" borderId="0" applyAlignment="1" pivotButton="0" quotePrefix="0" xfId="2">
      <alignment vertical="top"/>
    </xf>
    <xf numFmtId="183" fontId="2" fillId="0" borderId="0" applyAlignment="1" pivotButton="0" quotePrefix="0" xfId="2">
      <alignment vertical="top"/>
    </xf>
    <xf numFmtId="0" fontId="2" fillId="0" borderId="0" applyAlignment="1" pivotButton="0" quotePrefix="0" xfId="2">
      <alignment vertical="top"/>
    </xf>
    <xf numFmtId="177" fontId="8" fillId="0" borderId="0" applyAlignment="1" pivotButton="0" quotePrefix="0" xfId="2">
      <alignment vertical="top"/>
    </xf>
    <xf numFmtId="177" fontId="12" fillId="0" borderId="4" applyAlignment="1" pivotButton="0" quotePrefix="0" xfId="2">
      <alignment vertical="top"/>
    </xf>
    <xf numFmtId="179" fontId="2" fillId="0" borderId="0" applyAlignment="1" pivotButton="0" quotePrefix="0" xfId="6">
      <alignment vertical="top"/>
    </xf>
    <xf numFmtId="178" fontId="2" fillId="9" borderId="0" applyAlignment="1" pivotButton="0" quotePrefix="0" xfId="2">
      <alignment vertical="top"/>
    </xf>
    <xf numFmtId="178" fontId="2" fillId="12" borderId="0" applyAlignment="1" pivotButton="0" quotePrefix="0" xfId="2">
      <alignment vertical="top"/>
    </xf>
    <xf numFmtId="178" fontId="9" fillId="9" borderId="0" applyAlignment="1" pivotButton="0" quotePrefix="0" xfId="2">
      <alignment vertical="top"/>
    </xf>
    <xf numFmtId="179" fontId="2" fillId="0" borderId="0" applyAlignment="1" pivotButton="0" quotePrefix="0" xfId="1">
      <alignment vertical="top"/>
    </xf>
    <xf numFmtId="179" fontId="2" fillId="0" borderId="0" applyAlignment="1" pivotButton="0" quotePrefix="0" xfId="7">
      <alignment vertical="top"/>
    </xf>
    <xf numFmtId="178" fontId="8" fillId="0" borderId="0" applyAlignment="1" pivotButton="0" quotePrefix="0" xfId="3">
      <alignment vertical="top"/>
    </xf>
    <xf numFmtId="179" fontId="8" fillId="0" borderId="4" applyAlignment="1" pivotButton="0" quotePrefix="0" xfId="3">
      <alignment vertical="top"/>
    </xf>
    <xf numFmtId="179" fontId="2" fillId="0" borderId="4" applyAlignment="1" pivotButton="0" quotePrefix="0" xfId="2">
      <alignment vertical="top"/>
    </xf>
    <xf numFmtId="179" fontId="2" fillId="0" borderId="4" applyAlignment="1" pivotButton="0" quotePrefix="0" xfId="6">
      <alignment vertical="top"/>
    </xf>
    <xf numFmtId="179" fontId="2" fillId="9" borderId="4" applyAlignment="1" pivotButton="0" quotePrefix="0" xfId="2">
      <alignment vertical="top"/>
    </xf>
    <xf numFmtId="179" fontId="2" fillId="12" borderId="4" applyAlignment="1" pivotButton="0" quotePrefix="0" xfId="2">
      <alignment vertical="top"/>
    </xf>
    <xf numFmtId="179" fontId="9" fillId="9" borderId="4" applyAlignment="1" pivotButton="0" quotePrefix="0" xfId="2">
      <alignment vertical="top"/>
    </xf>
    <xf numFmtId="178" fontId="8" fillId="0" borderId="4" applyAlignment="1" pivotButton="0" quotePrefix="0" xfId="3">
      <alignment vertical="top"/>
    </xf>
    <xf numFmtId="178" fontId="2" fillId="0" borderId="4" applyAlignment="1" pivotButton="0" quotePrefix="0" xfId="2">
      <alignment vertical="top"/>
    </xf>
    <xf numFmtId="178" fontId="2" fillId="9" borderId="4" applyAlignment="1" pivotButton="0" quotePrefix="0" xfId="2">
      <alignment vertical="top"/>
    </xf>
    <xf numFmtId="178" fontId="2" fillId="12" borderId="4" applyAlignment="1" pivotButton="0" quotePrefix="0" xfId="2">
      <alignment vertical="top"/>
    </xf>
    <xf numFmtId="178" fontId="9" fillId="9" borderId="4" applyAlignment="1" pivotButton="0" quotePrefix="0" xfId="2">
      <alignment vertical="top"/>
    </xf>
    <xf numFmtId="179" fontId="8" fillId="0" borderId="0" applyAlignment="1" pivotButton="0" quotePrefix="0" xfId="3">
      <alignment vertical="top"/>
    </xf>
    <xf numFmtId="179" fontId="2" fillId="0" borderId="0" applyAlignment="1" pivotButton="0" quotePrefix="0" xfId="2">
      <alignment vertical="top"/>
    </xf>
    <xf numFmtId="179" fontId="2" fillId="9" borderId="0" applyAlignment="1" pivotButton="0" quotePrefix="0" xfId="2">
      <alignment vertical="top"/>
    </xf>
    <xf numFmtId="179" fontId="2" fillId="12" borderId="0" applyAlignment="1" pivotButton="0" quotePrefix="0" xfId="2">
      <alignment vertical="top"/>
    </xf>
    <xf numFmtId="179" fontId="9" fillId="9" borderId="0" applyAlignment="1" pivotButton="0" quotePrefix="0" xfId="2">
      <alignment vertical="top"/>
    </xf>
    <xf numFmtId="178" fontId="8" fillId="0" borderId="4" applyAlignment="1" pivotButton="0" quotePrefix="0" xfId="2">
      <alignment vertical="top"/>
    </xf>
    <xf numFmtId="180" fontId="0" fillId="14" borderId="0" pivotButton="0" quotePrefix="0" xfId="0"/>
    <xf numFmtId="178" fontId="2" fillId="7" borderId="0" applyAlignment="1" pivotButton="0" quotePrefix="0" xfId="2">
      <alignment vertical="top"/>
    </xf>
  </cellXfs>
  <cellStyles count="9">
    <cellStyle name="Normal" xfId="0" builtinId="0"/>
    <cellStyle name="Percent" xfId="1" builtinId="5"/>
    <cellStyle name="Normal 2" xfId="2"/>
    <cellStyle name="Comma 2" xfId="3"/>
    <cellStyle name="DateShort" xfId="4"/>
    <cellStyle name="DateLong" xfId="5"/>
    <cellStyle name="Percent 2" xfId="6"/>
    <cellStyle name="Factor" xfId="7"/>
    <cellStyle name="Year" xfId="8"/>
  </cellStyles>
  <dxfs count="39">
    <dxf>
      <fill>
        <patternFill>
          <bgColor indexed="44"/>
        </patternFill>
      </fill>
    </dxf>
    <dxf>
      <fill>
        <patternFill>
          <bgColor indexed="47"/>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44"/>
        </patternFill>
      </fill>
    </dxf>
    <dxf>
      <fill>
        <patternFill>
          <bgColor indexed="47"/>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44"/>
        </patternFill>
      </fill>
    </dxf>
    <dxf>
      <fill>
        <patternFill>
          <bgColor indexed="47"/>
        </patternFill>
      </fill>
    </dxf>
    <dxf>
      <fill>
        <patternFill>
          <bgColor indexed="10"/>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10"/>
        </patternFill>
      </fill>
    </dxf>
    <dxf>
      <fill>
        <patternFill>
          <bgColor indexed="10"/>
        </patternFill>
      </fill>
    </dxf>
    <dxf>
      <fill>
        <patternFill>
          <bgColor rgb="FF7030A0"/>
        </patternFill>
      </fill>
    </dxf>
    <dxf>
      <fill>
        <patternFill>
          <bgColor indexed="44"/>
        </patternFill>
      </fill>
    </dxf>
    <dxf>
      <fill>
        <patternFill>
          <bgColor indexed="4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and EBITDA by year</a:t>
            </a:r>
          </a:p>
        </rich>
      </tx>
    </title>
    <plotArea>
      <barChart>
        <barDir val="col"/>
        <grouping val="clustered"/>
        <ser>
          <idx val="0"/>
          <order val="0"/>
          <tx>
            <strRef>
              <f>'Dashboard'!B16</f>
            </strRef>
          </tx>
          <spPr>
            <a:solidFill xmlns:a="http://schemas.openxmlformats.org/drawingml/2006/main">
              <a:srgbClr val="0B5E82"/>
            </a:solidFill>
            <a:ln xmlns:a="http://schemas.openxmlformats.org/drawingml/2006/main">
              <a:solidFill>
                <a:srgbClr val="0B5E82"/>
              </a:solidFill>
              <a:prstDash val="solid"/>
            </a:ln>
          </spPr>
          <cat>
            <numRef>
              <f>'Dashboard'!$C$15:$V$15</f>
            </numRef>
          </cat>
          <val>
            <numRef>
              <f>'Dashboard'!$C$16:$V$16</f>
            </numRef>
          </val>
        </ser>
        <ser>
          <idx val="1"/>
          <order val="1"/>
          <tx>
            <strRef>
              <f>'Dashboard'!B18</f>
            </strRef>
          </tx>
          <spPr>
            <a:solidFill xmlns:a="http://schemas.openxmlformats.org/drawingml/2006/main">
              <a:srgbClr val="D99A2B"/>
            </a:solidFill>
            <a:ln xmlns:a="http://schemas.openxmlformats.org/drawingml/2006/main">
              <a:solidFill>
                <a:srgbClr val="D99A2B"/>
              </a:solidFill>
              <a:prstDash val="solid"/>
            </a:ln>
          </spPr>
          <cat>
            <numRef>
              <f>'Dashboard'!$C$15:$V$15</f>
            </numRef>
          </cat>
          <val>
            <numRef>
              <f>'Dashboard'!$C$18:$V$18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$000s</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CFADS and senior debt service</a:t>
            </a:r>
          </a:p>
        </rich>
      </tx>
    </title>
    <plotArea>
      <barChart>
        <barDir val="col"/>
        <grouping val="clustered"/>
        <ser>
          <idx val="0"/>
          <order val="0"/>
          <tx>
            <strRef>
              <f>'Dashboard'!B19</f>
            </strRef>
          </tx>
          <spPr>
            <a:solidFill xmlns:a="http://schemas.openxmlformats.org/drawingml/2006/main">
              <a:srgbClr val="141B4D"/>
            </a:solidFill>
            <a:ln xmlns:a="http://schemas.openxmlformats.org/drawingml/2006/main">
              <a:solidFill>
                <a:srgbClr val="141B4D"/>
              </a:solidFill>
              <a:prstDash val="solid"/>
            </a:ln>
          </spPr>
          <cat>
            <numRef>
              <f>'Dashboard'!$C$15:$V$15</f>
            </numRef>
          </cat>
          <val>
            <numRef>
              <f>'Dashboard'!$C$19:$V$19</f>
            </numRef>
          </val>
        </ser>
        <ser>
          <idx val="1"/>
          <order val="1"/>
          <tx>
            <strRef>
              <f>'Dashboard'!B20</f>
            </strRef>
          </tx>
          <spPr>
            <a:solidFill xmlns:a="http://schemas.openxmlformats.org/drawingml/2006/main">
              <a:srgbClr val="D99A2B"/>
            </a:solidFill>
            <a:ln xmlns:a="http://schemas.openxmlformats.org/drawingml/2006/main">
              <a:solidFill>
                <a:srgbClr val="D99A2B"/>
              </a:solidFill>
              <a:prstDash val="solid"/>
            </a:ln>
          </spPr>
          <cat>
            <numRef>
              <f>'Dashboard'!$C$15:$V$15</f>
            </numRef>
          </cat>
          <val>
            <numRef>
              <f>'Dashboard'!$C$20:$V$20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$000s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DSCR by year</a:t>
            </a:r>
          </a:p>
        </rich>
      </tx>
    </title>
    <plotArea>
      <lineChart>
        <grouping val="standard"/>
        <ser>
          <idx val="0"/>
          <order val="0"/>
          <tx>
            <strRef>
              <f>'Dashboard'!B22</f>
            </strRef>
          </tx>
          <spPr>
            <a:solidFill xmlns:a="http://schemas.openxmlformats.org/drawingml/2006/main">
              <a:srgbClr val="0B5E82"/>
            </a:solidFill>
            <a:ln xmlns:a="http://schemas.openxmlformats.org/drawingml/2006/main">
              <a:solidFill>
                <a:srgbClr val="0B5E82"/>
              </a:solidFill>
              <a:prstDash val="solid"/>
            </a:ln>
          </spPr>
          <marker>
            <symbol val="none"/>
            <spPr>
              <a:ln xmlns:a="http://schemas.openxmlformats.org/drawingml/2006/main">
                <a:prstDash val="solid"/>
              </a:ln>
            </spPr>
          </marker>
          <cat>
            <numRef>
              <f>'Dashboard'!$C$15:$V$15</f>
            </numRef>
          </cat>
          <val>
            <numRef>
              <f>'Dashboard'!$C$22:$V$22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Dividends by year</a:t>
            </a:r>
          </a:p>
        </rich>
      </tx>
    </title>
    <plotArea>
      <barChart>
        <barDir val="col"/>
        <grouping val="clustered"/>
        <ser>
          <idx val="0"/>
          <order val="0"/>
          <tx>
            <strRef>
              <f>'Dashboard'!B21</f>
            </strRef>
          </tx>
          <spPr>
            <a:solidFill xmlns:a="http://schemas.openxmlformats.org/drawingml/2006/main">
              <a:srgbClr val="1C7293"/>
            </a:solidFill>
            <a:ln xmlns:a="http://schemas.openxmlformats.org/drawingml/2006/main">
              <a:solidFill>
                <a:srgbClr val="1C7293"/>
              </a:solidFill>
              <a:prstDash val="solid"/>
            </a:ln>
          </spPr>
          <cat>
            <numRef>
              <f>'Dashboard'!$C$15:$V$15</f>
            </numRef>
          </cat>
          <val>
            <numRef>
              <f>'Dashboard'!$C$21:$V$21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$000s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7</col>
      <colOff>0</colOff>
      <row>0</row>
      <rowOff>0</rowOff>
    </from>
    <ext cx="1428750" cy="49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0</row>
      <rowOff>0</rowOff>
    </from>
    <ext cx="552450" cy="552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0</row>
      <rowOff>0</rowOff>
    </from>
    <ext cx="552450" cy="55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24</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24</row>
      <rowOff>0</rowOff>
    </from>
    <ext cx="61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42</row>
      <rowOff>0</rowOff>
    </from>
    <ext cx="612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42</row>
      <rowOff>0</rowOff>
    </from>
    <ext cx="6120000" cy="30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InpC'!A1" TargetMode="External" Id="rId2"/><Relationship Type="http://schemas.openxmlformats.org/officeDocument/2006/relationships/hyperlink" Target="#'InpS'!A1" TargetMode="External" Id="rId3"/><Relationship Type="http://schemas.openxmlformats.org/officeDocument/2006/relationships/hyperlink" Target="#'Time'!A1" TargetMode="External" Id="rId4"/><Relationship Type="http://schemas.openxmlformats.org/officeDocument/2006/relationships/hyperlink" Target="#'Esc'!A1" TargetMode="External" Id="rId5"/><Relationship Type="http://schemas.openxmlformats.org/officeDocument/2006/relationships/hyperlink" Target="#'Constr'!A1" TargetMode="External" Id="rId6"/><Relationship Type="http://schemas.openxmlformats.org/officeDocument/2006/relationships/hyperlink" Target="#'OpRev'!A1" TargetMode="External" Id="rId7"/><Relationship Type="http://schemas.openxmlformats.org/officeDocument/2006/relationships/hyperlink" Target="#'OpCost'!A1" TargetMode="External" Id="rId8"/><Relationship Type="http://schemas.openxmlformats.org/officeDocument/2006/relationships/hyperlink" Target="#'Tax'!A1" TargetMode="External" Id="rId9"/><Relationship Type="http://schemas.openxmlformats.org/officeDocument/2006/relationships/hyperlink" Target="#'NCA'!A1" TargetMode="External" Id="rId10"/><Relationship Type="http://schemas.openxmlformats.org/officeDocument/2006/relationships/hyperlink" Target="#'Debt'!A1" TargetMode="External" Id="rId11"/><Relationship Type="http://schemas.openxmlformats.org/officeDocument/2006/relationships/hyperlink" Target="#'Sculpt'!A1" TargetMode="External" Id="rId12"/><Relationship Type="http://schemas.openxmlformats.org/officeDocument/2006/relationships/hyperlink" Target="#'DSRA'!A1" TargetMode="External" Id="rId13"/><Relationship Type="http://schemas.openxmlformats.org/officeDocument/2006/relationships/hyperlink" Target="#'SHL'!A1" TargetMode="External" Id="rId14"/><Relationship Type="http://schemas.openxmlformats.org/officeDocument/2006/relationships/hyperlink" Target="#'Equity'!A1" TargetMode="External" Id="rId15"/><Relationship Type="http://schemas.openxmlformats.org/officeDocument/2006/relationships/hyperlink" Target="#'FinStat'!A1" TargetMode="External" Id="rId16"/><Relationship Type="http://schemas.openxmlformats.org/officeDocument/2006/relationships/hyperlink" Target="#'Ratios'!A1" TargetMode="External" Id="rId17"/><Relationship Type="http://schemas.openxmlformats.org/officeDocument/2006/relationships/hyperlink" Target="#'Val'!A1" TargetMode="External" Id="rId18"/><Relationship Type="http://schemas.openxmlformats.org/officeDocument/2006/relationships/hyperlink" Target="#'Track'!A1" TargetMode="External" Id="rId19"/><Relationship Type="http://schemas.openxmlformats.org/officeDocument/2006/relationships/drawing" Target="/xl/drawings/drawing1.xml" Id="rId20"/></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99A2B"/>
    <outlinePr summaryBelow="1" summaryRight="1"/>
    <pageSetUpPr/>
  </sheetPr>
  <dimension ref="A1:H64"/>
  <sheetViews>
    <sheetView showGridLines="0" workbookViewId="0">
      <selection activeCell="A1" sqref="A1"/>
    </sheetView>
  </sheetViews>
  <sheetFormatPr baseColWidth="8" defaultRowHeight="15"/>
  <cols>
    <col width="3" customWidth="1" style="396" min="1" max="1"/>
    <col width="24" customWidth="1" style="396" min="2" max="2"/>
    <col width="44" customWidth="1" style="396" min="3" max="3"/>
    <col width="22" customWidth="1" style="396" min="4" max="4"/>
    <col width="22" customWidth="1" style="396" min="5" max="5"/>
    <col width="22" customWidth="1" style="396" min="6" max="6"/>
    <col width="22" customWidth="1" style="396" min="7" max="7"/>
    <col width="12" customWidth="1" style="396" min="8" max="8"/>
  </cols>
  <sheetData>
    <row r="1">
      <c r="A1" s="461" t="n"/>
      <c r="B1" s="461" t="n"/>
      <c r="C1" s="461" t="n"/>
      <c r="D1" s="461" t="n"/>
      <c r="E1" s="461" t="n"/>
      <c r="F1" s="461" t="n"/>
      <c r="G1" s="461" t="n"/>
      <c r="H1" s="461" t="n"/>
    </row>
    <row r="2" ht="30" customHeight="1" s="396">
      <c r="A2" s="461" t="n"/>
      <c r="B2" s="462" t="inlineStr">
        <is>
          <t>TrainStat Project Finance Model: complete</t>
        </is>
      </c>
      <c r="C2" s="461" t="n"/>
      <c r="D2" s="461" t="n"/>
      <c r="E2" s="461" t="n"/>
      <c r="F2" s="461" t="n"/>
      <c r="G2" s="461" t="n"/>
      <c r="H2" s="461" t="n"/>
    </row>
    <row r="3">
      <c r="A3" s="461" t="n"/>
      <c r="B3" s="463" t="inlineStr">
        <is>
          <t>Mastering Infrastructure and Project Finance Boot Camp  |  Lagos Business School  |  14 to 22 October 2026</t>
        </is>
      </c>
      <c r="C3" s="461" t="n"/>
      <c r="D3" s="461" t="n"/>
      <c r="E3" s="461" t="n"/>
      <c r="F3" s="461" t="n"/>
      <c r="G3" s="461" t="n"/>
      <c r="H3" s="461" t="n"/>
    </row>
    <row r="4">
      <c r="A4" s="461" t="n"/>
      <c r="B4" s="464" t="inlineStr">
        <is>
          <t>bongo.ai  |  MIPF  |  Prof Bongo Adi  |  +234 706 164 8699  |  badi@lbs.edu.ng  |  bongo.adi@fulbrightmail.org</t>
        </is>
      </c>
      <c r="C4" s="461" t="n"/>
      <c r="D4" s="461" t="n"/>
      <c r="E4" s="461" t="n"/>
      <c r="F4" s="461" t="n"/>
      <c r="G4" s="461" t="n"/>
      <c r="H4" s="461" t="n"/>
    </row>
    <row r="5">
      <c r="A5" s="461" t="n"/>
      <c r="B5" s="461" t="n"/>
      <c r="C5" s="461" t="n"/>
      <c r="D5" s="461" t="n"/>
      <c r="E5" s="461" t="n"/>
      <c r="F5" s="461" t="n"/>
      <c r="G5" s="461" t="n"/>
      <c r="H5" s="461" t="n"/>
    </row>
    <row r="7">
      <c r="B7" s="465" t="inlineStr">
        <is>
          <t>MODEL STATUS</t>
        </is>
      </c>
      <c r="C7" s="466" t="str">
        <f>IF(FinStat!F80+FinStat!F83+FinStat!F86+Time!F120+IF(ABS(Constr!F55)&gt;CHK_TOL,1,0)+IF(SUMPRODUCT(ABS(Constr!J48:Q48))&gt;CHK_TOL,1,0)=0,"ALL CHECKS PASSED","CHECK ERRORS: see FinStat and Constr")</f>
        <v>ALL CHECKS PASSED</v>
      </c>
    </row>
    <row r="8">
      <c r="B8" s="0" t="inlineStr">
        <is>
          <t>Active scenario</t>
        </is>
      </c>
      <c r="C8" s="467" t="str">
        <f>InpC!F3</f>
        <v>Base</v>
      </c>
    </row>
    <row r="9" ht="48" customHeight="1" s="396">
      <c r="B9" s="468" t="inlineStr">
        <is>
          <t>Scenario definitions</t>
        </is>
      </c>
      <c r="C9" s="469" t="inlineStr">
        <is>
          <t>Base: inflation 7% falling to 3%, fare US$7.15, O&amp;M as contracted.  Downside: fare -10% and O&amp;M +10%.  Upside: fare +10%.</t>
        </is>
      </c>
    </row>
    <row r="10">
      <c r="B10" s="0" t="inlineStr">
        <is>
          <t>Debt sizing</t>
        </is>
      </c>
      <c r="C10" s="465" t="str">
        <f>IF(ABS(Sculpt!F32)&lt;1,"Debt drawn equals debt sized","RE-RUN GOAL SEEK: debt drawn less debt sized = "&amp;TEXT(Sculpt!F32,"#,##0"))</f>
        <v>Debt drawn equals debt sized</v>
      </c>
    </row>
    <row r="11">
      <c r="B11" s="465" t="inlineStr">
        <is>
          <t>CONTENTS</t>
        </is>
      </c>
    </row>
    <row r="12">
      <c r="B12" s="470" t="inlineStr">
        <is>
          <t>Dashboard</t>
        </is>
      </c>
      <c r="C12" s="0" t="inlineStr">
        <is>
          <t>Key results, annual summary and charts</t>
        </is>
      </c>
    </row>
    <row r="13">
      <c r="B13" s="470" t="inlineStr">
        <is>
          <t>InpC</t>
        </is>
      </c>
      <c r="C13" s="0" t="inlineStr">
        <is>
          <t>Constants and scenario switch (yellow = typed assumption)</t>
        </is>
      </c>
    </row>
    <row r="14">
      <c r="B14" s="470" t="inlineStr">
        <is>
          <t>InpS</t>
        </is>
      </c>
      <c r="C14" s="0" t="inlineStr">
        <is>
          <t>Time-series inputs: trains, arrivals, occupancy, repayment profiles, extra funding</t>
        </is>
      </c>
    </row>
    <row r="15">
      <c r="B15" s="470" t="inlineStr">
        <is>
          <t>Time</t>
        </is>
      </c>
      <c r="C15" s="0" t="inlineStr">
        <is>
          <t>Timeline, flags and integrity checks</t>
        </is>
      </c>
    </row>
    <row r="16">
      <c r="B16" s="470" t="inlineStr">
        <is>
          <t>Esc</t>
        </is>
      </c>
      <c r="C16" s="0" t="inlineStr">
        <is>
          <t>Inflation and escalation factors</t>
        </is>
      </c>
    </row>
    <row r="17">
      <c r="B17" s="470" t="inlineStr">
        <is>
          <t>Constr</t>
        </is>
      </c>
      <c r="C17" s="0" t="inlineStr">
        <is>
          <t>Construction period: spend, fees, interest during construction, sources and uses, opening balances</t>
        </is>
      </c>
    </row>
    <row r="18">
      <c r="B18" s="470" t="inlineStr">
        <is>
          <t>OpRev</t>
        </is>
      </c>
      <c r="C18" s="0" t="inlineStr">
        <is>
          <t>Demand and operating revenue, cash received, receivables</t>
        </is>
      </c>
    </row>
    <row r="19">
      <c r="B19" s="470" t="inlineStr">
        <is>
          <t>OpCost</t>
        </is>
      </c>
      <c r="C19" s="0" t="inlineStr">
        <is>
          <t>Operating cost, cash paid, payables</t>
        </is>
      </c>
    </row>
    <row r="20">
      <c r="B20" s="470" t="inlineStr">
        <is>
          <t>Tax</t>
        </is>
      </c>
      <c r="C20" s="0" t="inlineStr">
        <is>
          <t>Tax depreciation, tax paid, tax expense, deferred tax</t>
        </is>
      </c>
    </row>
    <row r="21">
      <c r="B21" s="470" t="inlineStr">
        <is>
          <t>NCA</t>
        </is>
      </c>
      <c r="C21" s="0" t="inlineStr">
        <is>
          <t>Capital expenditure, depreciation, asset balance</t>
        </is>
      </c>
    </row>
    <row r="22">
      <c r="B22" s="470" t="inlineStr">
        <is>
          <t>Debt</t>
        </is>
      </c>
      <c r="C22" s="0" t="inlineStr">
        <is>
          <t>Senior debt: repayment profile, interest, balance</t>
        </is>
      </c>
    </row>
    <row r="23">
      <c r="B23" s="470" t="inlineStr">
        <is>
          <t>Sculpt</t>
        </is>
      </c>
      <c r="C23" s="0" t="inlineStr">
        <is>
          <t>Debt capacity, sizing and sculpted repayment</t>
        </is>
      </c>
    </row>
    <row r="24">
      <c r="B24" s="470" t="inlineStr">
        <is>
          <t>DSRA</t>
        </is>
      </c>
      <c r="C24" s="0" t="inlineStr">
        <is>
          <t>Debt service reserve account</t>
        </is>
      </c>
    </row>
    <row r="25">
      <c r="B25" s="470" t="inlineStr">
        <is>
          <t>SHL</t>
        </is>
      </c>
      <c r="C25" s="0" t="inlineStr">
        <is>
          <t>Shareholder loan</t>
        </is>
      </c>
    </row>
    <row r="26">
      <c r="B26" s="470" t="inlineStr">
        <is>
          <t>Equity</t>
        </is>
      </c>
      <c r="C26" s="0" t="inlineStr">
        <is>
          <t>Share capital, dividends, retained cash and earnings</t>
        </is>
      </c>
    </row>
    <row r="27">
      <c r="B27" s="470" t="inlineStr">
        <is>
          <t>FinStat</t>
        </is>
      </c>
      <c r="C27" s="0" t="inlineStr">
        <is>
          <t>Income statement, cash flow cascade, balance sheet, checks, DSCR</t>
        </is>
      </c>
    </row>
    <row r="28">
      <c r="B28" s="470" t="inlineStr">
        <is>
          <t>Ratios</t>
        </is>
      </c>
      <c r="C28" s="0" t="inlineStr">
        <is>
          <t>DSCR, LLCR and PLCR</t>
        </is>
      </c>
    </row>
    <row r="29">
      <c r="B29" s="470" t="inlineStr">
        <is>
          <t>Val</t>
        </is>
      </c>
      <c r="C29" s="0" t="inlineStr">
        <is>
          <t>Shareholder valuation: NPV and XIRR</t>
        </is>
      </c>
    </row>
    <row r="30">
      <c r="B30" s="470" t="inlineStr">
        <is>
          <t>Track</t>
        </is>
      </c>
      <c r="C30" s="0" t="inlineStr">
        <is>
          <t>Scenario log: live results and stored runs</t>
        </is>
      </c>
    </row>
    <row r="33">
      <c r="B33" s="465" t="inlineStr">
        <is>
          <t>COLOUR CODE</t>
        </is>
      </c>
    </row>
    <row r="34">
      <c r="B34" s="471" t="inlineStr">
        <is>
          <t>Yellow fill</t>
        </is>
      </c>
      <c r="C34" s="0" t="inlineStr">
        <is>
          <t>Typed assumption (input)</t>
        </is>
      </c>
    </row>
    <row r="35">
      <c r="B35" s="472" t="inlineStr">
        <is>
          <t>Blue font</t>
        </is>
      </c>
      <c r="C35" s="0" t="inlineStr">
        <is>
          <t>Link pulled in from another row or sheet</t>
        </is>
      </c>
    </row>
    <row r="36">
      <c r="B36" s="473" t="inlineStr">
        <is>
          <t>Red font</t>
        </is>
      </c>
      <c r="C36" s="0" t="inlineStr">
        <is>
          <t>Key result row used by other sheets</t>
        </is>
      </c>
    </row>
    <row r="37">
      <c r="B37" s="474" t="inlineStr">
        <is>
          <t>Black font</t>
        </is>
      </c>
      <c r="C37" s="0" t="inlineStr">
        <is>
          <t>Intermediate calculation</t>
        </is>
      </c>
    </row>
    <row r="40">
      <c r="B40" s="465" t="inlineStr">
        <is>
          <t>HOW TO RUN</t>
        </is>
      </c>
    </row>
    <row r="41">
      <c r="B41" s="0" t="inlineStr">
        <is>
          <t>1. Choose the scenario in InpC!F3 (drop-down). Everything recalculates.</t>
        </is>
      </c>
    </row>
    <row r="42">
      <c r="B42" s="0" t="inlineStr">
        <is>
          <t>2. Change assumptions only in InpC (constants) and InpS (time series).</t>
        </is>
      </c>
    </row>
    <row r="43">
      <c r="B43" s="0" t="inlineStr">
        <is>
          <t>3. Confirm the status line above says ALL CHECKS PASSED.</t>
        </is>
      </c>
    </row>
    <row r="44">
      <c r="B44" s="0" t="inlineStr">
        <is>
          <t>4. To store a run: copy Track!H8:H69, paste values into M, N or O (Paste Special, Values).</t>
        </is>
      </c>
    </row>
    <row r="45">
      <c r="B45" s="0" t="inlineStr">
        <is>
          <t>5. After changing price, cost, tenor or DSCR inputs: Goal Seek Sculpt!F32 to 0 by changing the active scenario's gearing cell on InpC row 72 (J72 Base, K72 Downside, L72 Upside); then set the facility on InpC row 131 to ROUNDUP(Sculpt!F29, 0) for that scenario and repeat both until stable (the facility drives the fees, which drive the project cost).</t>
        </is>
      </c>
    </row>
    <row r="47">
      <c r="B47" s="465" t="inlineStr">
        <is>
          <t>CHANGE LOG (v1.0, 8 October 2026)</t>
        </is>
      </c>
    </row>
    <row r="48" ht="45" customHeight="1" s="396">
      <c r="B48" s="469" t="inlineStr">
        <is>
          <t>1. Ghost formulas removed: seven sheets carried about 1,238,318 formulas and formats out to column XFD (the sheet edge), far beyond the 84-column timeline (J to CO). Trimming them cuts the file from about 6.0 MB to 0.4 MB and makes recalculation take seconds instead of many minutes. The unused scratch sheet 'Temp' (about 50,000 formulas) was removed.</t>
        </is>
      </c>
    </row>
    <row r="49" ht="45" customHeight="1" s="396">
      <c r="B49" s="469" t="inlineStr">
        <is>
          <t>2. Defined names LIVE_RESULTS, TRACK_ACTIVE and TRK_COMMENT repaired (they pointed at deleted cells); name 'unit' re-pointed from an external link to InpC!F102; sheet-level names on Track that pointed at an external workbook removed; Time print area extended to column CO; external link removed.</t>
        </is>
      </c>
    </row>
    <row r="50" ht="45" customHeight="1" s="396">
      <c r="B50" s="469" t="inlineStr">
        <is>
          <t>3. Typos corrected: Scenario, arrival, Investment, Accounting, available, period, NPV of ...</t>
        </is>
      </c>
    </row>
    <row r="51" ht="45" customHeight="1" s="396">
      <c r="B51" s="469" t="inlineStr">
        <is>
          <t>4. Stray zeros removed (Tax C28, C35; InpC row 45; InpS J74).</t>
        </is>
      </c>
    </row>
    <row r="52" ht="45" customHeight="1" s="396">
      <c r="B52" s="469" t="inlineStr">
        <is>
          <t>5. Total and check ranges extended to column CO (they stopped at BY, BV or CQ): the three FinStat checks now cover every column, Time!H79 now counts the post-forecast flag.</t>
        </is>
      </c>
    </row>
    <row r="53" ht="45" customHeight="1" s="396">
      <c r="B53" s="469" t="inlineStr">
        <is>
          <t>6. Scenarios made coherent: Upside was worse than Base (2% flat inflation) and Downside equalled Base. Now Base / Downside (fare -10%, O&amp;M +10%) / Upside (fare +10%). O&amp;M sensitivity input (InpC row 46) is now live.</t>
        </is>
      </c>
    </row>
    <row r="54" ht="45" customHeight="1" s="396">
      <c r="B54" s="469" t="inlineStr">
        <is>
          <t>7. Tax: interest deduction placeholder completed (Tax row 26 = Debt interest). Cash tax now deducts interest, so deferred tax unwinds to zero and nothing is left stranded in retained earnings.</t>
        </is>
      </c>
    </row>
    <row r="55" ht="45" customHeight="1" s="396">
      <c r="B55" s="469" t="inlineStr">
        <is>
          <t>8. Day count corrected: Time row 30 (days in model period) was period end less period beginning, one day short in every quarter (a 361-day year; Constr already used true days). It is now end less beginning plus 1. Interest, receivables and payables, and every result that depends on them move slightly (for example the start-model NPV by about 0.4%).</t>
        </is>
      </c>
    </row>
    <row r="56" ht="45" customHeight="1" s="396">
      <c r="B56" s="469" t="inlineStr">
        <is>
          <t>9. Placeholders completed: Debt row 42 and Equity row 22 now take inputs from InpS rows 22 and 23; they flow through the cash cascade (FinStat rows 39 and 43) and the shareholder valuation (Val rows 24 and 27).</t>
        </is>
      </c>
    </row>
    <row r="57" ht="45" customHeight="1" s="396">
      <c r="B57" s="469" t="inlineStr">
        <is>
          <t>10. FinStat: DSCR block added: debt service, DSCR, minimum, average and whole-life cover.</t>
        </is>
      </c>
    </row>
    <row r="58" ht="45" customHeight="1" s="396">
      <c r="B58" s="469" t="inlineStr">
        <is>
          <t>11. PF extension added: Constr (construction period, fees, IDC, sources and uses), Sculpt (debt capacity, sizing, sculpted repayment), DSRA, SHL (shareholder loan), Ratios (DSCR, LLCR, PLCR); FinStat and Val extended; opening balances now flow from construction.</t>
        </is>
      </c>
    </row>
    <row r="59" ht="45" customHeight="1" s="396">
      <c r="B59" s="469" t="inlineStr">
        <is>
          <t>12. Debt sizing uses CFADS with tax before interest deduction, which avoids a circular reference; reported ratios use actual after-tax CFADS.</t>
        </is>
      </c>
    </row>
    <row r="60" ht="45" customHeight="1" s="396">
      <c r="B60" s="469" t="inlineStr">
        <is>
          <t>13. Calculation mode: the original file was saved in MANUAL calculation mode, so switching the scenario left stale results until F9 was pressed. The workbook is now saved in Automatic mode (and recalculates fully when opened).</t>
        </is>
      </c>
    </row>
    <row r="61" ht="45" customHeight="1" s="396">
      <c r="B61" s="469" t="inlineStr">
        <is>
          <t>14. Facility rule: the facility on InpC row 131 is the commitment that can be drawn, ROUNDUP(MIN(debt capacity, gearing cap x project cost)); fees are charged on it. Previously the Upside facility was set to the DSCR capacity although the gearing cap binds, which overstated the Upside fees.</t>
        </is>
      </c>
    </row>
    <row r="62" ht="45" customHeight="1" s="396">
      <c r="B62" s="469" t="inlineStr">
        <is>
          <t>15. Dashboard: DSCR row now guards against float noise after maturity (=IF(ABS(debt service)&gt;CHK_TOL, CFADS/debt service, 0)); it showed values of about -1e16 before.</t>
        </is>
      </c>
    </row>
    <row r="63" ht="45" customHeight="1" s="396">
      <c r="B63" s="469" t="inlineStr">
        <is>
          <t>16. Cover status now also tests Constr!F55 and the sources-less-uses row; Track flags use the named tolerance CHK_TOL instead of a typed 0.001.</t>
        </is>
      </c>
    </row>
    <row r="64" ht="45" customHeight="1" s="396">
      <c r="B64" s="469" t="inlineStr">
        <is>
          <t>17. Conventions retained and documented in the Prompt Book: all sponsor funding is dated at COD in Val (equity is actually paid in during construction, so the blended IRR is measured from COD); tax losses are refunded in cash (no loss carry-forward); the model has no DSRA draw and no dividend lock-up.</t>
        </is>
      </c>
    </row>
  </sheetData>
  <mergeCells count="42">
    <mergeCell ref="C30:G30"/>
    <mergeCell ref="B42:G42"/>
    <mergeCell ref="B60:G60"/>
    <mergeCell ref="C24:G24"/>
    <mergeCell ref="C15:G15"/>
    <mergeCell ref="B61:G61"/>
    <mergeCell ref="B57:G57"/>
    <mergeCell ref="C14:G14"/>
    <mergeCell ref="B44:G44"/>
    <mergeCell ref="B53:G53"/>
    <mergeCell ref="C26:G26"/>
    <mergeCell ref="C29:G29"/>
    <mergeCell ref="C20:G20"/>
    <mergeCell ref="C16:G16"/>
    <mergeCell ref="C25:G25"/>
    <mergeCell ref="B49:G49"/>
    <mergeCell ref="C22:G22"/>
    <mergeCell ref="C9:G9"/>
    <mergeCell ref="B64:G64"/>
    <mergeCell ref="B55:G55"/>
    <mergeCell ref="B51:G51"/>
    <mergeCell ref="C21:G21"/>
    <mergeCell ref="C12:G12"/>
    <mergeCell ref="B45:G45"/>
    <mergeCell ref="B63:G63"/>
    <mergeCell ref="B41:G41"/>
    <mergeCell ref="C27:G27"/>
    <mergeCell ref="B50:G50"/>
    <mergeCell ref="C23:G23"/>
    <mergeCell ref="B62:G62"/>
    <mergeCell ref="C17:G17"/>
    <mergeCell ref="B54:G54"/>
    <mergeCell ref="B59:G59"/>
    <mergeCell ref="C28:G28"/>
    <mergeCell ref="C19:G19"/>
    <mergeCell ref="B43:G43"/>
    <mergeCell ref="B56:G56"/>
    <mergeCell ref="B58:G58"/>
    <mergeCell ref="B52:G52"/>
    <mergeCell ref="C13:G13"/>
    <mergeCell ref="B48:G48"/>
    <mergeCell ref="C18:G18"/>
  </mergeCells>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 xmlns:r="http://schemas.openxmlformats.org/officeDocument/2006/relationships" ref="B26" r:id="rId15"/>
    <hyperlink xmlns:r="http://schemas.openxmlformats.org/officeDocument/2006/relationships" ref="B27" r:id="rId16"/>
    <hyperlink xmlns:r="http://schemas.openxmlformats.org/officeDocument/2006/relationships" ref="B28" r:id="rId17"/>
    <hyperlink xmlns:r="http://schemas.openxmlformats.org/officeDocument/2006/relationships" ref="B29" r:id="rId18"/>
    <hyperlink xmlns:r="http://schemas.openxmlformats.org/officeDocument/2006/relationships" ref="B30" r:id="rId19"/>
  </hyperlinks>
  <pageMargins left="0.75" right="0.75" top="1" bottom="1" header="0.5" footer="0.5"/>
  <drawing xmlns:r="http://schemas.openxmlformats.org/officeDocument/2006/relationships" r:id="rId20"/>
</worksheet>
</file>

<file path=xl/worksheets/sheet2.xml><?xml version="1.0" encoding="utf-8"?>
<worksheet xmlns="http://schemas.openxmlformats.org/spreadsheetml/2006/main">
  <sheetPr>
    <tabColor rgb="00141B4D"/>
    <outlinePr summaryBelow="1" summaryRight="1"/>
    <pageSetUpPr/>
  </sheetPr>
  <dimension ref="A1:X22"/>
  <sheetViews>
    <sheetView showGridLines="0" workbookViewId="0">
      <selection activeCell="A1" sqref="A1"/>
    </sheetView>
  </sheetViews>
  <sheetFormatPr baseColWidth="8" defaultRowHeight="15"/>
  <cols>
    <col width="2" customWidth="1" style="396" min="1" max="1"/>
    <col width="34" customWidth="1" style="396" min="2" max="2"/>
    <col width="11" customWidth="1" style="396" min="3" max="3"/>
    <col width="11" customWidth="1" style="396" min="4" max="4"/>
    <col width="11" customWidth="1" style="396" min="5" max="5"/>
    <col width="11" customWidth="1" style="396" min="6" max="6"/>
    <col width="11" customWidth="1" style="396" min="7" max="7"/>
    <col width="11" customWidth="1" style="396" min="8" max="8"/>
    <col width="11" customWidth="1" style="396" min="9" max="9"/>
    <col width="11" customWidth="1" style="396" min="10" max="10"/>
    <col width="11" customWidth="1" style="396" min="11" max="11"/>
    <col width="11" customWidth="1" style="396" min="12" max="12"/>
    <col width="11" customWidth="1" style="396" min="13" max="13"/>
    <col width="11" customWidth="1" style="396" min="14" max="14"/>
    <col width="11" customWidth="1" style="396" min="15" max="15"/>
    <col width="11" customWidth="1" style="396" min="16" max="16"/>
    <col width="11" customWidth="1" style="396" min="17" max="17"/>
    <col width="11" customWidth="1" style="396" min="18" max="18"/>
    <col width="11" customWidth="1" style="396" min="19" max="19"/>
    <col width="11" customWidth="1" style="396" min="20" max="20"/>
    <col width="11" customWidth="1" style="396" min="21" max="21"/>
    <col width="11" customWidth="1" style="396" min="22" max="22"/>
    <col width="11" customWidth="1" style="396" min="23" max="23"/>
    <col width="11" customWidth="1" style="396" min="24" max="24"/>
  </cols>
  <sheetData>
    <row r="1">
      <c r="A1" s="461" t="n"/>
      <c r="B1" s="461" t="n"/>
      <c r="C1" s="461" t="n"/>
      <c r="D1" s="461" t="n"/>
      <c r="E1" s="461" t="n"/>
      <c r="F1" s="461" t="n"/>
      <c r="G1" s="461" t="n"/>
      <c r="H1" s="461" t="n"/>
      <c r="I1" s="461" t="n"/>
      <c r="J1" s="461" t="n"/>
      <c r="K1" s="461" t="n"/>
      <c r="L1" s="461" t="n"/>
      <c r="M1" s="461" t="n"/>
      <c r="N1" s="461" t="n"/>
      <c r="O1" s="461" t="n"/>
      <c r="P1" s="461" t="n"/>
      <c r="Q1" s="461" t="n"/>
      <c r="R1" s="461" t="n"/>
      <c r="S1" s="461" t="n"/>
      <c r="T1" s="461" t="n"/>
      <c r="U1" s="461" t="n"/>
      <c r="V1" s="461" t="n"/>
      <c r="W1" s="461" t="n"/>
      <c r="X1" s="461" t="n"/>
    </row>
    <row r="2">
      <c r="A2" s="461" t="n"/>
      <c r="B2" s="475" t="inlineStr">
        <is>
          <t>TrainStat: dashboard</t>
        </is>
      </c>
      <c r="C2" s="461" t="n"/>
      <c r="D2" s="461" t="n"/>
      <c r="E2" s="461" t="n"/>
      <c r="F2" s="476" t="str">
        <f>"Scenario: "&amp;InpC!F3</f>
        <v>Scenario: Base</v>
      </c>
      <c r="G2" s="461" t="n"/>
      <c r="H2" s="461" t="n"/>
      <c r="I2" s="461" t="n"/>
      <c r="J2" s="461" t="n"/>
      <c r="K2" s="477" t="str">
        <f>Cover!C7</f>
        <v>ALL CHECKS PASSED</v>
      </c>
      <c r="L2" s="461" t="n"/>
      <c r="M2" s="461" t="n"/>
      <c r="N2" s="461" t="n"/>
      <c r="O2" s="461" t="n"/>
      <c r="P2" s="461" t="n"/>
      <c r="Q2" s="461" t="n"/>
      <c r="R2" s="461" t="n"/>
      <c r="S2" s="461" t="n"/>
      <c r="T2" s="461" t="n"/>
      <c r="U2" s="461" t="n"/>
      <c r="V2" s="461" t="n"/>
      <c r="W2" s="461" t="n"/>
      <c r="X2" s="461" t="n"/>
    </row>
    <row r="3">
      <c r="A3" s="461" t="n"/>
      <c r="B3" s="461" t="n"/>
      <c r="C3" s="461" t="n"/>
      <c r="D3" s="461" t="n"/>
      <c r="E3" s="461" t="n"/>
      <c r="F3" s="461" t="n"/>
      <c r="G3" s="461" t="n"/>
      <c r="H3" s="461" t="n"/>
      <c r="I3" s="461" t="n"/>
      <c r="J3" s="461" t="n"/>
      <c r="K3" s="461" t="n"/>
      <c r="L3" s="461" t="n"/>
      <c r="M3" s="461" t="n"/>
      <c r="N3" s="461" t="n"/>
      <c r="O3" s="461" t="n"/>
      <c r="P3" s="461" t="n"/>
      <c r="Q3" s="461" t="n"/>
      <c r="R3" s="461" t="n"/>
      <c r="S3" s="461" t="n"/>
      <c r="T3" s="461" t="n"/>
      <c r="U3" s="461" t="n"/>
      <c r="V3" s="461" t="n"/>
      <c r="W3" s="461" t="n"/>
      <c r="X3" s="461" t="n"/>
    </row>
    <row r="5">
      <c r="B5" s="478" t="inlineStr">
        <is>
          <t>Shareholder NPV ($000s)</t>
        </is>
      </c>
      <c r="E5" s="478" t="inlineStr">
        <is>
          <t>Shareholder IRR (XIRR)</t>
        </is>
      </c>
      <c r="F5" s="479" t="n"/>
      <c r="G5" s="479" t="n"/>
      <c r="H5" s="479" t="n"/>
      <c r="J5" s="478" t="inlineStr">
        <is>
          <t>Minimum DSCR</t>
        </is>
      </c>
      <c r="K5" s="479" t="n"/>
      <c r="L5" s="479" t="n"/>
      <c r="M5" s="479" t="n"/>
      <c r="O5" s="478" t="inlineStr">
        <is>
          <t>Total CFADS ($000s)</t>
        </is>
      </c>
      <c r="P5" s="479" t="n"/>
      <c r="Q5" s="479" t="n"/>
      <c r="R5" s="479" t="n"/>
    </row>
    <row r="6">
      <c r="B6" s="480">
        <f>Val!F41</f>
        <v>28243.559585447718</v>
      </c>
      <c r="E6" s="481">
        <f>Val!F51</f>
        <v>0.4303359863473701</v>
      </c>
      <c r="F6" s="479" t="n"/>
      <c r="G6" s="479" t="n"/>
      <c r="H6" s="479" t="n"/>
      <c r="J6" s="482">
        <f>Ratios!F13</f>
        <v>2.2966072005060587</v>
      </c>
      <c r="K6" s="479" t="n"/>
      <c r="L6" s="479" t="n"/>
      <c r="M6" s="479" t="n"/>
      <c r="O6" s="480">
        <f>Track!H10</f>
        <v>591529.2767405927</v>
      </c>
      <c r="P6" s="479" t="n"/>
      <c r="Q6" s="479" t="n"/>
      <c r="R6" s="479" t="n"/>
    </row>
    <row r="7">
      <c r="B7" s="479" t="n"/>
      <c r="E7" s="479" t="n"/>
      <c r="F7" s="479" t="n"/>
      <c r="G7" s="479" t="n"/>
      <c r="H7" s="479" t="n"/>
      <c r="J7" s="479" t="n"/>
      <c r="K7" s="479" t="n"/>
      <c r="L7" s="479" t="n"/>
      <c r="M7" s="479" t="n"/>
      <c r="O7" s="479" t="n"/>
      <c r="P7" s="479" t="n"/>
      <c r="Q7" s="479" t="n"/>
      <c r="R7" s="479" t="n"/>
    </row>
    <row r="9">
      <c r="B9" s="478" t="inlineStr">
        <is>
          <t>Senior debt at close ($000s)</t>
        </is>
      </c>
      <c r="E9" s="478" t="inlineStr">
        <is>
          <t>Project cost at COD ($000s)</t>
        </is>
      </c>
      <c r="F9" s="479" t="n"/>
      <c r="G9" s="479" t="n"/>
      <c r="H9" s="479" t="n"/>
      <c r="J9" s="478" t="inlineStr">
        <is>
          <t>Gearing at COD</t>
        </is>
      </c>
      <c r="K9" s="479" t="n"/>
      <c r="L9" s="479" t="n"/>
      <c r="M9" s="479" t="n"/>
      <c r="O9" s="478" t="inlineStr">
        <is>
          <t>LLCR at COD</t>
        </is>
      </c>
      <c r="P9" s="479" t="n"/>
      <c r="Q9" s="479" t="n"/>
      <c r="R9" s="479" t="n"/>
    </row>
    <row r="10">
      <c r="B10" s="480">
        <f>Debt!F11</f>
        <v>72154.22476191197</v>
      </c>
      <c r="E10" s="480">
        <f>Constr!F52</f>
        <v>101067.79924517678</v>
      </c>
      <c r="F10" s="479" t="n"/>
      <c r="G10" s="479" t="n"/>
      <c r="H10" s="479" t="n"/>
      <c r="J10" s="481">
        <f>Constr!F53/Constr!F52</f>
        <v>0.7139190256520339</v>
      </c>
      <c r="K10" s="479" t="n"/>
      <c r="L10" s="479" t="n"/>
      <c r="M10" s="479" t="n"/>
      <c r="O10" s="482">
        <f>Ratios!F22</f>
        <v>2.39985735277099</v>
      </c>
      <c r="P10" s="479" t="n"/>
      <c r="Q10" s="479" t="n"/>
      <c r="R10" s="479" t="n"/>
    </row>
    <row r="11">
      <c r="B11" s="479" t="n"/>
      <c r="E11" s="479" t="n"/>
      <c r="F11" s="479" t="n"/>
      <c r="G11" s="479" t="n"/>
      <c r="H11" s="479" t="n"/>
      <c r="J11" s="479" t="n"/>
      <c r="K11" s="479" t="n"/>
      <c r="L11" s="479" t="n"/>
      <c r="M11" s="479" t="n"/>
      <c r="O11" s="479" t="n"/>
      <c r="P11" s="479" t="n"/>
      <c r="Q11" s="479" t="n"/>
      <c r="R11" s="479" t="n"/>
    </row>
    <row r="14">
      <c r="B14" s="465" t="inlineStr">
        <is>
          <t>ANNUAL SUMMARY ($000s)</t>
        </is>
      </c>
    </row>
    <row r="15">
      <c r="B15" s="483" t="inlineStr">
        <is>
          <t>Financial year</t>
        </is>
      </c>
      <c r="C15" s="483" t="n">
        <v>2022</v>
      </c>
      <c r="D15" s="483" t="n">
        <v>2023</v>
      </c>
      <c r="E15" s="483" t="n">
        <v>2024</v>
      </c>
      <c r="F15" s="483" t="n">
        <v>2025</v>
      </c>
      <c r="G15" s="483" t="n">
        <v>2026</v>
      </c>
      <c r="H15" s="483" t="n">
        <v>2027</v>
      </c>
      <c r="I15" s="483" t="n">
        <v>2028</v>
      </c>
      <c r="J15" s="483" t="n">
        <v>2029</v>
      </c>
      <c r="K15" s="483" t="n">
        <v>2030</v>
      </c>
      <c r="L15" s="483" t="n">
        <v>2031</v>
      </c>
      <c r="M15" s="483" t="n">
        <v>2032</v>
      </c>
      <c r="N15" s="483" t="n">
        <v>2033</v>
      </c>
      <c r="O15" s="483" t="n">
        <v>2034</v>
      </c>
      <c r="P15" s="483" t="n">
        <v>2035</v>
      </c>
      <c r="Q15" s="483" t="n">
        <v>2036</v>
      </c>
      <c r="R15" s="483" t="n">
        <v>2037</v>
      </c>
      <c r="S15" s="483" t="n">
        <v>2038</v>
      </c>
      <c r="T15" s="483" t="n">
        <v>2039</v>
      </c>
      <c r="U15" s="483" t="n">
        <v>2040</v>
      </c>
      <c r="V15" s="483" t="n">
        <v>2041</v>
      </c>
    </row>
    <row r="16">
      <c r="B16" s="467" t="inlineStr">
        <is>
          <t>Operating revenue</t>
        </is>
      </c>
      <c r="C16" s="484">
        <f>SUMIFS(FinStat!$J$9:$CO$9,FinStat!$J$4:$CO$4,C$15)</f>
        <v>62837.028376098526</v>
      </c>
      <c r="D16" s="484">
        <f>SUMIFS(FinStat!$J$9:$CO$9,FinStat!$J$4:$CO$4,D$15)</f>
        <v>66458.89715305543</v>
      </c>
      <c r="E16" s="484">
        <f>SUMIFS(FinStat!$J$9:$CO$9,FinStat!$J$4:$CO$4,E$15)</f>
        <v>70598.70821135874</v>
      </c>
      <c r="F16" s="484">
        <f>SUMIFS(FinStat!$J$9:$CO$9,FinStat!$J$4:$CO$4,F$15)</f>
        <v>72981.1159969306</v>
      </c>
      <c r="G16" s="484">
        <f>SUMIFS(FinStat!$J$9:$CO$9,FinStat!$J$4:$CO$4,G$15)</f>
        <v>76493.10685181228</v>
      </c>
      <c r="H16" s="484">
        <f>SUMIFS(FinStat!$J$9:$CO$9,FinStat!$J$4:$CO$4,H$15)</f>
        <v>80130.14919608881</v>
      </c>
      <c r="I16" s="484">
        <f>SUMIFS(FinStat!$J$9:$CO$9,FinStat!$J$4:$CO$4,I$15)</f>
        <v>83218.70709424364</v>
      </c>
      <c r="J16" s="484">
        <f>SUMIFS(FinStat!$J$9:$CO$9,FinStat!$J$4:$CO$4,J$15)</f>
        <v>87879.26154608386</v>
      </c>
      <c r="K16" s="484">
        <f>SUMIFS(FinStat!$J$9:$CO$9,FinStat!$J$4:$CO$4,K$15)</f>
        <v>90515.63939246637</v>
      </c>
      <c r="L16" s="484">
        <f>SUMIFS(FinStat!$J$9:$CO$9,FinStat!$J$4:$CO$4,L$15)</f>
        <v>94978.49920796137</v>
      </c>
      <c r="M16" s="484">
        <f>SUMIFS(FinStat!$J$9:$CO$9,FinStat!$J$4:$CO$4,M$15)</f>
        <v>99601.26199054945</v>
      </c>
      <c r="N16" s="484">
        <f>SUMIFS(FinStat!$J$9:$CO$9,FinStat!$J$4:$CO$4,N$15)</f>
        <v>102589.2998502659</v>
      </c>
      <c r="O16" s="484">
        <f>SUMIFS(FinStat!$J$9:$CO$9,FinStat!$J$4:$CO$4,O$15)</f>
        <v>105688.1465373834</v>
      </c>
      <c r="P16" s="484">
        <f>SUMIFS(FinStat!$J$9:$CO$9,FinStat!$J$4:$CO$4,P$15)</f>
        <v>108858.79093350488</v>
      </c>
      <c r="Q16" s="484">
        <f>SUMIFS(FinStat!$J$9:$CO$9,FinStat!$J$4:$CO$4,Q$15)</f>
        <v>110599.42546466275</v>
      </c>
      <c r="R16" s="484">
        <f>SUMIFS(FinStat!$J$9:$CO$9,FinStat!$J$4:$CO$4,R$15)</f>
        <v>117047.60880426456</v>
      </c>
      <c r="S16" s="484">
        <f>SUMIFS(FinStat!$J$9:$CO$9,FinStat!$J$4:$CO$4,S$15)</f>
        <v>122165.04639555558</v>
      </c>
      <c r="T16" s="484">
        <f>SUMIFS(FinStat!$J$9:$CO$9,FinStat!$J$4:$CO$4,T$15)</f>
        <v>125829.99778742221</v>
      </c>
      <c r="U16" s="484">
        <f>SUMIFS(FinStat!$J$9:$CO$9,FinStat!$J$4:$CO$4,U$15)</f>
        <v>129604.89772104484</v>
      </c>
      <c r="V16" s="484">
        <f>SUMIFS(FinStat!$J$9:$CO$9,FinStat!$J$4:$CO$4,V$15)</f>
        <v>133493.04465267615</v>
      </c>
    </row>
    <row r="17">
      <c r="B17" s="485" t="inlineStr">
        <is>
          <t>Operating cost</t>
        </is>
      </c>
      <c r="C17" s="486">
        <f>SUMIFS(FinStat!$J$10:$CO$10,FinStat!$J$4:$CO$4,C$15)</f>
        <v>-40792.85172203729</v>
      </c>
      <c r="D17" s="486">
        <f>SUMIFS(FinStat!$J$10:$CO$10,FinStat!$J$4:$CO$4,D$15)</f>
        <v>-43322.48679606401</v>
      </c>
      <c r="E17" s="486">
        <f>SUMIFS(FinStat!$J$10:$CO$10,FinStat!$J$4:$CO$4,E$15)</f>
        <v>-45216.96056077111</v>
      </c>
      <c r="F17" s="486">
        <f>SUMIFS(FinStat!$J$10:$CO$10,FinStat!$J$4:$CO$4,F$15)</f>
        <v>-46742.44358046296</v>
      </c>
      <c r="G17" s="486">
        <f>SUMIFS(FinStat!$J$10:$CO$10,FinStat!$J$4:$CO$4,G$15)</f>
        <v>-48144.71688787684</v>
      </c>
      <c r="H17" s="486">
        <f>SUMIFS(FinStat!$J$10:$CO$10,FinStat!$J$4:$CO$4,H$15)</f>
        <v>-49589.05839451313</v>
      </c>
      <c r="I17" s="486">
        <f>SUMIFS(FinStat!$J$10:$CO$10,FinStat!$J$4:$CO$4,I$15)</f>
        <v>-51076.730146348506</v>
      </c>
      <c r="J17" s="486">
        <f>SUMIFS(FinStat!$J$10:$CO$10,FinStat!$J$4:$CO$4,J$15)</f>
        <v>-52609.03205073894</v>
      </c>
      <c r="K17" s="486">
        <f>SUMIFS(FinStat!$J$10:$CO$10,FinStat!$J$4:$CO$4,K$15)</f>
        <v>-54187.303012261094</v>
      </c>
      <c r="L17" s="486">
        <f>SUMIFS(FinStat!$J$10:$CO$10,FinStat!$J$4:$CO$4,L$15)</f>
        <v>-55812.922102628916</v>
      </c>
      <c r="M17" s="486">
        <f>SUMIFS(FinStat!$J$10:$CO$10,FinStat!$J$4:$CO$4,M$15)</f>
        <v>-57487.309765707745</v>
      </c>
      <c r="N17" s="486">
        <f>SUMIFS(FinStat!$J$10:$CO$10,FinStat!$J$4:$CO$4,N$15)</f>
        <v>-59211.92905867897</v>
      </c>
      <c r="O17" s="486">
        <f>SUMIFS(FinStat!$J$10:$CO$10,FinStat!$J$4:$CO$4,O$15)</f>
        <v>-60997.35379586347</v>
      </c>
      <c r="P17" s="486">
        <f>SUMIFS(FinStat!$J$10:$CO$10,FinStat!$J$4:$CO$4,P$15)</f>
        <v>-62827.27440973936</v>
      </c>
      <c r="Q17" s="486">
        <f>SUMIFS(FinStat!$J$10:$CO$10,FinStat!$J$4:$CO$4,Q$15)</f>
        <v>-64058.826266210745</v>
      </c>
      <c r="R17" s="486">
        <f>SUMIFS(FinStat!$J$10:$CO$10,FinStat!$J$4:$CO$4,R$15)</f>
        <v>-67321.36584880589</v>
      </c>
      <c r="S17" s="486">
        <f>SUMIFS(FinStat!$J$10:$CO$10,FinStat!$J$4:$CO$4,S$15)</f>
        <v>-70028.9169992631</v>
      </c>
      <c r="T17" s="486">
        <f>SUMIFS(FinStat!$J$10:$CO$10,FinStat!$J$4:$CO$4,T$15)</f>
        <v>-72129.78450924098</v>
      </c>
      <c r="U17" s="486">
        <f>SUMIFS(FinStat!$J$10:$CO$10,FinStat!$J$4:$CO$4,U$15)</f>
        <v>-74293.6780445182</v>
      </c>
      <c r="V17" s="486">
        <f>SUMIFS(FinStat!$J$10:$CO$10,FinStat!$J$4:$CO$4,V$15)</f>
        <v>-76522.4883858537</v>
      </c>
    </row>
    <row r="18">
      <c r="B18" s="467" t="inlineStr">
        <is>
          <t>EBITDA</t>
        </is>
      </c>
      <c r="C18" s="484">
        <f>SUMIFS(FinStat!$J$11:$CO$11,FinStat!$J$4:$CO$4,C$15)</f>
        <v>22044.17665406124</v>
      </c>
      <c r="D18" s="484">
        <f>SUMIFS(FinStat!$J$11:$CO$11,FinStat!$J$4:$CO$4,D$15)</f>
        <v>23136.410356991408</v>
      </c>
      <c r="E18" s="484">
        <f>SUMIFS(FinStat!$J$11:$CO$11,FinStat!$J$4:$CO$4,E$15)</f>
        <v>25381.747650587633</v>
      </c>
      <c r="F18" s="484">
        <f>SUMIFS(FinStat!$J$11:$CO$11,FinStat!$J$4:$CO$4,F$15)</f>
        <v>26238.672416467634</v>
      </c>
      <c r="G18" s="484">
        <f>SUMIFS(FinStat!$J$11:$CO$11,FinStat!$J$4:$CO$4,G$15)</f>
        <v>28348.389963935435</v>
      </c>
      <c r="H18" s="484">
        <f>SUMIFS(FinStat!$J$11:$CO$11,FinStat!$J$4:$CO$4,H$15)</f>
        <v>30541.090801575672</v>
      </c>
      <c r="I18" s="484">
        <f>SUMIFS(FinStat!$J$11:$CO$11,FinStat!$J$4:$CO$4,I$15)</f>
        <v>32141.97694789512</v>
      </c>
      <c r="J18" s="484">
        <f>SUMIFS(FinStat!$J$11:$CO$11,FinStat!$J$4:$CO$4,J$15)</f>
        <v>35270.22949534493</v>
      </c>
      <c r="K18" s="484">
        <f>SUMIFS(FinStat!$J$11:$CO$11,FinStat!$J$4:$CO$4,K$15)</f>
        <v>36328.33638020526</v>
      </c>
      <c r="L18" s="484">
        <f>SUMIFS(FinStat!$J$11:$CO$11,FinStat!$J$4:$CO$4,L$15)</f>
        <v>39165.577105332464</v>
      </c>
      <c r="M18" s="484">
        <f>SUMIFS(FinStat!$J$11:$CO$11,FinStat!$J$4:$CO$4,M$15)</f>
        <v>42113.952224841705</v>
      </c>
      <c r="N18" s="484">
        <f>SUMIFS(FinStat!$J$11:$CO$11,FinStat!$J$4:$CO$4,N$15)</f>
        <v>43377.37079158694</v>
      </c>
      <c r="O18" s="484">
        <f>SUMIFS(FinStat!$J$11:$CO$11,FinStat!$J$4:$CO$4,O$15)</f>
        <v>44690.79274151993</v>
      </c>
      <c r="P18" s="484">
        <f>SUMIFS(FinStat!$J$11:$CO$11,FinStat!$J$4:$CO$4,P$15)</f>
        <v>46031.516523765524</v>
      </c>
      <c r="Q18" s="484">
        <f>SUMIFS(FinStat!$J$11:$CO$11,FinStat!$J$4:$CO$4,Q$15)</f>
        <v>46540.599198452015</v>
      </c>
      <c r="R18" s="484">
        <f>SUMIFS(FinStat!$J$11:$CO$11,FinStat!$J$4:$CO$4,R$15)</f>
        <v>49726.24295545868</v>
      </c>
      <c r="S18" s="484">
        <f>SUMIFS(FinStat!$J$11:$CO$11,FinStat!$J$4:$CO$4,S$15)</f>
        <v>52136.12939629248</v>
      </c>
      <c r="T18" s="484">
        <f>SUMIFS(FinStat!$J$11:$CO$11,FinStat!$J$4:$CO$4,T$15)</f>
        <v>53700.213278181225</v>
      </c>
      <c r="U18" s="484">
        <f>SUMIFS(FinStat!$J$11:$CO$11,FinStat!$J$4:$CO$4,U$15)</f>
        <v>55311.21967652665</v>
      </c>
      <c r="V18" s="484">
        <f>SUMIFS(FinStat!$J$11:$CO$11,FinStat!$J$4:$CO$4,V$15)</f>
        <v>56970.556266822445</v>
      </c>
    </row>
    <row r="19">
      <c r="B19" s="485" t="inlineStr">
        <is>
          <t>CFADS</t>
        </is>
      </c>
      <c r="C19" s="486">
        <f>SUMIFS(FinStat!$J$39:$CO$39,FinStat!$J$4:$CO$4,C$15)</f>
        <v>22641.770408504635</v>
      </c>
      <c r="D19" s="486">
        <f>SUMIFS(FinStat!$J$39:$CO$39,FinStat!$J$4:$CO$4,D$15)</f>
        <v>20599.828332888384</v>
      </c>
      <c r="E19" s="486">
        <f>SUMIFS(FinStat!$J$39:$CO$39,FinStat!$J$4:$CO$4,E$15)</f>
        <v>22274.917060014843</v>
      </c>
      <c r="F19" s="486">
        <f>SUMIFS(FinStat!$J$39:$CO$39,FinStat!$J$4:$CO$4,F$15)</f>
        <v>21693.189601864302</v>
      </c>
      <c r="G19" s="486">
        <f>SUMIFS(FinStat!$J$39:$CO$39,FinStat!$J$4:$CO$4,G$15)</f>
        <v>22880.83896476071</v>
      </c>
      <c r="H19" s="486">
        <f>SUMIFS(FinStat!$J$39:$CO$39,FinStat!$J$4:$CO$4,H$15)</f>
        <v>24514.23126192693</v>
      </c>
      <c r="I19" s="486">
        <f>SUMIFS(FinStat!$J$39:$CO$39,FinStat!$J$4:$CO$4,I$15)</f>
        <v>24415.302844235808</v>
      </c>
      <c r="J19" s="486">
        <f>SUMIFS(FinStat!$J$39:$CO$39,FinStat!$J$4:$CO$4,J$15)</f>
        <v>26326.737013176353</v>
      </c>
      <c r="K19" s="486">
        <f>SUMIFS(FinStat!$J$39:$CO$39,FinStat!$J$4:$CO$4,K$15)</f>
        <v>27641.509477202642</v>
      </c>
      <c r="L19" s="486">
        <f>SUMIFS(FinStat!$J$39:$CO$39,FinStat!$J$4:$CO$4,L$15)</f>
        <v>28929.592428252934</v>
      </c>
      <c r="M19" s="486">
        <f>SUMIFS(FinStat!$J$39:$CO$39,FinStat!$J$4:$CO$4,M$15)</f>
        <v>30563.736399663263</v>
      </c>
      <c r="N19" s="486">
        <f>SUMIFS(FinStat!$J$39:$CO$39,FinStat!$J$4:$CO$4,N$15)</f>
        <v>31044.66841774726</v>
      </c>
      <c r="O19" s="486">
        <f>SUMIFS(FinStat!$J$39:$CO$39,FinStat!$J$4:$CO$4,O$15)</f>
        <v>31672.282423085424</v>
      </c>
      <c r="P19" s="486">
        <f>SUMIFS(FinStat!$J$39:$CO$39,FinStat!$J$4:$CO$4,P$15)</f>
        <v>32654.020908226637</v>
      </c>
      <c r="Q19" s="486">
        <f>SUMIFS(FinStat!$J$39:$CO$39,FinStat!$J$4:$CO$4,Q$15)</f>
        <v>33087.86824170621</v>
      </c>
      <c r="R19" s="486">
        <f>SUMIFS(FinStat!$J$39:$CO$39,FinStat!$J$4:$CO$4,R$15)</f>
        <v>34910.25073682002</v>
      </c>
      <c r="S19" s="486">
        <f>SUMIFS(FinStat!$J$39:$CO$39,FinStat!$J$4:$CO$4,S$15)</f>
        <v>36704.306358371854</v>
      </c>
      <c r="T19" s="486">
        <f>SUMIFS(FinStat!$J$39:$CO$39,FinStat!$J$4:$CO$4,T$15)</f>
        <v>37749.99308909251</v>
      </c>
      <c r="U19" s="486">
        <f>SUMIFS(FinStat!$J$39:$CO$39,FinStat!$J$4:$CO$4,U$15)</f>
        <v>38837.33465155505</v>
      </c>
      <c r="V19" s="486">
        <f>SUMIFS(FinStat!$J$39:$CO$39,FinStat!$J$4:$CO$4,V$15)</f>
        <v>40576.131630943215</v>
      </c>
    </row>
    <row r="20">
      <c r="B20" s="467" t="inlineStr">
        <is>
          <t>Senior debt service</t>
        </is>
      </c>
      <c r="C20" s="484">
        <f>SUMIFS(FinStat!$J$94:$CO$94,FinStat!$J$4:$CO$4,C$15)</f>
        <v>9204.807939540791</v>
      </c>
      <c r="D20" s="484">
        <f>SUMIFS(FinStat!$J$94:$CO$94,FinStat!$J$4:$CO$4,D$15)</f>
        <v>8337.441618750012</v>
      </c>
      <c r="E20" s="484">
        <f>SUMIFS(FinStat!$J$94:$CO$94,FinStat!$J$4:$CO$4,E$15)</f>
        <v>9116.728246523859</v>
      </c>
      <c r="F20" s="484">
        <f>SUMIFS(FinStat!$J$94:$CO$94,FinStat!$J$4:$CO$4,F$15)</f>
        <v>8906.098473685399</v>
      </c>
      <c r="G20" s="484">
        <f>SUMIFS(FinStat!$J$94:$CO$94,FinStat!$J$4:$CO$4,G$15)</f>
        <v>9481.040957806403</v>
      </c>
      <c r="H20" s="484">
        <f>SUMIFS(FinStat!$J$94:$CO$94,FinStat!$J$4:$CO$4,H$15)</f>
        <v>10264.803526097541</v>
      </c>
      <c r="I20" s="484">
        <f>SUMIFS(FinStat!$J$94:$CO$94,FinStat!$J$4:$CO$4,I$15)</f>
        <v>10285.63457478019</v>
      </c>
      <c r="J20" s="484">
        <f>SUMIFS(FinStat!$J$94:$CO$94,FinStat!$J$4:$CO$4,J$15)</f>
        <v>11211.035195822913</v>
      </c>
      <c r="K20" s="484">
        <f>SUMIFS(FinStat!$J$94:$CO$94,FinStat!$J$4:$CO$4,K$15)</f>
        <v>11880.245480542393</v>
      </c>
      <c r="L20" s="484">
        <f>SUMIFS(FinStat!$J$94:$CO$94,FinStat!$J$4:$CO$4,L$15)</f>
        <v>12549.743763065371</v>
      </c>
      <c r="M20" s="484">
        <f>SUMIFS(FinStat!$J$94:$CO$94,FinStat!$J$4:$CO$4,M$15)</f>
        <v>6.010244154215695e-13</v>
      </c>
      <c r="N20" s="484">
        <f>SUMIFS(FinStat!$J$94:$CO$94,FinStat!$J$4:$CO$4,N$15)</f>
        <v>5.993822722100345e-13</v>
      </c>
      <c r="O20" s="484">
        <f>SUMIFS(FinStat!$J$94:$CO$94,FinStat!$J$4:$CO$4,O$15)</f>
        <v>5.993822722100336e-13</v>
      </c>
      <c r="P20" s="484">
        <f>SUMIFS(FinStat!$J$94:$CO$94,FinStat!$J$4:$CO$4,P$15)</f>
        <v>5.993822722100338e-13</v>
      </c>
      <c r="Q20" s="484">
        <f>SUMIFS(FinStat!$J$94:$CO$94,FinStat!$J$4:$CO$4,Q$15)</f>
        <v>6.010244154215677e-13</v>
      </c>
      <c r="R20" s="484">
        <f>SUMIFS(FinStat!$J$94:$CO$94,FinStat!$J$4:$CO$4,R$15)</f>
        <v>5.993822722100334e-13</v>
      </c>
      <c r="S20" s="484">
        <f>SUMIFS(FinStat!$J$94:$CO$94,FinStat!$J$4:$CO$4,S$15)</f>
        <v>5.993822722100334e-13</v>
      </c>
      <c r="T20" s="484">
        <f>SUMIFS(FinStat!$J$94:$CO$94,FinStat!$J$4:$CO$4,T$15)</f>
        <v>5.993822722100332e-13</v>
      </c>
      <c r="U20" s="484">
        <f>SUMIFS(FinStat!$J$94:$CO$94,FinStat!$J$4:$CO$4,U$15)</f>
        <v>6.010244154215667e-13</v>
      </c>
      <c r="V20" s="484">
        <f>SUMIFS(FinStat!$J$94:$CO$94,FinStat!$J$4:$CO$4,V$15)</f>
        <v>5.99382272210033e-13</v>
      </c>
    </row>
    <row r="21">
      <c r="B21" s="485" t="inlineStr">
        <is>
          <t>Dividends</t>
        </is>
      </c>
      <c r="C21" s="486">
        <f>-SUMIFS(FinStat!$J$51:$CO$51,FinStat!$J$4:$CO$4,C$15)</f>
        <v>6208.870422480131</v>
      </c>
      <c r="D21" s="486">
        <f>-SUMIFS(FinStat!$J$51:$CO$51,FinStat!$J$4:$CO$4,D$15)</f>
        <v>7184.292340150852</v>
      </c>
      <c r="E21" s="486">
        <f>-SUMIFS(FinStat!$J$51:$CO$51,FinStat!$J$4:$CO$4,E$15)</f>
        <v>8658.742878185873</v>
      </c>
      <c r="F21" s="486">
        <f>-SUMIFS(FinStat!$J$51:$CO$51,FinStat!$J$4:$CO$4,F$15)</f>
        <v>9370.147975917867</v>
      </c>
      <c r="G21" s="486">
        <f>-SUMIFS(FinStat!$J$51:$CO$51,FinStat!$J$4:$CO$4,G$15)</f>
        <v>10884.216454022353</v>
      </c>
      <c r="H21" s="486">
        <f>-SUMIFS(FinStat!$J$51:$CO$51,FinStat!$J$4:$CO$4,H$15)</f>
        <v>12582.611830511201</v>
      </c>
      <c r="I21" s="486">
        <f>-SUMIFS(FinStat!$J$51:$CO$51,FinStat!$J$4:$CO$4,I$15)</f>
        <v>13973.42811313134</v>
      </c>
      <c r="J21" s="486">
        <f>-SUMIFS(FinStat!$J$51:$CO$51,FinStat!$J$4:$CO$4,J$15)</f>
        <v>16701.545095959274</v>
      </c>
      <c r="K21" s="486">
        <f>-SUMIFS(FinStat!$J$51:$CO$51,FinStat!$J$4:$CO$4,K$15)</f>
        <v>16925.957392992368</v>
      </c>
      <c r="L21" s="486">
        <f>-SUMIFS(FinStat!$J$51:$CO$51,FinStat!$J$4:$CO$4,L$15)</f>
        <v>20596.37409334076</v>
      </c>
      <c r="M21" s="486">
        <f>-SUMIFS(FinStat!$J$51:$CO$51,FinStat!$J$4:$CO$4,M$15)</f>
        <v>11985.4431140994</v>
      </c>
      <c r="N21" s="486">
        <f>-SUMIFS(FinStat!$J$51:$CO$51,FinStat!$J$4:$CO$4,N$15)</f>
        <v>31044.66841774726</v>
      </c>
      <c r="O21" s="486">
        <f>-SUMIFS(FinStat!$J$51:$CO$51,FinStat!$J$4:$CO$4,O$15)</f>
        <v>31672.282423085424</v>
      </c>
      <c r="P21" s="486">
        <f>-SUMIFS(FinStat!$J$51:$CO$51,FinStat!$J$4:$CO$4,P$15)</f>
        <v>29412.267071858085</v>
      </c>
      <c r="Q21" s="486">
        <f>-SUMIFS(FinStat!$J$51:$CO$51,FinStat!$J$4:$CO$4,Q$15)</f>
        <v>27861.922140808158</v>
      </c>
      <c r="R21" s="486">
        <f>-SUMIFS(FinStat!$J$51:$CO$51,FinStat!$J$4:$CO$4,R$15)</f>
        <v>34808.37006882108</v>
      </c>
      <c r="S21" s="486">
        <f>-SUMIFS(FinStat!$J$51:$CO$51,FinStat!$J$4:$CO$4,S$15)</f>
        <v>36495.29057740474</v>
      </c>
      <c r="T21" s="486">
        <f>-SUMIFS(FinStat!$J$51:$CO$51,FinStat!$J$4:$CO$4,T$15)</f>
        <v>37590.14929472687</v>
      </c>
      <c r="U21" s="486">
        <f>-SUMIFS(FinStat!$J$51:$CO$51,FinStat!$J$4:$CO$4,U$15)</f>
        <v>38717.85377356866</v>
      </c>
      <c r="V21" s="486">
        <f>-SUMIFS(FinStat!$J$51:$CO$51,FinStat!$J$4:$CO$4,V$15)</f>
        <v>38068.62289622199</v>
      </c>
    </row>
    <row r="22">
      <c r="B22" s="467" t="inlineStr">
        <is>
          <t>DSCR (CFADS / debt service)</t>
        </is>
      </c>
      <c r="C22" s="487">
        <f>IF(ABS(C20)&gt;CHK_TOL,C19/C20,0)</f>
        <v>2.459776516492335</v>
      </c>
      <c r="D22" s="487">
        <f>IF(ABS(D20)&gt;CHK_TOL,D19/D20,0)</f>
        <v>2.470761328818373</v>
      </c>
      <c r="E22" s="487">
        <f>IF(ABS(E20)&gt;CHK_TOL,E19/E20,0)</f>
        <v>2.4433016382283967</v>
      </c>
      <c r="F22" s="487">
        <f>IF(ABS(F20)&gt;CHK_TOL,F19/F20,0)</f>
        <v>2.4357679926805846</v>
      </c>
      <c r="G22" s="487">
        <f>IF(ABS(G20)&gt;CHK_TOL,G19/G20,0)</f>
        <v>2.4133256112474992</v>
      </c>
      <c r="H22" s="487">
        <f>IF(ABS(H20)&gt;CHK_TOL,H19/H20,0)</f>
        <v>2.3881831931416144</v>
      </c>
      <c r="I22" s="487">
        <f>IF(ABS(I20)&gt;CHK_TOL,I19/I20,0)</f>
        <v>2.373728394366721</v>
      </c>
      <c r="J22" s="487">
        <f>IF(ABS(J20)&gt;CHK_TOL,J19/J20,0)</f>
        <v>2.3482877855013204</v>
      </c>
      <c r="K22" s="487">
        <f>IF(ABS(K20)&gt;CHK_TOL,K19/K20,0)</f>
        <v>2.3266783100125528</v>
      </c>
      <c r="L22" s="487">
        <f>IF(ABS(L20)&gt;CHK_TOL,L19/L20,0)</f>
        <v>2.3051938728338355</v>
      </c>
      <c r="M22" s="487">
        <f>IF(ABS(M20)&gt;CHK_TOL,M19/M20,0)</f>
        <v>0.0</v>
      </c>
      <c r="N22" s="487">
        <f>IF(ABS(N20)&gt;CHK_TOL,N19/N20,0)</f>
        <v>0.0</v>
      </c>
      <c r="O22" s="487">
        <f>IF(ABS(O20)&gt;CHK_TOL,O19/O20,0)</f>
        <v>0.0</v>
      </c>
      <c r="P22" s="487">
        <f>IF(ABS(P20)&gt;CHK_TOL,P19/P20,0)</f>
        <v>0.0</v>
      </c>
      <c r="Q22" s="487">
        <f>IF(ABS(Q20)&gt;CHK_TOL,Q19/Q20,0)</f>
        <v>0.0</v>
      </c>
      <c r="R22" s="487">
        <f>IF(ABS(R20)&gt;CHK_TOL,R19/R20,0)</f>
        <v>0.0</v>
      </c>
      <c r="S22" s="487">
        <f>IF(ABS(S20)&gt;CHK_TOL,S19/S20,0)</f>
        <v>0.0</v>
      </c>
      <c r="T22" s="487">
        <f>IF(ABS(T20)&gt;CHK_TOL,T19/T20,0)</f>
        <v>0.0</v>
      </c>
      <c r="U22" s="487">
        <f>IF(ABS(U20)&gt;CHK_TOL,U19/U20,0)</f>
        <v>0.0</v>
      </c>
      <c r="V22" s="487">
        <f>IF(ABS(V20)&gt;CHK_TOL,V19/V20,0)</f>
        <v>0.0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97D"/>
    <outlinePr summaryBelow="0" summaryRight="0"/>
    <pageSetUpPr/>
  </sheetPr>
  <dimension ref="A1:BZ148"/>
  <sheetViews>
    <sheetView showGridLines="0" tabSelected="1" defaultGridColor="0" colorId="22" zoomScale="95" zoomScaleNormal="95" workbookViewId="0">
      <pane xSplit="9" ySplit="5" topLeftCell="J13" activePane="bottomRight" state="frozen"/>
      <selection activeCell="F2" sqref="F2:G4"/>
      <selection pane="topRight" activeCell="F2" sqref="F2:G4"/>
      <selection pane="bottomLeft" activeCell="F2" sqref="F2:G4"/>
      <selection pane="bottomRight" activeCell="J32" sqref="J32"/>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29" min="9" max="9"/>
    <col width="12.83203125" customWidth="1" style="61" min="10" max="12"/>
    <col width="2.6640625" customWidth="1" style="29" min="13" max="13"/>
    <col hidden="1" width="11.6640625" customWidth="1" style="61" min="14" max="28"/>
    <col hidden="1" width="8.6640625" customWidth="1" style="61" min="29" max="93"/>
  </cols>
  <sheetData>
    <row r="1" ht="25" customFormat="1" customHeight="1" s="1">
      <c r="A1" s="1">
        <f> RIGHT(CELL("filename", A1), LEN(CELL("filename", A1)) - SEARCH("]", CELL("filename", A1)))</f>
        <v/>
      </c>
      <c r="B1" s="294" t="n"/>
      <c r="C1" s="212" t="n"/>
      <c r="D1" s="244" t="n"/>
      <c r="E1" s="61" t="n"/>
      <c r="F1" s="61" t="n"/>
      <c r="G1" s="61" t="n"/>
      <c r="H1" s="61" t="n"/>
      <c r="I1" s="29" t="n"/>
      <c r="J1" s="61" t="n"/>
      <c r="K1" s="61" t="n"/>
      <c r="L1" s="61" t="n"/>
      <c r="M1" s="29" t="n"/>
      <c r="N1" s="61" t="n"/>
      <c r="O1" s="61" t="n"/>
      <c r="P1" s="61" t="n"/>
      <c r="Q1" s="61" t="n"/>
      <c r="R1" s="61" t="n"/>
      <c r="S1" s="61" t="n"/>
      <c r="T1" s="61" t="n"/>
      <c r="U1" s="61" t="n"/>
      <c r="V1" s="61" t="n"/>
      <c r="W1" s="61" t="n"/>
      <c r="X1" s="61" t="n"/>
      <c r="Y1" s="61" t="n"/>
      <c r="Z1" s="61" t="n"/>
      <c r="AA1" s="61" t="n"/>
      <c r="AB1" s="61" t="n"/>
      <c r="AC1" s="61" t="n"/>
      <c r="AD1" s="61" t="n"/>
      <c r="AE1" s="61" t="n"/>
      <c r="AF1" s="61" t="n"/>
      <c r="AG1" s="61" t="n"/>
      <c r="AH1" s="61" t="n"/>
      <c r="AI1" s="61" t="n"/>
      <c r="AJ1" s="61" t="n"/>
      <c r="AK1" s="61" t="n"/>
      <c r="AL1" s="61" t="n"/>
      <c r="AM1" s="61" t="n"/>
      <c r="AN1" s="61" t="n"/>
      <c r="AO1" s="61" t="n"/>
      <c r="AP1" s="61" t="n"/>
      <c r="AQ1" s="61" t="n"/>
      <c r="AR1" s="61" t="n"/>
      <c r="AS1" s="61" t="n"/>
      <c r="AT1" s="61" t="n"/>
      <c r="AU1" s="61" t="n"/>
      <c r="AV1" s="61" t="n"/>
      <c r="AW1" s="61" t="n"/>
      <c r="AX1" s="61" t="n"/>
      <c r="AY1" s="61" t="n"/>
      <c r="AZ1" s="61" t="n"/>
      <c r="BA1" s="61" t="n"/>
      <c r="BB1" s="61" t="n"/>
      <c r="BC1" s="61" t="n"/>
      <c r="BD1" s="61" t="n"/>
      <c r="BE1" s="61" t="n"/>
      <c r="BF1" s="61" t="n"/>
      <c r="BG1" s="61" t="n"/>
      <c r="BH1" s="61" t="n"/>
      <c r="BI1" s="61" t="n"/>
      <c r="BJ1" s="61" t="n"/>
      <c r="BK1" s="61" t="n"/>
      <c r="BL1" s="61" t="n"/>
      <c r="BM1" s="61" t="n"/>
      <c r="BN1" s="61" t="n"/>
      <c r="BO1" s="61" t="n"/>
      <c r="BP1" s="61" t="n"/>
      <c r="BQ1" s="61" t="n"/>
      <c r="BR1" s="61" t="n"/>
      <c r="BS1" s="61" t="n"/>
      <c r="BT1" s="61" t="n"/>
      <c r="BU1" s="61" t="n"/>
      <c r="BV1" s="61" t="n"/>
      <c r="BW1" s="61" t="n"/>
      <c r="BX1" s="61" t="n"/>
      <c r="BY1" s="61" t="n"/>
      <c r="BZ1" s="61" t="n"/>
    </row>
    <row r="2" ht="15" customFormat="1" customHeight="1" s="1">
      <c r="B2" s="294" t="n"/>
      <c r="C2" s="212" t="n"/>
      <c r="D2" s="244" t="n"/>
      <c r="E2" s="61" t="n"/>
      <c r="F2" s="0" t="n"/>
      <c r="G2" s="0" t="n"/>
      <c r="H2" s="61" t="n"/>
      <c r="I2" s="29" t="n"/>
      <c r="J2" s="61" t="n"/>
      <c r="K2" s="61" t="n"/>
      <c r="L2" s="61" t="n"/>
      <c r="M2" s="29" t="n"/>
      <c r="N2" s="61" t="n"/>
      <c r="O2" s="61" t="n"/>
      <c r="P2" s="61" t="n"/>
      <c r="Q2" s="61" t="n"/>
      <c r="R2" s="61" t="n"/>
      <c r="S2" s="61" t="n"/>
      <c r="T2" s="61" t="n"/>
      <c r="U2" s="61" t="n"/>
      <c r="V2" s="61" t="n"/>
      <c r="W2" s="61" t="n"/>
      <c r="X2" s="61" t="n"/>
      <c r="Y2" s="61" t="n"/>
      <c r="Z2" s="61" t="n"/>
      <c r="AA2" s="61" t="n"/>
      <c r="AB2" s="61" t="n"/>
      <c r="AC2" s="61" t="n"/>
      <c r="AD2" s="61" t="n"/>
      <c r="AE2" s="61" t="n"/>
      <c r="AF2" s="61" t="n"/>
      <c r="AG2" s="61" t="n"/>
      <c r="AH2" s="61" t="n"/>
      <c r="AI2" s="61" t="n"/>
      <c r="AJ2" s="61" t="n"/>
      <c r="AK2" s="61" t="n"/>
      <c r="AL2" s="61" t="n"/>
      <c r="AM2" s="61" t="n"/>
      <c r="AN2" s="61" t="n"/>
      <c r="AO2" s="61" t="n"/>
      <c r="AP2" s="61" t="n"/>
      <c r="AQ2" s="61" t="n"/>
      <c r="AR2" s="61" t="n"/>
      <c r="AS2" s="61" t="n"/>
      <c r="AT2" s="61" t="n"/>
      <c r="AU2" s="61" t="n"/>
      <c r="AV2" s="61" t="n"/>
      <c r="AW2" s="61" t="n"/>
      <c r="AX2" s="61" t="n"/>
      <c r="AY2" s="61" t="n"/>
      <c r="AZ2" s="61" t="n"/>
      <c r="BA2" s="61" t="n"/>
      <c r="BB2" s="61" t="n"/>
      <c r="BC2" s="61" t="n"/>
      <c r="BD2" s="61" t="n"/>
      <c r="BE2" s="61" t="n"/>
      <c r="BF2" s="61" t="n"/>
      <c r="BG2" s="61" t="n"/>
      <c r="BH2" s="61" t="n"/>
      <c r="BI2" s="61" t="n"/>
      <c r="BJ2" s="61" t="n"/>
      <c r="BK2" s="61" t="n"/>
      <c r="BL2" s="61" t="n"/>
      <c r="BM2" s="61" t="n"/>
      <c r="BN2" s="61" t="n"/>
      <c r="BO2" s="61" t="n"/>
      <c r="BP2" s="61" t="n"/>
      <c r="BQ2" s="61" t="n"/>
      <c r="BR2" s="61" t="n"/>
      <c r="BS2" s="61" t="n"/>
      <c r="BT2" s="61" t="n"/>
      <c r="BU2" s="61" t="n"/>
      <c r="BV2" s="61" t="n"/>
      <c r="BW2" s="61" t="n"/>
      <c r="BX2" s="61" t="n"/>
      <c r="BY2" s="61" t="n"/>
      <c r="BZ2" s="61" t="n"/>
    </row>
    <row r="3" ht="15" customFormat="1" customHeight="1" s="1">
      <c r="B3" s="294" t="n"/>
      <c r="C3" s="212" t="n"/>
      <c r="D3" s="244" t="n"/>
      <c r="E3" s="61" t="inlineStr">
        <is>
          <t>Scenario name</t>
        </is>
      </c>
      <c r="F3" s="393" t="inlineStr">
        <is>
          <t>Base</t>
        </is>
      </c>
      <c r="G3" s="0" t="n"/>
      <c r="H3" s="61" t="n"/>
      <c r="I3" s="29" t="n"/>
      <c r="J3" s="61" t="inlineStr">
        <is>
          <t>Base</t>
        </is>
      </c>
      <c r="K3" s="61" t="inlineStr">
        <is>
          <t>Downside</t>
        </is>
      </c>
      <c r="L3" s="61" t="inlineStr">
        <is>
          <t>Upside</t>
        </is>
      </c>
      <c r="M3" s="29" t="n"/>
      <c r="N3" s="394" t="inlineStr">
        <is>
          <t>Scenario definitions</t>
        </is>
      </c>
      <c r="O3" s="61" t="n"/>
      <c r="P3" s="61" t="n"/>
      <c r="Q3" s="61" t="n"/>
      <c r="R3" s="61" t="n"/>
      <c r="S3" s="61" t="n"/>
      <c r="T3" s="61" t="n"/>
      <c r="U3" s="61" t="n"/>
      <c r="V3" s="61" t="n"/>
      <c r="W3" s="61" t="n"/>
      <c r="X3" s="61" t="n"/>
      <c r="Y3" s="61" t="n"/>
      <c r="Z3" s="61" t="n"/>
      <c r="AA3" s="61" t="n"/>
      <c r="AB3" s="61" t="n"/>
      <c r="AC3" s="61" t="n"/>
      <c r="AD3" s="61" t="n"/>
      <c r="AE3" s="61" t="n"/>
      <c r="AF3" s="61" t="n"/>
      <c r="AG3" s="61" t="n"/>
      <c r="AH3" s="61" t="n"/>
      <c r="AI3" s="61" t="n"/>
      <c r="AJ3" s="61" t="n"/>
      <c r="AK3" s="61" t="n"/>
      <c r="AL3" s="61" t="n"/>
      <c r="AM3" s="61" t="n"/>
      <c r="AN3" s="61" t="n"/>
      <c r="AO3" s="61" t="n"/>
      <c r="AP3" s="61" t="n"/>
      <c r="AQ3" s="61" t="n"/>
      <c r="AR3" s="61" t="n"/>
      <c r="AS3" s="61" t="n"/>
      <c r="AT3" s="61" t="n"/>
      <c r="AU3" s="61" t="n"/>
      <c r="AV3" s="61" t="n"/>
      <c r="AW3" s="61" t="n"/>
      <c r="AX3" s="61" t="n"/>
      <c r="AY3" s="61" t="n"/>
      <c r="AZ3" s="61" t="n"/>
      <c r="BA3" s="61" t="n"/>
      <c r="BB3" s="61" t="n"/>
      <c r="BC3" s="61" t="n"/>
      <c r="BD3" s="61" t="n"/>
      <c r="BE3" s="61" t="n"/>
      <c r="BF3" s="61" t="n"/>
      <c r="BG3" s="61" t="n"/>
      <c r="BH3" s="61" t="n"/>
      <c r="BI3" s="61" t="n"/>
      <c r="BJ3" s="61" t="n"/>
      <c r="BK3" s="61" t="n"/>
      <c r="BL3" s="61" t="n"/>
      <c r="BM3" s="61" t="n"/>
      <c r="BN3" s="61" t="n"/>
      <c r="BO3" s="61" t="n"/>
      <c r="BP3" s="61" t="n"/>
      <c r="BQ3" s="61" t="n"/>
      <c r="BR3" s="61" t="n"/>
      <c r="BS3" s="61" t="n"/>
      <c r="BT3" s="61" t="n"/>
      <c r="BU3" s="61" t="n"/>
      <c r="BV3" s="61" t="n"/>
      <c r="BW3" s="61" t="n"/>
      <c r="BX3" s="61" t="n"/>
      <c r="BY3" s="61" t="n"/>
      <c r="BZ3" s="61" t="n"/>
    </row>
    <row r="4" ht="15" customFormat="1" customHeight="1" s="1">
      <c r="B4" s="294" t="n"/>
      <c r="C4" s="212" t="n"/>
      <c r="D4" s="244" t="n"/>
      <c r="E4" s="61" t="inlineStr">
        <is>
          <t>Scenario switch</t>
        </is>
      </c>
      <c r="F4" s="393">
        <f>MATCH(F3,I3:M3,0)</f>
        <v>2.0</v>
      </c>
      <c r="G4" s="0" t="n"/>
      <c r="H4" s="61" t="n"/>
      <c r="I4" s="29" t="n"/>
      <c r="J4" s="61" t="n"/>
      <c r="K4" s="61" t="n"/>
      <c r="L4" s="61" t="n"/>
      <c r="M4" s="29" t="n"/>
      <c r="N4" s="61" t="inlineStr">
        <is>
          <t>Base: inflation 7% falling to 3%; fare 7.15; O&amp;M as contracted</t>
        </is>
      </c>
      <c r="O4" s="61" t="n"/>
      <c r="P4" s="61" t="n"/>
      <c r="Q4" s="61" t="n"/>
      <c r="R4" s="61" t="n"/>
      <c r="S4" s="61" t="n"/>
      <c r="T4" s="61" t="n"/>
      <c r="U4" s="61" t="n"/>
      <c r="V4" s="61" t="n"/>
      <c r="W4" s="61" t="n"/>
      <c r="X4" s="61" t="n"/>
      <c r="Y4" s="61" t="n"/>
      <c r="Z4" s="61" t="n"/>
      <c r="AA4" s="61" t="n"/>
      <c r="AB4" s="61" t="n"/>
      <c r="AC4" s="61" t="n"/>
      <c r="AD4" s="61" t="n"/>
      <c r="AE4" s="61" t="n"/>
      <c r="AF4" s="61" t="n"/>
      <c r="AG4" s="61" t="n"/>
      <c r="AH4" s="61" t="n"/>
      <c r="AI4" s="61" t="n"/>
      <c r="AJ4" s="61" t="n"/>
      <c r="AK4" s="61" t="n"/>
      <c r="AL4" s="61" t="n"/>
      <c r="AM4" s="61" t="n"/>
      <c r="AN4" s="61" t="n"/>
      <c r="AO4" s="61" t="n"/>
      <c r="AP4" s="61" t="n"/>
      <c r="AQ4" s="61" t="n"/>
      <c r="AR4" s="61" t="n"/>
      <c r="AS4" s="61" t="n"/>
      <c r="AT4" s="61" t="n"/>
      <c r="AU4" s="61" t="n"/>
      <c r="AV4" s="61" t="n"/>
      <c r="AW4" s="61" t="n"/>
      <c r="AX4" s="61" t="n"/>
      <c r="AY4" s="61" t="n"/>
      <c r="AZ4" s="61" t="n"/>
      <c r="BA4" s="61" t="n"/>
      <c r="BB4" s="61" t="n"/>
      <c r="BC4" s="61" t="n"/>
      <c r="BD4" s="61" t="n"/>
      <c r="BE4" s="61" t="n"/>
      <c r="BF4" s="61" t="n"/>
      <c r="BG4" s="61" t="n"/>
      <c r="BH4" s="61" t="n"/>
      <c r="BI4" s="61" t="n"/>
      <c r="BJ4" s="61" t="n"/>
      <c r="BK4" s="61" t="n"/>
      <c r="BL4" s="61" t="n"/>
      <c r="BM4" s="61" t="n"/>
      <c r="BN4" s="61" t="n"/>
      <c r="BO4" s="61" t="n"/>
      <c r="BP4" s="61" t="n"/>
      <c r="BQ4" s="61" t="n"/>
      <c r="BR4" s="61" t="n"/>
      <c r="BS4" s="61" t="n"/>
      <c r="BT4" s="61" t="n"/>
      <c r="BU4" s="61" t="n"/>
      <c r="BV4" s="61" t="n"/>
      <c r="BW4" s="61" t="n"/>
      <c r="BX4" s="61" t="n"/>
      <c r="BY4" s="61" t="n"/>
      <c r="BZ4" s="61" t="n"/>
    </row>
    <row r="5" customFormat="1" s="167">
      <c r="C5" s="17" t="n"/>
      <c r="D5" s="18" t="n"/>
      <c r="E5" s="205" t="n"/>
      <c r="F5" s="20" t="inlineStr">
        <is>
          <t xml:space="preserve">Constant </t>
        </is>
      </c>
      <c r="G5" s="294" t="inlineStr">
        <is>
          <t>Unit</t>
        </is>
      </c>
      <c r="H5" s="20" t="n"/>
      <c r="I5" s="21" t="n"/>
      <c r="J5" s="61" t="n"/>
      <c r="K5" s="61" t="n"/>
      <c r="L5" s="61" t="n"/>
      <c r="M5" s="21" t="n"/>
      <c r="N5" s="0" t="inlineStr">
        <is>
          <t>Downside: Base with fare -10% (6.435) and O&amp;M +10%</t>
        </is>
      </c>
    </row>
    <row r="6">
      <c r="N6" s="0" t="inlineStr">
        <is>
          <t>Upside: Base with fare +10% (7.865)</t>
        </is>
      </c>
    </row>
    <row r="7">
      <c r="A7" s="294" t="inlineStr">
        <is>
          <t>TIME</t>
        </is>
      </c>
    </row>
    <row r="9" customFormat="1" s="127">
      <c r="A9" s="125" t="n"/>
      <c r="B9" s="125" t="n"/>
      <c r="C9" s="126" t="n"/>
      <c r="D9" s="24" t="n"/>
      <c r="E9" s="127" t="inlineStr">
        <is>
          <t>First date of time rulers</t>
        </is>
      </c>
      <c r="F9" s="127">
        <f t="array" ref="F9">INDEX(I9:M9,$F$4)</f>
        <v>44378.0</v>
      </c>
      <c r="G9" s="127" t="inlineStr">
        <is>
          <t>date</t>
        </is>
      </c>
      <c r="I9" s="26" t="n"/>
      <c r="J9" s="127" t="n">
        <v>44378</v>
      </c>
      <c r="K9" s="127" t="n">
        <v>44378</v>
      </c>
      <c r="L9" s="127" t="n">
        <v>44378</v>
      </c>
      <c r="M9" s="26" t="n"/>
    </row>
    <row r="10" customFormat="1" s="127">
      <c r="A10" s="125" t="n"/>
      <c r="B10" s="125" t="n"/>
      <c r="C10" s="126" t="n"/>
      <c r="D10" s="24" t="n"/>
      <c r="E10" s="127" t="inlineStr">
        <is>
          <t>Acquisition / initial balance date</t>
        </is>
      </c>
      <c r="F10" s="127">
        <f t="array" ref="F10">INDEX(I10:M10,$F$4)</f>
        <v>44561.0</v>
      </c>
      <c r="G10" s="127" t="inlineStr">
        <is>
          <t>date</t>
        </is>
      </c>
      <c r="I10" s="26" t="n"/>
      <c r="J10" s="127" t="n">
        <v>44561</v>
      </c>
      <c r="K10" s="127" t="n">
        <v>44561</v>
      </c>
      <c r="L10" s="127" t="n">
        <v>44561</v>
      </c>
      <c r="M10" s="26" t="n"/>
    </row>
    <row r="11">
      <c r="E11" s="61" t="inlineStr">
        <is>
          <t>Length of forecast period</t>
        </is>
      </c>
      <c r="F11" s="61">
        <f t="array" ref="F11">INDEX(I11:M11,$F$4)</f>
        <v>20.0</v>
      </c>
      <c r="G11" s="61" t="inlineStr">
        <is>
          <t>years</t>
        </is>
      </c>
      <c r="J11" s="61" t="n">
        <v>20</v>
      </c>
      <c r="K11" s="61" t="n">
        <v>20</v>
      </c>
      <c r="L11" s="61" t="n">
        <v>20</v>
      </c>
    </row>
    <row r="12" customFormat="1" s="61">
      <c r="E12" s="61" t="inlineStr">
        <is>
          <t>Months per model period</t>
        </is>
      </c>
      <c r="F12" s="292">
        <f t="array" ref="F12">INDEX(I12:M12,$F$4)</f>
        <v>3.0</v>
      </c>
      <c r="G12" s="61" t="inlineStr">
        <is>
          <t>months</t>
        </is>
      </c>
      <c r="I12" s="29" t="n"/>
      <c r="J12" s="292" t="n">
        <v>3</v>
      </c>
      <c r="K12" s="292" t="n">
        <v>3</v>
      </c>
      <c r="L12" s="292" t="n">
        <v>3</v>
      </c>
      <c r="M12" s="29" t="n"/>
    </row>
    <row r="13" ht="15" customFormat="1" customHeight="1" s="35">
      <c r="A13" s="163" t="n"/>
      <c r="B13" s="163" t="n"/>
      <c r="C13" s="172" t="n"/>
      <c r="D13" s="88" t="n"/>
      <c r="E13" s="169" t="n"/>
      <c r="F13" s="169" t="n"/>
      <c r="G13" s="169" t="n"/>
      <c r="H13" s="61" t="n"/>
      <c r="I13" s="29" t="n"/>
      <c r="J13" s="169" t="n"/>
      <c r="K13" s="169" t="n"/>
      <c r="L13" s="169" t="n"/>
      <c r="M13" s="29" t="n"/>
      <c r="N13" s="61" t="n"/>
      <c r="O13" s="61" t="n"/>
      <c r="P13" s="61" t="n"/>
      <c r="Q13" s="61" t="n"/>
      <c r="R13" s="61" t="n"/>
    </row>
    <row r="14" ht="15" customFormat="1" customHeight="1" s="35">
      <c r="A14" s="163" t="inlineStr">
        <is>
          <t>ESCALATION</t>
        </is>
      </c>
      <c r="B14" s="163" t="n"/>
      <c r="C14" s="172" t="n"/>
      <c r="D14" s="88" t="n"/>
      <c r="E14" s="169" t="n"/>
      <c r="F14" s="169" t="n"/>
      <c r="G14" s="169" t="n"/>
      <c r="H14" s="61" t="n"/>
      <c r="I14" s="29" t="n"/>
      <c r="J14" s="169" t="n"/>
      <c r="K14" s="169" t="n"/>
      <c r="L14" s="169" t="n"/>
      <c r="M14" s="29" t="n"/>
      <c r="N14" s="61" t="n"/>
      <c r="O14" s="61" t="n"/>
      <c r="P14" s="61" t="n"/>
      <c r="Q14" s="61" t="n"/>
      <c r="R14" s="61" t="n"/>
    </row>
    <row r="15" ht="15" customFormat="1" customHeight="1" s="35">
      <c r="A15" s="163" t="n"/>
      <c r="B15" s="163" t="n"/>
      <c r="C15" s="172" t="n"/>
      <c r="D15" s="88" t="n"/>
      <c r="E15" s="169" t="n"/>
      <c r="F15" s="169" t="n"/>
      <c r="G15" s="169" t="n"/>
      <c r="H15" s="61" t="n"/>
      <c r="I15" s="29" t="n"/>
      <c r="J15" s="169" t="n"/>
      <c r="K15" s="169" t="n"/>
      <c r="L15" s="169" t="n"/>
      <c r="M15" s="29" t="n"/>
      <c r="N15" s="61" t="n"/>
      <c r="O15" s="61" t="n"/>
      <c r="P15" s="61" t="n"/>
      <c r="Q15" s="61" t="n"/>
      <c r="R15" s="61" t="n"/>
    </row>
    <row r="16">
      <c r="E16" s="60" t="inlineStr">
        <is>
          <t>Start of the inflation year</t>
        </is>
      </c>
      <c r="F16" s="60" t="str">
        <f t="array" ref="F16">INDEX(I16:M16,$F$4)</f>
        <v>% p.a</v>
      </c>
      <c r="G16" s="61" t="n"/>
      <c r="H16" s="61" t="n"/>
      <c r="J16" s="60" t="inlineStr">
        <is>
          <t>% p.a</t>
        </is>
      </c>
      <c r="K16" s="60" t="inlineStr">
        <is>
          <t>% p.a</t>
        </is>
      </c>
      <c r="L16" s="60" t="inlineStr">
        <is>
          <t>% p.a</t>
        </is>
      </c>
    </row>
    <row r="17">
      <c r="E17" s="127" t="n">
        <v>44256</v>
      </c>
      <c r="F17" s="97">
        <f t="array" ref="F17">INDEX(I17:M17,$F$4)</f>
        <v>0.07</v>
      </c>
      <c r="G17" s="61" t="inlineStr">
        <is>
          <t>% p.a</t>
        </is>
      </c>
      <c r="H17" s="61" t="n"/>
      <c r="J17" s="97" t="n">
        <v>0.07000000000000001</v>
      </c>
      <c r="K17" s="97" t="n">
        <v>0.07000000000000001</v>
      </c>
      <c r="L17" s="97" t="n">
        <v>0.07000000000000001</v>
      </c>
    </row>
    <row r="18">
      <c r="E18" s="127" t="n">
        <v>44621</v>
      </c>
      <c r="F18" s="97">
        <f t="array" ref="F18">INDEX(I18:M18,$F$4)</f>
        <v>0.06</v>
      </c>
      <c r="G18" s="61" t="inlineStr">
        <is>
          <t>% p.a</t>
        </is>
      </c>
      <c r="H18" s="61" t="n"/>
      <c r="J18" s="97" t="n">
        <v>0.06</v>
      </c>
      <c r="K18" s="97" t="n">
        <v>0.06</v>
      </c>
      <c r="L18" s="97" t="n">
        <v>0.06</v>
      </c>
    </row>
    <row r="19">
      <c r="E19" s="127" t="n">
        <v>44986</v>
      </c>
      <c r="F19" s="97">
        <f t="array" ref="F19">INDEX(I19:M19,$F$4)</f>
        <v>0.05</v>
      </c>
      <c r="G19" s="61" t="inlineStr">
        <is>
          <t>% p.a</t>
        </is>
      </c>
      <c r="H19" s="61" t="n"/>
      <c r="J19" s="97" t="n">
        <v>0.05</v>
      </c>
      <c r="K19" s="97" t="n">
        <v>0.05</v>
      </c>
      <c r="L19" s="97" t="n">
        <v>0.05</v>
      </c>
    </row>
    <row r="20">
      <c r="E20" s="127" t="n">
        <v>45352</v>
      </c>
      <c r="F20" s="97">
        <f t="array" ref="F20">INDEX(I20:M20,$F$4)</f>
        <v>0.04</v>
      </c>
      <c r="G20" s="61" t="inlineStr">
        <is>
          <t>% p.a</t>
        </is>
      </c>
      <c r="H20" s="61" t="n"/>
      <c r="J20" s="97" t="n">
        <v>0.04</v>
      </c>
      <c r="K20" s="97" t="n">
        <v>0.04</v>
      </c>
      <c r="L20" s="97" t="n">
        <v>0.04</v>
      </c>
    </row>
    <row r="21">
      <c r="E21" s="127" t="n">
        <v>45717</v>
      </c>
      <c r="F21" s="97">
        <f t="array" ref="F21">INDEX(I21:M21,$F$4)</f>
        <v>0.03</v>
      </c>
      <c r="G21" s="61" t="inlineStr">
        <is>
          <t>% p.a</t>
        </is>
      </c>
      <c r="H21" s="61" t="n"/>
      <c r="J21" s="97" t="n">
        <v>0.03</v>
      </c>
      <c r="K21" s="97" t="n">
        <v>0.03</v>
      </c>
      <c r="L21" s="97" t="n">
        <v>0.03</v>
      </c>
    </row>
    <row r="22">
      <c r="J22" s="61" t="n"/>
      <c r="K22" s="61" t="n"/>
      <c r="L22" s="61" t="n"/>
    </row>
    <row r="23">
      <c r="E23" s="61" t="inlineStr">
        <is>
          <t>CPI index at acquisition date</t>
        </is>
      </c>
      <c r="F23" s="61">
        <f t="array" ref="F23">INDEX(I23:M23,$F$4)</f>
        <v>145.0</v>
      </c>
      <c r="G23" s="61" t="inlineStr">
        <is>
          <t>index</t>
        </is>
      </c>
      <c r="H23" s="61" t="n"/>
      <c r="J23" s="61" t="n">
        <v>145</v>
      </c>
      <c r="K23" s="61" t="n">
        <v>145</v>
      </c>
      <c r="L23" s="61" t="n">
        <v>145</v>
      </c>
    </row>
    <row r="24">
      <c r="J24" s="61" t="n"/>
      <c r="K24" s="61" t="n"/>
      <c r="L24" s="61" t="n"/>
    </row>
    <row r="25">
      <c r="E25" s="61" t="inlineStr">
        <is>
          <t>CPI index at handling signature date</t>
        </is>
      </c>
      <c r="F25" s="61">
        <f t="array" ref="F25">INDEX(I25:M25,$F$4)</f>
        <v>120.0</v>
      </c>
      <c r="G25" s="61" t="inlineStr">
        <is>
          <t>index</t>
        </is>
      </c>
      <c r="H25" s="61" t="n"/>
      <c r="J25" s="61" t="n">
        <v>120</v>
      </c>
      <c r="K25" s="61" t="n">
        <v>120</v>
      </c>
      <c r="L25" s="61" t="n">
        <v>120</v>
      </c>
    </row>
    <row r="26">
      <c r="J26" s="61" t="n"/>
      <c r="K26" s="61" t="n"/>
      <c r="L26" s="61" t="n"/>
    </row>
    <row r="27">
      <c r="E27" s="61" t="inlineStr">
        <is>
          <t>CPI index at O&amp;M signature date</t>
        </is>
      </c>
      <c r="F27" s="61">
        <f t="array" ref="F27">INDEX(I27:M27,$F$4)</f>
        <v>132.0</v>
      </c>
      <c r="G27" s="61" t="inlineStr">
        <is>
          <t>index</t>
        </is>
      </c>
      <c r="H27" s="61" t="n"/>
      <c r="J27" s="61" t="n">
        <v>132</v>
      </c>
      <c r="K27" s="61" t="n">
        <v>132</v>
      </c>
      <c r="L27" s="61" t="n">
        <v>132</v>
      </c>
    </row>
    <row r="28" ht="15" customFormat="1" customHeight="1" s="35">
      <c r="A28" s="163" t="n"/>
      <c r="B28" s="163" t="n"/>
      <c r="C28" s="172" t="n"/>
      <c r="D28" s="88" t="n"/>
      <c r="E28" s="169" t="n"/>
      <c r="F28" s="169" t="n"/>
      <c r="G28" s="169" t="n"/>
      <c r="H28" s="61" t="n"/>
      <c r="I28" s="29" t="n"/>
      <c r="J28" s="169" t="n"/>
      <c r="K28" s="169" t="n"/>
      <c r="L28" s="169" t="n"/>
      <c r="M28" s="29" t="n"/>
      <c r="N28" s="61" t="n"/>
      <c r="O28" s="61" t="n"/>
      <c r="P28" s="61" t="n"/>
      <c r="Q28" s="61" t="n"/>
      <c r="R28" s="61" t="n"/>
    </row>
    <row r="29" ht="15" customFormat="1" customHeight="1" s="35">
      <c r="A29" s="163" t="inlineStr">
        <is>
          <t>OPERATING REVENUE</t>
        </is>
      </c>
      <c r="B29" s="163" t="n"/>
      <c r="C29" s="172" t="n"/>
      <c r="D29" s="88" t="n"/>
      <c r="E29" s="169" t="n"/>
      <c r="F29" s="169" t="n"/>
      <c r="G29" s="169" t="n"/>
      <c r="H29" s="61" t="n"/>
      <c r="I29" s="29" t="n"/>
      <c r="J29" s="169" t="n"/>
      <c r="K29" s="169" t="n"/>
      <c r="L29" s="169" t="n"/>
      <c r="M29" s="29" t="n"/>
      <c r="N29" s="61" t="n"/>
      <c r="O29" s="61" t="n"/>
      <c r="P29" s="61" t="n"/>
      <c r="Q29" s="61" t="n"/>
      <c r="R29" s="61" t="n"/>
    </row>
    <row r="30" ht="15" customFormat="1" customHeight="1" s="35">
      <c r="A30" s="163" t="n"/>
      <c r="B30" s="163" t="n"/>
      <c r="C30" s="172" t="n"/>
      <c r="D30" s="88" t="n"/>
      <c r="E30" s="169" t="n"/>
      <c r="F30" s="169" t="n"/>
      <c r="G30" s="169" t="n"/>
      <c r="H30" s="61" t="n"/>
      <c r="I30" s="29" t="n"/>
      <c r="J30" s="169" t="n"/>
      <c r="K30" s="169" t="n"/>
      <c r="L30" s="169" t="n"/>
      <c r="M30" s="29" t="n"/>
      <c r="N30" s="61" t="n"/>
      <c r="O30" s="61" t="n"/>
      <c r="P30" s="61" t="n"/>
      <c r="Q30" s="61" t="n"/>
      <c r="R30" s="61" t="n"/>
    </row>
    <row r="31" customFormat="1" s="152">
      <c r="A31" s="39" t="n"/>
      <c r="B31" s="39" t="n"/>
      <c r="C31" s="40" t="n"/>
      <c r="D31" s="151" t="n"/>
      <c r="E31" s="169" t="inlineStr">
        <is>
          <t xml:space="preserve">Train capacity - domestic </t>
        </is>
      </c>
      <c r="F31" s="169">
        <f t="array" ref="F31">INDEX(I31:M31,$F$4)</f>
        <v>350.0</v>
      </c>
      <c r="G31" s="169" t="inlineStr">
        <is>
          <t>seats</t>
        </is>
      </c>
      <c r="H31" s="169" t="n"/>
      <c r="I31" s="43" t="n"/>
      <c r="J31" s="169" t="n">
        <v>350</v>
      </c>
      <c r="K31" s="169" t="n">
        <v>350</v>
      </c>
      <c r="L31" s="169" t="n">
        <v>350</v>
      </c>
      <c r="M31" s="43" t="n"/>
    </row>
    <row r="32" customFormat="1" s="152">
      <c r="A32" s="39" t="n"/>
      <c r="B32" s="39" t="n"/>
      <c r="C32" s="40" t="n"/>
      <c r="D32" s="151" t="n"/>
      <c r="E32" s="169" t="n"/>
      <c r="F32" s="169" t="n"/>
      <c r="G32" s="169" t="n"/>
      <c r="H32" s="169" t="n"/>
      <c r="I32" s="43" t="n"/>
      <c r="J32" s="169" t="n"/>
      <c r="K32" s="169" t="n"/>
      <c r="L32" s="169" t="n"/>
      <c r="M32" s="43" t="n"/>
    </row>
    <row r="33">
      <c r="E33" s="169" t="inlineStr">
        <is>
          <t xml:space="preserve">Train capacity - international </t>
        </is>
      </c>
      <c r="F33" s="169">
        <f t="array" ref="F33">INDEX(I33:M33,$F$4)</f>
        <v>150.0</v>
      </c>
      <c r="G33" s="169" t="inlineStr">
        <is>
          <t>seats</t>
        </is>
      </c>
      <c r="H33" s="169" t="n"/>
      <c r="J33" s="169" t="n">
        <v>150</v>
      </c>
      <c r="K33" s="169" t="n">
        <v>150</v>
      </c>
      <c r="L33" s="169" t="n">
        <v>150</v>
      </c>
    </row>
    <row r="34">
      <c r="J34" s="61" t="n"/>
      <c r="K34" s="61" t="n"/>
      <c r="L34" s="61" t="n"/>
    </row>
    <row r="35" customFormat="1" s="52">
      <c r="A35" s="46" t="n"/>
      <c r="B35" s="46" t="n"/>
      <c r="C35" s="47" t="n"/>
      <c r="D35" s="48" t="n"/>
      <c r="E35" s="52" t="inlineStr">
        <is>
          <t>Average fare per passenger</t>
        </is>
      </c>
      <c r="F35" s="277">
        <f t="array" ref="F35">INDEX(I35:M35,$F$4)</f>
        <v>7.15</v>
      </c>
      <c r="G35" s="52" t="inlineStr">
        <is>
          <t>USD/pax</t>
        </is>
      </c>
      <c r="H35" s="52" t="n"/>
      <c r="I35" s="51" t="n"/>
      <c r="J35" s="277" t="n">
        <v>7.15</v>
      </c>
      <c r="K35" s="277" t="n">
        <v>6.435</v>
      </c>
      <c r="L35" s="277" t="n">
        <v>7.865</v>
      </c>
      <c r="M35" s="51" t="n"/>
    </row>
    <row r="36">
      <c r="J36" s="61" t="n"/>
      <c r="K36" s="61" t="n"/>
      <c r="L36" s="61" t="n"/>
    </row>
    <row r="37">
      <c r="E37" s="61" t="inlineStr">
        <is>
          <t>Account receivables days</t>
        </is>
      </c>
      <c r="F37" s="61">
        <f t="array" ref="F37">INDEX(I37:M37,$F$4)</f>
        <v>25.0</v>
      </c>
      <c r="G37" s="61" t="inlineStr">
        <is>
          <t>days</t>
        </is>
      </c>
      <c r="H37" s="61" t="n"/>
      <c r="J37" s="61" t="n">
        <v>25</v>
      </c>
      <c r="K37" s="61" t="n">
        <v>25</v>
      </c>
      <c r="L37" s="61" t="n">
        <v>25</v>
      </c>
    </row>
    <row r="38" ht="15" customFormat="1" customHeight="1" s="35">
      <c r="A38" s="163" t="n"/>
      <c r="B38" s="163" t="n"/>
      <c r="C38" s="172" t="n"/>
      <c r="D38" s="88" t="n"/>
      <c r="E38" s="169" t="n"/>
      <c r="F38" s="169" t="n"/>
      <c r="G38" s="169" t="n"/>
      <c r="H38" s="61" t="n"/>
      <c r="I38" s="29" t="n"/>
      <c r="J38" s="169" t="n"/>
      <c r="K38" s="169" t="n"/>
      <c r="L38" s="169" t="n"/>
      <c r="M38" s="29" t="n"/>
      <c r="N38" s="61" t="n"/>
      <c r="O38" s="61" t="n"/>
      <c r="P38" s="61" t="n"/>
      <c r="Q38" s="61" t="n"/>
      <c r="R38" s="61" t="n"/>
    </row>
    <row r="39" ht="15" customFormat="1" customHeight="1" s="35">
      <c r="A39" s="163" t="n"/>
      <c r="B39" s="163" t="n"/>
      <c r="C39" s="172" t="n"/>
      <c r="D39" s="88" t="n"/>
      <c r="E39" s="169" t="n"/>
      <c r="F39" s="169" t="n"/>
      <c r="G39" s="169" t="n"/>
      <c r="H39" s="61" t="n"/>
      <c r="I39" s="29" t="n"/>
      <c r="J39" s="169" t="n"/>
      <c r="K39" s="169" t="n"/>
      <c r="L39" s="169" t="n"/>
      <c r="M39" s="29" t="n"/>
      <c r="N39" s="61" t="n"/>
      <c r="O39" s="61" t="n"/>
      <c r="P39" s="61" t="n"/>
      <c r="Q39" s="61" t="n"/>
      <c r="R39" s="61" t="n"/>
    </row>
    <row r="40" ht="15" customFormat="1" customHeight="1" s="35">
      <c r="A40" s="163" t="inlineStr">
        <is>
          <t>OPERATING COST</t>
        </is>
      </c>
      <c r="B40" s="163" t="n"/>
      <c r="C40" s="172" t="n"/>
      <c r="D40" s="88" t="n"/>
      <c r="E40" s="169" t="n"/>
      <c r="F40" s="169" t="n"/>
      <c r="G40" s="169" t="n"/>
      <c r="H40" s="61" t="n"/>
      <c r="I40" s="29" t="n"/>
      <c r="J40" s="169" t="n"/>
      <c r="K40" s="169" t="n"/>
      <c r="L40" s="169" t="n"/>
      <c r="M40" s="29" t="n"/>
      <c r="N40" s="61" t="n"/>
      <c r="O40" s="61" t="n"/>
      <c r="P40" s="61" t="n"/>
      <c r="Q40" s="61" t="n"/>
      <c r="R40" s="61" t="n"/>
    </row>
    <row r="41" ht="15" customFormat="1" customHeight="1" s="35">
      <c r="A41" s="163" t="n"/>
      <c r="B41" s="163" t="n"/>
      <c r="C41" s="172" t="n"/>
      <c r="D41" s="88" t="n"/>
      <c r="E41" s="169" t="n"/>
      <c r="F41" s="169" t="n"/>
      <c r="G41" s="169" t="n"/>
      <c r="H41" s="61" t="n"/>
      <c r="I41" s="29" t="n"/>
      <c r="J41" s="169" t="n"/>
      <c r="K41" s="169" t="n"/>
      <c r="L41" s="169" t="n"/>
      <c r="M41" s="29" t="n"/>
      <c r="N41" s="61" t="n"/>
      <c r="O41" s="61" t="n"/>
      <c r="P41" s="61" t="n"/>
      <c r="Q41" s="61" t="n"/>
      <c r="R41" s="61" t="n"/>
    </row>
    <row r="42" s="396">
      <c r="E42" s="61" t="inlineStr">
        <is>
          <t>Handling cost- fixed per annum</t>
        </is>
      </c>
      <c r="F42" s="61">
        <f t="array" ref="F42">INDEX(I42:M42,$F$4)</f>
        <v>4500.0</v>
      </c>
      <c r="G42" s="61" t="inlineStr">
        <is>
          <t>$ 000s</t>
        </is>
      </c>
      <c r="H42" s="61" t="n"/>
      <c r="J42" s="61" t="n">
        <v>4500</v>
      </c>
      <c r="K42" s="61" t="n">
        <v>4500</v>
      </c>
      <c r="L42" s="61" t="n">
        <v>4500</v>
      </c>
    </row>
    <row r="43">
      <c r="J43" s="61" t="n"/>
      <c r="K43" s="61" t="n"/>
      <c r="L43" s="61" t="n"/>
    </row>
    <row r="44">
      <c r="E44" s="61" t="inlineStr">
        <is>
          <t>Handling cost - variable</t>
        </is>
      </c>
      <c r="F44" s="61">
        <f t="array" ref="F44">INDEX(I44:M44,$F$4)</f>
        <v>550.0</v>
      </c>
      <c r="G44" s="61" t="inlineStr">
        <is>
          <t>USD/arrival</t>
        </is>
      </c>
      <c r="H44" s="61" t="n"/>
      <c r="J44" s="61" t="n">
        <v>550</v>
      </c>
      <c r="K44" s="61" t="n">
        <v>550</v>
      </c>
      <c r="L44" s="61" t="n">
        <v>550</v>
      </c>
    </row>
    <row r="45">
      <c r="F45" s="61" t="n"/>
      <c r="J45" s="61" t="n"/>
      <c r="K45" s="61" t="n"/>
      <c r="L45" s="61" t="n"/>
    </row>
    <row r="46" customFormat="1" s="58">
      <c r="A46" s="53" t="n"/>
      <c r="B46" s="53" t="n"/>
      <c r="C46" s="54" t="n"/>
      <c r="D46" s="55" t="n"/>
      <c r="E46" s="58" t="inlineStr">
        <is>
          <t>O&amp;M cost - sensitivity</t>
        </is>
      </c>
      <c r="F46" s="97">
        <f t="array" ref="F46">INDEX(I46:M46,$F$4)</f>
        <v>0.0</v>
      </c>
      <c r="G46" s="58" t="inlineStr">
        <is>
          <t>(1 + X%)</t>
        </is>
      </c>
      <c r="H46" s="58" t="n"/>
      <c r="I46" s="57" t="n"/>
      <c r="J46" s="97" t="n">
        <v>0</v>
      </c>
      <c r="K46" s="97" t="n">
        <v>0.1</v>
      </c>
      <c r="L46" s="97" t="n">
        <v>0</v>
      </c>
      <c r="M46" s="57" t="n"/>
    </row>
    <row r="47" customFormat="1" s="58">
      <c r="A47" s="53" t="n"/>
      <c r="B47" s="53" t="n"/>
      <c r="C47" s="54" t="n"/>
      <c r="D47" s="55" t="n"/>
      <c r="E47" s="58" t="n"/>
      <c r="F47" s="97" t="n"/>
      <c r="G47" s="58" t="n"/>
      <c r="H47" s="58" t="n"/>
      <c r="I47" s="57" t="n"/>
      <c r="J47" s="97" t="n"/>
      <c r="K47" s="97" t="n"/>
      <c r="L47" s="97" t="n"/>
      <c r="M47" s="57" t="n"/>
    </row>
    <row r="48">
      <c r="E48" s="61" t="inlineStr">
        <is>
          <t>O&amp;M cost- fixed per annum</t>
        </is>
      </c>
      <c r="F48" s="61">
        <f t="array" ref="F48">INDEX(I48:M48,$F$4)</f>
        <v>3300.0</v>
      </c>
      <c r="G48" s="61" t="str">
        <f>SMU</f>
        <v>$ 000s</v>
      </c>
      <c r="H48" s="61" t="n"/>
      <c r="J48" s="61" t="n">
        <v>3300</v>
      </c>
      <c r="K48" s="61" t="n">
        <v>3300</v>
      </c>
      <c r="L48" s="61" t="n">
        <v>3300</v>
      </c>
    </row>
    <row r="49">
      <c r="J49" s="61" t="n"/>
      <c r="K49" s="61" t="n"/>
      <c r="L49" s="61" t="n"/>
    </row>
    <row r="50">
      <c r="E50" s="61" t="inlineStr">
        <is>
          <t>Account payables days</t>
        </is>
      </c>
      <c r="F50" s="61">
        <f t="array" ref="F50">INDEX(I50:M50,$F$4)</f>
        <v>35.0</v>
      </c>
      <c r="G50" s="61" t="inlineStr">
        <is>
          <t>days</t>
        </is>
      </c>
      <c r="H50" s="61" t="n"/>
      <c r="J50" s="61" t="n">
        <v>35</v>
      </c>
      <c r="K50" s="61" t="n">
        <v>35</v>
      </c>
      <c r="L50" s="61" t="n">
        <v>35</v>
      </c>
    </row>
    <row r="51" ht="15" customFormat="1" customHeight="1" s="35">
      <c r="A51" s="163" t="n"/>
      <c r="B51" s="163" t="n"/>
      <c r="C51" s="172" t="n"/>
      <c r="D51" s="88" t="n"/>
      <c r="E51" s="169" t="n"/>
      <c r="F51" s="169" t="n"/>
      <c r="G51" s="169" t="n"/>
      <c r="H51" s="61" t="n"/>
      <c r="I51" s="29" t="n"/>
      <c r="J51" s="169" t="n"/>
      <c r="K51" s="169" t="n"/>
      <c r="L51" s="169" t="n"/>
      <c r="M51" s="29" t="n"/>
      <c r="N51" s="61" t="n"/>
      <c r="O51" s="61" t="n"/>
      <c r="P51" s="61" t="n"/>
      <c r="Q51" s="61" t="n"/>
      <c r="R51" s="61" t="n"/>
    </row>
    <row r="52" ht="15" customFormat="1" customHeight="1" s="35">
      <c r="A52" s="163" t="n"/>
      <c r="B52" s="163" t="n"/>
      <c r="C52" s="172" t="n"/>
      <c r="D52" s="88" t="n"/>
      <c r="E52" s="169" t="n"/>
      <c r="F52" s="169" t="n"/>
      <c r="G52" s="169" t="n"/>
      <c r="H52" s="61" t="n"/>
      <c r="I52" s="29" t="n"/>
      <c r="J52" s="169" t="n"/>
      <c r="K52" s="169" t="n"/>
      <c r="L52" s="169" t="n"/>
      <c r="M52" s="29" t="n"/>
      <c r="N52" s="61" t="n"/>
      <c r="O52" s="61" t="n"/>
      <c r="P52" s="61" t="n"/>
      <c r="Q52" s="61" t="n"/>
      <c r="R52" s="61" t="n"/>
    </row>
    <row r="53" ht="15" customFormat="1" customHeight="1" s="35">
      <c r="A53" s="163" t="inlineStr">
        <is>
          <t>NON CURRENT ASSET</t>
        </is>
      </c>
      <c r="B53" s="163" t="n"/>
      <c r="C53" s="172" t="n"/>
      <c r="D53" s="88" t="n"/>
      <c r="E53" s="169" t="n"/>
      <c r="F53" s="169" t="n"/>
      <c r="G53" s="169" t="n"/>
      <c r="H53" s="61" t="n"/>
      <c r="I53" s="29" t="n"/>
      <c r="J53" s="169" t="n"/>
      <c r="K53" s="169" t="n"/>
      <c r="L53" s="169" t="n"/>
      <c r="M53" s="29" t="n"/>
      <c r="N53" s="61" t="n"/>
      <c r="O53" s="61" t="n"/>
      <c r="P53" s="61" t="n"/>
      <c r="Q53" s="61" t="n"/>
      <c r="R53" s="61" t="n"/>
    </row>
    <row r="54" ht="15" customFormat="1" customHeight="1" s="35">
      <c r="A54" s="163" t="n"/>
      <c r="B54" s="163" t="n"/>
      <c r="C54" s="172" t="n"/>
      <c r="D54" s="88" t="n"/>
      <c r="E54" s="169" t="n"/>
      <c r="F54" s="169" t="n"/>
      <c r="G54" s="169" t="n"/>
      <c r="H54" s="61" t="n"/>
      <c r="I54" s="29" t="n"/>
      <c r="J54" s="169" t="n"/>
      <c r="K54" s="169" t="n"/>
      <c r="L54" s="169" t="n"/>
      <c r="M54" s="29" t="n"/>
      <c r="N54" s="61" t="n"/>
      <c r="O54" s="61" t="n"/>
      <c r="P54" s="61" t="n"/>
      <c r="Q54" s="61" t="n"/>
      <c r="R54" s="61" t="n"/>
    </row>
    <row r="55">
      <c r="E55" s="60" t="inlineStr">
        <is>
          <t>Investment / addition date</t>
        </is>
      </c>
      <c r="F55" s="60" t="str">
        <f t="array" ref="F55">INDEX(I55:M55,$F$4)</f>
        <v>$000s</v>
      </c>
      <c r="G55" s="61" t="n"/>
      <c r="H55" s="61" t="n"/>
      <c r="J55" s="60" t="inlineStr">
        <is>
          <t>$000s</t>
        </is>
      </c>
      <c r="K55" s="60" t="inlineStr">
        <is>
          <t>$000s</t>
        </is>
      </c>
      <c r="L55" s="60" t="inlineStr">
        <is>
          <t>$000s</t>
        </is>
      </c>
    </row>
    <row r="56">
      <c r="E56" s="127" t="n">
        <v>45291</v>
      </c>
      <c r="F56" s="61">
        <f t="array" ref="F56">INDEX(I56:M56,$F$4)</f>
        <v>2000.0</v>
      </c>
      <c r="G56" s="61" t="inlineStr">
        <is>
          <t>$ 000s</t>
        </is>
      </c>
      <c r="H56" s="61" t="n"/>
      <c r="J56" s="61" t="n">
        <v>2000</v>
      </c>
      <c r="K56" s="61" t="n">
        <v>2000</v>
      </c>
      <c r="L56" s="61" t="n">
        <v>2000</v>
      </c>
    </row>
    <row r="57">
      <c r="E57" s="127" t="n">
        <v>45657</v>
      </c>
      <c r="F57" s="61">
        <f t="array" ref="F57">INDEX(I57:M57,$F$4)</f>
        <v>1000.0</v>
      </c>
      <c r="G57" s="61" t="inlineStr">
        <is>
          <t>$ 000s</t>
        </is>
      </c>
      <c r="H57" s="61" t="n"/>
      <c r="J57" s="61" t="n">
        <v>1000</v>
      </c>
      <c r="K57" s="61" t="n">
        <v>1000</v>
      </c>
      <c r="L57" s="61" t="n">
        <v>1000</v>
      </c>
    </row>
    <row r="58">
      <c r="E58" s="127" t="n">
        <v>46022</v>
      </c>
      <c r="F58" s="61">
        <f t="array" ref="F58">INDEX(I58:M58,$F$4)</f>
        <v>1500.0</v>
      </c>
      <c r="G58" s="61" t="inlineStr">
        <is>
          <t>$ 000s</t>
        </is>
      </c>
      <c r="H58" s="61" t="n"/>
      <c r="J58" s="61" t="n">
        <v>1500</v>
      </c>
      <c r="K58" s="61" t="n">
        <v>1500</v>
      </c>
      <c r="L58" s="61" t="n">
        <v>1500</v>
      </c>
    </row>
    <row r="59">
      <c r="E59" s="127" t="n">
        <v>46387</v>
      </c>
      <c r="F59" s="61">
        <f t="array" ref="F59">INDEX(I59:M59,$F$4)</f>
        <v>1000.0</v>
      </c>
      <c r="G59" s="61" t="inlineStr">
        <is>
          <t>$ 000s</t>
        </is>
      </c>
      <c r="H59" s="61" t="n"/>
      <c r="J59" s="61" t="n">
        <v>1000</v>
      </c>
      <c r="K59" s="61" t="n">
        <v>1000</v>
      </c>
      <c r="L59" s="61" t="n">
        <v>1000</v>
      </c>
    </row>
    <row r="60">
      <c r="E60" s="127" t="n">
        <v>46752</v>
      </c>
      <c r="F60" s="61">
        <f t="array" ref="F60">INDEX(I60:M60,$F$4)</f>
        <v>500.0</v>
      </c>
      <c r="G60" s="61" t="inlineStr">
        <is>
          <t>$ 000s</t>
        </is>
      </c>
      <c r="H60" s="61" t="n"/>
      <c r="J60" s="61" t="n">
        <v>500</v>
      </c>
      <c r="K60" s="61" t="n">
        <v>500</v>
      </c>
      <c r="L60" s="61" t="n">
        <v>500</v>
      </c>
    </row>
    <row r="61">
      <c r="E61" s="127" t="n">
        <v>47118</v>
      </c>
      <c r="F61" s="61">
        <f t="array" ref="F61">INDEX(I61:M61,$F$4)</f>
        <v>1000.0</v>
      </c>
      <c r="G61" s="61" t="inlineStr">
        <is>
          <t>$ 000s</t>
        </is>
      </c>
      <c r="H61" s="61" t="n"/>
      <c r="J61" s="61" t="n">
        <v>1000</v>
      </c>
      <c r="K61" s="61" t="n">
        <v>1000</v>
      </c>
      <c r="L61" s="61" t="n">
        <v>1000</v>
      </c>
    </row>
    <row r="62">
      <c r="E62" s="127" t="n">
        <v>47483</v>
      </c>
      <c r="F62" s="61">
        <f t="array" ref="F62">INDEX(I62:M62,$F$4)</f>
        <v>1000.0</v>
      </c>
      <c r="G62" s="61" t="inlineStr">
        <is>
          <t>$ 000s</t>
        </is>
      </c>
      <c r="H62" s="61" t="n"/>
      <c r="J62" s="61" t="n">
        <v>1000</v>
      </c>
      <c r="K62" s="61" t="n">
        <v>1000</v>
      </c>
      <c r="L62" s="61" t="n">
        <v>1000</v>
      </c>
    </row>
    <row r="63">
      <c r="J63" s="61" t="n"/>
      <c r="K63" s="61" t="n"/>
      <c r="L63" s="61" t="n"/>
    </row>
    <row r="64">
      <c r="E64" s="61" t="inlineStr">
        <is>
          <t>Non current asset - initial balance</t>
        </is>
      </c>
      <c r="F64" s="61">
        <f t="array" ref="F64">INDEX(I64:M64,$F$4)</f>
        <v>101067.79924517678</v>
      </c>
      <c r="G64" s="61" t="inlineStr">
        <is>
          <t>$ 000s</t>
        </is>
      </c>
      <c r="H64" s="61" t="n"/>
      <c r="J64" s="61">
        <f>Constr!$F$52</f>
        <v>101067.79924517678</v>
      </c>
      <c r="K64" s="61">
        <f>Constr!$F$52</f>
        <v>101067.79924517678</v>
      </c>
      <c r="L64" s="61">
        <f>Constr!$F$52</f>
        <v>101067.79924517678</v>
      </c>
      <c r="N64" s="0" t="inlineStr">
        <is>
          <t>Linked to Constr!F52: capitalised project cost (hard cost + fees + interest during construction)</t>
        </is>
      </c>
    </row>
    <row r="65">
      <c r="E65" s="61" t="inlineStr">
        <is>
          <t xml:space="preserve">Useful life of NCA at acquisition </t>
        </is>
      </c>
      <c r="F65" s="61">
        <f t="array" ref="F65">INDEX(I65:M65,$F$4)</f>
        <v>15.0</v>
      </c>
      <c r="G65" s="61" t="inlineStr">
        <is>
          <t>years</t>
        </is>
      </c>
      <c r="H65" s="61" t="n"/>
      <c r="J65" s="61" t="n">
        <v>15</v>
      </c>
      <c r="K65" s="61" t="n">
        <v>15</v>
      </c>
      <c r="L65" s="61" t="n">
        <v>15</v>
      </c>
    </row>
    <row r="66">
      <c r="J66" s="61" t="n"/>
      <c r="K66" s="61" t="n"/>
      <c r="L66" s="61" t="n"/>
    </row>
    <row r="67">
      <c r="E67" s="61" t="inlineStr">
        <is>
          <t>Useful life -capex</t>
        </is>
      </c>
      <c r="F67" s="61">
        <f t="array" ref="F67">INDEX(I67:M67,$F$4)</f>
        <v>5.0</v>
      </c>
      <c r="G67" s="61" t="inlineStr">
        <is>
          <t>yrs</t>
        </is>
      </c>
      <c r="H67" s="61" t="n"/>
      <c r="J67" s="61" t="n">
        <v>5</v>
      </c>
      <c r="K67" s="61" t="n">
        <v>5</v>
      </c>
      <c r="L67" s="61" t="n">
        <v>5</v>
      </c>
    </row>
    <row r="68" ht="15" customFormat="1" customHeight="1" s="35">
      <c r="A68" s="163" t="n"/>
      <c r="B68" s="163" t="n"/>
      <c r="C68" s="172" t="n"/>
      <c r="D68" s="88" t="n"/>
      <c r="E68" s="169" t="n"/>
      <c r="F68" s="169" t="n"/>
      <c r="G68" s="169" t="n"/>
      <c r="H68" s="61" t="n"/>
      <c r="I68" s="29" t="n"/>
      <c r="J68" s="169" t="n"/>
      <c r="K68" s="169" t="n"/>
      <c r="L68" s="169" t="n"/>
      <c r="M68" s="29" t="n"/>
      <c r="N68" s="61" t="n"/>
      <c r="O68" s="61" t="n"/>
      <c r="P68" s="61" t="n"/>
      <c r="Q68" s="61" t="n"/>
      <c r="R68" s="61" t="n"/>
    </row>
    <row r="69" ht="15" customFormat="1" customHeight="1" s="35">
      <c r="A69" s="163" t="n"/>
      <c r="B69" s="163" t="n"/>
      <c r="C69" s="172" t="n"/>
      <c r="D69" s="88" t="n"/>
      <c r="E69" s="169" t="n"/>
      <c r="F69" s="169" t="n"/>
      <c r="G69" s="169" t="n"/>
      <c r="H69" s="61" t="n"/>
      <c r="I69" s="29" t="n"/>
      <c r="J69" s="169" t="n"/>
      <c r="K69" s="169" t="n"/>
      <c r="L69" s="169" t="n"/>
      <c r="M69" s="29" t="n"/>
      <c r="N69" s="61" t="n"/>
      <c r="O69" s="61" t="n"/>
      <c r="P69" s="61" t="n"/>
      <c r="Q69" s="61" t="n"/>
      <c r="R69" s="61" t="n"/>
    </row>
    <row r="70" ht="15" customFormat="1" customHeight="1" s="35">
      <c r="A70" s="163" t="inlineStr">
        <is>
          <t>SENIOR DEBT</t>
        </is>
      </c>
      <c r="B70" s="163" t="n"/>
      <c r="C70" s="172" t="n"/>
      <c r="D70" s="88" t="n"/>
      <c r="E70" s="169" t="n"/>
      <c r="F70" s="169" t="n"/>
      <c r="G70" s="169" t="n"/>
      <c r="H70" s="61" t="n"/>
      <c r="I70" s="29" t="n"/>
      <c r="J70" s="169" t="n"/>
      <c r="K70" s="169" t="n"/>
      <c r="L70" s="169" t="n"/>
      <c r="M70" s="29" t="n"/>
      <c r="N70" s="61" t="n"/>
      <c r="O70" s="61" t="n"/>
      <c r="P70" s="61" t="n"/>
      <c r="Q70" s="61" t="n"/>
      <c r="R70" s="61" t="n"/>
    </row>
    <row r="71" ht="15" customFormat="1" customHeight="1" s="35">
      <c r="A71" s="163" t="n"/>
      <c r="B71" s="163" t="n"/>
      <c r="C71" s="172" t="n"/>
      <c r="D71" s="88" t="n"/>
      <c r="E71" s="169" t="n"/>
      <c r="F71" s="169" t="n"/>
      <c r="G71" s="169" t="n"/>
      <c r="H71" s="61" t="n"/>
      <c r="I71" s="29" t="n"/>
      <c r="J71" s="169" t="n"/>
      <c r="K71" s="169" t="n"/>
      <c r="L71" s="169" t="n"/>
      <c r="M71" s="29" t="n"/>
      <c r="N71" s="61" t="n"/>
      <c r="O71" s="61" t="n"/>
      <c r="P71" s="61" t="n"/>
      <c r="Q71" s="61" t="n"/>
      <c r="R71" s="61" t="n"/>
    </row>
    <row r="72" customFormat="1" s="58">
      <c r="A72" s="53" t="n"/>
      <c r="B72" s="53" t="n"/>
      <c r="C72" s="54" t="n"/>
      <c r="D72" s="55" t="n"/>
      <c r="E72" s="58" t="inlineStr">
        <is>
          <t>% of NCA financed with debt</t>
        </is>
      </c>
      <c r="F72" s="97">
        <f t="array" ref="F72">INDEX(I72:M72,$F$4)</f>
        <v>0.713919025652034</v>
      </c>
      <c r="G72" s="58" t="inlineStr">
        <is>
          <t>%</t>
        </is>
      </c>
      <c r="H72" s="58" t="n"/>
      <c r="I72" s="57" t="n"/>
      <c r="J72" s="97" t="n">
        <v>0.713919025652034</v>
      </c>
      <c r="K72" s="97" t="n">
        <v>0.5418242451502373</v>
      </c>
      <c r="L72" s="97" t="n">
        <v>0.75</v>
      </c>
      <c r="M72" s="57" t="n"/>
      <c r="N72" s="0" t="inlineStr">
        <is>
          <t>Solved per scenario with Goal Seek: Sculpt!F32 (debt drawn less debt sized) = 0 by changing the active scenario's cell</t>
        </is>
      </c>
    </row>
    <row r="73">
      <c r="J73" s="61" t="n"/>
      <c r="K73" s="61" t="n"/>
      <c r="L73" s="61" t="n"/>
    </row>
    <row r="74">
      <c r="E74" s="61" t="inlineStr">
        <is>
          <t>Senior debt principal repayment profile selection</t>
        </is>
      </c>
      <c r="F74" s="61">
        <f t="array" ref="F74">INDEX(I74:M74,$F$4)</f>
        <v>4.0</v>
      </c>
      <c r="G74" s="61" t="inlineStr">
        <is>
          <t>switch</t>
        </is>
      </c>
      <c r="H74" s="61" t="n"/>
      <c r="J74" s="61" t="n">
        <v>4</v>
      </c>
      <c r="K74" s="61" t="n">
        <v>4</v>
      </c>
      <c r="L74" s="61" t="n">
        <v>4</v>
      </c>
    </row>
    <row r="75">
      <c r="J75" s="61" t="n"/>
      <c r="K75" s="61" t="n"/>
      <c r="L75" s="61" t="n"/>
    </row>
    <row r="76">
      <c r="J76" s="61" t="n"/>
      <c r="K76" s="61" t="n"/>
      <c r="L76" s="61" t="n"/>
    </row>
    <row r="77" customFormat="1" s="58">
      <c r="A77" s="53" t="n"/>
      <c r="B77" s="53" t="n"/>
      <c r="C77" s="54" t="n"/>
      <c r="D77" s="55" t="n"/>
      <c r="E77" s="58" t="inlineStr">
        <is>
          <t xml:space="preserve">All in annual senior debt interest rate </t>
        </is>
      </c>
      <c r="F77" s="97">
        <f t="array" ref="F77">INDEX(I77:M77,$F$4)</f>
        <v>0.065</v>
      </c>
      <c r="G77" s="58" t="inlineStr">
        <is>
          <t>%</t>
        </is>
      </c>
      <c r="H77" s="58" t="n"/>
      <c r="I77" s="57" t="n"/>
      <c r="J77" s="97" t="n">
        <v>0.065</v>
      </c>
      <c r="K77" s="97" t="n">
        <v>0.065</v>
      </c>
      <c r="L77" s="97" t="n">
        <v>0.065</v>
      </c>
      <c r="M77" s="57" t="n"/>
    </row>
    <row r="78">
      <c r="J78" s="61" t="n"/>
      <c r="K78" s="61" t="n"/>
      <c r="L78" s="61" t="n"/>
    </row>
    <row r="79">
      <c r="E79" s="61" t="inlineStr">
        <is>
          <t xml:space="preserve">Day count convention </t>
        </is>
      </c>
      <c r="F79" s="61">
        <f t="array" ref="F79">INDEX(I79:M79,$F$4)</f>
        <v>360.0</v>
      </c>
      <c r="G79" s="61" t="inlineStr">
        <is>
          <t>days</t>
        </is>
      </c>
      <c r="H79" s="61" t="n"/>
      <c r="J79" s="61" t="n">
        <v>360</v>
      </c>
      <c r="K79" s="61" t="n">
        <v>360</v>
      </c>
      <c r="L79" s="61" t="n">
        <v>360</v>
      </c>
    </row>
    <row r="80" ht="15" customFormat="1" customHeight="1" s="35">
      <c r="A80" s="163" t="n"/>
      <c r="B80" s="163" t="n"/>
      <c r="C80" s="172" t="n"/>
      <c r="D80" s="88" t="n"/>
      <c r="E80" s="169" t="n"/>
      <c r="F80" s="169" t="n"/>
      <c r="G80" s="169" t="n"/>
      <c r="H80" s="61" t="n"/>
      <c r="I80" s="29" t="n"/>
      <c r="J80" s="169" t="n"/>
      <c r="K80" s="169" t="n"/>
      <c r="L80" s="169" t="n"/>
      <c r="M80" s="29" t="n"/>
      <c r="N80" s="61" t="n"/>
      <c r="O80" s="61" t="n"/>
      <c r="P80" s="61" t="n"/>
      <c r="Q80" s="61" t="n"/>
      <c r="R80" s="61" t="n"/>
    </row>
    <row r="81" ht="15" customFormat="1" customHeight="1" s="35">
      <c r="A81" s="163" t="n"/>
      <c r="B81" s="163" t="n"/>
      <c r="C81" s="172" t="n"/>
      <c r="D81" s="88" t="n"/>
      <c r="E81" s="169" t="n"/>
      <c r="F81" s="169" t="n"/>
      <c r="G81" s="169" t="n"/>
      <c r="H81" s="61" t="n"/>
      <c r="I81" s="29" t="n"/>
      <c r="J81" s="169" t="n"/>
      <c r="K81" s="169" t="n"/>
      <c r="L81" s="169" t="n"/>
      <c r="M81" s="29" t="n"/>
      <c r="N81" s="61" t="n"/>
      <c r="O81" s="61" t="n"/>
      <c r="P81" s="61" t="n"/>
      <c r="Q81" s="61" t="n"/>
      <c r="R81" s="61" t="n"/>
    </row>
    <row r="82" ht="15" customFormat="1" customHeight="1" s="35">
      <c r="A82" s="163" t="inlineStr">
        <is>
          <t>TAX</t>
        </is>
      </c>
      <c r="B82" s="163" t="n"/>
      <c r="C82" s="172" t="n"/>
      <c r="D82" s="88" t="n"/>
      <c r="E82" s="169" t="n"/>
      <c r="F82" s="169" t="n"/>
      <c r="G82" s="169" t="n"/>
      <c r="H82" s="61" t="n"/>
      <c r="I82" s="29" t="n"/>
      <c r="J82" s="169" t="n"/>
      <c r="K82" s="169" t="n"/>
      <c r="L82" s="169" t="n"/>
      <c r="M82" s="29" t="n"/>
      <c r="N82" s="61" t="n"/>
      <c r="O82" s="61" t="n"/>
      <c r="P82" s="61" t="n"/>
      <c r="Q82" s="61" t="n"/>
      <c r="R82" s="61" t="n"/>
    </row>
    <row r="83" ht="15" customFormat="1" customHeight="1" s="35">
      <c r="A83" s="163" t="n"/>
      <c r="B83" s="163" t="n"/>
      <c r="C83" s="172" t="n"/>
      <c r="D83" s="88" t="n"/>
      <c r="E83" s="169" t="n"/>
      <c r="F83" s="169" t="n"/>
      <c r="G83" s="169" t="n"/>
      <c r="H83" s="61" t="n"/>
      <c r="I83" s="29" t="n"/>
      <c r="J83" s="169" t="n"/>
      <c r="K83" s="169" t="n"/>
      <c r="L83" s="169" t="n"/>
      <c r="M83" s="29" t="n"/>
      <c r="N83" s="61" t="n"/>
      <c r="O83" s="61" t="n"/>
      <c r="P83" s="61" t="n"/>
      <c r="Q83" s="61" t="n"/>
      <c r="R83" s="61" t="n"/>
    </row>
    <row r="84" customFormat="1" s="58">
      <c r="A84" s="53" t="n"/>
      <c r="B84" s="53" t="n"/>
      <c r="C84" s="54" t="n"/>
      <c r="D84" s="55" t="n"/>
      <c r="E84" s="58" t="inlineStr">
        <is>
          <t>Tax depreciation rate</t>
        </is>
      </c>
      <c r="F84" s="97">
        <f t="array" ref="F84">INDEX(I84:M84,$F$4)</f>
        <v>0.05</v>
      </c>
      <c r="G84" s="58" t="inlineStr">
        <is>
          <t>% TWDV</t>
        </is>
      </c>
      <c r="H84" s="58" t="n"/>
      <c r="I84" s="57" t="n"/>
      <c r="J84" s="97" t="n">
        <v>0.05</v>
      </c>
      <c r="K84" s="97" t="n">
        <v>0.05</v>
      </c>
      <c r="L84" s="97" t="n">
        <v>0.05</v>
      </c>
      <c r="M84" s="57" t="n"/>
    </row>
    <row r="85">
      <c r="J85" s="61" t="n"/>
      <c r="K85" s="61" t="n"/>
      <c r="L85" s="61" t="n"/>
    </row>
    <row r="86" customFormat="1" s="58">
      <c r="A86" s="53" t="n"/>
      <c r="B86" s="53" t="n"/>
      <c r="C86" s="54" t="n"/>
      <c r="D86" s="55" t="n"/>
      <c r="E86" s="58" t="inlineStr">
        <is>
          <t>Corporation tax rate</t>
        </is>
      </c>
      <c r="F86" s="97">
        <f t="array" ref="F86">INDEX(I86:M86,$F$4)</f>
        <v>0.3</v>
      </c>
      <c r="G86" s="58" t="inlineStr">
        <is>
          <t>%</t>
        </is>
      </c>
      <c r="H86" s="58" t="n"/>
      <c r="I86" s="57" t="n"/>
      <c r="J86" s="97" t="n">
        <v>0.3</v>
      </c>
      <c r="K86" s="97" t="n">
        <v>0.3</v>
      </c>
      <c r="L86" s="97" t="n">
        <v>0.3</v>
      </c>
      <c r="M86" s="57" t="n"/>
    </row>
    <row r="87" customFormat="1" s="58">
      <c r="A87" s="53" t="n"/>
      <c r="B87" s="53" t="n"/>
      <c r="C87" s="54" t="n"/>
      <c r="D87" s="55" t="n"/>
      <c r="E87" s="58" t="n"/>
      <c r="F87" s="97" t="n"/>
      <c r="G87" s="58" t="n"/>
      <c r="H87" s="58" t="n"/>
      <c r="I87" s="57" t="n"/>
      <c r="J87" s="97" t="n"/>
      <c r="K87" s="97" t="n"/>
      <c r="L87" s="97" t="n"/>
      <c r="M87" s="57" t="n"/>
    </row>
    <row r="88" ht="15" customFormat="1" customHeight="1" s="35">
      <c r="A88" s="163" t="inlineStr">
        <is>
          <t>VALUATION</t>
        </is>
      </c>
      <c r="B88" s="163" t="n"/>
      <c r="C88" s="172" t="n"/>
      <c r="D88" s="88" t="n"/>
      <c r="E88" s="169" t="n"/>
      <c r="F88" s="169" t="n"/>
      <c r="G88" s="169" t="n"/>
      <c r="H88" s="61" t="n"/>
      <c r="I88" s="29" t="n"/>
      <c r="J88" s="169" t="n"/>
      <c r="K88" s="169" t="n"/>
      <c r="L88" s="169" t="n"/>
      <c r="M88" s="29" t="n"/>
      <c r="N88" s="61" t="n"/>
      <c r="O88" s="61" t="n"/>
      <c r="P88" s="61" t="n"/>
      <c r="Q88" s="61" t="n"/>
      <c r="R88" s="61" t="n"/>
    </row>
    <row r="89" ht="15" customFormat="1" customHeight="1" s="35">
      <c r="A89" s="163" t="n"/>
      <c r="B89" s="163" t="n"/>
      <c r="C89" s="172" t="n"/>
      <c r="D89" s="88" t="n"/>
      <c r="E89" s="169" t="n"/>
      <c r="F89" s="169" t="n"/>
      <c r="G89" s="169" t="n"/>
      <c r="H89" s="61" t="n"/>
      <c r="I89" s="29" t="n"/>
      <c r="J89" s="169" t="n"/>
      <c r="K89" s="169" t="n"/>
      <c r="L89" s="169" t="n"/>
      <c r="M89" s="29" t="n"/>
      <c r="N89" s="61" t="n"/>
      <c r="O89" s="61" t="n"/>
      <c r="P89" s="61" t="n"/>
      <c r="Q89" s="61" t="n"/>
      <c r="R89" s="61" t="n"/>
    </row>
    <row r="90" customFormat="1" s="68">
      <c r="A90" s="63" t="n"/>
      <c r="B90" s="63" t="n"/>
      <c r="C90" s="64" t="n"/>
      <c r="D90" s="65" t="n"/>
      <c r="E90" s="68" t="inlineStr">
        <is>
          <t>Shareholders valuation date</t>
        </is>
      </c>
      <c r="F90" s="127">
        <f t="array" ref="F90">INDEX(I90:M90,$F$4)</f>
        <v>44561.0</v>
      </c>
      <c r="G90" s="68" t="inlineStr">
        <is>
          <t>date</t>
        </is>
      </c>
      <c r="H90" s="68" t="n"/>
      <c r="I90" s="67" t="n"/>
      <c r="J90" s="127" t="n">
        <v>44561</v>
      </c>
      <c r="K90" s="127" t="n">
        <v>44561</v>
      </c>
      <c r="L90" s="127" t="n">
        <v>44561</v>
      </c>
      <c r="M90" s="67" t="n"/>
    </row>
    <row r="91">
      <c r="E91" s="61" t="inlineStr">
        <is>
          <t>Days in shareholder discount year</t>
        </is>
      </c>
      <c r="F91" s="61">
        <f t="array" ref="F91">INDEX(I91:M91,$F$4)</f>
        <v>365.0</v>
      </c>
      <c r="G91" s="61" t="inlineStr">
        <is>
          <t>days</t>
        </is>
      </c>
      <c r="H91" s="61" t="n"/>
      <c r="J91" s="61" t="n">
        <v>365</v>
      </c>
      <c r="K91" s="61" t="n">
        <v>365</v>
      </c>
      <c r="L91" s="61" t="n">
        <v>365</v>
      </c>
    </row>
    <row r="92">
      <c r="J92" s="61" t="n"/>
      <c r="K92" s="61" t="n"/>
      <c r="L92" s="61" t="n"/>
    </row>
    <row r="93" customFormat="1" s="58">
      <c r="A93" s="53" t="n"/>
      <c r="B93" s="53" t="n"/>
      <c r="C93" s="54" t="n"/>
      <c r="D93" s="55" t="n"/>
      <c r="E93" s="58" t="inlineStr">
        <is>
          <t>Shareholder required rate of return per annum</t>
        </is>
      </c>
      <c r="F93" s="97">
        <f t="array" ref="F93">INDEX(I93:M93,$F$4)</f>
        <v>0.2525</v>
      </c>
      <c r="G93" s="58" t="inlineStr">
        <is>
          <t>% p.a</t>
        </is>
      </c>
      <c r="H93" s="58" t="n"/>
      <c r="I93" s="57" t="n"/>
      <c r="J93" s="97" t="n">
        <v>0.2525</v>
      </c>
      <c r="K93" s="97" t="n">
        <v>0.2525</v>
      </c>
      <c r="L93" s="97" t="n">
        <v>0.2525</v>
      </c>
      <c r="M93" s="57" t="n"/>
    </row>
    <row r="94">
      <c r="J94" s="61" t="n"/>
      <c r="K94" s="61" t="n"/>
      <c r="L94" s="61" t="n"/>
    </row>
    <row r="95">
      <c r="J95" s="61" t="n"/>
      <c r="K95" s="61" t="n"/>
      <c r="L95" s="61" t="n"/>
    </row>
    <row r="96" customFormat="1" s="169">
      <c r="A96" s="163" t="inlineStr">
        <is>
          <t>MODEL CONSTANTS - DO NOT CHANGE</t>
        </is>
      </c>
      <c r="B96" s="163" t="n"/>
      <c r="C96" s="172" t="n"/>
      <c r="D96" s="88" t="n"/>
      <c r="F96" s="169" t="n"/>
      <c r="I96" s="146" t="n"/>
      <c r="J96" s="169" t="n"/>
      <c r="K96" s="169" t="n"/>
      <c r="L96" s="169" t="n"/>
      <c r="M96" s="146" t="n"/>
    </row>
    <row r="97" customFormat="1" s="169">
      <c r="A97" s="163" t="n"/>
      <c r="B97" s="163" t="n"/>
      <c r="C97" s="172" t="n"/>
      <c r="D97" s="88" t="n"/>
      <c r="F97" s="169" t="n"/>
      <c r="I97" s="146" t="n"/>
      <c r="J97" s="169" t="n"/>
      <c r="K97" s="169" t="n"/>
      <c r="L97" s="169" t="n"/>
      <c r="M97" s="146" t="n"/>
    </row>
    <row r="98" ht="15" customFormat="1" customHeight="1" s="169">
      <c r="A98" s="163" t="n"/>
      <c r="B98" s="163" t="n"/>
      <c r="C98" s="172" t="n"/>
      <c r="D98" s="88" t="n"/>
      <c r="E98" s="205" t="inlineStr">
        <is>
          <t>Financial year end month number</t>
        </is>
      </c>
      <c r="F98" s="77" t="n">
        <v>12</v>
      </c>
      <c r="G98" s="205" t="inlineStr">
        <is>
          <t>month #</t>
        </is>
      </c>
      <c r="I98" s="146" t="n"/>
      <c r="J98" s="0" t="n"/>
      <c r="K98" s="0" t="n"/>
      <c r="L98" s="0" t="n"/>
      <c r="M98" s="146" t="n"/>
    </row>
    <row r="99">
      <c r="E99" s="292" t="inlineStr">
        <is>
          <t>No of periods in a year</t>
        </is>
      </c>
      <c r="F99" s="77" t="n">
        <v>4</v>
      </c>
      <c r="G99" s="292" t="inlineStr">
        <is>
          <t>periods</t>
        </is>
      </c>
    </row>
    <row r="100">
      <c r="E100" s="205" t="inlineStr">
        <is>
          <t>First modelling column financial year number</t>
        </is>
      </c>
      <c r="F100" s="395" t="n">
        <v>2021</v>
      </c>
      <c r="G100" s="205" t="inlineStr">
        <is>
          <t>year #</t>
        </is>
      </c>
    </row>
    <row r="101" customFormat="1" s="169">
      <c r="A101" s="163" t="n"/>
      <c r="B101" s="163" t="n"/>
      <c r="C101" s="172" t="n"/>
      <c r="D101" s="88" t="n"/>
      <c r="E101" s="277" t="inlineStr">
        <is>
          <t>Model check tolerance level</t>
        </is>
      </c>
      <c r="F101" s="74" t="n">
        <v>0.001</v>
      </c>
      <c r="G101" s="277" t="inlineStr">
        <is>
          <t>tolerance</t>
        </is>
      </c>
      <c r="I101" s="146" t="n"/>
      <c r="J101" s="61" t="n"/>
      <c r="K101" s="61" t="n"/>
      <c r="L101" s="61" t="n"/>
      <c r="M101" s="146" t="n"/>
    </row>
    <row r="102">
      <c r="E102" s="61" t="inlineStr">
        <is>
          <t>Unit in thousand</t>
        </is>
      </c>
      <c r="F102" s="29" t="n">
        <v>1000</v>
      </c>
      <c r="G102" s="61" t="inlineStr">
        <is>
          <t>units</t>
        </is>
      </c>
      <c r="H102" s="61" t="n"/>
    </row>
    <row r="103">
      <c r="E103" s="61" t="inlineStr">
        <is>
          <t>Standard measure unit</t>
        </is>
      </c>
      <c r="F103" s="262" t="inlineStr">
        <is>
          <t>$ 000s</t>
        </is>
      </c>
      <c r="G103" s="61" t="inlineStr">
        <is>
          <t>SMU</t>
        </is>
      </c>
    </row>
    <row r="104" ht="15" customHeight="1" s="396">
      <c r="E104" s="277" t="n"/>
      <c r="F104" s="0" t="n"/>
      <c r="G104" s="277" t="n"/>
    </row>
    <row r="105">
      <c r="A105" s="294" t="inlineStr">
        <is>
          <t>TIMELINE LABEL</t>
        </is>
      </c>
    </row>
    <row r="106" customFormat="1" s="117">
      <c r="A106" s="163" t="n"/>
      <c r="B106" s="163" t="n"/>
      <c r="C106" s="172" t="n"/>
      <c r="D106" s="88" t="n"/>
      <c r="E106" s="169" t="inlineStr">
        <is>
          <t>Pre-forecast period</t>
        </is>
      </c>
      <c r="F106" s="146" t="inlineStr">
        <is>
          <t>Pre-fcst</t>
        </is>
      </c>
      <c r="G106" s="169" t="inlineStr">
        <is>
          <t>label</t>
        </is>
      </c>
      <c r="H106" s="61" t="n"/>
      <c r="I106" s="29" t="n"/>
      <c r="J106" s="61" t="n"/>
      <c r="K106" s="61" t="n"/>
      <c r="L106" s="61" t="n"/>
      <c r="M106" s="29" t="n"/>
      <c r="N106" s="61" t="n"/>
      <c r="O106" s="61" t="n"/>
      <c r="P106" s="61" t="n"/>
      <c r="Q106" s="61" t="n"/>
      <c r="R106" s="61" t="n"/>
    </row>
    <row r="107" customFormat="1" s="117">
      <c r="A107" s="163" t="n"/>
      <c r="B107" s="163" t="n"/>
      <c r="C107" s="172" t="n"/>
      <c r="D107" s="88" t="n"/>
      <c r="E107" s="169" t="inlineStr">
        <is>
          <t>Financial close</t>
        </is>
      </c>
      <c r="F107" s="146" t="inlineStr">
        <is>
          <t>Fin close</t>
        </is>
      </c>
      <c r="G107" s="169" t="inlineStr">
        <is>
          <t>label</t>
        </is>
      </c>
      <c r="H107" s="61" t="n"/>
      <c r="I107" s="29" t="n"/>
      <c r="J107" s="61" t="n"/>
      <c r="K107" s="61" t="n"/>
      <c r="L107" s="61" t="n"/>
      <c r="M107" s="29" t="n"/>
      <c r="N107" s="61" t="n"/>
      <c r="O107" s="61" t="n"/>
      <c r="P107" s="61" t="n"/>
      <c r="Q107" s="61" t="n"/>
      <c r="R107" s="61" t="n"/>
    </row>
    <row r="108" ht="15" customFormat="1" customHeight="1" s="35">
      <c r="A108" s="163" t="n"/>
      <c r="B108" s="163" t="n"/>
      <c r="C108" s="172" t="n"/>
      <c r="D108" s="88" t="n"/>
      <c r="E108" s="169" t="inlineStr">
        <is>
          <t>Forecast period</t>
        </is>
      </c>
      <c r="F108" s="146" t="inlineStr">
        <is>
          <t>Forecast</t>
        </is>
      </c>
      <c r="G108" s="169" t="inlineStr">
        <is>
          <t>label</t>
        </is>
      </c>
      <c r="H108" s="61" t="n"/>
      <c r="I108" s="29" t="n"/>
      <c r="J108" s="61" t="n"/>
      <c r="K108" s="61" t="n"/>
      <c r="L108" s="61" t="n"/>
      <c r="M108" s="29" t="n"/>
      <c r="N108" s="61" t="n"/>
      <c r="O108" s="61" t="n"/>
      <c r="P108" s="61" t="n"/>
      <c r="Q108" s="61" t="n"/>
      <c r="R108" s="61" t="n"/>
    </row>
    <row r="109" ht="15" customFormat="1" customHeight="1" s="35">
      <c r="A109" s="163" t="n"/>
      <c r="B109" s="163" t="n"/>
      <c r="C109" s="172" t="n"/>
      <c r="D109" s="88" t="n"/>
      <c r="E109" s="169" t="inlineStr">
        <is>
          <t>Post-operations period</t>
        </is>
      </c>
      <c r="F109" s="146" t="inlineStr">
        <is>
          <t>Post-fcst</t>
        </is>
      </c>
      <c r="G109" s="169" t="inlineStr">
        <is>
          <t>label</t>
        </is>
      </c>
      <c r="H109" s="61" t="n"/>
      <c r="I109" s="29" t="n"/>
      <c r="J109" s="61" t="n"/>
      <c r="K109" s="61" t="n"/>
      <c r="L109" s="61" t="n"/>
      <c r="M109" s="29" t="n"/>
      <c r="N109" s="61" t="n"/>
      <c r="O109" s="61" t="n"/>
      <c r="P109" s="61" t="n"/>
      <c r="Q109" s="61" t="n"/>
      <c r="R109" s="61" t="n"/>
    </row>
    <row r="111">
      <c r="A111" s="163" t="inlineStr">
        <is>
          <t>CONSTRUCTION AND FUNDING</t>
        </is>
      </c>
      <c r="B111" s="163" t="n"/>
      <c r="C111" s="172" t="n"/>
      <c r="D111" s="88" t="n"/>
      <c r="E111" s="169" t="n"/>
      <c r="F111" s="169" t="n"/>
      <c r="G111" s="169" t="n"/>
    </row>
    <row r="113">
      <c r="A113" s="39" t="n"/>
      <c r="B113" s="39" t="n"/>
      <c r="C113" s="40" t="n"/>
      <c r="D113" s="151" t="n"/>
      <c r="E113" s="169" t="inlineStr">
        <is>
          <t>Construction period</t>
        </is>
      </c>
      <c r="F113" s="488">
        <f t="array" ref="F113">INDEX(I113:M113,$F$4)</f>
        <v>8.0</v>
      </c>
      <c r="G113" s="169" t="inlineStr">
        <is>
          <t>quarters</t>
        </is>
      </c>
      <c r="H113" s="169" t="n"/>
      <c r="I113" s="43" t="n"/>
      <c r="J113" s="489" t="n">
        <v>8</v>
      </c>
      <c r="K113" s="489" t="n">
        <v>8</v>
      </c>
      <c r="L113" s="489" t="n">
        <v>8</v>
      </c>
      <c r="M113" s="43" t="n"/>
    </row>
    <row r="115">
      <c r="E115" s="61" t="inlineStr">
        <is>
          <t>Total construction cost (hard cost)</t>
        </is>
      </c>
      <c r="F115" s="490">
        <f t="array" ref="F115">INDEX(I115:M115,$F$4)</f>
        <v>94850.0</v>
      </c>
      <c r="G115" s="61" t="inlineStr">
        <is>
          <t>$ 000s</t>
        </is>
      </c>
      <c r="H115" s="61" t="n"/>
      <c r="J115" s="491" t="n">
        <v>94850</v>
      </c>
      <c r="K115" s="491" t="n">
        <v>94850</v>
      </c>
      <c r="L115" s="491" t="n">
        <v>94850</v>
      </c>
    </row>
    <row r="117">
      <c r="E117" s="0" t="inlineStr">
        <is>
          <t>Construction spend profile (quarter number and share of cost)</t>
        </is>
      </c>
    </row>
    <row r="118">
      <c r="A118" s="53" t="n"/>
      <c r="B118" s="53" t="n"/>
      <c r="C118" s="54" t="n"/>
      <c r="D118" s="55" t="n"/>
      <c r="E118" s="85" t="n">
        <v>1</v>
      </c>
      <c r="F118" s="492">
        <f t="array" ref="F118">INDEX(I118:M118,$F$4)</f>
        <v>0.05</v>
      </c>
      <c r="G118" s="58" t="inlineStr">
        <is>
          <t>% of cost</t>
        </is>
      </c>
      <c r="H118" s="58" t="n"/>
      <c r="I118" s="57" t="n"/>
      <c r="J118" s="493" t="n">
        <v>0.05</v>
      </c>
      <c r="K118" s="493" t="n">
        <v>0.05</v>
      </c>
      <c r="L118" s="493" t="n">
        <v>0.05</v>
      </c>
      <c r="M118" s="57" t="n"/>
    </row>
    <row r="119">
      <c r="A119" s="53" t="n"/>
      <c r="B119" s="53" t="n"/>
      <c r="C119" s="54" t="n"/>
      <c r="D119" s="55" t="n"/>
      <c r="E119" s="85" t="n">
        <v>2</v>
      </c>
      <c r="F119" s="492">
        <f t="array" ref="F119">INDEX(I119:M119,$F$4)</f>
        <v>0.1</v>
      </c>
      <c r="G119" s="58" t="inlineStr">
        <is>
          <t>% of cost</t>
        </is>
      </c>
      <c r="H119" s="58" t="n"/>
      <c r="I119" s="57" t="n"/>
      <c r="J119" s="493" t="n">
        <v>0.1</v>
      </c>
      <c r="K119" s="493" t="n">
        <v>0.1</v>
      </c>
      <c r="L119" s="493" t="n">
        <v>0.1</v>
      </c>
      <c r="M119" s="57" t="n"/>
    </row>
    <row r="120">
      <c r="A120" s="53" t="n"/>
      <c r="B120" s="53" t="n"/>
      <c r="C120" s="54" t="n"/>
      <c r="D120" s="55" t="n"/>
      <c r="E120" s="85" t="n">
        <v>3</v>
      </c>
      <c r="F120" s="492">
        <f t="array" ref="F120">INDEX(I120:M120,$F$4)</f>
        <v>0.15</v>
      </c>
      <c r="G120" s="58" t="inlineStr">
        <is>
          <t>% of cost</t>
        </is>
      </c>
      <c r="H120" s="58" t="n"/>
      <c r="I120" s="57" t="n"/>
      <c r="J120" s="493" t="n">
        <v>0.15</v>
      </c>
      <c r="K120" s="493" t="n">
        <v>0.15</v>
      </c>
      <c r="L120" s="493" t="n">
        <v>0.15</v>
      </c>
      <c r="M120" s="57" t="n"/>
    </row>
    <row r="121">
      <c r="A121" s="53" t="n"/>
      <c r="B121" s="53" t="n"/>
      <c r="C121" s="54" t="n"/>
      <c r="D121" s="55" t="n"/>
      <c r="E121" s="85" t="n">
        <v>4</v>
      </c>
      <c r="F121" s="492">
        <f t="array" ref="F121">INDEX(I121:M121,$F$4)</f>
        <v>0.2</v>
      </c>
      <c r="G121" s="58" t="inlineStr">
        <is>
          <t>% of cost</t>
        </is>
      </c>
      <c r="H121" s="58" t="n"/>
      <c r="I121" s="57" t="n"/>
      <c r="J121" s="493" t="n">
        <v>0.2</v>
      </c>
      <c r="K121" s="493" t="n">
        <v>0.2</v>
      </c>
      <c r="L121" s="493" t="n">
        <v>0.2</v>
      </c>
      <c r="M121" s="57" t="n"/>
    </row>
    <row r="122">
      <c r="A122" s="53" t="n"/>
      <c r="B122" s="53" t="n"/>
      <c r="C122" s="54" t="n"/>
      <c r="D122" s="55" t="n"/>
      <c r="E122" s="85" t="n">
        <v>5</v>
      </c>
      <c r="F122" s="492">
        <f t="array" ref="F122">INDEX(I122:M122,$F$4)</f>
        <v>0.2</v>
      </c>
      <c r="G122" s="58" t="inlineStr">
        <is>
          <t>% of cost</t>
        </is>
      </c>
      <c r="H122" s="58" t="n"/>
      <c r="I122" s="57" t="n"/>
      <c r="J122" s="493" t="n">
        <v>0.2</v>
      </c>
      <c r="K122" s="493" t="n">
        <v>0.2</v>
      </c>
      <c r="L122" s="493" t="n">
        <v>0.2</v>
      </c>
      <c r="M122" s="57" t="n"/>
    </row>
    <row r="123">
      <c r="A123" s="53" t="n"/>
      <c r="B123" s="53" t="n"/>
      <c r="C123" s="54" t="n"/>
      <c r="D123" s="55" t="n"/>
      <c r="E123" s="85" t="n">
        <v>6</v>
      </c>
      <c r="F123" s="492">
        <f t="array" ref="F123">INDEX(I123:M123,$F$4)</f>
        <v>0.15</v>
      </c>
      <c r="G123" s="58" t="inlineStr">
        <is>
          <t>% of cost</t>
        </is>
      </c>
      <c r="H123" s="58" t="n"/>
      <c r="I123" s="57" t="n"/>
      <c r="J123" s="493" t="n">
        <v>0.15</v>
      </c>
      <c r="K123" s="493" t="n">
        <v>0.15</v>
      </c>
      <c r="L123" s="493" t="n">
        <v>0.15</v>
      </c>
      <c r="M123" s="57" t="n"/>
    </row>
    <row r="124">
      <c r="A124" s="53" t="n"/>
      <c r="B124" s="53" t="n"/>
      <c r="C124" s="54" t="n"/>
      <c r="D124" s="55" t="n"/>
      <c r="E124" s="85" t="n">
        <v>7</v>
      </c>
      <c r="F124" s="492">
        <f t="array" ref="F124">INDEX(I124:M124,$F$4)</f>
        <v>0.1</v>
      </c>
      <c r="G124" s="58" t="inlineStr">
        <is>
          <t>% of cost</t>
        </is>
      </c>
      <c r="H124" s="58" t="n"/>
      <c r="I124" s="57" t="n"/>
      <c r="J124" s="493" t="n">
        <v>0.1</v>
      </c>
      <c r="K124" s="493" t="n">
        <v>0.1</v>
      </c>
      <c r="L124" s="493" t="n">
        <v>0.1</v>
      </c>
      <c r="M124" s="57" t="n"/>
    </row>
    <row r="125">
      <c r="A125" s="53" t="n"/>
      <c r="B125" s="53" t="n"/>
      <c r="C125" s="54" t="n"/>
      <c r="D125" s="55" t="n"/>
      <c r="E125" s="85" t="n">
        <v>8</v>
      </c>
      <c r="F125" s="492">
        <f t="array" ref="F125">INDEX(I125:M125,$F$4)</f>
        <v>0.05</v>
      </c>
      <c r="G125" s="58" t="inlineStr">
        <is>
          <t>% of cost</t>
        </is>
      </c>
      <c r="H125" s="58" t="n"/>
      <c r="I125" s="57" t="n"/>
      <c r="J125" s="493" t="n">
        <v>0.05</v>
      </c>
      <c r="K125" s="493" t="n">
        <v>0.05</v>
      </c>
      <c r="L125" s="493" t="n">
        <v>0.05</v>
      </c>
      <c r="M125" s="57" t="n"/>
    </row>
    <row r="127">
      <c r="A127" s="53" t="n"/>
      <c r="B127" s="53" t="n"/>
      <c r="C127" s="54" t="n"/>
      <c r="D127" s="55" t="n"/>
      <c r="E127" s="58" t="inlineStr">
        <is>
          <t>Upfront fee (% of facility)</t>
        </is>
      </c>
      <c r="F127" s="492">
        <f t="array" ref="F127">INDEX(I127:M127,$F$4)</f>
        <v>0.02</v>
      </c>
      <c r="G127" s="58" t="inlineStr">
        <is>
          <t>%</t>
        </is>
      </c>
      <c r="H127" s="58" t="n"/>
      <c r="I127" s="57" t="n"/>
      <c r="J127" s="493" t="n">
        <v>0.02</v>
      </c>
      <c r="K127" s="493" t="n">
        <v>0.02</v>
      </c>
      <c r="L127" s="493" t="n">
        <v>0.02</v>
      </c>
      <c r="M127" s="57" t="n"/>
    </row>
    <row r="129">
      <c r="A129" s="53" t="n"/>
      <c r="B129" s="53" t="n"/>
      <c r="C129" s="54" t="n"/>
      <c r="D129" s="55" t="n"/>
      <c r="E129" s="58" t="inlineStr">
        <is>
          <t>Commitment fee (% p.a. on undrawn facility)</t>
        </is>
      </c>
      <c r="F129" s="492">
        <f t="array" ref="F129">INDEX(I129:M129,$F$4)</f>
        <v>0.0075</v>
      </c>
      <c r="G129" s="58" t="inlineStr">
        <is>
          <t>% p.a</t>
        </is>
      </c>
      <c r="H129" s="58" t="n"/>
      <c r="I129" s="57" t="n"/>
      <c r="J129" s="493" t="n">
        <v>0.0075</v>
      </c>
      <c r="K129" s="493" t="n">
        <v>0.0075</v>
      </c>
      <c r="L129" s="493" t="n">
        <v>0.0075</v>
      </c>
      <c r="M129" s="57" t="n"/>
    </row>
    <row r="131">
      <c r="E131" s="61" t="inlineStr">
        <is>
          <t>Senior debt facility (commitment)</t>
        </is>
      </c>
      <c r="F131" s="490">
        <f t="array" ref="F131">INDEX(I131:M131,$F$4)</f>
        <v>72155.0</v>
      </c>
      <c r="G131" s="61" t="inlineStr">
        <is>
          <t>$ 000s</t>
        </is>
      </c>
      <c r="H131" s="61" t="n"/>
      <c r="J131" s="491" t="n">
        <v>72155</v>
      </c>
      <c r="K131" s="491" t="n">
        <v>53911</v>
      </c>
      <c r="L131" s="491" t="n">
        <v>76053</v>
      </c>
    </row>
    <row r="133">
      <c r="A133" s="39" t="n"/>
      <c r="B133" s="39" t="n"/>
      <c r="C133" s="40" t="n"/>
      <c r="D133" s="151" t="n"/>
      <c r="E133" s="169" t="inlineStr">
        <is>
          <t>Drawdown method (1 pro-rata, 2 equity first)</t>
        </is>
      </c>
      <c r="F133" s="488">
        <f t="array" ref="F133">INDEX(I133:M133,$F$4)</f>
        <v>1.0</v>
      </c>
      <c r="G133" s="169" t="inlineStr">
        <is>
          <t>switch</t>
        </is>
      </c>
      <c r="H133" s="169" t="n"/>
      <c r="I133" s="43" t="n"/>
      <c r="J133" s="489" t="n">
        <v>1</v>
      </c>
      <c r="K133" s="489" t="n">
        <v>1</v>
      </c>
      <c r="L133" s="489" t="n">
        <v>1</v>
      </c>
      <c r="M133" s="43" t="n"/>
    </row>
    <row r="135">
      <c r="E135" s="61" t="inlineStr">
        <is>
          <t>Equity commitment (used by method 2)</t>
        </is>
      </c>
      <c r="F135" s="490">
        <f t="array" ref="F135">INDEX(I135:M135,$F$4)</f>
        <v>40000.0</v>
      </c>
      <c r="G135" s="61" t="inlineStr">
        <is>
          <t>$ 000s</t>
        </is>
      </c>
      <c r="H135" s="61" t="n"/>
      <c r="J135" s="491" t="n">
        <v>40000</v>
      </c>
      <c r="K135" s="491" t="n">
        <v>40000</v>
      </c>
      <c r="L135" s="491" t="n">
        <v>40000</v>
      </c>
    </row>
    <row r="137">
      <c r="A137" s="163" t="inlineStr">
        <is>
          <t>SENIOR DEBT SIZING</t>
        </is>
      </c>
      <c r="B137" s="163" t="n"/>
      <c r="C137" s="172" t="n"/>
      <c r="D137" s="88" t="n"/>
      <c r="E137" s="169" t="n"/>
      <c r="F137" s="169" t="n"/>
      <c r="G137" s="169" t="n"/>
    </row>
    <row r="139">
      <c r="A139" s="39" t="n"/>
      <c r="B139" s="39" t="n"/>
      <c r="C139" s="40" t="n"/>
      <c r="D139" s="151" t="n"/>
      <c r="E139" s="169" t="inlineStr">
        <is>
          <t>Senior debt tenor</t>
        </is>
      </c>
      <c r="F139" s="488">
        <f t="array" ref="F139">INDEX(I139:M139,$F$4)</f>
        <v>40.0</v>
      </c>
      <c r="G139" s="169" t="inlineStr">
        <is>
          <t>quarters</t>
        </is>
      </c>
      <c r="H139" s="169" t="n"/>
      <c r="I139" s="43" t="n"/>
      <c r="J139" s="489" t="n">
        <v>40</v>
      </c>
      <c r="K139" s="489" t="n">
        <v>40</v>
      </c>
      <c r="L139" s="489" t="n">
        <v>40</v>
      </c>
      <c r="M139" s="43" t="n"/>
    </row>
    <row r="140">
      <c r="A140" s="53" t="n"/>
      <c r="B140" s="53" t="n"/>
      <c r="C140" s="54" t="n"/>
      <c r="D140" s="55" t="n"/>
      <c r="E140" s="58" t="inlineStr">
        <is>
          <t>Target DSCR for sculpting</t>
        </is>
      </c>
      <c r="F140" s="494">
        <f t="array" ref="F140">INDEX(I140:M140,$F$4)</f>
        <v>2.25</v>
      </c>
      <c r="G140" s="58" t="inlineStr">
        <is>
          <t>x</t>
        </is>
      </c>
      <c r="H140" s="58" t="n"/>
      <c r="I140" s="57" t="n"/>
      <c r="J140" s="495" t="n">
        <v>2.25</v>
      </c>
      <c r="K140" s="495" t="n">
        <v>2.25</v>
      </c>
      <c r="L140" s="495" t="n">
        <v>2.25</v>
      </c>
      <c r="M140" s="57" t="n"/>
    </row>
    <row r="141">
      <c r="A141" s="53" t="n"/>
      <c r="B141" s="53" t="n"/>
      <c r="C141" s="54" t="n"/>
      <c r="D141" s="55" t="n"/>
      <c r="E141" s="58" t="inlineStr">
        <is>
          <t>Maximum gearing (debt / total uses)</t>
        </is>
      </c>
      <c r="F141" s="492">
        <f t="array" ref="F141">INDEX(I141:M141,$F$4)</f>
        <v>0.75</v>
      </c>
      <c r="G141" s="58" t="inlineStr">
        <is>
          <t>%</t>
        </is>
      </c>
      <c r="H141" s="58" t="n"/>
      <c r="I141" s="57" t="n"/>
      <c r="J141" s="493" t="n">
        <v>0.75</v>
      </c>
      <c r="K141" s="493" t="n">
        <v>0.75</v>
      </c>
      <c r="L141" s="493" t="n">
        <v>0.75</v>
      </c>
      <c r="M141" s="57" t="n"/>
    </row>
    <row r="143">
      <c r="A143" s="39" t="n"/>
      <c r="B143" s="39" t="n"/>
      <c r="C143" s="40" t="n"/>
      <c r="D143" s="151" t="n"/>
      <c r="E143" s="169" t="inlineStr">
        <is>
          <t>DSRA cover (periods of debt service)</t>
        </is>
      </c>
      <c r="F143" s="488">
        <f t="array" ref="F143">INDEX(I143:M143,$F$4)</f>
        <v>2.0</v>
      </c>
      <c r="G143" s="169" t="inlineStr">
        <is>
          <t>periods</t>
        </is>
      </c>
      <c r="H143" s="169" t="n"/>
      <c r="I143" s="43" t="n"/>
      <c r="J143" s="489" t="n">
        <v>2</v>
      </c>
      <c r="K143" s="489" t="n">
        <v>2</v>
      </c>
      <c r="L143" s="489" t="n">
        <v>2</v>
      </c>
      <c r="M143" s="43" t="n"/>
    </row>
    <row r="145">
      <c r="A145" s="163" t="inlineStr">
        <is>
          <t>SHAREHOLDER LOAN</t>
        </is>
      </c>
      <c r="B145" s="163" t="n"/>
      <c r="C145" s="172" t="n"/>
      <c r="D145" s="88" t="n"/>
      <c r="E145" s="169" t="n"/>
      <c r="F145" s="169" t="n"/>
      <c r="G145" s="169" t="n"/>
    </row>
    <row r="147">
      <c r="A147" s="53" t="n"/>
      <c r="B147" s="53" t="n"/>
      <c r="C147" s="54" t="n"/>
      <c r="D147" s="55" t="n"/>
      <c r="E147" s="58" t="inlineStr">
        <is>
          <t>Shareholder loan share of sponsor funding</t>
        </is>
      </c>
      <c r="F147" s="492">
        <f t="array" ref="F147">INDEX(I147:M147,$F$4)</f>
        <v>0.6</v>
      </c>
      <c r="G147" s="58" t="inlineStr">
        <is>
          <t>%</t>
        </is>
      </c>
      <c r="H147" s="58" t="n"/>
      <c r="I147" s="57" t="n"/>
      <c r="J147" s="493" t="n">
        <v>0.6</v>
      </c>
      <c r="K147" s="493" t="n">
        <v>0.6</v>
      </c>
      <c r="L147" s="493" t="n">
        <v>0.6</v>
      </c>
      <c r="M147" s="57" t="n"/>
    </row>
    <row r="148">
      <c r="A148" s="53" t="n"/>
      <c r="B148" s="53" t="n"/>
      <c r="C148" s="54" t="n"/>
      <c r="D148" s="55" t="n"/>
      <c r="E148" s="58" t="inlineStr">
        <is>
          <t>Shareholder loan interest rate</t>
        </is>
      </c>
      <c r="F148" s="492">
        <f t="array" ref="F148">INDEX(I148:M148,$F$4)</f>
        <v>0.1</v>
      </c>
      <c r="G148" s="58" t="inlineStr">
        <is>
          <t>% p.a</t>
        </is>
      </c>
      <c r="H148" s="58" t="n"/>
      <c r="I148" s="57" t="n"/>
      <c r="J148" s="493" t="n">
        <v>0.1</v>
      </c>
      <c r="K148" s="493" t="n">
        <v>0.1</v>
      </c>
      <c r="L148" s="493" t="n">
        <v>0.1</v>
      </c>
      <c r="M148" s="57" t="n"/>
    </row>
  </sheetData>
  <dataValidations count="2">
    <dataValidation sqref="E16:G21 J16:L21" showDropDown="0" showInputMessage="1" showErrorMessage="1" allowBlank="1"/>
    <dataValidation sqref="F3" showDropDown="0" showInputMessage="1" showErrorMessage="1" allowBlank="1" type="list">
      <formula1>$I$3:$M$3</formula1>
    </dataValidation>
  </dataValidations>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4.xml><?xml version="1.0" encoding="utf-8"?>
<worksheet xmlns="http://schemas.openxmlformats.org/spreadsheetml/2006/main">
  <sheetPr>
    <tabColor rgb="00F2C97D"/>
    <outlinePr summaryBelow="0" summaryRight="0"/>
    <pageSetUpPr/>
  </sheetPr>
  <dimension ref="A1:CO74"/>
  <sheetViews>
    <sheetView showGridLines="0" defaultGridColor="0" colorId="22" zoomScale="99" zoomScaleNormal="104" workbookViewId="0">
      <pane xSplit="9" ySplit="5" topLeftCell="J6" activePane="bottomRight" state="frozen"/>
      <selection activeCell="F2" sqref="F2:G4"/>
      <selection pane="topRight" activeCell="F2" sqref="F2:G4"/>
      <selection pane="bottomLeft" activeCell="F2" sqref="F2:G4"/>
      <selection pane="bottomRight" activeCell="E18" sqref="E18:E20"/>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inlineStr">
        <is>
          <t xml:space="preserve">Model period ending </t>
        </is>
      </c>
      <c r="F2" s="0" t="n"/>
      <c r="G2" s="0" t="n"/>
      <c r="H2" s="170" t="n"/>
      <c r="J2" s="167" t="n">
        <v>44469</v>
      </c>
      <c r="K2" s="167" t="n">
        <v>44561</v>
      </c>
      <c r="L2" s="167" t="n">
        <v>44651</v>
      </c>
      <c r="M2" s="167" t="n">
        <v>44742</v>
      </c>
      <c r="N2" s="167" t="n">
        <v>44834</v>
      </c>
      <c r="O2" s="167" t="n">
        <v>44926</v>
      </c>
      <c r="P2" s="167" t="n">
        <v>45016</v>
      </c>
      <c r="Q2" s="167" t="n">
        <v>45107</v>
      </c>
      <c r="R2" s="167" t="n">
        <v>45199</v>
      </c>
      <c r="S2" s="167" t="n">
        <v>45291</v>
      </c>
      <c r="T2" s="167" t="n">
        <v>45382</v>
      </c>
      <c r="U2" s="167" t="n">
        <v>45473</v>
      </c>
      <c r="V2" s="167" t="n">
        <v>45565</v>
      </c>
      <c r="W2" s="167" t="n">
        <v>45657</v>
      </c>
      <c r="X2" s="167" t="n">
        <v>45747</v>
      </c>
      <c r="Y2" s="167" t="n">
        <v>45838</v>
      </c>
      <c r="Z2" s="167" t="n">
        <v>45930</v>
      </c>
      <c r="AA2" s="167" t="n">
        <v>46022</v>
      </c>
      <c r="AB2" s="167" t="n">
        <v>46112</v>
      </c>
      <c r="AC2" s="167" t="n">
        <v>46203</v>
      </c>
      <c r="AD2" s="167" t="n">
        <v>46295</v>
      </c>
      <c r="AE2" s="167" t="n">
        <v>46387</v>
      </c>
      <c r="AF2" s="167" t="n">
        <v>46477</v>
      </c>
      <c r="AG2" s="167" t="n">
        <v>46568</v>
      </c>
      <c r="AH2" s="167" t="n">
        <v>46660</v>
      </c>
      <c r="AI2" s="167" t="n">
        <v>46752</v>
      </c>
      <c r="AJ2" s="167" t="n">
        <v>46843</v>
      </c>
      <c r="AK2" s="167" t="n">
        <v>46934</v>
      </c>
      <c r="AL2" s="167" t="n">
        <v>47026</v>
      </c>
      <c r="AM2" s="167" t="n">
        <v>47118</v>
      </c>
      <c r="AN2" s="167" t="n">
        <v>47208</v>
      </c>
      <c r="AO2" s="167" t="n">
        <v>47299</v>
      </c>
      <c r="AP2" s="167" t="n">
        <v>47391</v>
      </c>
      <c r="AQ2" s="167" t="n">
        <v>47483</v>
      </c>
      <c r="AR2" s="167" t="n">
        <v>47573</v>
      </c>
      <c r="AS2" s="167" t="n">
        <v>47664</v>
      </c>
      <c r="AT2" s="167" t="n">
        <v>47756</v>
      </c>
      <c r="AU2" s="167" t="n">
        <v>47848</v>
      </c>
      <c r="AV2" s="167" t="n">
        <v>47938</v>
      </c>
      <c r="AW2" s="167" t="n">
        <v>48029</v>
      </c>
      <c r="AX2" s="167" t="n">
        <v>48121</v>
      </c>
      <c r="AY2" s="167" t="n">
        <v>48213</v>
      </c>
      <c r="AZ2" s="167" t="n">
        <v>48304</v>
      </c>
      <c r="BA2" s="167" t="n">
        <v>48395</v>
      </c>
      <c r="BB2" s="167" t="n">
        <v>48487</v>
      </c>
      <c r="BC2" s="167" t="n">
        <v>48579</v>
      </c>
      <c r="BD2" s="167" t="n">
        <v>48669</v>
      </c>
      <c r="BE2" s="167" t="n">
        <v>48760</v>
      </c>
      <c r="BF2" s="167" t="n">
        <v>48852</v>
      </c>
      <c r="BG2" s="167" t="n">
        <v>48944</v>
      </c>
      <c r="BH2" s="167" t="n">
        <v>49034</v>
      </c>
      <c r="BI2" s="167" t="n">
        <v>49125</v>
      </c>
      <c r="BJ2" s="167" t="n">
        <v>49217</v>
      </c>
      <c r="BK2" s="167" t="n">
        <v>49309</v>
      </c>
      <c r="BL2" s="167" t="n">
        <v>49399</v>
      </c>
      <c r="BM2" s="167" t="n">
        <v>49490</v>
      </c>
      <c r="BN2" s="167" t="n">
        <v>49582</v>
      </c>
      <c r="BO2" s="167" t="n">
        <v>49674</v>
      </c>
      <c r="BP2" s="167" t="n">
        <v>49765</v>
      </c>
      <c r="BQ2" s="167" t="n">
        <v>49856</v>
      </c>
      <c r="BR2" s="167" t="n">
        <v>49948</v>
      </c>
      <c r="BS2" s="167" t="n">
        <v>50040</v>
      </c>
      <c r="BT2" s="167" t="n">
        <v>50130</v>
      </c>
      <c r="BU2" s="167" t="n">
        <v>50221</v>
      </c>
      <c r="BV2" s="167" t="n">
        <v>50313</v>
      </c>
      <c r="BW2" s="167" t="n">
        <v>50405</v>
      </c>
      <c r="BX2" s="167" t="n">
        <v>50495</v>
      </c>
      <c r="BY2" s="167" t="n">
        <v>50586</v>
      </c>
      <c r="BZ2" s="167" t="n">
        <v>50678</v>
      </c>
      <c r="CA2" s="167" t="n">
        <v>50770</v>
      </c>
      <c r="CB2" s="167" t="n">
        <v>50860</v>
      </c>
      <c r="CC2" s="167" t="n">
        <v>50951</v>
      </c>
      <c r="CD2" s="167" t="n">
        <v>51043</v>
      </c>
      <c r="CE2" s="167" t="n">
        <v>51135</v>
      </c>
      <c r="CF2" s="167" t="n">
        <v>51226</v>
      </c>
      <c r="CG2" s="167" t="n">
        <v>51317</v>
      </c>
      <c r="CH2" s="167" t="n">
        <v>51409</v>
      </c>
      <c r="CI2" s="167" t="n">
        <v>51501</v>
      </c>
      <c r="CJ2" s="167" t="n">
        <v>51591</v>
      </c>
      <c r="CK2" s="167" t="n">
        <v>51682</v>
      </c>
      <c r="CL2" s="167" t="n">
        <v>51774</v>
      </c>
      <c r="CM2" s="167" t="n">
        <v>51866</v>
      </c>
      <c r="CN2" s="167" t="n">
        <v>51956</v>
      </c>
      <c r="CO2" s="167" t="n">
        <v>52047</v>
      </c>
    </row>
    <row r="3" ht="15" customFormat="1" customHeight="1" s="167">
      <c r="C3" s="237" t="n"/>
      <c r="D3" s="18" t="n"/>
      <c r="E3" s="205" t="inlineStr">
        <is>
          <t>Timeline label</t>
        </is>
      </c>
      <c r="F3" s="0" t="n"/>
      <c r="G3" s="0" t="n"/>
      <c r="H3" s="170" t="n"/>
      <c r="J3" s="81" t="inlineStr">
        <is>
          <t>Pre-fcst</t>
        </is>
      </c>
      <c r="K3" s="81" t="inlineStr">
        <is>
          <t>Fin close</t>
        </is>
      </c>
      <c r="L3" s="81" t="inlineStr">
        <is>
          <t>Forecast</t>
        </is>
      </c>
      <c r="M3" s="81" t="inlineStr">
        <is>
          <t>Forecast</t>
        </is>
      </c>
      <c r="N3" s="81" t="inlineStr">
        <is>
          <t>Forecast</t>
        </is>
      </c>
      <c r="O3" s="81" t="inlineStr">
        <is>
          <t>Forecast</t>
        </is>
      </c>
      <c r="P3" s="81" t="inlineStr">
        <is>
          <t>Forecast</t>
        </is>
      </c>
      <c r="Q3" s="81" t="inlineStr">
        <is>
          <t>Forecast</t>
        </is>
      </c>
      <c r="R3" s="81" t="inlineStr">
        <is>
          <t>Forecast</t>
        </is>
      </c>
      <c r="S3" s="81" t="inlineStr">
        <is>
          <t>Forecast</t>
        </is>
      </c>
      <c r="T3" s="81" t="inlineStr">
        <is>
          <t>Forecast</t>
        </is>
      </c>
      <c r="U3" s="81" t="inlineStr">
        <is>
          <t>Forecast</t>
        </is>
      </c>
      <c r="V3" s="81" t="inlineStr">
        <is>
          <t>Forecast</t>
        </is>
      </c>
      <c r="W3" s="81" t="inlineStr">
        <is>
          <t>Forecast</t>
        </is>
      </c>
      <c r="X3" s="81" t="inlineStr">
        <is>
          <t>Forecast</t>
        </is>
      </c>
      <c r="Y3" s="81" t="inlineStr">
        <is>
          <t>Forecast</t>
        </is>
      </c>
      <c r="Z3" s="81" t="inlineStr">
        <is>
          <t>Forecast</t>
        </is>
      </c>
      <c r="AA3" s="81" t="inlineStr">
        <is>
          <t>Forecast</t>
        </is>
      </c>
      <c r="AB3" s="81" t="inlineStr">
        <is>
          <t>Forecast</t>
        </is>
      </c>
      <c r="AC3" s="81" t="inlineStr">
        <is>
          <t>Forecast</t>
        </is>
      </c>
      <c r="AD3" s="81" t="inlineStr">
        <is>
          <t>Forecast</t>
        </is>
      </c>
      <c r="AE3" s="81" t="inlineStr">
        <is>
          <t>Forecast</t>
        </is>
      </c>
      <c r="AF3" s="81" t="inlineStr">
        <is>
          <t>Forecast</t>
        </is>
      </c>
      <c r="AG3" s="81" t="inlineStr">
        <is>
          <t>Forecast</t>
        </is>
      </c>
      <c r="AH3" s="81" t="inlineStr">
        <is>
          <t>Forecast</t>
        </is>
      </c>
      <c r="AI3" s="81" t="inlineStr">
        <is>
          <t>Forecast</t>
        </is>
      </c>
      <c r="AJ3" s="81" t="inlineStr">
        <is>
          <t>Forecast</t>
        </is>
      </c>
      <c r="AK3" s="81" t="inlineStr">
        <is>
          <t>Forecast</t>
        </is>
      </c>
      <c r="AL3" s="81" t="inlineStr">
        <is>
          <t>Forecast</t>
        </is>
      </c>
      <c r="AM3" s="81" t="inlineStr">
        <is>
          <t>Forecast</t>
        </is>
      </c>
      <c r="AN3" s="81" t="inlineStr">
        <is>
          <t>Forecast</t>
        </is>
      </c>
      <c r="AO3" s="81" t="inlineStr">
        <is>
          <t>Forecast</t>
        </is>
      </c>
      <c r="AP3" s="81" t="inlineStr">
        <is>
          <t>Forecast</t>
        </is>
      </c>
      <c r="AQ3" s="81" t="inlineStr">
        <is>
          <t>Forecast</t>
        </is>
      </c>
      <c r="AR3" s="81" t="inlineStr">
        <is>
          <t>Forecast</t>
        </is>
      </c>
      <c r="AS3" s="81" t="inlineStr">
        <is>
          <t>Forecast</t>
        </is>
      </c>
      <c r="AT3" s="81" t="inlineStr">
        <is>
          <t>Forecast</t>
        </is>
      </c>
      <c r="AU3" s="81" t="inlineStr">
        <is>
          <t>Forecast</t>
        </is>
      </c>
      <c r="AV3" s="81" t="inlineStr">
        <is>
          <t>Forecast</t>
        </is>
      </c>
      <c r="AW3" s="81" t="inlineStr">
        <is>
          <t>Forecast</t>
        </is>
      </c>
      <c r="AX3" s="81" t="inlineStr">
        <is>
          <t>Forecast</t>
        </is>
      </c>
      <c r="AY3" s="81" t="inlineStr">
        <is>
          <t>Forecast</t>
        </is>
      </c>
      <c r="AZ3" s="81" t="inlineStr">
        <is>
          <t>Forecast</t>
        </is>
      </c>
      <c r="BA3" s="81" t="inlineStr">
        <is>
          <t>Forecast</t>
        </is>
      </c>
      <c r="BB3" s="81" t="inlineStr">
        <is>
          <t>Forecast</t>
        </is>
      </c>
      <c r="BC3" s="81" t="inlineStr">
        <is>
          <t>Forecast</t>
        </is>
      </c>
      <c r="BD3" s="81" t="inlineStr">
        <is>
          <t>Forecast</t>
        </is>
      </c>
      <c r="BE3" s="81" t="inlineStr">
        <is>
          <t>Forecast</t>
        </is>
      </c>
      <c r="BF3" s="81" t="inlineStr">
        <is>
          <t>Forecast</t>
        </is>
      </c>
      <c r="BG3" s="81" t="inlineStr">
        <is>
          <t>Forecast</t>
        </is>
      </c>
      <c r="BH3" s="81" t="inlineStr">
        <is>
          <t>Forecast</t>
        </is>
      </c>
      <c r="BI3" s="81" t="inlineStr">
        <is>
          <t>Forecast</t>
        </is>
      </c>
      <c r="BJ3" s="81" t="inlineStr">
        <is>
          <t>Forecast</t>
        </is>
      </c>
      <c r="BK3" s="81" t="inlineStr">
        <is>
          <t>Forecast</t>
        </is>
      </c>
      <c r="BL3" s="81" t="inlineStr">
        <is>
          <t>Forecast</t>
        </is>
      </c>
      <c r="BM3" s="81" t="inlineStr">
        <is>
          <t>Forecast</t>
        </is>
      </c>
      <c r="BN3" s="81" t="inlineStr">
        <is>
          <t>Forecast</t>
        </is>
      </c>
      <c r="BO3" s="81" t="inlineStr">
        <is>
          <t>Forecast</t>
        </is>
      </c>
      <c r="BP3" s="81" t="inlineStr">
        <is>
          <t>Forecast</t>
        </is>
      </c>
      <c r="BQ3" s="81" t="inlineStr">
        <is>
          <t>Forecast</t>
        </is>
      </c>
      <c r="BR3" s="81" t="inlineStr">
        <is>
          <t>Forecast</t>
        </is>
      </c>
      <c r="BS3" s="81" t="inlineStr">
        <is>
          <t>Forecast</t>
        </is>
      </c>
      <c r="BT3" s="81" t="inlineStr">
        <is>
          <t>Forecast</t>
        </is>
      </c>
      <c r="BU3" s="81" t="inlineStr">
        <is>
          <t>Forecast</t>
        </is>
      </c>
      <c r="BV3" s="81" t="inlineStr">
        <is>
          <t>Forecast</t>
        </is>
      </c>
      <c r="BW3" s="81" t="inlineStr">
        <is>
          <t>Forecast</t>
        </is>
      </c>
      <c r="BX3" s="81" t="inlineStr">
        <is>
          <t>Forecast</t>
        </is>
      </c>
      <c r="BY3" s="81" t="inlineStr">
        <is>
          <t>Forecast</t>
        </is>
      </c>
      <c r="BZ3" s="81" t="inlineStr">
        <is>
          <t>Forecast</t>
        </is>
      </c>
      <c r="CA3" s="81" t="inlineStr">
        <is>
          <t>Forecast</t>
        </is>
      </c>
      <c r="CB3" s="81" t="inlineStr">
        <is>
          <t>Forecast</t>
        </is>
      </c>
      <c r="CC3" s="81" t="inlineStr">
        <is>
          <t>Forecast</t>
        </is>
      </c>
      <c r="CD3" s="81" t="inlineStr">
        <is>
          <t>Forecast</t>
        </is>
      </c>
      <c r="CE3" s="81" t="inlineStr">
        <is>
          <t>Forecast</t>
        </is>
      </c>
      <c r="CF3" s="81" t="inlineStr">
        <is>
          <t>Forecast</t>
        </is>
      </c>
      <c r="CG3" s="81" t="inlineStr">
        <is>
          <t>Forecast</t>
        </is>
      </c>
      <c r="CH3" s="81" t="inlineStr">
        <is>
          <t>Forecast</t>
        </is>
      </c>
      <c r="CI3" s="81" t="inlineStr">
        <is>
          <t>Forecast</t>
        </is>
      </c>
      <c r="CJ3" s="81" t="inlineStr">
        <is>
          <t>Forecast</t>
        </is>
      </c>
      <c r="CK3" s="81" t="inlineStr">
        <is>
          <t>Forecast</t>
        </is>
      </c>
      <c r="CL3" s="81" t="inlineStr">
        <is>
          <t>Forecast</t>
        </is>
      </c>
      <c r="CM3" s="81" t="inlineStr">
        <is>
          <t>Forecast</t>
        </is>
      </c>
      <c r="CN3" s="81" t="inlineStr">
        <is>
          <t>Post-fcst</t>
        </is>
      </c>
      <c r="CO3" s="81" t="inlineStr">
        <is>
          <t>Post-fcst</t>
        </is>
      </c>
    </row>
    <row r="4" ht="15" customFormat="1" customHeight="1" s="85">
      <c r="A4" s="82" t="n"/>
      <c r="B4" s="82" t="n"/>
      <c r="C4" s="83" t="n"/>
      <c r="D4" s="84" t="n"/>
      <c r="E4" s="205" t="inlineStr">
        <is>
          <t>Financial year ending</t>
        </is>
      </c>
      <c r="F4" s="0" t="n"/>
      <c r="G4" s="0" t="n"/>
      <c r="J4" s="86" t="n">
        <v>2021</v>
      </c>
      <c r="K4" s="86" t="n">
        <v>2021</v>
      </c>
      <c r="L4" s="86" t="n">
        <v>2022</v>
      </c>
      <c r="M4" s="86" t="n">
        <v>2022</v>
      </c>
      <c r="N4" s="86" t="n">
        <v>2022</v>
      </c>
      <c r="O4" s="86" t="n">
        <v>2022</v>
      </c>
      <c r="P4" s="86" t="n">
        <v>2023</v>
      </c>
      <c r="Q4" s="86" t="n">
        <v>2023</v>
      </c>
      <c r="R4" s="86" t="n">
        <v>2023</v>
      </c>
      <c r="S4" s="86" t="n">
        <v>2023</v>
      </c>
      <c r="T4" s="86" t="n">
        <v>2024</v>
      </c>
      <c r="U4" s="86" t="n">
        <v>2024</v>
      </c>
      <c r="V4" s="86" t="n">
        <v>2024</v>
      </c>
      <c r="W4" s="86" t="n">
        <v>2024</v>
      </c>
      <c r="X4" s="86" t="n">
        <v>2025</v>
      </c>
      <c r="Y4" s="86" t="n">
        <v>2025</v>
      </c>
      <c r="Z4" s="86" t="n">
        <v>2025</v>
      </c>
      <c r="AA4" s="86" t="n">
        <v>2025</v>
      </c>
      <c r="AB4" s="86" t="n">
        <v>2026</v>
      </c>
      <c r="AC4" s="86" t="n">
        <v>2026</v>
      </c>
      <c r="AD4" s="86" t="n">
        <v>2026</v>
      </c>
      <c r="AE4" s="86" t="n">
        <v>2026</v>
      </c>
      <c r="AF4" s="86" t="n">
        <v>2027</v>
      </c>
      <c r="AG4" s="86" t="n">
        <v>2027</v>
      </c>
      <c r="AH4" s="86" t="n">
        <v>2027</v>
      </c>
      <c r="AI4" s="86" t="n">
        <v>2027</v>
      </c>
      <c r="AJ4" s="86" t="n">
        <v>2028</v>
      </c>
      <c r="AK4" s="86" t="n">
        <v>2028</v>
      </c>
      <c r="AL4" s="86" t="n">
        <v>2028</v>
      </c>
      <c r="AM4" s="86" t="n">
        <v>2028</v>
      </c>
      <c r="AN4" s="86" t="n">
        <v>2029</v>
      </c>
      <c r="AO4" s="86" t="n">
        <v>2029</v>
      </c>
      <c r="AP4" s="86" t="n">
        <v>2029</v>
      </c>
      <c r="AQ4" s="86" t="n">
        <v>2029</v>
      </c>
      <c r="AR4" s="86" t="n">
        <v>2030</v>
      </c>
      <c r="AS4" s="86" t="n">
        <v>2030</v>
      </c>
      <c r="AT4" s="86" t="n">
        <v>2030</v>
      </c>
      <c r="AU4" s="86" t="n">
        <v>2030</v>
      </c>
      <c r="AV4" s="86" t="n">
        <v>2031</v>
      </c>
      <c r="AW4" s="86" t="n">
        <v>2031</v>
      </c>
      <c r="AX4" s="86" t="n">
        <v>2031</v>
      </c>
      <c r="AY4" s="86" t="n">
        <v>2031</v>
      </c>
      <c r="AZ4" s="86" t="n">
        <v>2032</v>
      </c>
      <c r="BA4" s="86" t="n">
        <v>2032</v>
      </c>
      <c r="BB4" s="86" t="n">
        <v>2032</v>
      </c>
      <c r="BC4" s="86" t="n">
        <v>2032</v>
      </c>
      <c r="BD4" s="86" t="n">
        <v>2033</v>
      </c>
      <c r="BE4" s="86" t="n">
        <v>2033</v>
      </c>
      <c r="BF4" s="86" t="n">
        <v>2033</v>
      </c>
      <c r="BG4" s="86" t="n">
        <v>2033</v>
      </c>
      <c r="BH4" s="86" t="n">
        <v>2034</v>
      </c>
      <c r="BI4" s="86" t="n">
        <v>2034</v>
      </c>
      <c r="BJ4" s="86" t="n">
        <v>2034</v>
      </c>
      <c r="BK4" s="86" t="n">
        <v>2034</v>
      </c>
      <c r="BL4" s="86" t="n">
        <v>2035</v>
      </c>
      <c r="BM4" s="86" t="n">
        <v>2035</v>
      </c>
      <c r="BN4" s="86" t="n">
        <v>2035</v>
      </c>
      <c r="BO4" s="86" t="n">
        <v>2035</v>
      </c>
      <c r="BP4" s="86" t="n">
        <v>2036</v>
      </c>
      <c r="BQ4" s="86" t="n">
        <v>2036</v>
      </c>
      <c r="BR4" s="86" t="n">
        <v>2036</v>
      </c>
      <c r="BS4" s="86" t="n">
        <v>2036</v>
      </c>
      <c r="BT4" s="86" t="n">
        <v>2037</v>
      </c>
      <c r="BU4" s="86" t="n">
        <v>2037</v>
      </c>
      <c r="BV4" s="86" t="n">
        <v>2037</v>
      </c>
      <c r="BW4" s="86" t="n">
        <v>2037</v>
      </c>
      <c r="BX4" s="86" t="n">
        <v>2038</v>
      </c>
      <c r="BY4" s="86" t="n">
        <v>2038</v>
      </c>
      <c r="BZ4" s="86" t="n">
        <v>2038</v>
      </c>
      <c r="CA4" s="86" t="n">
        <v>2038</v>
      </c>
      <c r="CB4" s="86" t="n">
        <v>2039</v>
      </c>
      <c r="CC4" s="86" t="n">
        <v>2039</v>
      </c>
      <c r="CD4" s="86" t="n">
        <v>2039</v>
      </c>
      <c r="CE4" s="86" t="n">
        <v>2039</v>
      </c>
      <c r="CF4" s="86" t="n">
        <v>2040</v>
      </c>
      <c r="CG4" s="86" t="n">
        <v>2040</v>
      </c>
      <c r="CH4" s="86" t="n">
        <v>2040</v>
      </c>
      <c r="CI4" s="86" t="n">
        <v>2040</v>
      </c>
      <c r="CJ4" s="86" t="n">
        <v>2041</v>
      </c>
      <c r="CK4" s="86" t="n">
        <v>2041</v>
      </c>
      <c r="CL4" s="86" t="n">
        <v>2041</v>
      </c>
      <c r="CM4" s="86" t="n">
        <v>2041</v>
      </c>
      <c r="CN4" s="86" t="n">
        <v>2042</v>
      </c>
      <c r="CO4" s="86" t="n">
        <v>2042</v>
      </c>
    </row>
    <row r="5" customFormat="1" s="61">
      <c r="A5" s="294" t="n"/>
      <c r="B5" s="294" t="n"/>
      <c r="C5" s="212" t="n"/>
      <c r="D5" s="244" t="n"/>
      <c r="E5" s="205" t="inlineStr">
        <is>
          <t>Model column counter</t>
        </is>
      </c>
      <c r="F5" s="20" t="inlineStr">
        <is>
          <t>Constant</t>
        </is>
      </c>
      <c r="G5" s="294" t="inlineStr">
        <is>
          <t>Unit</t>
        </is>
      </c>
      <c r="H5" s="20" t="inlineStr">
        <is>
          <t>Total</t>
        </is>
      </c>
      <c r="J5" s="61" t="n">
        <v>1</v>
      </c>
      <c r="K5" s="61" t="n">
        <v>2</v>
      </c>
      <c r="L5" s="61" t="n">
        <v>3</v>
      </c>
      <c r="M5" s="61" t="n">
        <v>4</v>
      </c>
      <c r="N5" s="61" t="n">
        <v>5</v>
      </c>
      <c r="O5" s="61" t="n">
        <v>6</v>
      </c>
      <c r="P5" s="61" t="n">
        <v>7</v>
      </c>
      <c r="Q5" s="61" t="n">
        <v>8</v>
      </c>
      <c r="R5" s="61" t="n">
        <v>9</v>
      </c>
      <c r="S5" s="61" t="n">
        <v>10</v>
      </c>
      <c r="T5" s="61" t="n">
        <v>11</v>
      </c>
      <c r="U5" s="61" t="n">
        <v>12</v>
      </c>
      <c r="V5" s="61" t="n">
        <v>13</v>
      </c>
      <c r="W5" s="61" t="n">
        <v>14</v>
      </c>
      <c r="X5" s="61" t="n">
        <v>15</v>
      </c>
      <c r="Y5" s="61" t="n">
        <v>16</v>
      </c>
      <c r="Z5" s="61" t="n">
        <v>17</v>
      </c>
      <c r="AA5" s="61" t="n">
        <v>18</v>
      </c>
      <c r="AB5" s="61" t="n">
        <v>19</v>
      </c>
      <c r="AC5" s="61" t="n">
        <v>20</v>
      </c>
      <c r="AD5" s="61" t="n">
        <v>21</v>
      </c>
      <c r="AE5" s="61" t="n">
        <v>22</v>
      </c>
      <c r="AF5" s="61" t="n">
        <v>23</v>
      </c>
      <c r="AG5" s="61" t="n">
        <v>24</v>
      </c>
      <c r="AH5" s="61" t="n">
        <v>25</v>
      </c>
      <c r="AI5" s="61" t="n">
        <v>26</v>
      </c>
      <c r="AJ5" s="61" t="n">
        <v>27</v>
      </c>
      <c r="AK5" s="61" t="n">
        <v>28</v>
      </c>
      <c r="AL5" s="61" t="n">
        <v>29</v>
      </c>
      <c r="AM5" s="61" t="n">
        <v>30</v>
      </c>
      <c r="AN5" s="61" t="n">
        <v>31</v>
      </c>
      <c r="AO5" s="61" t="n">
        <v>32</v>
      </c>
      <c r="AP5" s="61" t="n">
        <v>33</v>
      </c>
      <c r="AQ5" s="61" t="n">
        <v>34</v>
      </c>
      <c r="AR5" s="61" t="n">
        <v>35</v>
      </c>
      <c r="AS5" s="61" t="n">
        <v>36</v>
      </c>
      <c r="AT5" s="61" t="n">
        <v>37</v>
      </c>
      <c r="AU5" s="61" t="n">
        <v>38</v>
      </c>
      <c r="AV5" s="61" t="n">
        <v>39</v>
      </c>
      <c r="AW5" s="61" t="n">
        <v>40</v>
      </c>
      <c r="AX5" s="61" t="n">
        <v>41</v>
      </c>
      <c r="AY5" s="61" t="n">
        <v>42</v>
      </c>
      <c r="AZ5" s="61" t="n">
        <v>43</v>
      </c>
      <c r="BA5" s="61" t="n">
        <v>44</v>
      </c>
      <c r="BB5" s="61" t="n">
        <v>45</v>
      </c>
      <c r="BC5" s="61" t="n">
        <v>46</v>
      </c>
      <c r="BD5" s="61" t="n">
        <v>47</v>
      </c>
      <c r="BE5" s="61" t="n">
        <v>48</v>
      </c>
      <c r="BF5" s="61" t="n">
        <v>49</v>
      </c>
      <c r="BG5" s="61" t="n">
        <v>50</v>
      </c>
      <c r="BH5" s="61" t="n">
        <v>51</v>
      </c>
      <c r="BI5" s="61" t="n">
        <v>52</v>
      </c>
      <c r="BJ5" s="61" t="n">
        <v>53</v>
      </c>
      <c r="BK5" s="61" t="n">
        <v>54</v>
      </c>
      <c r="BL5" s="61" t="n">
        <v>55</v>
      </c>
      <c r="BM5" s="61" t="n">
        <v>56</v>
      </c>
      <c r="BN5" s="61" t="n">
        <v>57</v>
      </c>
      <c r="BO5" s="61" t="n">
        <v>58</v>
      </c>
      <c r="BP5" s="61" t="n">
        <v>59</v>
      </c>
      <c r="BQ5" s="61" t="n">
        <v>60</v>
      </c>
      <c r="BR5" s="61" t="n">
        <v>61</v>
      </c>
      <c r="BS5" s="61" t="n">
        <v>62</v>
      </c>
      <c r="BT5" s="61" t="n">
        <v>63</v>
      </c>
      <c r="BU5" s="61" t="n">
        <v>64</v>
      </c>
      <c r="BV5" s="61" t="n">
        <v>65</v>
      </c>
      <c r="BW5" s="61" t="n">
        <v>66</v>
      </c>
      <c r="BX5" s="61" t="n">
        <v>67</v>
      </c>
      <c r="BY5" s="61" t="n">
        <v>68</v>
      </c>
      <c r="BZ5" s="61" t="n">
        <v>69</v>
      </c>
      <c r="CA5" s="61" t="n">
        <v>70</v>
      </c>
      <c r="CB5" s="61" t="n">
        <v>71</v>
      </c>
      <c r="CC5" s="61" t="n">
        <v>72</v>
      </c>
      <c r="CD5" s="61" t="n">
        <v>73</v>
      </c>
      <c r="CE5" s="61" t="n">
        <v>74</v>
      </c>
      <c r="CF5" s="61" t="n">
        <v>75</v>
      </c>
      <c r="CG5" s="61" t="n">
        <v>76</v>
      </c>
      <c r="CH5" s="61" t="n">
        <v>77</v>
      </c>
      <c r="CI5" s="61" t="n">
        <v>78</v>
      </c>
      <c r="CJ5" s="61" t="n">
        <v>79</v>
      </c>
      <c r="CK5" s="61" t="n">
        <v>80</v>
      </c>
      <c r="CL5" s="61" t="n">
        <v>81</v>
      </c>
      <c r="CM5" s="61" t="n">
        <v>82</v>
      </c>
      <c r="CN5" s="61" t="n">
        <v>83</v>
      </c>
      <c r="CO5" s="61" t="n">
        <v>84</v>
      </c>
    </row>
    <row r="7" customFormat="1" s="169">
      <c r="A7" s="163" t="inlineStr">
        <is>
          <t>OPERATING REVENUE</t>
        </is>
      </c>
      <c r="B7" s="163" t="n"/>
      <c r="C7" s="172" t="n"/>
      <c r="D7" s="88" t="n"/>
      <c r="E7" s="169" t="n"/>
      <c r="F7" s="169" t="n"/>
      <c r="G7" s="169" t="n"/>
      <c r="H7" s="169" t="n"/>
      <c r="I7" s="169" t="n"/>
      <c r="J7" s="169" t="n"/>
      <c r="K7" s="169" t="n"/>
      <c r="L7" s="169" t="n"/>
      <c r="M7" s="169" t="n"/>
      <c r="N7" s="169" t="n"/>
      <c r="O7" s="169" t="n"/>
      <c r="P7" s="169" t="n"/>
      <c r="Q7" s="169" t="n"/>
      <c r="R7" s="169" t="n"/>
      <c r="S7" s="169" t="n"/>
      <c r="T7" s="169" t="n"/>
      <c r="U7" s="169" t="n"/>
      <c r="V7" s="169" t="n"/>
      <c r="W7" s="169" t="n"/>
      <c r="X7" s="169" t="n"/>
      <c r="Y7" s="169" t="n"/>
      <c r="Z7" s="169" t="n"/>
      <c r="AA7" s="169" t="n"/>
      <c r="AB7" s="169" t="n"/>
      <c r="AC7" s="169" t="n"/>
      <c r="AD7" s="169" t="n"/>
      <c r="AE7" s="169" t="n"/>
      <c r="AF7" s="169" t="n"/>
      <c r="AG7" s="169" t="n"/>
    </row>
    <row r="8" customFormat="1" s="169">
      <c r="A8" s="163" t="n"/>
      <c r="B8" s="163" t="n"/>
      <c r="C8" s="172" t="n"/>
      <c r="D8" s="88" t="n"/>
      <c r="E8" s="169" t="inlineStr">
        <is>
          <t xml:space="preserve">Trains - domestic </t>
        </is>
      </c>
      <c r="F8" s="169" t="n"/>
      <c r="G8" s="169" t="inlineStr">
        <is>
          <t>trains</t>
        </is>
      </c>
      <c r="H8" s="169">
        <f> SUM(J8:CO8)</f>
        <v>2520.0</v>
      </c>
      <c r="I8" s="169" t="n"/>
      <c r="J8" s="44" t="n">
        <v>30</v>
      </c>
      <c r="K8" s="44" t="n">
        <v>30</v>
      </c>
      <c r="L8" s="44" t="n">
        <v>30</v>
      </c>
      <c r="M8" s="44" t="n">
        <v>30</v>
      </c>
      <c r="N8" s="44" t="n">
        <v>30</v>
      </c>
      <c r="O8" s="44" t="n">
        <v>30</v>
      </c>
      <c r="P8" s="44" t="n">
        <v>30</v>
      </c>
      <c r="Q8" s="44" t="n">
        <v>30</v>
      </c>
      <c r="R8" s="44" t="n">
        <v>30</v>
      </c>
      <c r="S8" s="44" t="n">
        <v>30</v>
      </c>
      <c r="T8" s="44" t="n">
        <v>30</v>
      </c>
      <c r="U8" s="44" t="n">
        <v>30</v>
      </c>
      <c r="V8" s="44" t="n">
        <v>30</v>
      </c>
      <c r="W8" s="44" t="n">
        <v>30</v>
      </c>
      <c r="X8" s="44" t="n">
        <v>30</v>
      </c>
      <c r="Y8" s="44" t="n">
        <v>30</v>
      </c>
      <c r="Z8" s="44" t="n">
        <v>30</v>
      </c>
      <c r="AA8" s="44" t="n">
        <v>30</v>
      </c>
      <c r="AB8" s="44" t="n">
        <v>30</v>
      </c>
      <c r="AC8" s="44" t="n">
        <v>30</v>
      </c>
      <c r="AD8" s="44" t="n">
        <v>30</v>
      </c>
      <c r="AE8" s="44" t="n">
        <v>30</v>
      </c>
      <c r="AF8" s="44" t="n">
        <v>30</v>
      </c>
      <c r="AG8" s="44" t="n">
        <v>30</v>
      </c>
      <c r="AH8" s="44" t="n">
        <v>30</v>
      </c>
      <c r="AI8" s="44" t="n">
        <v>30</v>
      </c>
      <c r="AJ8" s="44" t="n">
        <v>30</v>
      </c>
      <c r="AK8" s="44" t="n">
        <v>30</v>
      </c>
      <c r="AL8" s="44" t="n">
        <v>30</v>
      </c>
      <c r="AM8" s="44" t="n">
        <v>30</v>
      </c>
      <c r="AN8" s="44" t="n">
        <v>30</v>
      </c>
      <c r="AO8" s="44" t="n">
        <v>30</v>
      </c>
      <c r="AP8" s="44" t="n">
        <v>30</v>
      </c>
      <c r="AQ8" s="44" t="n">
        <v>30</v>
      </c>
      <c r="AR8" s="44" t="n">
        <v>30</v>
      </c>
      <c r="AS8" s="44" t="n">
        <v>30</v>
      </c>
      <c r="AT8" s="44" t="n">
        <v>30</v>
      </c>
      <c r="AU8" s="44" t="n">
        <v>30</v>
      </c>
      <c r="AV8" s="44" t="n">
        <v>30</v>
      </c>
      <c r="AW8" s="44" t="n">
        <v>30</v>
      </c>
      <c r="AX8" s="44" t="n">
        <v>30</v>
      </c>
      <c r="AY8" s="44" t="n">
        <v>30</v>
      </c>
      <c r="AZ8" s="44" t="n">
        <v>30</v>
      </c>
      <c r="BA8" s="44" t="n">
        <v>30</v>
      </c>
      <c r="BB8" s="44" t="n">
        <v>30</v>
      </c>
      <c r="BC8" s="44" t="n">
        <v>30</v>
      </c>
      <c r="BD8" s="44" t="n">
        <v>30</v>
      </c>
      <c r="BE8" s="44" t="n">
        <v>30</v>
      </c>
      <c r="BF8" s="44" t="n">
        <v>30</v>
      </c>
      <c r="BG8" s="44" t="n">
        <v>30</v>
      </c>
      <c r="BH8" s="44" t="n">
        <v>30</v>
      </c>
      <c r="BI8" s="44" t="n">
        <v>30</v>
      </c>
      <c r="BJ8" s="44" t="n">
        <v>30</v>
      </c>
      <c r="BK8" s="44" t="n">
        <v>30</v>
      </c>
      <c r="BL8" s="44" t="n">
        <v>30</v>
      </c>
      <c r="BM8" s="44" t="n">
        <v>30</v>
      </c>
      <c r="BN8" s="44" t="n">
        <v>30</v>
      </c>
      <c r="BO8" s="44" t="n">
        <v>30</v>
      </c>
      <c r="BP8" s="44" t="n">
        <v>30</v>
      </c>
      <c r="BQ8" s="44" t="n">
        <v>30</v>
      </c>
      <c r="BR8" s="44" t="n">
        <v>30</v>
      </c>
      <c r="BS8" s="44" t="n">
        <v>30</v>
      </c>
      <c r="BT8" s="44" t="n">
        <v>30</v>
      </c>
      <c r="BU8" s="44" t="n">
        <v>30</v>
      </c>
      <c r="BV8" s="44" t="n">
        <v>30</v>
      </c>
      <c r="BW8" s="44" t="n">
        <v>30</v>
      </c>
      <c r="BX8" s="44" t="n">
        <v>30</v>
      </c>
      <c r="BY8" s="44" t="n">
        <v>30</v>
      </c>
      <c r="BZ8" s="44" t="n">
        <v>30</v>
      </c>
      <c r="CA8" s="44" t="n">
        <v>30</v>
      </c>
      <c r="CB8" s="44" t="n">
        <v>30</v>
      </c>
      <c r="CC8" s="44" t="n">
        <v>30</v>
      </c>
      <c r="CD8" s="44" t="n">
        <v>30</v>
      </c>
      <c r="CE8" s="44" t="n">
        <v>30</v>
      </c>
      <c r="CF8" s="44" t="n">
        <v>30</v>
      </c>
      <c r="CG8" s="44" t="n">
        <v>30</v>
      </c>
      <c r="CH8" s="44" t="n">
        <v>30</v>
      </c>
      <c r="CI8" s="44" t="n">
        <v>30</v>
      </c>
      <c r="CJ8" s="44" t="n">
        <v>30</v>
      </c>
      <c r="CK8" s="44" t="n">
        <v>30</v>
      </c>
      <c r="CL8" s="44" t="n">
        <v>30</v>
      </c>
      <c r="CM8" s="44" t="n">
        <v>30</v>
      </c>
      <c r="CN8" s="44" t="n">
        <v>30</v>
      </c>
      <c r="CO8" s="44" t="n">
        <v>30</v>
      </c>
    </row>
    <row r="9" customFormat="1" s="169">
      <c r="A9" s="163" t="n"/>
      <c r="B9" s="163" t="n"/>
      <c r="C9" s="172" t="n"/>
      <c r="D9" s="88" t="n"/>
      <c r="E9" s="169" t="inlineStr">
        <is>
          <t xml:space="preserve">Trains - international </t>
        </is>
      </c>
      <c r="F9" s="169" t="n"/>
      <c r="G9" s="169" t="inlineStr">
        <is>
          <t>trains</t>
        </is>
      </c>
      <c r="H9" s="169">
        <f> SUM(J9:CO9)</f>
        <v>1326.0</v>
      </c>
      <c r="I9" s="169" t="n"/>
      <c r="J9" s="44" t="n">
        <v>10</v>
      </c>
      <c r="K9" s="44" t="n">
        <v>12</v>
      </c>
      <c r="L9" s="44" t="n">
        <v>12</v>
      </c>
      <c r="M9" s="44" t="n">
        <v>14</v>
      </c>
      <c r="N9" s="44" t="n">
        <v>14</v>
      </c>
      <c r="O9" s="44" t="n">
        <v>16</v>
      </c>
      <c r="P9" s="44" t="n">
        <v>16</v>
      </c>
      <c r="Q9" s="44" t="n">
        <v>16</v>
      </c>
      <c r="R9" s="44" t="n">
        <v>16</v>
      </c>
      <c r="S9" s="44" t="n">
        <v>16</v>
      </c>
      <c r="T9" s="44" t="n">
        <v>16</v>
      </c>
      <c r="U9" s="44" t="n">
        <v>16</v>
      </c>
      <c r="V9" s="44" t="n">
        <v>16</v>
      </c>
      <c r="W9" s="44" t="n">
        <v>16</v>
      </c>
      <c r="X9" s="44" t="n">
        <v>16</v>
      </c>
      <c r="Y9" s="44" t="n">
        <v>16</v>
      </c>
      <c r="Z9" s="44" t="n">
        <v>16</v>
      </c>
      <c r="AA9" s="44" t="n">
        <v>16</v>
      </c>
      <c r="AB9" s="44" t="n">
        <v>16</v>
      </c>
      <c r="AC9" s="44" t="n">
        <v>16</v>
      </c>
      <c r="AD9" s="44" t="n">
        <v>16</v>
      </c>
      <c r="AE9" s="44" t="n">
        <v>16</v>
      </c>
      <c r="AF9" s="44" t="n">
        <v>16</v>
      </c>
      <c r="AG9" s="44" t="n">
        <v>16</v>
      </c>
      <c r="AH9" s="44" t="n">
        <v>16</v>
      </c>
      <c r="AI9" s="44" t="n">
        <v>16</v>
      </c>
      <c r="AJ9" s="44" t="n">
        <v>16</v>
      </c>
      <c r="AK9" s="44" t="n">
        <v>16</v>
      </c>
      <c r="AL9" s="44" t="n">
        <v>16</v>
      </c>
      <c r="AM9" s="44" t="n">
        <v>16</v>
      </c>
      <c r="AN9" s="44" t="n">
        <v>16</v>
      </c>
      <c r="AO9" s="44" t="n">
        <v>16</v>
      </c>
      <c r="AP9" s="44" t="n">
        <v>16</v>
      </c>
      <c r="AQ9" s="44" t="n">
        <v>16</v>
      </c>
      <c r="AR9" s="44" t="n">
        <v>16</v>
      </c>
      <c r="AS9" s="44" t="n">
        <v>16</v>
      </c>
      <c r="AT9" s="44" t="n">
        <v>16</v>
      </c>
      <c r="AU9" s="44" t="n">
        <v>16</v>
      </c>
      <c r="AV9" s="44" t="n">
        <v>16</v>
      </c>
      <c r="AW9" s="44" t="n">
        <v>16</v>
      </c>
      <c r="AX9" s="44" t="n">
        <v>16</v>
      </c>
      <c r="AY9" s="44" t="n">
        <v>16</v>
      </c>
      <c r="AZ9" s="44" t="n">
        <v>16</v>
      </c>
      <c r="BA9" s="44" t="n">
        <v>16</v>
      </c>
      <c r="BB9" s="44" t="n">
        <v>16</v>
      </c>
      <c r="BC9" s="44" t="n">
        <v>16</v>
      </c>
      <c r="BD9" s="44" t="n">
        <v>16</v>
      </c>
      <c r="BE9" s="44" t="n">
        <v>16</v>
      </c>
      <c r="BF9" s="44" t="n">
        <v>16</v>
      </c>
      <c r="BG9" s="44" t="n">
        <v>16</v>
      </c>
      <c r="BH9" s="44" t="n">
        <v>16</v>
      </c>
      <c r="BI9" s="44" t="n">
        <v>16</v>
      </c>
      <c r="BJ9" s="44" t="n">
        <v>16</v>
      </c>
      <c r="BK9" s="44" t="n">
        <v>16</v>
      </c>
      <c r="BL9" s="44" t="n">
        <v>16</v>
      </c>
      <c r="BM9" s="44" t="n">
        <v>16</v>
      </c>
      <c r="BN9" s="44" t="n">
        <v>16</v>
      </c>
      <c r="BO9" s="44" t="n">
        <v>16</v>
      </c>
      <c r="BP9" s="44" t="n">
        <v>16</v>
      </c>
      <c r="BQ9" s="44" t="n">
        <v>16</v>
      </c>
      <c r="BR9" s="44" t="n">
        <v>16</v>
      </c>
      <c r="BS9" s="44" t="n">
        <v>16</v>
      </c>
      <c r="BT9" s="44" t="n">
        <v>16</v>
      </c>
      <c r="BU9" s="44" t="n">
        <v>16</v>
      </c>
      <c r="BV9" s="44" t="n">
        <v>16</v>
      </c>
      <c r="BW9" s="44" t="n">
        <v>16</v>
      </c>
      <c r="BX9" s="44" t="n">
        <v>16</v>
      </c>
      <c r="BY9" s="44" t="n">
        <v>16</v>
      </c>
      <c r="BZ9" s="44" t="n">
        <v>16</v>
      </c>
      <c r="CA9" s="44" t="n">
        <v>16</v>
      </c>
      <c r="CB9" s="44" t="n">
        <v>16</v>
      </c>
      <c r="CC9" s="44" t="n">
        <v>16</v>
      </c>
      <c r="CD9" s="44" t="n">
        <v>16</v>
      </c>
      <c r="CE9" s="44" t="n">
        <v>16</v>
      </c>
      <c r="CF9" s="44" t="n">
        <v>16</v>
      </c>
      <c r="CG9" s="44" t="n">
        <v>16</v>
      </c>
      <c r="CH9" s="44" t="n">
        <v>16</v>
      </c>
      <c r="CI9" s="44" t="n">
        <v>16</v>
      </c>
      <c r="CJ9" s="44" t="n">
        <v>16</v>
      </c>
      <c r="CK9" s="44" t="n">
        <v>16</v>
      </c>
      <c r="CL9" s="44" t="n">
        <v>16</v>
      </c>
      <c r="CM9" s="44" t="n">
        <v>16</v>
      </c>
      <c r="CN9" s="44" t="n">
        <v>16</v>
      </c>
      <c r="CO9" s="44" t="n">
        <v>16</v>
      </c>
    </row>
    <row r="11" customFormat="1" s="169">
      <c r="A11" s="163" t="n"/>
      <c r="B11" s="163" t="n"/>
      <c r="C11" s="172" t="n"/>
      <c r="D11" s="88" t="n"/>
      <c r="E11" s="169" t="inlineStr">
        <is>
          <t xml:space="preserve">Arrivals per train - domestic </t>
        </is>
      </c>
      <c r="F11" s="169" t="n"/>
      <c r="G11" s="169" t="inlineStr">
        <is>
          <t>arrivals / train</t>
        </is>
      </c>
      <c r="H11" s="169" t="n"/>
      <c r="I11" s="169" t="n"/>
      <c r="J11" s="44" t="n">
        <v>370</v>
      </c>
      <c r="K11" s="44" t="n">
        <v>350</v>
      </c>
      <c r="L11" s="44" t="n">
        <v>370</v>
      </c>
      <c r="M11" s="44" t="n">
        <v>350</v>
      </c>
      <c r="N11" s="44" t="n">
        <v>370</v>
      </c>
      <c r="O11" s="44" t="n">
        <v>350</v>
      </c>
      <c r="P11" s="44" t="n">
        <v>370</v>
      </c>
      <c r="Q11" s="44" t="n">
        <v>350</v>
      </c>
      <c r="R11" s="44" t="n">
        <v>370</v>
      </c>
      <c r="S11" s="44" t="n">
        <v>350</v>
      </c>
      <c r="T11" s="44" t="n">
        <v>370</v>
      </c>
      <c r="U11" s="44" t="n">
        <v>350</v>
      </c>
      <c r="V11" s="44" t="n">
        <v>370</v>
      </c>
      <c r="W11" s="44" t="n">
        <v>350</v>
      </c>
      <c r="X11" s="44" t="n">
        <v>370</v>
      </c>
      <c r="Y11" s="44" t="n">
        <v>350</v>
      </c>
      <c r="Z11" s="44" t="n">
        <v>370</v>
      </c>
      <c r="AA11" s="44" t="n">
        <v>350</v>
      </c>
      <c r="AB11" s="44" t="n">
        <v>370</v>
      </c>
      <c r="AC11" s="44" t="n">
        <v>350</v>
      </c>
      <c r="AD11" s="44" t="n">
        <v>370</v>
      </c>
      <c r="AE11" s="44" t="n">
        <v>350</v>
      </c>
      <c r="AF11" s="44" t="n">
        <v>370</v>
      </c>
      <c r="AG11" s="44" t="n">
        <v>350</v>
      </c>
      <c r="AH11" s="44" t="n">
        <v>370</v>
      </c>
      <c r="AI11" s="44" t="n">
        <v>350</v>
      </c>
      <c r="AJ11" s="44" t="n">
        <v>370</v>
      </c>
      <c r="AK11" s="44" t="n">
        <v>350</v>
      </c>
      <c r="AL11" s="44" t="n">
        <v>370</v>
      </c>
      <c r="AM11" s="44" t="n">
        <v>350</v>
      </c>
      <c r="AN11" s="44" t="n">
        <v>370</v>
      </c>
      <c r="AO11" s="44" t="n">
        <v>350</v>
      </c>
      <c r="AP11" s="44" t="n">
        <v>370</v>
      </c>
      <c r="AQ11" s="44" t="n">
        <v>350</v>
      </c>
      <c r="AR11" s="44" t="n">
        <v>370</v>
      </c>
      <c r="AS11" s="44" t="n">
        <v>350</v>
      </c>
      <c r="AT11" s="44" t="n">
        <v>370</v>
      </c>
      <c r="AU11" s="44" t="n">
        <v>350</v>
      </c>
      <c r="AV11" s="44" t="n">
        <v>370</v>
      </c>
      <c r="AW11" s="44" t="n">
        <v>350</v>
      </c>
      <c r="AX11" s="44" t="n">
        <v>370</v>
      </c>
      <c r="AY11" s="44" t="n">
        <v>350</v>
      </c>
      <c r="AZ11" s="44" t="n">
        <v>370</v>
      </c>
      <c r="BA11" s="44" t="n">
        <v>350</v>
      </c>
      <c r="BB11" s="44" t="n">
        <v>370</v>
      </c>
      <c r="BC11" s="44" t="n">
        <v>350</v>
      </c>
      <c r="BD11" s="44" t="n">
        <v>370</v>
      </c>
      <c r="BE11" s="44" t="n">
        <v>350</v>
      </c>
      <c r="BF11" s="44" t="n">
        <v>370</v>
      </c>
      <c r="BG11" s="44" t="n">
        <v>350</v>
      </c>
      <c r="BH11" s="44" t="n">
        <v>350</v>
      </c>
      <c r="BI11" s="44" t="n">
        <v>370</v>
      </c>
      <c r="BJ11" s="44" t="n">
        <v>350</v>
      </c>
      <c r="BK11" s="44" t="n">
        <v>370</v>
      </c>
      <c r="BL11" s="44" t="n">
        <v>350</v>
      </c>
      <c r="BM11" s="44" t="n">
        <v>370</v>
      </c>
      <c r="BN11" s="44" t="n">
        <v>350</v>
      </c>
      <c r="BO11" s="44" t="n">
        <v>370</v>
      </c>
      <c r="BP11" s="44" t="n">
        <v>350</v>
      </c>
      <c r="BQ11" s="44" t="n">
        <v>350</v>
      </c>
      <c r="BR11" s="44" t="n">
        <v>370</v>
      </c>
      <c r="BS11" s="44" t="n">
        <v>350</v>
      </c>
      <c r="BT11" s="44" t="n">
        <v>370</v>
      </c>
      <c r="BU11" s="44" t="n">
        <v>350</v>
      </c>
      <c r="BV11" s="44" t="n">
        <v>370</v>
      </c>
      <c r="BW11" s="44" t="n">
        <v>370</v>
      </c>
      <c r="BX11" s="44" t="n">
        <v>370</v>
      </c>
      <c r="BY11" s="44" t="n">
        <v>370</v>
      </c>
      <c r="BZ11" s="44" t="n">
        <v>370</v>
      </c>
      <c r="CA11" s="44" t="n">
        <v>370</v>
      </c>
      <c r="CB11" s="44" t="n">
        <v>370</v>
      </c>
      <c r="CC11" s="44" t="n">
        <v>370</v>
      </c>
      <c r="CD11" s="44" t="n">
        <v>370</v>
      </c>
      <c r="CE11" s="44" t="n">
        <v>370</v>
      </c>
      <c r="CF11" s="44" t="n">
        <v>370</v>
      </c>
      <c r="CG11" s="44" t="n">
        <v>370</v>
      </c>
      <c r="CH11" s="44" t="n">
        <v>370</v>
      </c>
      <c r="CI11" s="44" t="n">
        <v>370</v>
      </c>
      <c r="CJ11" s="44" t="n">
        <v>370</v>
      </c>
      <c r="CK11" s="44" t="n">
        <v>370</v>
      </c>
      <c r="CL11" s="44" t="n">
        <v>370</v>
      </c>
      <c r="CM11" s="44" t="n">
        <v>370</v>
      </c>
      <c r="CN11" s="44" t="n">
        <v>370</v>
      </c>
      <c r="CO11" s="44" t="n">
        <v>370</v>
      </c>
    </row>
    <row r="12" customFormat="1" s="169">
      <c r="A12" s="163" t="n"/>
      <c r="B12" s="163" t="n"/>
      <c r="C12" s="172" t="n"/>
      <c r="D12" s="88" t="n"/>
      <c r="E12" s="169" t="inlineStr">
        <is>
          <t xml:space="preserve">Arrivals per train - international </t>
        </is>
      </c>
      <c r="F12" s="169" t="n"/>
      <c r="G12" s="169" t="inlineStr">
        <is>
          <t>arrivals / train</t>
        </is>
      </c>
      <c r="H12" s="169" t="n"/>
      <c r="I12" s="169" t="n"/>
      <c r="J12" s="44" t="n">
        <v>34</v>
      </c>
      <c r="K12" s="44" t="n">
        <v>34</v>
      </c>
      <c r="L12" s="44" t="n">
        <v>34</v>
      </c>
      <c r="M12" s="44" t="n">
        <v>44</v>
      </c>
      <c r="N12" s="44" t="n">
        <v>44</v>
      </c>
      <c r="O12" s="44" t="n">
        <v>44</v>
      </c>
      <c r="P12" s="44" t="n">
        <v>44</v>
      </c>
      <c r="Q12" s="44" t="n">
        <v>44</v>
      </c>
      <c r="R12" s="44" t="n">
        <v>44</v>
      </c>
      <c r="S12" s="44" t="n">
        <v>44</v>
      </c>
      <c r="T12" s="44" t="n">
        <v>44</v>
      </c>
      <c r="U12" s="44" t="n">
        <v>44</v>
      </c>
      <c r="V12" s="44" t="n">
        <v>44</v>
      </c>
      <c r="W12" s="44" t="n">
        <v>44</v>
      </c>
      <c r="X12" s="44" t="n">
        <v>44</v>
      </c>
      <c r="Y12" s="44" t="n">
        <v>44</v>
      </c>
      <c r="Z12" s="44" t="n">
        <v>44</v>
      </c>
      <c r="AA12" s="44" t="n">
        <v>44</v>
      </c>
      <c r="AB12" s="44" t="n">
        <v>44</v>
      </c>
      <c r="AC12" s="44" t="n">
        <v>44</v>
      </c>
      <c r="AD12" s="44" t="n">
        <v>44</v>
      </c>
      <c r="AE12" s="44" t="n">
        <v>44</v>
      </c>
      <c r="AF12" s="44" t="n">
        <v>44</v>
      </c>
      <c r="AG12" s="44" t="n">
        <v>44</v>
      </c>
      <c r="AH12" s="44" t="n">
        <v>44</v>
      </c>
      <c r="AI12" s="44" t="n">
        <v>44</v>
      </c>
      <c r="AJ12" s="44" t="n">
        <v>44</v>
      </c>
      <c r="AK12" s="44" t="n">
        <v>44</v>
      </c>
      <c r="AL12" s="44" t="n">
        <v>44</v>
      </c>
      <c r="AM12" s="44" t="n">
        <v>44</v>
      </c>
      <c r="AN12" s="44" t="n">
        <v>44</v>
      </c>
      <c r="AO12" s="44" t="n">
        <v>44</v>
      </c>
      <c r="AP12" s="44" t="n">
        <v>44</v>
      </c>
      <c r="AQ12" s="44" t="n">
        <v>44</v>
      </c>
      <c r="AR12" s="44" t="n">
        <v>44</v>
      </c>
      <c r="AS12" s="44" t="n">
        <v>44</v>
      </c>
      <c r="AT12" s="44" t="n">
        <v>44</v>
      </c>
      <c r="AU12" s="44" t="n">
        <v>44</v>
      </c>
      <c r="AV12" s="44" t="n">
        <v>44</v>
      </c>
      <c r="AW12" s="44" t="n">
        <v>44</v>
      </c>
      <c r="AX12" s="44" t="n">
        <v>44</v>
      </c>
      <c r="AY12" s="44" t="n">
        <v>44</v>
      </c>
      <c r="AZ12" s="44" t="n">
        <v>44</v>
      </c>
      <c r="BA12" s="44" t="n">
        <v>44</v>
      </c>
      <c r="BB12" s="44" t="n">
        <v>44</v>
      </c>
      <c r="BC12" s="44" t="n">
        <v>44</v>
      </c>
      <c r="BD12" s="44" t="n">
        <v>44</v>
      </c>
      <c r="BE12" s="44" t="n">
        <v>44</v>
      </c>
      <c r="BF12" s="44" t="n">
        <v>44</v>
      </c>
      <c r="BG12" s="44" t="n">
        <v>44</v>
      </c>
      <c r="BH12" s="44" t="n">
        <v>44</v>
      </c>
      <c r="BI12" s="44" t="n">
        <v>44</v>
      </c>
      <c r="BJ12" s="44" t="n">
        <v>44</v>
      </c>
      <c r="BK12" s="44" t="n">
        <v>44</v>
      </c>
      <c r="BL12" s="44" t="n">
        <v>44</v>
      </c>
      <c r="BM12" s="44" t="n">
        <v>44</v>
      </c>
      <c r="BN12" s="44" t="n">
        <v>44</v>
      </c>
      <c r="BO12" s="44" t="n">
        <v>44</v>
      </c>
      <c r="BP12" s="44" t="n">
        <v>44</v>
      </c>
      <c r="BQ12" s="44" t="n">
        <v>44</v>
      </c>
      <c r="BR12" s="44" t="n">
        <v>44</v>
      </c>
      <c r="BS12" s="44" t="n">
        <v>44</v>
      </c>
      <c r="BT12" s="44" t="n">
        <v>44</v>
      </c>
      <c r="BU12" s="44" t="n">
        <v>44</v>
      </c>
      <c r="BV12" s="44" t="n">
        <v>44</v>
      </c>
      <c r="BW12" s="44" t="n">
        <v>44</v>
      </c>
      <c r="BX12" s="44" t="n">
        <v>44</v>
      </c>
      <c r="BY12" s="44" t="n">
        <v>44</v>
      </c>
      <c r="BZ12" s="44" t="n">
        <v>44</v>
      </c>
      <c r="CA12" s="44" t="n">
        <v>44</v>
      </c>
      <c r="CB12" s="44" t="n">
        <v>44</v>
      </c>
      <c r="CC12" s="44" t="n">
        <v>44</v>
      </c>
      <c r="CD12" s="44" t="n">
        <v>44</v>
      </c>
      <c r="CE12" s="44" t="n">
        <v>44</v>
      </c>
      <c r="CF12" s="44" t="n">
        <v>44</v>
      </c>
      <c r="CG12" s="44" t="n">
        <v>44</v>
      </c>
      <c r="CH12" s="44" t="n">
        <v>44</v>
      </c>
      <c r="CI12" s="44" t="n">
        <v>44</v>
      </c>
      <c r="CJ12" s="44" t="n">
        <v>44</v>
      </c>
      <c r="CK12" s="44" t="n">
        <v>44</v>
      </c>
      <c r="CL12" s="44" t="n">
        <v>44</v>
      </c>
      <c r="CM12" s="44" t="n">
        <v>44</v>
      </c>
      <c r="CN12" s="44" t="n">
        <v>44</v>
      </c>
      <c r="CO12" s="44" t="n">
        <v>44</v>
      </c>
    </row>
    <row r="14" customFormat="1" s="97">
      <c r="A14" s="92" t="n"/>
      <c r="B14" s="92" t="n"/>
      <c r="C14" s="93" t="n"/>
      <c r="D14" s="97" t="n"/>
      <c r="E14" s="95" t="inlineStr">
        <is>
          <t xml:space="preserve">Occupancy - domestic </t>
        </is>
      </c>
      <c r="F14" s="97" t="n"/>
      <c r="G14" s="97" t="inlineStr">
        <is>
          <t>%</t>
        </is>
      </c>
      <c r="H14" s="97" t="n"/>
      <c r="I14" s="97" t="n"/>
      <c r="J14" s="96" t="n">
        <v>0.55</v>
      </c>
      <c r="K14" s="96" t="n">
        <v>0.55</v>
      </c>
      <c r="L14" s="96" t="n">
        <v>0.55</v>
      </c>
      <c r="M14" s="96" t="n">
        <v>0.55</v>
      </c>
      <c r="N14" s="96" t="n">
        <v>0.55</v>
      </c>
      <c r="O14" s="96" t="n">
        <v>0.55</v>
      </c>
      <c r="P14" s="96" t="n">
        <v>0.55</v>
      </c>
      <c r="Q14" s="96" t="n">
        <v>0.55</v>
      </c>
      <c r="R14" s="96" t="n">
        <v>0.55</v>
      </c>
      <c r="S14" s="96" t="n">
        <v>0.55</v>
      </c>
      <c r="T14" s="96" t="n">
        <v>0.5600000000000001</v>
      </c>
      <c r="U14" s="96" t="n">
        <v>0.5600000000000001</v>
      </c>
      <c r="V14" s="96" t="n">
        <v>0.5600000000000001</v>
      </c>
      <c r="W14" s="96" t="n">
        <v>0.5600000000000001</v>
      </c>
      <c r="X14" s="96" t="n">
        <v>0.5600000000000001</v>
      </c>
      <c r="Y14" s="96" t="n">
        <v>0.5600000000000001</v>
      </c>
      <c r="Z14" s="96" t="n">
        <v>0.5600000000000001</v>
      </c>
      <c r="AA14" s="96" t="n">
        <v>0.5600000000000001</v>
      </c>
      <c r="AB14" s="96" t="n">
        <v>0.5600000000000001</v>
      </c>
      <c r="AC14" s="96" t="n">
        <v>0.5600000000000001</v>
      </c>
      <c r="AD14" s="96" t="n">
        <v>0.58</v>
      </c>
      <c r="AE14" s="96" t="n">
        <v>0.58</v>
      </c>
      <c r="AF14" s="96" t="n">
        <v>0.58</v>
      </c>
      <c r="AG14" s="96" t="n">
        <v>0.58</v>
      </c>
      <c r="AH14" s="96" t="n">
        <v>0.58</v>
      </c>
      <c r="AI14" s="96" t="n">
        <v>0.58</v>
      </c>
      <c r="AJ14" s="96" t="n">
        <v>0.58</v>
      </c>
      <c r="AK14" s="96" t="n">
        <v>0.58</v>
      </c>
      <c r="AL14" s="96" t="n">
        <v>0.58</v>
      </c>
      <c r="AM14" s="96" t="n">
        <v>0.6</v>
      </c>
      <c r="AN14" s="96" t="n">
        <v>0.6</v>
      </c>
      <c r="AO14" s="96" t="n">
        <v>0.6</v>
      </c>
      <c r="AP14" s="96" t="n">
        <v>0.6</v>
      </c>
      <c r="AQ14" s="96" t="n">
        <v>0.6</v>
      </c>
      <c r="AR14" s="96" t="n">
        <v>0.6</v>
      </c>
      <c r="AS14" s="96" t="n">
        <v>0.6</v>
      </c>
      <c r="AT14" s="96" t="n">
        <v>0.6</v>
      </c>
      <c r="AU14" s="96" t="n">
        <v>0.6</v>
      </c>
      <c r="AV14" s="96" t="n">
        <v>0.6</v>
      </c>
      <c r="AW14" s="96" t="n">
        <v>0.6</v>
      </c>
      <c r="AX14" s="96" t="n">
        <v>0.62</v>
      </c>
      <c r="AY14" s="96" t="n">
        <v>0.62</v>
      </c>
      <c r="AZ14" s="96" t="n">
        <v>0.62</v>
      </c>
      <c r="BA14" s="96" t="n">
        <v>0.62</v>
      </c>
      <c r="BB14" s="96" t="n">
        <v>0.62</v>
      </c>
      <c r="BC14" s="96" t="n">
        <v>0.62</v>
      </c>
      <c r="BD14" s="96" t="n">
        <v>0.62</v>
      </c>
      <c r="BE14" s="96" t="n">
        <v>0.62</v>
      </c>
      <c r="BF14" s="96" t="n">
        <v>0.62</v>
      </c>
      <c r="BG14" s="96" t="n">
        <v>0.62</v>
      </c>
      <c r="BH14" s="96" t="n">
        <v>0.62</v>
      </c>
      <c r="BI14" s="96" t="n">
        <v>0.62</v>
      </c>
      <c r="BJ14" s="96" t="n">
        <v>0.62</v>
      </c>
      <c r="BK14" s="96" t="n">
        <v>0.62</v>
      </c>
      <c r="BL14" s="96" t="n">
        <v>0.62</v>
      </c>
      <c r="BM14" s="96" t="n">
        <v>0.62</v>
      </c>
      <c r="BN14" s="96" t="n">
        <v>0.62</v>
      </c>
      <c r="BO14" s="96" t="n">
        <v>0.62</v>
      </c>
      <c r="BP14" s="96" t="n">
        <v>0.62</v>
      </c>
      <c r="BQ14" s="96" t="n">
        <v>0.62</v>
      </c>
      <c r="BR14" s="96" t="n">
        <v>0.62</v>
      </c>
      <c r="BS14" s="96" t="n">
        <v>0.62</v>
      </c>
      <c r="BT14" s="96" t="n">
        <v>0.62</v>
      </c>
      <c r="BU14" s="96" t="n">
        <v>0.62</v>
      </c>
      <c r="BV14" s="96" t="n">
        <v>0.62</v>
      </c>
      <c r="BW14" s="96" t="n">
        <v>0.62</v>
      </c>
      <c r="BX14" s="96" t="n">
        <v>0.62</v>
      </c>
      <c r="BY14" s="96" t="n">
        <v>0.62</v>
      </c>
      <c r="BZ14" s="96" t="n">
        <v>0.62</v>
      </c>
      <c r="CA14" s="96" t="n">
        <v>0.62</v>
      </c>
      <c r="CB14" s="96" t="n">
        <v>0.62</v>
      </c>
      <c r="CC14" s="96" t="n">
        <v>0.62</v>
      </c>
      <c r="CD14" s="96" t="n">
        <v>0.62</v>
      </c>
      <c r="CE14" s="96" t="n">
        <v>0.62</v>
      </c>
      <c r="CF14" s="96" t="n">
        <v>0.62</v>
      </c>
      <c r="CG14" s="96" t="n">
        <v>0.62</v>
      </c>
      <c r="CH14" s="96" t="n">
        <v>0.62</v>
      </c>
      <c r="CI14" s="96" t="n">
        <v>0.62</v>
      </c>
      <c r="CJ14" s="96" t="n">
        <v>0.62</v>
      </c>
      <c r="CK14" s="96" t="n">
        <v>0.62</v>
      </c>
      <c r="CL14" s="96" t="n">
        <v>0.62</v>
      </c>
      <c r="CM14" s="96" t="n">
        <v>0.62</v>
      </c>
      <c r="CN14" s="96" t="n">
        <v>0.62</v>
      </c>
      <c r="CO14" s="96" t="n">
        <v>0.62</v>
      </c>
    </row>
    <row r="15" customFormat="1" s="97">
      <c r="A15" s="92" t="n"/>
      <c r="B15" s="92" t="n"/>
      <c r="C15" s="93" t="n"/>
      <c r="D15" s="97" t="n"/>
      <c r="E15" s="169" t="inlineStr">
        <is>
          <t xml:space="preserve">Occupancy - international </t>
        </is>
      </c>
      <c r="F15" s="97" t="n"/>
      <c r="G15" s="97" t="inlineStr">
        <is>
          <t>%</t>
        </is>
      </c>
      <c r="H15" s="97" t="n"/>
      <c r="I15" s="97" t="n"/>
      <c r="J15" s="96" t="n">
        <v>0.45</v>
      </c>
      <c r="K15" s="96" t="n">
        <v>0.45</v>
      </c>
      <c r="L15" s="96" t="n">
        <v>0.45</v>
      </c>
      <c r="M15" s="96" t="n">
        <v>0.45</v>
      </c>
      <c r="N15" s="96" t="n">
        <v>0.45</v>
      </c>
      <c r="O15" s="96" t="n">
        <v>0.45</v>
      </c>
      <c r="P15" s="96" t="n">
        <v>0.45</v>
      </c>
      <c r="Q15" s="96" t="n">
        <v>0.45</v>
      </c>
      <c r="R15" s="96" t="n">
        <v>0.45</v>
      </c>
      <c r="S15" s="96" t="n">
        <v>0.45</v>
      </c>
      <c r="T15" s="96" t="n">
        <v>0.45</v>
      </c>
      <c r="U15" s="96" t="n">
        <v>0.45</v>
      </c>
      <c r="V15" s="96" t="n">
        <v>0.45</v>
      </c>
      <c r="W15" s="96" t="n">
        <v>0.45</v>
      </c>
      <c r="X15" s="96" t="n">
        <v>0.45</v>
      </c>
      <c r="Y15" s="96" t="n">
        <v>0.45</v>
      </c>
      <c r="Z15" s="96" t="n">
        <v>0.45</v>
      </c>
      <c r="AA15" s="96" t="n">
        <v>0.45</v>
      </c>
      <c r="AB15" s="96" t="n">
        <v>0.45</v>
      </c>
      <c r="AC15" s="96" t="n">
        <v>0.45</v>
      </c>
      <c r="AD15" s="96" t="n">
        <v>0.45</v>
      </c>
      <c r="AE15" s="96" t="n">
        <v>0.45</v>
      </c>
      <c r="AF15" s="96" t="n">
        <v>0.45</v>
      </c>
      <c r="AG15" s="96" t="n">
        <v>0.45</v>
      </c>
      <c r="AH15" s="96" t="n">
        <v>0.45</v>
      </c>
      <c r="AI15" s="96" t="n">
        <v>0.45</v>
      </c>
      <c r="AJ15" s="96" t="n">
        <v>0.45</v>
      </c>
      <c r="AK15" s="96" t="n">
        <v>0.45</v>
      </c>
      <c r="AL15" s="96" t="n">
        <v>0.45</v>
      </c>
      <c r="AM15" s="96" t="n">
        <v>0.45</v>
      </c>
      <c r="AN15" s="96" t="n">
        <v>0.45</v>
      </c>
      <c r="AO15" s="96" t="n">
        <v>0.45</v>
      </c>
      <c r="AP15" s="96" t="n">
        <v>0.45</v>
      </c>
      <c r="AQ15" s="96" t="n">
        <v>0.45</v>
      </c>
      <c r="AR15" s="96" t="n">
        <v>0.45</v>
      </c>
      <c r="AS15" s="96" t="n">
        <v>0.45</v>
      </c>
      <c r="AT15" s="96" t="n">
        <v>0.45</v>
      </c>
      <c r="AU15" s="96" t="n">
        <v>0.45</v>
      </c>
      <c r="AV15" s="96" t="n">
        <v>0.45</v>
      </c>
      <c r="AW15" s="96" t="n">
        <v>0.45</v>
      </c>
      <c r="AX15" s="96" t="n">
        <v>0.55</v>
      </c>
      <c r="AY15" s="96" t="n">
        <v>0.55</v>
      </c>
      <c r="AZ15" s="96" t="n">
        <v>0.55</v>
      </c>
      <c r="BA15" s="96" t="n">
        <v>0.55</v>
      </c>
      <c r="BB15" s="96" t="n">
        <v>0.55</v>
      </c>
      <c r="BC15" s="96" t="n">
        <v>0.55</v>
      </c>
      <c r="BD15" s="96" t="n">
        <v>0.55</v>
      </c>
      <c r="BE15" s="96" t="n">
        <v>0.55</v>
      </c>
      <c r="BF15" s="96" t="n">
        <v>0.55</v>
      </c>
      <c r="BG15" s="96" t="n">
        <v>0.55</v>
      </c>
      <c r="BH15" s="96" t="n">
        <v>0.55</v>
      </c>
      <c r="BI15" s="96" t="n">
        <v>0.55</v>
      </c>
      <c r="BJ15" s="96" t="n">
        <v>0.55</v>
      </c>
      <c r="BK15" s="96" t="n">
        <v>0.55</v>
      </c>
      <c r="BL15" s="96" t="n">
        <v>0.55</v>
      </c>
      <c r="BM15" s="96" t="n">
        <v>0.55</v>
      </c>
      <c r="BN15" s="96" t="n">
        <v>0.55</v>
      </c>
      <c r="BO15" s="96" t="n">
        <v>0.55</v>
      </c>
      <c r="BP15" s="96" t="n">
        <v>0.55</v>
      </c>
      <c r="BQ15" s="96" t="n">
        <v>0.55</v>
      </c>
      <c r="BR15" s="96" t="n">
        <v>0.55</v>
      </c>
      <c r="BS15" s="96" t="n">
        <v>0.55</v>
      </c>
      <c r="BT15" s="96" t="n">
        <v>0.55</v>
      </c>
      <c r="BU15" s="96" t="n">
        <v>0.55</v>
      </c>
      <c r="BV15" s="96" t="n">
        <v>0.55</v>
      </c>
      <c r="BW15" s="96" t="n">
        <v>0.55</v>
      </c>
      <c r="BX15" s="96" t="n">
        <v>0.55</v>
      </c>
      <c r="BY15" s="96" t="n">
        <v>0.55</v>
      </c>
      <c r="BZ15" s="96" t="n">
        <v>0.55</v>
      </c>
      <c r="CA15" s="96" t="n">
        <v>0.55</v>
      </c>
      <c r="CB15" s="96" t="n">
        <v>0.55</v>
      </c>
      <c r="CC15" s="96" t="n">
        <v>0.55</v>
      </c>
      <c r="CD15" s="96" t="n">
        <v>0.55</v>
      </c>
      <c r="CE15" s="96" t="n">
        <v>0.55</v>
      </c>
      <c r="CF15" s="96" t="n">
        <v>0.55</v>
      </c>
      <c r="CG15" s="96" t="n">
        <v>0.55</v>
      </c>
      <c r="CH15" s="96" t="n">
        <v>0.55</v>
      </c>
      <c r="CI15" s="96" t="n">
        <v>0.55</v>
      </c>
      <c r="CJ15" s="96" t="n">
        <v>0.55</v>
      </c>
      <c r="CK15" s="96" t="n">
        <v>0.55</v>
      </c>
      <c r="CL15" s="96" t="n">
        <v>0.55</v>
      </c>
      <c r="CM15" s="96" t="n">
        <v>0.55</v>
      </c>
      <c r="CN15" s="96" t="n">
        <v>0.55</v>
      </c>
      <c r="CO15" s="96" t="n">
        <v>0.55</v>
      </c>
    </row>
    <row r="16" customFormat="1" s="97">
      <c r="A16" s="92" t="n"/>
      <c r="B16" s="92" t="n"/>
      <c r="C16" s="93" t="n"/>
      <c r="D16" s="97" t="n"/>
      <c r="E16" s="169" t="n"/>
      <c r="F16" s="97" t="n"/>
      <c r="G16" s="97" t="n"/>
      <c r="H16" s="97" t="n"/>
      <c r="I16" s="97" t="n"/>
      <c r="J16" s="96" t="n"/>
      <c r="K16" s="96" t="n"/>
      <c r="L16" s="96" t="n"/>
      <c r="M16" s="96" t="n"/>
      <c r="N16" s="96" t="n"/>
      <c r="O16" s="96" t="n"/>
      <c r="P16" s="96" t="n"/>
      <c r="Q16" s="96" t="n"/>
      <c r="R16" s="96" t="n"/>
      <c r="S16" s="96" t="n"/>
      <c r="T16" s="96" t="n"/>
      <c r="U16" s="96" t="n"/>
      <c r="V16" s="96" t="n"/>
      <c r="W16" s="96" t="n"/>
      <c r="X16" s="96" t="n"/>
      <c r="Y16" s="96" t="n"/>
      <c r="Z16" s="96" t="n"/>
      <c r="AA16" s="96" t="n"/>
      <c r="AB16" s="96" t="n"/>
      <c r="AC16" s="96" t="n"/>
      <c r="AD16" s="96" t="n"/>
      <c r="AE16" s="96" t="n"/>
      <c r="AF16" s="96" t="n"/>
      <c r="AG16" s="96" t="n"/>
      <c r="AH16" s="96" t="n"/>
      <c r="AI16" s="96" t="n"/>
      <c r="AJ16" s="96" t="n"/>
      <c r="AK16" s="96" t="n"/>
      <c r="AL16" s="96" t="n"/>
      <c r="AM16" s="96" t="n"/>
      <c r="AN16" s="96" t="n"/>
      <c r="AO16" s="96" t="n"/>
      <c r="AP16" s="96" t="n"/>
      <c r="AQ16" s="96" t="n"/>
      <c r="AR16" s="96" t="n"/>
      <c r="AS16" s="96" t="n"/>
      <c r="AT16" s="96" t="n"/>
      <c r="AU16" s="96" t="n"/>
      <c r="AV16" s="96" t="n"/>
      <c r="AW16" s="96" t="n"/>
      <c r="AX16" s="96" t="n"/>
      <c r="AY16" s="96" t="n"/>
      <c r="AZ16" s="96" t="n"/>
      <c r="BA16" s="96" t="n"/>
      <c r="BB16" s="96" t="n"/>
      <c r="BC16" s="96" t="n"/>
      <c r="BD16" s="96" t="n"/>
      <c r="BE16" s="96" t="n"/>
      <c r="BF16" s="96" t="n"/>
      <c r="BG16" s="96" t="n"/>
      <c r="BH16" s="96" t="n"/>
      <c r="BI16" s="96" t="n"/>
      <c r="BJ16" s="96" t="n"/>
      <c r="BK16" s="96" t="n"/>
      <c r="BL16" s="96" t="n"/>
      <c r="BM16" s="96" t="n"/>
      <c r="BN16" s="96" t="n"/>
      <c r="BO16" s="96" t="n"/>
      <c r="BP16" s="96" t="n"/>
      <c r="BQ16" s="96" t="n"/>
      <c r="BR16" s="96" t="n"/>
      <c r="BS16" s="96" t="n"/>
      <c r="BT16" s="96" t="n"/>
      <c r="BU16" s="96" t="n"/>
      <c r="BV16" s="96" t="n"/>
      <c r="BW16" s="96" t="n"/>
      <c r="BX16" s="96" t="n"/>
      <c r="BY16" s="96" t="n"/>
      <c r="BZ16" s="96" t="n"/>
      <c r="CA16" s="96" t="n"/>
      <c r="CB16" s="96" t="n"/>
      <c r="CC16" s="96" t="n"/>
      <c r="CD16" s="96" t="n"/>
      <c r="CE16" s="96" t="n"/>
      <c r="CF16" s="96" t="n"/>
      <c r="CG16" s="96" t="n"/>
      <c r="CH16" s="96" t="n"/>
      <c r="CI16" s="96" t="n"/>
      <c r="CJ16" s="96" t="n"/>
      <c r="CK16" s="96" t="n"/>
      <c r="CL16" s="96" t="n"/>
      <c r="CM16" s="96" t="n"/>
      <c r="CN16" s="96" t="n"/>
      <c r="CO16" s="96" t="n"/>
    </row>
    <row r="17">
      <c r="A17" s="294" t="inlineStr">
        <is>
          <t>SENIOR DEBT</t>
        </is>
      </c>
    </row>
    <row r="18" customFormat="1" s="97">
      <c r="A18" s="92" t="n"/>
      <c r="B18" s="92" t="n"/>
      <c r="C18" s="93" t="n"/>
      <c r="D18" s="97" t="n"/>
      <c r="E18" s="97" t="inlineStr">
        <is>
          <t>Senior debt profile 1 - 7.5 years</t>
        </is>
      </c>
      <c r="F18" s="97" t="n"/>
      <c r="G18" s="97" t="inlineStr">
        <is>
          <t>%</t>
        </is>
      </c>
      <c r="H18" s="97">
        <f> SUM(J18:CO18)</f>
        <v>0.99999999999999</v>
      </c>
      <c r="I18" s="97" t="n"/>
      <c r="J18" s="96" t="n"/>
      <c r="K18" s="96" t="n"/>
      <c r="L18" s="96" t="n"/>
      <c r="M18" s="96" t="n"/>
      <c r="N18" s="96" t="n"/>
      <c r="O18" s="96" t="n">
        <v>0.03333333333333333</v>
      </c>
      <c r="P18" s="96" t="n">
        <v>0.03333333333333333</v>
      </c>
      <c r="Q18" s="96" t="n">
        <v>0.03333333333333333</v>
      </c>
      <c r="R18" s="96" t="n">
        <v>0.03333333333333333</v>
      </c>
      <c r="S18" s="96" t="n">
        <v>0.03333333333333333</v>
      </c>
      <c r="T18" s="96" t="n">
        <v>0.03333333333333333</v>
      </c>
      <c r="U18" s="96" t="n">
        <v>0.03333333333333333</v>
      </c>
      <c r="V18" s="96" t="n">
        <v>0.03333333333333333</v>
      </c>
      <c r="W18" s="96" t="n">
        <v>0.03333333333333333</v>
      </c>
      <c r="X18" s="96" t="n">
        <v>0.03333333333333333</v>
      </c>
      <c r="Y18" s="96" t="n">
        <v>0.03333333333333333</v>
      </c>
      <c r="Z18" s="96" t="n">
        <v>0.03333333333333333</v>
      </c>
      <c r="AA18" s="96" t="n">
        <v>0.03333333333333333</v>
      </c>
      <c r="AB18" s="96" t="n">
        <v>0.03333333333333333</v>
      </c>
      <c r="AC18" s="96" t="n">
        <v>0.03333333333333333</v>
      </c>
      <c r="AD18" s="96" t="n">
        <v>0.03333333333333333</v>
      </c>
      <c r="AE18" s="96" t="n">
        <v>0.03333333333333333</v>
      </c>
      <c r="AF18" s="96" t="n">
        <v>0.03333333333333333</v>
      </c>
      <c r="AG18" s="96" t="n">
        <v>0.03333333333333333</v>
      </c>
      <c r="AH18" s="96" t="n">
        <v>0.03333333333333333</v>
      </c>
      <c r="AI18" s="96" t="n">
        <v>0.03333333333333333</v>
      </c>
      <c r="AJ18" s="96" t="n">
        <v>0.03333333333333333</v>
      </c>
      <c r="AK18" s="96" t="n">
        <v>0.03333333333333333</v>
      </c>
      <c r="AL18" s="96" t="n">
        <v>0.03333333333333333</v>
      </c>
      <c r="AM18" s="96" t="n">
        <v>0.03333333333333333</v>
      </c>
      <c r="AN18" s="96" t="n">
        <v>0.03333333333333333</v>
      </c>
      <c r="AO18" s="96" t="n">
        <v>0.03333333333333333</v>
      </c>
      <c r="AP18" s="96" t="n">
        <v>0.03333333333333333</v>
      </c>
      <c r="AQ18" s="96" t="n">
        <v>0.03333333333333333</v>
      </c>
      <c r="AR18" s="96" t="n">
        <v>0.03333333333333333</v>
      </c>
      <c r="AS18" s="96" t="n"/>
      <c r="AT18" s="96" t="n"/>
      <c r="AU18" s="96" t="n"/>
      <c r="AV18" s="96" t="n"/>
      <c r="AW18" s="96" t="n"/>
      <c r="AX18" s="96" t="n"/>
      <c r="AY18" s="96" t="n"/>
      <c r="AZ18" s="96" t="n"/>
      <c r="BA18" s="96" t="n"/>
      <c r="BB18" s="96" t="n"/>
      <c r="BC18" s="96" t="n"/>
      <c r="BD18" s="96" t="n"/>
      <c r="BE18" s="96" t="n"/>
      <c r="BF18" s="96" t="n"/>
      <c r="BG18" s="96" t="n"/>
      <c r="BH18" s="96" t="n"/>
      <c r="BI18" s="96" t="n"/>
      <c r="BJ18" s="96" t="n"/>
      <c r="BK18" s="96" t="n"/>
      <c r="BL18" s="96" t="n"/>
      <c r="BM18" s="96" t="n"/>
      <c r="BN18" s="96" t="n"/>
      <c r="BO18" s="96" t="n"/>
      <c r="BP18" s="96" t="n"/>
      <c r="BQ18" s="96" t="n"/>
      <c r="BR18" s="96" t="n"/>
      <c r="BS18" s="96" t="n"/>
      <c r="BT18" s="96" t="n"/>
      <c r="BU18" s="96" t="n"/>
      <c r="BV18" s="96" t="n"/>
    </row>
    <row r="19" customFormat="1" s="97">
      <c r="A19" s="92" t="n"/>
      <c r="B19" s="92" t="n"/>
      <c r="C19" s="93" t="n"/>
      <c r="D19" s="97" t="n"/>
      <c r="E19" s="97" t="inlineStr">
        <is>
          <t>Senior debt profile 2 - 10 years</t>
        </is>
      </c>
      <c r="F19" s="97" t="n"/>
      <c r="G19" s="97" t="inlineStr">
        <is>
          <t>%</t>
        </is>
      </c>
      <c r="H19" s="97">
        <f> SUM(J19:CO19)</f>
        <v>1.0</v>
      </c>
      <c r="I19" s="97" t="n"/>
      <c r="J19" s="96" t="n"/>
      <c r="K19" s="96" t="n"/>
      <c r="L19" s="96" t="n"/>
      <c r="M19" s="96" t="n"/>
      <c r="N19" s="96" t="n"/>
      <c r="O19" s="96" t="n">
        <v>0.025</v>
      </c>
      <c r="P19" s="96" t="n">
        <v>0.025</v>
      </c>
      <c r="Q19" s="96" t="n">
        <v>0.025</v>
      </c>
      <c r="R19" s="96" t="n">
        <v>0.025</v>
      </c>
      <c r="S19" s="96" t="n">
        <v>0.025</v>
      </c>
      <c r="T19" s="96" t="n">
        <v>0.025</v>
      </c>
      <c r="U19" s="96" t="n">
        <v>0.025</v>
      </c>
      <c r="V19" s="96" t="n">
        <v>0.025</v>
      </c>
      <c r="W19" s="96" t="n">
        <v>0.025</v>
      </c>
      <c r="X19" s="96" t="n">
        <v>0.025</v>
      </c>
      <c r="Y19" s="96" t="n">
        <v>0.025</v>
      </c>
      <c r="Z19" s="96" t="n">
        <v>0.025</v>
      </c>
      <c r="AA19" s="96" t="n">
        <v>0.025</v>
      </c>
      <c r="AB19" s="96" t="n">
        <v>0.025</v>
      </c>
      <c r="AC19" s="96" t="n">
        <v>0.025</v>
      </c>
      <c r="AD19" s="96" t="n">
        <v>0.025</v>
      </c>
      <c r="AE19" s="96" t="n">
        <v>0.025</v>
      </c>
      <c r="AF19" s="96" t="n">
        <v>0.025</v>
      </c>
      <c r="AG19" s="96" t="n">
        <v>0.025</v>
      </c>
      <c r="AH19" s="96" t="n">
        <v>0.025</v>
      </c>
      <c r="AI19" s="96" t="n">
        <v>0.025</v>
      </c>
      <c r="AJ19" s="96" t="n">
        <v>0.025</v>
      </c>
      <c r="AK19" s="96" t="n">
        <v>0.025</v>
      </c>
      <c r="AL19" s="96" t="n">
        <v>0.025</v>
      </c>
      <c r="AM19" s="96" t="n">
        <v>0.025</v>
      </c>
      <c r="AN19" s="96" t="n">
        <v>0.025</v>
      </c>
      <c r="AO19" s="96" t="n">
        <v>0.025</v>
      </c>
      <c r="AP19" s="96" t="n">
        <v>0.025</v>
      </c>
      <c r="AQ19" s="96" t="n">
        <v>0.025</v>
      </c>
      <c r="AR19" s="96" t="n">
        <v>0.025</v>
      </c>
      <c r="AS19" s="96" t="n">
        <v>0.025</v>
      </c>
      <c r="AT19" s="96" t="n">
        <v>0.025</v>
      </c>
      <c r="AU19" s="96" t="n">
        <v>0.025</v>
      </c>
      <c r="AV19" s="96" t="n">
        <v>0.025</v>
      </c>
      <c r="AW19" s="96" t="n">
        <v>0.025</v>
      </c>
      <c r="AX19" s="96" t="n">
        <v>0.025</v>
      </c>
      <c r="AY19" s="96" t="n">
        <v>0.025</v>
      </c>
      <c r="AZ19" s="96" t="n">
        <v>0.025</v>
      </c>
      <c r="BA19" s="96" t="n">
        <v>0.025</v>
      </c>
      <c r="BB19" s="96" t="n">
        <v>0.025</v>
      </c>
      <c r="BC19" s="96" t="n"/>
      <c r="BD19" s="96" t="n"/>
      <c r="BE19" s="96" t="n"/>
      <c r="BF19" s="96" t="n"/>
      <c r="BG19" s="96" t="n"/>
      <c r="BH19" s="96" t="n"/>
      <c r="BI19" s="96" t="n"/>
      <c r="BJ19" s="96" t="n"/>
      <c r="BK19" s="96" t="n"/>
      <c r="BL19" s="96" t="n"/>
      <c r="BM19" s="96" t="n"/>
      <c r="BN19" s="96" t="n"/>
      <c r="BO19" s="96" t="n"/>
      <c r="BP19" s="96" t="n"/>
      <c r="BQ19" s="96" t="n"/>
      <c r="BR19" s="96" t="n"/>
      <c r="BS19" s="96" t="n"/>
      <c r="BT19" s="96" t="n"/>
      <c r="BU19" s="96" t="n"/>
      <c r="BV19" s="96" t="n"/>
    </row>
    <row r="20" customFormat="1" s="97">
      <c r="A20" s="92" t="n"/>
      <c r="B20" s="92" t="n"/>
      <c r="C20" s="93" t="n"/>
      <c r="D20" s="97" t="n"/>
      <c r="E20" s="97" t="inlineStr">
        <is>
          <t>Senior debt profile 3 - 15 years</t>
        </is>
      </c>
      <c r="F20" s="97" t="n"/>
      <c r="G20" s="97" t="inlineStr">
        <is>
          <t>%</t>
        </is>
      </c>
      <c r="H20" s="97">
        <f> SUM(J20:CO20)</f>
        <v>1.00000000000002</v>
      </c>
      <c r="I20" s="97" t="n"/>
      <c r="J20" s="96" t="n"/>
      <c r="K20" s="96" t="n"/>
      <c r="L20" s="96" t="n"/>
      <c r="M20" s="96" t="n"/>
      <c r="N20" s="96" t="n"/>
      <c r="O20" s="96" t="n">
        <v>0.01666666666666667</v>
      </c>
      <c r="P20" s="96" t="n">
        <v>0.01666666666666667</v>
      </c>
      <c r="Q20" s="96" t="n">
        <v>0.01666666666666667</v>
      </c>
      <c r="R20" s="96" t="n">
        <v>0.01666666666666667</v>
      </c>
      <c r="S20" s="96" t="n">
        <v>0.01666666666666667</v>
      </c>
      <c r="T20" s="96" t="n">
        <v>0.01666666666666667</v>
      </c>
      <c r="U20" s="96" t="n">
        <v>0.01666666666666667</v>
      </c>
      <c r="V20" s="96" t="n">
        <v>0.01666666666666667</v>
      </c>
      <c r="W20" s="96" t="n">
        <v>0.01666666666666667</v>
      </c>
      <c r="X20" s="96" t="n">
        <v>0.01666666666666667</v>
      </c>
      <c r="Y20" s="96" t="n">
        <v>0.01666666666666667</v>
      </c>
      <c r="Z20" s="96" t="n">
        <v>0.01666666666666667</v>
      </c>
      <c r="AA20" s="96" t="n">
        <v>0.01666666666666667</v>
      </c>
      <c r="AB20" s="96" t="n">
        <v>0.01666666666666667</v>
      </c>
      <c r="AC20" s="96" t="n">
        <v>0.01666666666666667</v>
      </c>
      <c r="AD20" s="96" t="n">
        <v>0.01666666666666667</v>
      </c>
      <c r="AE20" s="96" t="n">
        <v>0.01666666666666667</v>
      </c>
      <c r="AF20" s="96" t="n">
        <v>0.01666666666666667</v>
      </c>
      <c r="AG20" s="96" t="n">
        <v>0.01666666666666667</v>
      </c>
      <c r="AH20" s="96" t="n">
        <v>0.01666666666666667</v>
      </c>
      <c r="AI20" s="96" t="n">
        <v>0.01666666666666667</v>
      </c>
      <c r="AJ20" s="96" t="n">
        <v>0.01666666666666667</v>
      </c>
      <c r="AK20" s="96" t="n">
        <v>0.01666666666666667</v>
      </c>
      <c r="AL20" s="96" t="n">
        <v>0.01666666666666667</v>
      </c>
      <c r="AM20" s="96" t="n">
        <v>0.01666666666666667</v>
      </c>
      <c r="AN20" s="96" t="n">
        <v>0.01666666666666667</v>
      </c>
      <c r="AO20" s="96" t="n">
        <v>0.01666666666666667</v>
      </c>
      <c r="AP20" s="96" t="n">
        <v>0.01666666666666667</v>
      </c>
      <c r="AQ20" s="96" t="n">
        <v>0.01666666666666667</v>
      </c>
      <c r="AR20" s="96" t="n">
        <v>0.01666666666666667</v>
      </c>
      <c r="AS20" s="96" t="n">
        <v>0.01666666666666667</v>
      </c>
      <c r="AT20" s="96" t="n">
        <v>0.01666666666666667</v>
      </c>
      <c r="AU20" s="96" t="n">
        <v>0.01666666666666667</v>
      </c>
      <c r="AV20" s="96" t="n">
        <v>0.01666666666666667</v>
      </c>
      <c r="AW20" s="96" t="n">
        <v>0.01666666666666667</v>
      </c>
      <c r="AX20" s="96" t="n">
        <v>0.01666666666666667</v>
      </c>
      <c r="AY20" s="96" t="n">
        <v>0.01666666666666667</v>
      </c>
      <c r="AZ20" s="96" t="n">
        <v>0.01666666666666667</v>
      </c>
      <c r="BA20" s="96" t="n">
        <v>0.01666666666666667</v>
      </c>
      <c r="BB20" s="96" t="n">
        <v>0.01666666666666667</v>
      </c>
      <c r="BC20" s="96" t="n">
        <v>0.01666666666666667</v>
      </c>
      <c r="BD20" s="96" t="n">
        <v>0.01666666666666667</v>
      </c>
      <c r="BE20" s="96" t="n">
        <v>0.01666666666666667</v>
      </c>
      <c r="BF20" s="96" t="n">
        <v>0.01666666666666667</v>
      </c>
      <c r="BG20" s="96" t="n">
        <v>0.01666666666666667</v>
      </c>
      <c r="BH20" s="96" t="n">
        <v>0.01666666666666667</v>
      </c>
      <c r="BI20" s="96" t="n">
        <v>0.01666666666666667</v>
      </c>
      <c r="BJ20" s="96" t="n">
        <v>0.01666666666666667</v>
      </c>
      <c r="BK20" s="96" t="n">
        <v>0.01666666666666667</v>
      </c>
      <c r="BL20" s="96" t="n">
        <v>0.01666666666666667</v>
      </c>
      <c r="BM20" s="96" t="n">
        <v>0.01666666666666667</v>
      </c>
      <c r="BN20" s="96" t="n">
        <v>0.01666666666666667</v>
      </c>
      <c r="BO20" s="96" t="n">
        <v>0.01666666666666667</v>
      </c>
      <c r="BP20" s="96" t="n">
        <v>0.01666666666666667</v>
      </c>
      <c r="BQ20" s="96" t="n">
        <v>0.01666666666666667</v>
      </c>
      <c r="BR20" s="96" t="n">
        <v>0.01666666666666667</v>
      </c>
      <c r="BS20" s="96" t="n">
        <v>0.01666666666666667</v>
      </c>
      <c r="BT20" s="96" t="n">
        <v>0.01666666666666667</v>
      </c>
      <c r="BU20" s="96" t="n">
        <v>0.01666666666666667</v>
      </c>
      <c r="BV20" s="96" t="n">
        <v>0.01666666666666667</v>
      </c>
    </row>
    <row r="21">
      <c r="A21" s="294" t="inlineStr">
        <is>
          <t>ADDITIONAL FUNDING (after financial close)</t>
        </is>
      </c>
    </row>
    <row r="22">
      <c r="A22" s="163" t="n"/>
      <c r="B22" s="163" t="n"/>
      <c r="C22" s="172" t="n"/>
      <c r="D22" s="88" t="n"/>
      <c r="E22" s="169" t="inlineStr">
        <is>
          <t>Senior debt - additional drawdown</t>
        </is>
      </c>
      <c r="F22" s="169" t="n"/>
      <c r="G22" s="169" t="inlineStr">
        <is>
          <t>$ 000s</t>
        </is>
      </c>
      <c r="H22" s="169">
        <f> SUM(J22:CO22)</f>
        <v>0.0</v>
      </c>
      <c r="I22" s="169" t="n"/>
      <c r="J22" s="397" t="n">
        <v>0</v>
      </c>
      <c r="K22" s="397" t="n">
        <v>0</v>
      </c>
      <c r="L22" s="397" t="n">
        <v>0</v>
      </c>
      <c r="M22" s="397" t="n">
        <v>0</v>
      </c>
      <c r="N22" s="397" t="n">
        <v>0</v>
      </c>
      <c r="O22" s="397" t="n">
        <v>0</v>
      </c>
      <c r="P22" s="397" t="n">
        <v>0</v>
      </c>
      <c r="Q22" s="397" t="n">
        <v>0</v>
      </c>
      <c r="R22" s="397" t="n">
        <v>0</v>
      </c>
      <c r="S22" s="397" t="n">
        <v>0</v>
      </c>
      <c r="T22" s="397" t="n">
        <v>0</v>
      </c>
      <c r="U22" s="397" t="n">
        <v>0</v>
      </c>
      <c r="V22" s="397" t="n">
        <v>0</v>
      </c>
      <c r="W22" s="397" t="n">
        <v>0</v>
      </c>
      <c r="X22" s="397" t="n">
        <v>0</v>
      </c>
      <c r="Y22" s="397" t="n">
        <v>0</v>
      </c>
      <c r="Z22" s="397" t="n">
        <v>0</v>
      </c>
      <c r="AA22" s="397" t="n">
        <v>0</v>
      </c>
      <c r="AB22" s="397" t="n">
        <v>0</v>
      </c>
      <c r="AC22" s="397" t="n">
        <v>0</v>
      </c>
      <c r="AD22" s="397" t="n">
        <v>0</v>
      </c>
      <c r="AE22" s="397" t="n">
        <v>0</v>
      </c>
      <c r="AF22" s="397" t="n">
        <v>0</v>
      </c>
      <c r="AG22" s="397" t="n">
        <v>0</v>
      </c>
      <c r="AH22" s="397" t="n">
        <v>0</v>
      </c>
      <c r="AI22" s="397" t="n">
        <v>0</v>
      </c>
      <c r="AJ22" s="397" t="n">
        <v>0</v>
      </c>
      <c r="AK22" s="397" t="n">
        <v>0</v>
      </c>
      <c r="AL22" s="397" t="n">
        <v>0</v>
      </c>
      <c r="AM22" s="397" t="n">
        <v>0</v>
      </c>
      <c r="AN22" s="397" t="n">
        <v>0</v>
      </c>
      <c r="AO22" s="397" t="n">
        <v>0</v>
      </c>
      <c r="AP22" s="397" t="n">
        <v>0</v>
      </c>
      <c r="AQ22" s="397" t="n">
        <v>0</v>
      </c>
      <c r="AR22" s="397" t="n">
        <v>0</v>
      </c>
      <c r="AS22" s="397" t="n">
        <v>0</v>
      </c>
      <c r="AT22" s="397" t="n">
        <v>0</v>
      </c>
      <c r="AU22" s="397" t="n">
        <v>0</v>
      </c>
      <c r="AV22" s="397" t="n">
        <v>0</v>
      </c>
      <c r="AW22" s="397" t="n">
        <v>0</v>
      </c>
      <c r="AX22" s="397" t="n">
        <v>0</v>
      </c>
      <c r="AY22" s="397" t="n">
        <v>0</v>
      </c>
      <c r="AZ22" s="397" t="n">
        <v>0</v>
      </c>
      <c r="BA22" s="397" t="n">
        <v>0</v>
      </c>
      <c r="BB22" s="397" t="n">
        <v>0</v>
      </c>
      <c r="BC22" s="397" t="n">
        <v>0</v>
      </c>
      <c r="BD22" s="397" t="n">
        <v>0</v>
      </c>
      <c r="BE22" s="397" t="n">
        <v>0</v>
      </c>
      <c r="BF22" s="397" t="n">
        <v>0</v>
      </c>
      <c r="BG22" s="397" t="n">
        <v>0</v>
      </c>
      <c r="BH22" s="397" t="n">
        <v>0</v>
      </c>
      <c r="BI22" s="397" t="n">
        <v>0</v>
      </c>
      <c r="BJ22" s="397" t="n">
        <v>0</v>
      </c>
      <c r="BK22" s="397" t="n">
        <v>0</v>
      </c>
      <c r="BL22" s="397" t="n">
        <v>0</v>
      </c>
      <c r="BM22" s="397" t="n">
        <v>0</v>
      </c>
      <c r="BN22" s="397" t="n">
        <v>0</v>
      </c>
      <c r="BO22" s="397" t="n">
        <v>0</v>
      </c>
      <c r="BP22" s="397" t="n">
        <v>0</v>
      </c>
      <c r="BQ22" s="397" t="n">
        <v>0</v>
      </c>
      <c r="BR22" s="397" t="n">
        <v>0</v>
      </c>
      <c r="BS22" s="397" t="n">
        <v>0</v>
      </c>
      <c r="BT22" s="397" t="n">
        <v>0</v>
      </c>
      <c r="BU22" s="397" t="n">
        <v>0</v>
      </c>
      <c r="BV22" s="397" t="n">
        <v>0</v>
      </c>
      <c r="BW22" s="397" t="n">
        <v>0</v>
      </c>
      <c r="BX22" s="397" t="n">
        <v>0</v>
      </c>
      <c r="BY22" s="397" t="n">
        <v>0</v>
      </c>
      <c r="BZ22" s="397" t="n">
        <v>0</v>
      </c>
      <c r="CA22" s="397" t="n">
        <v>0</v>
      </c>
      <c r="CB22" s="397" t="n">
        <v>0</v>
      </c>
      <c r="CC22" s="397" t="n">
        <v>0</v>
      </c>
      <c r="CD22" s="397" t="n">
        <v>0</v>
      </c>
      <c r="CE22" s="397" t="n">
        <v>0</v>
      </c>
      <c r="CF22" s="397" t="n">
        <v>0</v>
      </c>
      <c r="CG22" s="397" t="n">
        <v>0</v>
      </c>
      <c r="CH22" s="397" t="n">
        <v>0</v>
      </c>
      <c r="CI22" s="397" t="n">
        <v>0</v>
      </c>
      <c r="CJ22" s="397" t="n">
        <v>0</v>
      </c>
      <c r="CK22" s="397" t="n">
        <v>0</v>
      </c>
      <c r="CL22" s="397" t="n">
        <v>0</v>
      </c>
      <c r="CM22" s="397" t="n">
        <v>0</v>
      </c>
      <c r="CN22" s="397" t="n">
        <v>0</v>
      </c>
      <c r="CO22" s="397" t="n">
        <v>0</v>
      </c>
    </row>
    <row r="23">
      <c r="A23" s="163" t="n"/>
      <c r="B23" s="163" t="n"/>
      <c r="C23" s="172" t="n"/>
      <c r="D23" s="88" t="n"/>
      <c r="E23" s="169" t="inlineStr">
        <is>
          <t>Share capital - additional injection</t>
        </is>
      </c>
      <c r="F23" s="169" t="n"/>
      <c r="G23" s="169" t="inlineStr">
        <is>
          <t>$ 000s</t>
        </is>
      </c>
      <c r="H23" s="169">
        <f> SUM(J23:CO23)</f>
        <v>0.0</v>
      </c>
      <c r="I23" s="169" t="n"/>
      <c r="J23" s="397" t="n">
        <v>0</v>
      </c>
      <c r="K23" s="397" t="n">
        <v>0</v>
      </c>
      <c r="L23" s="397" t="n">
        <v>0</v>
      </c>
      <c r="M23" s="397" t="n">
        <v>0</v>
      </c>
      <c r="N23" s="397" t="n">
        <v>0</v>
      </c>
      <c r="O23" s="397" t="n">
        <v>0</v>
      </c>
      <c r="P23" s="397" t="n">
        <v>0</v>
      </c>
      <c r="Q23" s="397" t="n">
        <v>0</v>
      </c>
      <c r="R23" s="397" t="n">
        <v>0</v>
      </c>
      <c r="S23" s="397" t="n">
        <v>0</v>
      </c>
      <c r="T23" s="397" t="n">
        <v>0</v>
      </c>
      <c r="U23" s="397" t="n">
        <v>0</v>
      </c>
      <c r="V23" s="397" t="n">
        <v>0</v>
      </c>
      <c r="W23" s="397" t="n">
        <v>0</v>
      </c>
      <c r="X23" s="397" t="n">
        <v>0</v>
      </c>
      <c r="Y23" s="397" t="n">
        <v>0</v>
      </c>
      <c r="Z23" s="397" t="n">
        <v>0</v>
      </c>
      <c r="AA23" s="397" t="n">
        <v>0</v>
      </c>
      <c r="AB23" s="397" t="n">
        <v>0</v>
      </c>
      <c r="AC23" s="397" t="n">
        <v>0</v>
      </c>
      <c r="AD23" s="397" t="n">
        <v>0</v>
      </c>
      <c r="AE23" s="397" t="n">
        <v>0</v>
      </c>
      <c r="AF23" s="397" t="n">
        <v>0</v>
      </c>
      <c r="AG23" s="397" t="n">
        <v>0</v>
      </c>
      <c r="AH23" s="397" t="n">
        <v>0</v>
      </c>
      <c r="AI23" s="397" t="n">
        <v>0</v>
      </c>
      <c r="AJ23" s="397" t="n">
        <v>0</v>
      </c>
      <c r="AK23" s="397" t="n">
        <v>0</v>
      </c>
      <c r="AL23" s="397" t="n">
        <v>0</v>
      </c>
      <c r="AM23" s="397" t="n">
        <v>0</v>
      </c>
      <c r="AN23" s="397" t="n">
        <v>0</v>
      </c>
      <c r="AO23" s="397" t="n">
        <v>0</v>
      </c>
      <c r="AP23" s="397" t="n">
        <v>0</v>
      </c>
      <c r="AQ23" s="397" t="n">
        <v>0</v>
      </c>
      <c r="AR23" s="397" t="n">
        <v>0</v>
      </c>
      <c r="AS23" s="397" t="n">
        <v>0</v>
      </c>
      <c r="AT23" s="397" t="n">
        <v>0</v>
      </c>
      <c r="AU23" s="397" t="n">
        <v>0</v>
      </c>
      <c r="AV23" s="397" t="n">
        <v>0</v>
      </c>
      <c r="AW23" s="397" t="n">
        <v>0</v>
      </c>
      <c r="AX23" s="397" t="n">
        <v>0</v>
      </c>
      <c r="AY23" s="397" t="n">
        <v>0</v>
      </c>
      <c r="AZ23" s="397" t="n">
        <v>0</v>
      </c>
      <c r="BA23" s="397" t="n">
        <v>0</v>
      </c>
      <c r="BB23" s="397" t="n">
        <v>0</v>
      </c>
      <c r="BC23" s="397" t="n">
        <v>0</v>
      </c>
      <c r="BD23" s="397" t="n">
        <v>0</v>
      </c>
      <c r="BE23" s="397" t="n">
        <v>0</v>
      </c>
      <c r="BF23" s="397" t="n">
        <v>0</v>
      </c>
      <c r="BG23" s="397" t="n">
        <v>0</v>
      </c>
      <c r="BH23" s="397" t="n">
        <v>0</v>
      </c>
      <c r="BI23" s="397" t="n">
        <v>0</v>
      </c>
      <c r="BJ23" s="397" t="n">
        <v>0</v>
      </c>
      <c r="BK23" s="397" t="n">
        <v>0</v>
      </c>
      <c r="BL23" s="397" t="n">
        <v>0</v>
      </c>
      <c r="BM23" s="397" t="n">
        <v>0</v>
      </c>
      <c r="BN23" s="397" t="n">
        <v>0</v>
      </c>
      <c r="BO23" s="397" t="n">
        <v>0</v>
      </c>
      <c r="BP23" s="397" t="n">
        <v>0</v>
      </c>
      <c r="BQ23" s="397" t="n">
        <v>0</v>
      </c>
      <c r="BR23" s="397" t="n">
        <v>0</v>
      </c>
      <c r="BS23" s="397" t="n">
        <v>0</v>
      </c>
      <c r="BT23" s="397" t="n">
        <v>0</v>
      </c>
      <c r="BU23" s="397" t="n">
        <v>0</v>
      </c>
      <c r="BV23" s="397" t="n">
        <v>0</v>
      </c>
      <c r="BW23" s="397" t="n">
        <v>0</v>
      </c>
      <c r="BX23" s="397" t="n">
        <v>0</v>
      </c>
      <c r="BY23" s="397" t="n">
        <v>0</v>
      </c>
      <c r="BZ23" s="397" t="n">
        <v>0</v>
      </c>
      <c r="CA23" s="397" t="n">
        <v>0</v>
      </c>
      <c r="CB23" s="397" t="n">
        <v>0</v>
      </c>
      <c r="CC23" s="397" t="n">
        <v>0</v>
      </c>
      <c r="CD23" s="397" t="n">
        <v>0</v>
      </c>
      <c r="CE23" s="397" t="n">
        <v>0</v>
      </c>
      <c r="CF23" s="397" t="n">
        <v>0</v>
      </c>
      <c r="CG23" s="397" t="n">
        <v>0</v>
      </c>
      <c r="CH23" s="397" t="n">
        <v>0</v>
      </c>
      <c r="CI23" s="397" t="n">
        <v>0</v>
      </c>
      <c r="CJ23" s="397" t="n">
        <v>0</v>
      </c>
      <c r="CK23" s="397" t="n">
        <v>0</v>
      </c>
      <c r="CL23" s="397" t="n">
        <v>0</v>
      </c>
      <c r="CM23" s="397" t="n">
        <v>0</v>
      </c>
      <c r="CN23" s="397" t="n">
        <v>0</v>
      </c>
      <c r="CO23" s="397" t="n">
        <v>0</v>
      </c>
    </row>
    <row r="74">
      <c r="J74" s="61" t="n"/>
    </row>
  </sheetData>
  <conditionalFormatting sqref="J3:XFD3">
    <cfRule type="cellIs" priority="13" operator="equal" dxfId="1" stopIfTrue="1">
      <formula>"Pre-fcst"</formula>
    </cfRule>
    <cfRule type="cellIs" priority="14"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5.xml><?xml version="1.0" encoding="utf-8"?>
<worksheet xmlns="http://schemas.openxmlformats.org/spreadsheetml/2006/main">
  <sheetPr>
    <tabColor rgb="001C7293"/>
    <outlinePr summaryBelow="0" summaryRight="0"/>
    <pageSetUpPr/>
  </sheetPr>
  <dimension ref="A1:CO121"/>
  <sheetViews>
    <sheetView showGridLines="0" defaultGridColor="0" colorId="22" zoomScale="99" zoomScaleNormal="99" workbookViewId="0">
      <pane xSplit="9" ySplit="5" topLeftCell="J6" activePane="bottomRight" state="frozen"/>
      <selection activeCell="F2" sqref="F2:G4"/>
      <selection pane="topRight" activeCell="F2" sqref="F2:G4"/>
      <selection pane="bottomLeft" activeCell="F2" sqref="F2:G4"/>
      <selection pane="bottomRight" activeCell="E14" sqref="E14"/>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98">
      <c r="A1" s="1">
        <f> RIGHT(CELL("filename", A1), LEN(CELL("filename", A1)) - SEARCH("]", CELL("filename", A1)))</f>
        <v/>
      </c>
      <c r="B1" s="294" t="n"/>
      <c r="C1" s="212" t="n"/>
      <c r="D1" s="244"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c r="AA1" s="61" t="n"/>
      <c r="AB1" s="61" t="n"/>
      <c r="AC1" s="61" t="n"/>
      <c r="AD1" s="61" t="n"/>
      <c r="AE1" s="61" t="n"/>
      <c r="AF1" s="61" t="n"/>
      <c r="AG1" s="61" t="n"/>
      <c r="AH1" s="61" t="n"/>
      <c r="AI1" s="61" t="n"/>
      <c r="AJ1" s="61" t="n"/>
      <c r="AK1" s="61" t="n"/>
      <c r="AL1" s="61" t="n"/>
      <c r="AM1" s="61" t="n"/>
      <c r="AN1" s="61" t="n"/>
      <c r="AO1" s="61" t="n"/>
      <c r="AP1" s="61" t="n"/>
      <c r="AQ1" s="61" t="n"/>
      <c r="AR1" s="61" t="n"/>
      <c r="AS1" s="61" t="n"/>
      <c r="AT1" s="61" t="n"/>
      <c r="AU1" s="61" t="n"/>
      <c r="AV1" s="61" t="n"/>
      <c r="AW1" s="61" t="n"/>
      <c r="AX1" s="61" t="n"/>
      <c r="AY1" s="61" t="n"/>
      <c r="AZ1" s="61" t="n"/>
      <c r="BA1" s="61" t="n"/>
      <c r="BB1" s="61" t="n"/>
      <c r="BC1" s="61" t="n"/>
      <c r="BD1" s="61" t="n"/>
      <c r="BE1" s="61" t="n"/>
      <c r="BF1" s="61" t="n"/>
      <c r="BG1" s="61" t="n"/>
      <c r="BH1" s="61" t="n"/>
      <c r="BI1" s="61" t="n"/>
      <c r="BJ1" s="61" t="n"/>
      <c r="BK1" s="61" t="n"/>
      <c r="BL1" s="61" t="n"/>
      <c r="BM1" s="61" t="n"/>
      <c r="BN1" s="61" t="n"/>
      <c r="BO1" s="61" t="n"/>
      <c r="BP1" s="61" t="n"/>
      <c r="BQ1" s="61" t="n"/>
      <c r="BR1" s="61" t="n"/>
      <c r="BS1" s="61" t="n"/>
      <c r="BT1" s="61" t="n"/>
      <c r="BU1" s="61" t="n"/>
      <c r="BV1" s="61" t="n"/>
      <c r="BW1" s="61" t="n"/>
      <c r="BX1" s="61" t="n"/>
      <c r="BY1" s="61" t="n"/>
      <c r="BZ1" s="61" t="n"/>
      <c r="CA1" s="61" t="n"/>
      <c r="CB1" s="61" t="n"/>
      <c r="CC1" s="61" t="n"/>
      <c r="CD1" s="61" t="n"/>
      <c r="CE1" s="61" t="n"/>
      <c r="CF1" s="61" t="n"/>
      <c r="CG1" s="61" t="n"/>
      <c r="CH1" s="61" t="n"/>
      <c r="CI1" s="61" t="n"/>
      <c r="CJ1" s="61" t="n"/>
      <c r="CK1" s="61" t="n"/>
      <c r="CL1" s="61" t="n"/>
      <c r="CM1" s="61" t="n"/>
      <c r="CN1" s="61" t="n"/>
      <c r="CO1" s="61" t="n"/>
    </row>
    <row r="2" ht="15" customFormat="1" customHeight="1" s="21">
      <c r="A2" s="167" t="n"/>
      <c r="B2" s="167" t="n"/>
      <c r="C2" s="237" t="n"/>
      <c r="D2" s="18" t="n"/>
      <c r="E2" s="205" t="str">
        <f> Time!E$25</f>
        <v>Model period ending </v>
      </c>
      <c r="F2" s="0" t="n"/>
      <c r="G2" s="0" t="n"/>
      <c r="H2" s="170" t="n"/>
      <c r="I2" s="167"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21">
      <c r="A3" s="167" t="n"/>
      <c r="B3" s="167" t="n"/>
      <c r="C3" s="237" t="n"/>
      <c r="D3" s="18" t="n"/>
      <c r="E3" s="205" t="str">
        <f> Time!E$111</f>
        <v>Timeline label</v>
      </c>
      <c r="F3" s="0" t="n"/>
      <c r="G3" s="0" t="n"/>
      <c r="H3" s="170" t="n"/>
      <c r="I3" s="167"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99">
      <c r="A4" s="82" t="n"/>
      <c r="B4" s="82" t="n"/>
      <c r="C4" s="83" t="n"/>
      <c r="D4" s="84" t="n"/>
      <c r="E4" s="205" t="str">
        <f> Time!E$37</f>
        <v>Financial year ending</v>
      </c>
      <c r="F4" s="0" t="n"/>
      <c r="G4" s="0" t="n"/>
      <c r="H4" s="85" t="n"/>
      <c r="I4" s="85"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29">
      <c r="A5" s="294" t="n"/>
      <c r="B5" s="294" t="n"/>
      <c r="C5" s="212" t="n"/>
      <c r="D5" s="244" t="n"/>
      <c r="E5" s="205" t="str">
        <f> Time!E$10</f>
        <v>Model column counter</v>
      </c>
      <c r="F5" s="20" t="inlineStr">
        <is>
          <t>Constant</t>
        </is>
      </c>
      <c r="G5" s="294" t="inlineStr">
        <is>
          <t>Unit</t>
        </is>
      </c>
      <c r="H5" s="20" t="inlineStr">
        <is>
          <t>Total</t>
        </is>
      </c>
      <c r="I5" s="61" t="n"/>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ustomFormat="1" s="29">
      <c r="A7" s="294" t="inlineStr">
        <is>
          <t>TIME RULER</t>
        </is>
      </c>
      <c r="B7" s="294" t="n"/>
      <c r="C7" s="212" t="n"/>
      <c r="D7" s="244" t="n"/>
      <c r="E7" s="61" t="n"/>
      <c r="F7" s="61" t="n"/>
      <c r="G7" s="100" t="n"/>
      <c r="H7" s="61" t="n"/>
      <c r="I7" s="61" t="n"/>
      <c r="J7" s="61" t="n"/>
      <c r="K7" s="61" t="n"/>
      <c r="L7" s="61" t="n"/>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1" t="n"/>
      <c r="BZ7" s="61" t="n"/>
      <c r="CA7" s="61" t="n"/>
      <c r="CB7" s="61" t="n"/>
      <c r="CC7" s="61" t="n"/>
      <c r="CD7" s="61" t="n"/>
      <c r="CE7" s="61" t="n"/>
      <c r="CF7" s="61" t="n"/>
      <c r="CG7" s="61" t="n"/>
      <c r="CH7" s="61" t="n"/>
      <c r="CI7" s="61" t="n"/>
      <c r="CJ7" s="61" t="n"/>
      <c r="CK7" s="61" t="n"/>
      <c r="CL7" s="61" t="n"/>
      <c r="CM7" s="61" t="n"/>
      <c r="CN7" s="61" t="n"/>
      <c r="CO7" s="61" t="n"/>
    </row>
    <row r="8" customFormat="1" s="29">
      <c r="A8" s="294" t="n"/>
      <c r="B8" s="294" t="n"/>
      <c r="C8" s="212" t="n"/>
      <c r="D8" s="244" t="n"/>
      <c r="E8" s="61" t="n"/>
      <c r="F8" s="61" t="n"/>
      <c r="G8" s="100" t="n"/>
      <c r="H8" s="61" t="n"/>
      <c r="I8" s="61" t="n"/>
      <c r="J8" s="61" t="n"/>
      <c r="K8" s="61" t="n"/>
      <c r="L8" s="61" t="n"/>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1" t="n"/>
      <c r="BZ8" s="61" t="n"/>
      <c r="CA8" s="61" t="n"/>
      <c r="CB8" s="61" t="n"/>
      <c r="CC8" s="61" t="n"/>
      <c r="CD8" s="61" t="n"/>
      <c r="CE8" s="61" t="n"/>
      <c r="CF8" s="61" t="n"/>
      <c r="CG8" s="61" t="n"/>
      <c r="CH8" s="61" t="n"/>
      <c r="CI8" s="61" t="n"/>
      <c r="CJ8" s="61" t="n"/>
      <c r="CK8" s="61" t="n"/>
      <c r="CL8" s="61" t="n"/>
      <c r="CM8" s="61" t="n"/>
      <c r="CN8" s="61" t="n"/>
      <c r="CO8" s="61" t="n"/>
    </row>
    <row r="9" customFormat="1" s="29">
      <c r="A9" s="294" t="n"/>
      <c r="B9" s="294" t="inlineStr">
        <is>
          <t>First model column flag</t>
        </is>
      </c>
      <c r="C9" s="212" t="n"/>
      <c r="D9" s="244" t="n"/>
      <c r="E9" s="61" t="n"/>
      <c r="F9" s="61" t="n"/>
      <c r="G9" s="100" t="n"/>
      <c r="H9" s="61" t="n"/>
      <c r="I9" s="61" t="n"/>
      <c r="J9" s="61" t="n"/>
      <c r="K9" s="61" t="n"/>
      <c r="L9" s="61" t="n"/>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1" t="n"/>
      <c r="BZ9" s="61" t="n"/>
      <c r="CA9" s="61" t="n"/>
      <c r="CB9" s="61" t="n"/>
      <c r="CC9" s="61" t="n"/>
      <c r="CD9" s="61" t="n"/>
      <c r="CE9" s="61" t="n"/>
      <c r="CF9" s="61" t="n"/>
      <c r="CG9" s="61" t="n"/>
      <c r="CH9" s="61" t="n"/>
      <c r="CI9" s="61" t="n"/>
      <c r="CJ9" s="61" t="n"/>
      <c r="CK9" s="61" t="n"/>
      <c r="CL9" s="61" t="n"/>
      <c r="CM9" s="61" t="n"/>
      <c r="CN9" s="61" t="n"/>
      <c r="CO9" s="61" t="n"/>
    </row>
    <row r="10" customFormat="1" s="376">
      <c r="A10" s="371" t="n"/>
      <c r="B10" s="371" t="n"/>
      <c r="C10" s="372" t="n"/>
      <c r="D10" s="374" t="n"/>
      <c r="E10" s="374" t="inlineStr">
        <is>
          <t>Model column counter</t>
        </is>
      </c>
      <c r="F10" s="374" t="n"/>
      <c r="G10" s="374" t="inlineStr">
        <is>
          <t>counter</t>
        </is>
      </c>
      <c r="H10" s="374" t="n"/>
      <c r="I10" s="375" t="n"/>
      <c r="J10" s="374">
        <f> I10 + 1</f>
        <v>1.0</v>
      </c>
      <c r="K10" s="374">
        <f> J10 + 1</f>
        <v>2.0</v>
      </c>
      <c r="L10" s="374">
        <f> K10 + 1</f>
        <v>3.0</v>
      </c>
      <c r="M10" s="374">
        <f> L10 + 1</f>
        <v>4.0</v>
      </c>
      <c r="N10" s="374">
        <f> M10 + 1</f>
        <v>5.0</v>
      </c>
      <c r="O10" s="374">
        <f> N10 + 1</f>
        <v>6.0</v>
      </c>
      <c r="P10" s="374">
        <f> O10 + 1</f>
        <v>7.0</v>
      </c>
      <c r="Q10" s="374">
        <f> P10 + 1</f>
        <v>8.0</v>
      </c>
      <c r="R10" s="374">
        <f> Q10 + 1</f>
        <v>9.0</v>
      </c>
      <c r="S10" s="374">
        <f> R10 + 1</f>
        <v>10.0</v>
      </c>
      <c r="T10" s="374">
        <f> S10 + 1</f>
        <v>11.0</v>
      </c>
      <c r="U10" s="374">
        <f> T10 + 1</f>
        <v>12.0</v>
      </c>
      <c r="V10" s="374">
        <f> U10 + 1</f>
        <v>13.0</v>
      </c>
      <c r="W10" s="374">
        <f> V10 + 1</f>
        <v>14.0</v>
      </c>
      <c r="X10" s="374">
        <f> W10 + 1</f>
        <v>15.0</v>
      </c>
      <c r="Y10" s="374">
        <f> X10 + 1</f>
        <v>16.0</v>
      </c>
      <c r="Z10" s="374">
        <f> Y10 + 1</f>
        <v>17.0</v>
      </c>
      <c r="AA10" s="374">
        <f> Z10 + 1</f>
        <v>18.0</v>
      </c>
      <c r="AB10" s="374">
        <f> AA10 + 1</f>
        <v>19.0</v>
      </c>
      <c r="AC10" s="374">
        <f> AB10 + 1</f>
        <v>20.0</v>
      </c>
      <c r="AD10" s="374">
        <f> AC10 + 1</f>
        <v>21.0</v>
      </c>
      <c r="AE10" s="374">
        <f> AD10 + 1</f>
        <v>22.0</v>
      </c>
      <c r="AF10" s="374">
        <f> AE10 + 1</f>
        <v>23.0</v>
      </c>
      <c r="AG10" s="374">
        <f> AF10 + 1</f>
        <v>24.0</v>
      </c>
      <c r="AH10" s="374">
        <f> AG10 + 1</f>
        <v>25.0</v>
      </c>
      <c r="AI10" s="374">
        <f> AH10 + 1</f>
        <v>26.0</v>
      </c>
      <c r="AJ10" s="374">
        <f> AI10 + 1</f>
        <v>27.0</v>
      </c>
      <c r="AK10" s="374">
        <f> AJ10 + 1</f>
        <v>28.0</v>
      </c>
      <c r="AL10" s="374">
        <f> AK10 + 1</f>
        <v>29.0</v>
      </c>
      <c r="AM10" s="374">
        <f> AL10 + 1</f>
        <v>30.0</v>
      </c>
      <c r="AN10" s="374">
        <f> AM10 + 1</f>
        <v>31.0</v>
      </c>
      <c r="AO10" s="374">
        <f> AN10 + 1</f>
        <v>32.0</v>
      </c>
      <c r="AP10" s="374">
        <f> AO10 + 1</f>
        <v>33.0</v>
      </c>
      <c r="AQ10" s="374">
        <f> AP10 + 1</f>
        <v>34.0</v>
      </c>
      <c r="AR10" s="374">
        <f> AQ10 + 1</f>
        <v>35.0</v>
      </c>
      <c r="AS10" s="374">
        <f> AR10 + 1</f>
        <v>36.0</v>
      </c>
      <c r="AT10" s="374">
        <f> AS10 + 1</f>
        <v>37.0</v>
      </c>
      <c r="AU10" s="374">
        <f> AT10 + 1</f>
        <v>38.0</v>
      </c>
      <c r="AV10" s="374">
        <f> AU10 + 1</f>
        <v>39.0</v>
      </c>
      <c r="AW10" s="374">
        <f> AV10 + 1</f>
        <v>40.0</v>
      </c>
      <c r="AX10" s="374">
        <f> AW10 + 1</f>
        <v>41.0</v>
      </c>
      <c r="AY10" s="374">
        <f> AX10 + 1</f>
        <v>42.0</v>
      </c>
      <c r="AZ10" s="374">
        <f> AY10 + 1</f>
        <v>43.0</v>
      </c>
      <c r="BA10" s="374">
        <f> AZ10 + 1</f>
        <v>44.0</v>
      </c>
      <c r="BB10" s="374">
        <f> BA10 + 1</f>
        <v>45.0</v>
      </c>
      <c r="BC10" s="374">
        <f> BB10 + 1</f>
        <v>46.0</v>
      </c>
      <c r="BD10" s="374">
        <f> BC10 + 1</f>
        <v>47.0</v>
      </c>
      <c r="BE10" s="374">
        <f> BD10 + 1</f>
        <v>48.0</v>
      </c>
      <c r="BF10" s="374">
        <f> BE10 + 1</f>
        <v>49.0</v>
      </c>
      <c r="BG10" s="374">
        <f> BF10 + 1</f>
        <v>50.0</v>
      </c>
      <c r="BH10" s="374">
        <f> BG10 + 1</f>
        <v>51.0</v>
      </c>
      <c r="BI10" s="374">
        <f> BH10 + 1</f>
        <v>52.0</v>
      </c>
      <c r="BJ10" s="374">
        <f> BI10 + 1</f>
        <v>53.0</v>
      </c>
      <c r="BK10" s="374">
        <f> BJ10 + 1</f>
        <v>54.0</v>
      </c>
      <c r="BL10" s="374">
        <f> BK10 + 1</f>
        <v>55.0</v>
      </c>
      <c r="BM10" s="374">
        <f> BL10 + 1</f>
        <v>56.0</v>
      </c>
      <c r="BN10" s="374">
        <f> BM10 + 1</f>
        <v>57.0</v>
      </c>
      <c r="BO10" s="374">
        <f> BN10 + 1</f>
        <v>58.0</v>
      </c>
      <c r="BP10" s="374">
        <f> BO10 + 1</f>
        <v>59.0</v>
      </c>
      <c r="BQ10" s="374">
        <f> BP10 + 1</f>
        <v>60.0</v>
      </c>
      <c r="BR10" s="374">
        <f> BQ10 + 1</f>
        <v>61.0</v>
      </c>
      <c r="BS10" s="374">
        <f> BR10 + 1</f>
        <v>62.0</v>
      </c>
      <c r="BT10" s="374">
        <f> BS10 + 1</f>
        <v>63.0</v>
      </c>
      <c r="BU10" s="374">
        <f> BT10 + 1</f>
        <v>64.0</v>
      </c>
      <c r="BV10" s="374">
        <f> BU10 + 1</f>
        <v>65.0</v>
      </c>
      <c r="BW10" s="374">
        <f> BV10 + 1</f>
        <v>66.0</v>
      </c>
      <c r="BX10" s="374">
        <f> BW10 + 1</f>
        <v>67.0</v>
      </c>
      <c r="BY10" s="374">
        <f> BX10 + 1</f>
        <v>68.0</v>
      </c>
      <c r="BZ10" s="374">
        <f> BY10 + 1</f>
        <v>69.0</v>
      </c>
      <c r="CA10" s="374">
        <f> BZ10 + 1</f>
        <v>70.0</v>
      </c>
      <c r="CB10" s="374">
        <f> CA10 + 1</f>
        <v>71.0</v>
      </c>
      <c r="CC10" s="374">
        <f> CB10 + 1</f>
        <v>72.0</v>
      </c>
      <c r="CD10" s="374">
        <f> CC10 + 1</f>
        <v>73.0</v>
      </c>
      <c r="CE10" s="374">
        <f> CD10 + 1</f>
        <v>74.0</v>
      </c>
      <c r="CF10" s="374">
        <f> CE10 + 1</f>
        <v>75.0</v>
      </c>
      <c r="CG10" s="374">
        <f> CF10 + 1</f>
        <v>76.0</v>
      </c>
      <c r="CH10" s="374">
        <f> CG10 + 1</f>
        <v>77.0</v>
      </c>
      <c r="CI10" s="374">
        <f> CH10 + 1</f>
        <v>78.0</v>
      </c>
      <c r="CJ10" s="374">
        <f> CI10 + 1</f>
        <v>79.0</v>
      </c>
      <c r="CK10" s="374">
        <f> CJ10 + 1</f>
        <v>80.0</v>
      </c>
      <c r="CL10" s="374">
        <f> CK10 + 1</f>
        <v>81.0</v>
      </c>
      <c r="CM10" s="374">
        <f> CL10 + 1</f>
        <v>82.0</v>
      </c>
      <c r="CN10" s="374">
        <f> CM10 + 1</f>
        <v>83.0</v>
      </c>
      <c r="CO10" s="374">
        <f> CN10 + 1</f>
        <v>84.0</v>
      </c>
    </row>
    <row r="11" customFormat="1" s="105">
      <c r="A11" s="101" t="n"/>
      <c r="B11" s="101" t="n"/>
      <c r="C11" s="102" t="n"/>
      <c r="D11" s="103" t="n"/>
      <c r="E11" s="61" t="inlineStr">
        <is>
          <t>Model column total</t>
        </is>
      </c>
      <c r="F11" s="104">
        <f>MAX(J10:CO10)</f>
        <v>84.0</v>
      </c>
      <c r="G11" s="61" t="inlineStr">
        <is>
          <t>columns</t>
        </is>
      </c>
      <c r="H11" s="103" t="n"/>
      <c r="I11" s="103" t="n"/>
      <c r="J11" s="103" t="n"/>
      <c r="K11" s="103" t="n"/>
      <c r="L11" s="103" t="n"/>
      <c r="M11" s="103" t="n"/>
      <c r="N11" s="103" t="n"/>
      <c r="O11" s="103" t="n"/>
      <c r="P11" s="103" t="n"/>
      <c r="Q11" s="103" t="n"/>
      <c r="R11" s="103" t="n"/>
      <c r="S11" s="103" t="n"/>
      <c r="T11" s="103" t="n"/>
      <c r="U11" s="103" t="n"/>
      <c r="V11" s="103" t="n"/>
      <c r="W11" s="103" t="n"/>
      <c r="X11" s="103" t="n"/>
      <c r="Y11" s="103" t="n"/>
      <c r="Z11" s="103" t="n"/>
      <c r="AA11" s="103" t="n"/>
      <c r="AB11" s="103" t="n"/>
      <c r="AC11" s="103" t="n"/>
      <c r="AD11" s="103" t="n"/>
      <c r="AE11" s="103" t="n"/>
      <c r="AF11" s="103" t="n"/>
      <c r="AG11" s="103" t="n"/>
      <c r="AH11" s="103" t="n"/>
      <c r="AI11" s="103" t="n"/>
      <c r="AJ11" s="103" t="n"/>
      <c r="AK11" s="103" t="n"/>
      <c r="AL11" s="103" t="n"/>
      <c r="AM11" s="103" t="n"/>
      <c r="AN11" s="103" t="n"/>
      <c r="AO11" s="103" t="n"/>
      <c r="AP11" s="103" t="n"/>
      <c r="AQ11" s="103" t="n"/>
      <c r="AR11" s="103" t="n"/>
      <c r="AS11" s="103" t="n"/>
      <c r="AT11" s="103" t="n"/>
      <c r="AU11" s="103" t="n"/>
      <c r="AV11" s="103" t="n"/>
      <c r="AW11" s="103" t="n"/>
      <c r="AX11" s="103" t="n"/>
      <c r="AY11" s="103" t="n"/>
      <c r="AZ11" s="103" t="n"/>
      <c r="BA11" s="103" t="n"/>
      <c r="BB11" s="103" t="n"/>
      <c r="BC11" s="103" t="n"/>
      <c r="BD11" s="103" t="n"/>
      <c r="BE11" s="103" t="n"/>
      <c r="BF11" s="103" t="n"/>
      <c r="BG11" s="103" t="n"/>
      <c r="BH11" s="103" t="n"/>
      <c r="BI11" s="103" t="n"/>
      <c r="BJ11" s="103" t="n"/>
      <c r="BK11" s="103" t="n"/>
      <c r="BL11" s="103" t="n"/>
      <c r="BM11" s="103" t="n"/>
      <c r="BN11" s="103" t="n"/>
      <c r="BO11" s="103" t="n"/>
      <c r="BP11" s="103" t="n"/>
      <c r="BQ11" s="103" t="n"/>
      <c r="BR11" s="103" t="n"/>
      <c r="BS11" s="103" t="n"/>
      <c r="BT11" s="103" t="n"/>
      <c r="BU11" s="103" t="n"/>
      <c r="BV11" s="103" t="n"/>
      <c r="BW11" s="103" t="n"/>
      <c r="BX11" s="103" t="n"/>
      <c r="BY11" s="103" t="n"/>
      <c r="BZ11" s="103" t="n"/>
      <c r="CA11" s="103" t="n"/>
      <c r="CB11" s="103" t="n"/>
      <c r="CC11" s="103" t="n"/>
      <c r="CD11" s="103" t="n"/>
      <c r="CE11" s="103" t="n"/>
      <c r="CF11" s="103" t="n"/>
      <c r="CG11" s="103" t="n"/>
      <c r="CH11" s="103" t="n"/>
      <c r="CI11" s="103" t="n"/>
      <c r="CJ11" s="103" t="n"/>
      <c r="CK11" s="103" t="n"/>
      <c r="CL11" s="103" t="n"/>
      <c r="CM11" s="103" t="n"/>
      <c r="CN11" s="103" t="n"/>
      <c r="CO11" s="103" t="n"/>
    </row>
    <row r="12" customFormat="1" s="105">
      <c r="A12" s="101" t="n"/>
      <c r="B12" s="101" t="n"/>
      <c r="C12" s="102" t="n"/>
      <c r="D12" s="103" t="n"/>
      <c r="E12" s="103" t="n"/>
      <c r="F12" s="103" t="n"/>
      <c r="G12" s="103" t="n"/>
      <c r="H12" s="103" t="n"/>
      <c r="I12" s="103" t="n"/>
      <c r="J12" s="103" t="n"/>
      <c r="K12" s="103" t="n"/>
      <c r="L12" s="103" t="n"/>
      <c r="M12" s="103" t="n"/>
      <c r="N12" s="103" t="n"/>
      <c r="O12" s="103" t="n"/>
      <c r="P12" s="103" t="n"/>
      <c r="Q12" s="103" t="n"/>
      <c r="R12" s="103" t="n"/>
      <c r="S12" s="103" t="n"/>
      <c r="T12" s="103" t="n"/>
      <c r="U12" s="103" t="n"/>
      <c r="V12" s="103" t="n"/>
      <c r="W12" s="103" t="n"/>
      <c r="X12" s="103" t="n"/>
      <c r="Y12" s="103" t="n"/>
      <c r="Z12" s="103" t="n"/>
      <c r="AA12" s="103" t="n"/>
      <c r="AB12" s="103" t="n"/>
      <c r="AC12" s="103" t="n"/>
      <c r="AD12" s="103" t="n"/>
      <c r="AE12" s="103" t="n"/>
      <c r="AF12" s="103" t="n"/>
      <c r="AG12" s="103" t="n"/>
      <c r="AH12" s="103" t="n"/>
      <c r="AI12" s="103" t="n"/>
      <c r="AJ12" s="103" t="n"/>
      <c r="AK12" s="103" t="n"/>
      <c r="AL12" s="103" t="n"/>
      <c r="AM12" s="103" t="n"/>
      <c r="AN12" s="103" t="n"/>
      <c r="AO12" s="103" t="n"/>
      <c r="AP12" s="103" t="n"/>
      <c r="AQ12" s="103" t="n"/>
      <c r="AR12" s="103" t="n"/>
      <c r="AS12" s="103" t="n"/>
      <c r="AT12" s="103" t="n"/>
      <c r="AU12" s="103" t="n"/>
      <c r="AV12" s="103" t="n"/>
      <c r="AW12" s="103" t="n"/>
      <c r="AX12" s="103" t="n"/>
      <c r="AY12" s="103" t="n"/>
      <c r="AZ12" s="103" t="n"/>
      <c r="BA12" s="103" t="n"/>
      <c r="BB12" s="103" t="n"/>
      <c r="BC12" s="103" t="n"/>
      <c r="BD12" s="103" t="n"/>
      <c r="BE12" s="103" t="n"/>
      <c r="BF12" s="103" t="n"/>
      <c r="BG12" s="103" t="n"/>
      <c r="BH12" s="103" t="n"/>
      <c r="BI12" s="103" t="n"/>
      <c r="BJ12" s="103" t="n"/>
      <c r="BK12" s="103" t="n"/>
      <c r="BL12" s="103" t="n"/>
      <c r="BM12" s="103" t="n"/>
      <c r="BN12" s="103" t="n"/>
      <c r="BO12" s="103" t="n"/>
      <c r="BP12" s="103" t="n"/>
      <c r="BQ12" s="103" t="n"/>
      <c r="BR12" s="103" t="n"/>
      <c r="BS12" s="103" t="n"/>
      <c r="BT12" s="103" t="n"/>
      <c r="BU12" s="103" t="n"/>
      <c r="BV12" s="103" t="n"/>
      <c r="BW12" s="103" t="n"/>
      <c r="BX12" s="103" t="n"/>
      <c r="BY12" s="103" t="n"/>
      <c r="BZ12" s="103" t="n"/>
      <c r="CA12" s="103" t="n"/>
      <c r="CB12" s="103" t="n"/>
      <c r="CC12" s="103" t="n"/>
      <c r="CD12" s="103" t="n"/>
      <c r="CE12" s="103" t="n"/>
      <c r="CF12" s="103" t="n"/>
      <c r="CG12" s="103" t="n"/>
      <c r="CH12" s="103" t="n"/>
      <c r="CI12" s="103" t="n"/>
      <c r="CJ12" s="103" t="n"/>
      <c r="CK12" s="103" t="n"/>
      <c r="CL12" s="103" t="n"/>
      <c r="CM12" s="103" t="n"/>
      <c r="CN12" s="103" t="n"/>
      <c r="CO12" s="103" t="n"/>
    </row>
    <row r="13" customFormat="1" s="105">
      <c r="A13" s="101" t="n"/>
      <c r="B13" s="101" t="n"/>
      <c r="C13" s="102" t="n"/>
      <c r="D13" s="103" t="n"/>
      <c r="E13" s="103" t="str">
        <f> E$10</f>
        <v>Model column counter</v>
      </c>
      <c r="F13" s="103">
        <f> F$10</f>
        <v>0.0</v>
      </c>
      <c r="G13" s="103" t="str">
        <f> G$10</f>
        <v>counter</v>
      </c>
      <c r="H13" s="103">
        <f> H$10</f>
        <v>0.0</v>
      </c>
      <c r="I13" s="103">
        <f> I$10</f>
        <v>0.0</v>
      </c>
      <c r="J13" s="103">
        <f> J$10</f>
        <v>1.0</v>
      </c>
      <c r="K13" s="103">
        <f> K$10</f>
        <v>2.0</v>
      </c>
      <c r="L13" s="103">
        <f> L$10</f>
        <v>3.0</v>
      </c>
      <c r="M13" s="103">
        <f> M$10</f>
        <v>4.0</v>
      </c>
      <c r="N13" s="103">
        <f> N$10</f>
        <v>5.0</v>
      </c>
      <c r="O13" s="103">
        <f> O$10</f>
        <v>6.0</v>
      </c>
      <c r="P13" s="103">
        <f> P$10</f>
        <v>7.0</v>
      </c>
      <c r="Q13" s="103">
        <f> Q$10</f>
        <v>8.0</v>
      </c>
      <c r="R13" s="103">
        <f> R$10</f>
        <v>9.0</v>
      </c>
      <c r="S13" s="103">
        <f> S$10</f>
        <v>10.0</v>
      </c>
      <c r="T13" s="103">
        <f> T$10</f>
        <v>11.0</v>
      </c>
      <c r="U13" s="103">
        <f> U$10</f>
        <v>12.0</v>
      </c>
      <c r="V13" s="103">
        <f> V$10</f>
        <v>13.0</v>
      </c>
      <c r="W13" s="103">
        <f> W$10</f>
        <v>14.0</v>
      </c>
      <c r="X13" s="103">
        <f> X$10</f>
        <v>15.0</v>
      </c>
      <c r="Y13" s="103">
        <f> Y$10</f>
        <v>16.0</v>
      </c>
      <c r="Z13" s="103">
        <f> Z$10</f>
        <v>17.0</v>
      </c>
      <c r="AA13" s="103">
        <f> AA$10</f>
        <v>18.0</v>
      </c>
      <c r="AB13" s="103">
        <f> AB$10</f>
        <v>19.0</v>
      </c>
      <c r="AC13" s="103">
        <f> AC$10</f>
        <v>20.0</v>
      </c>
      <c r="AD13" s="103">
        <f> AD$10</f>
        <v>21.0</v>
      </c>
      <c r="AE13" s="103">
        <f> AE$10</f>
        <v>22.0</v>
      </c>
      <c r="AF13" s="103">
        <f> AF$10</f>
        <v>23.0</v>
      </c>
      <c r="AG13" s="103">
        <f> AG$10</f>
        <v>24.0</v>
      </c>
      <c r="AH13" s="103">
        <f> AH$10</f>
        <v>25.0</v>
      </c>
      <c r="AI13" s="103">
        <f> AI$10</f>
        <v>26.0</v>
      </c>
      <c r="AJ13" s="103">
        <f> AJ$10</f>
        <v>27.0</v>
      </c>
      <c r="AK13" s="103">
        <f> AK$10</f>
        <v>28.0</v>
      </c>
      <c r="AL13" s="103">
        <f> AL$10</f>
        <v>29.0</v>
      </c>
      <c r="AM13" s="103">
        <f> AM$10</f>
        <v>30.0</v>
      </c>
      <c r="AN13" s="103">
        <f> AN$10</f>
        <v>31.0</v>
      </c>
      <c r="AO13" s="103">
        <f> AO$10</f>
        <v>32.0</v>
      </c>
      <c r="AP13" s="103">
        <f> AP$10</f>
        <v>33.0</v>
      </c>
      <c r="AQ13" s="103">
        <f> AQ$10</f>
        <v>34.0</v>
      </c>
      <c r="AR13" s="103">
        <f> AR$10</f>
        <v>35.0</v>
      </c>
      <c r="AS13" s="103">
        <f> AS$10</f>
        <v>36.0</v>
      </c>
      <c r="AT13" s="103">
        <f> AT$10</f>
        <v>37.0</v>
      </c>
      <c r="AU13" s="103">
        <f> AU$10</f>
        <v>38.0</v>
      </c>
      <c r="AV13" s="103">
        <f> AV$10</f>
        <v>39.0</v>
      </c>
      <c r="AW13" s="103">
        <f> AW$10</f>
        <v>40.0</v>
      </c>
      <c r="AX13" s="103">
        <f> AX$10</f>
        <v>41.0</v>
      </c>
      <c r="AY13" s="103">
        <f> AY$10</f>
        <v>42.0</v>
      </c>
      <c r="AZ13" s="103">
        <f> AZ$10</f>
        <v>43.0</v>
      </c>
      <c r="BA13" s="103">
        <f> BA$10</f>
        <v>44.0</v>
      </c>
      <c r="BB13" s="103">
        <f> BB$10</f>
        <v>45.0</v>
      </c>
      <c r="BC13" s="103">
        <f> BC$10</f>
        <v>46.0</v>
      </c>
      <c r="BD13" s="103">
        <f> BD$10</f>
        <v>47.0</v>
      </c>
      <c r="BE13" s="103">
        <f> BE$10</f>
        <v>48.0</v>
      </c>
      <c r="BF13" s="103">
        <f> BF$10</f>
        <v>49.0</v>
      </c>
      <c r="BG13" s="103">
        <f> BG$10</f>
        <v>50.0</v>
      </c>
      <c r="BH13" s="103">
        <f> BH$10</f>
        <v>51.0</v>
      </c>
      <c r="BI13" s="103">
        <f> BI$10</f>
        <v>52.0</v>
      </c>
      <c r="BJ13" s="103">
        <f> BJ$10</f>
        <v>53.0</v>
      </c>
      <c r="BK13" s="103">
        <f> BK$10</f>
        <v>54.0</v>
      </c>
      <c r="BL13" s="103">
        <f> BL$10</f>
        <v>55.0</v>
      </c>
      <c r="BM13" s="103">
        <f> BM$10</f>
        <v>56.0</v>
      </c>
      <c r="BN13" s="103">
        <f> BN$10</f>
        <v>57.0</v>
      </c>
      <c r="BO13" s="103">
        <f> BO$10</f>
        <v>58.0</v>
      </c>
      <c r="BP13" s="103">
        <f> BP$10</f>
        <v>59.0</v>
      </c>
      <c r="BQ13" s="103">
        <f> BQ$10</f>
        <v>60.0</v>
      </c>
      <c r="BR13" s="103">
        <f> BR$10</f>
        <v>61.0</v>
      </c>
      <c r="BS13" s="103">
        <f> BS$10</f>
        <v>62.0</v>
      </c>
      <c r="BT13" s="103">
        <f> BT$10</f>
        <v>63.0</v>
      </c>
      <c r="BU13" s="103">
        <f> BU$10</f>
        <v>64.0</v>
      </c>
      <c r="BV13" s="103">
        <f> BV$10</f>
        <v>65.0</v>
      </c>
      <c r="BW13" s="103">
        <f> BW$10</f>
        <v>66.0</v>
      </c>
      <c r="BX13" s="103">
        <f> BX$10</f>
        <v>67.0</v>
      </c>
      <c r="BY13" s="103">
        <f> BY$10</f>
        <v>68.0</v>
      </c>
      <c r="BZ13" s="103">
        <f> BZ$10</f>
        <v>69.0</v>
      </c>
      <c r="CA13" s="103">
        <f> CA$10</f>
        <v>70.0</v>
      </c>
      <c r="CB13" s="103">
        <f> CB$10</f>
        <v>71.0</v>
      </c>
      <c r="CC13" s="103">
        <f> CC$10</f>
        <v>72.0</v>
      </c>
      <c r="CD13" s="103">
        <f> CD$10</f>
        <v>73.0</v>
      </c>
      <c r="CE13" s="103">
        <f> CE$10</f>
        <v>74.0</v>
      </c>
      <c r="CF13" s="103">
        <f> CF$10</f>
        <v>75.0</v>
      </c>
      <c r="CG13" s="103">
        <f> CG$10</f>
        <v>76.0</v>
      </c>
      <c r="CH13" s="103">
        <f> CH$10</f>
        <v>77.0</v>
      </c>
      <c r="CI13" s="103">
        <f> CI$10</f>
        <v>78.0</v>
      </c>
      <c r="CJ13" s="103">
        <f> CJ$10</f>
        <v>79.0</v>
      </c>
      <c r="CK13" s="103">
        <f> CK$10</f>
        <v>80.0</v>
      </c>
      <c r="CL13" s="103">
        <f> CL$10</f>
        <v>81.0</v>
      </c>
      <c r="CM13" s="103">
        <f> CM$10</f>
        <v>82.0</v>
      </c>
      <c r="CN13" s="103">
        <f> CN$10</f>
        <v>83.0</v>
      </c>
      <c r="CO13" s="103">
        <f> CO$10</f>
        <v>84.0</v>
      </c>
    </row>
    <row r="14" customFormat="1" s="330">
      <c r="A14" s="326" t="n"/>
      <c r="B14" s="326" t="n"/>
      <c r="C14" s="327" t="n"/>
      <c r="D14" s="328" t="n"/>
      <c r="E14" s="345" t="inlineStr">
        <is>
          <t>First model column flag</t>
        </is>
      </c>
      <c r="F14" s="345" t="n"/>
      <c r="G14" s="345" t="inlineStr">
        <is>
          <t>flag</t>
        </is>
      </c>
      <c r="H14" s="345">
        <f>SUM(J14:CO14)</f>
        <v>1.0</v>
      </c>
      <c r="I14" s="345" t="n"/>
      <c r="J14" s="345">
        <f> IF(J13 = 1, 1, 0)</f>
        <v>1.0</v>
      </c>
      <c r="K14" s="345">
        <f> IF(K13 = 1, 1, 0)</f>
        <v>0.0</v>
      </c>
      <c r="L14" s="345">
        <f> IF(L13 = 1, 1, 0)</f>
        <v>0.0</v>
      </c>
      <c r="M14" s="345">
        <f> IF(M13 = 1, 1, 0)</f>
        <v>0.0</v>
      </c>
      <c r="N14" s="345">
        <f> IF(N13 = 1, 1, 0)</f>
        <v>0.0</v>
      </c>
      <c r="O14" s="345">
        <f> IF(O13 = 1, 1, 0)</f>
        <v>0.0</v>
      </c>
      <c r="P14" s="345">
        <f> IF(P13 = 1, 1, 0)</f>
        <v>0.0</v>
      </c>
      <c r="Q14" s="345">
        <f> IF(Q13 = 1, 1, 0)</f>
        <v>0.0</v>
      </c>
      <c r="R14" s="345">
        <f> IF(R13 = 1, 1, 0)</f>
        <v>0.0</v>
      </c>
      <c r="S14" s="345">
        <f> IF(S13 = 1, 1, 0)</f>
        <v>0.0</v>
      </c>
      <c r="T14" s="345">
        <f> IF(T13 = 1, 1, 0)</f>
        <v>0.0</v>
      </c>
      <c r="U14" s="345">
        <f> IF(U13 = 1, 1, 0)</f>
        <v>0.0</v>
      </c>
      <c r="V14" s="345">
        <f> IF(V13 = 1, 1, 0)</f>
        <v>0.0</v>
      </c>
      <c r="W14" s="345">
        <f> IF(W13 = 1, 1, 0)</f>
        <v>0.0</v>
      </c>
      <c r="X14" s="345">
        <f> IF(X13 = 1, 1, 0)</f>
        <v>0.0</v>
      </c>
      <c r="Y14" s="345">
        <f> IF(Y13 = 1, 1, 0)</f>
        <v>0.0</v>
      </c>
      <c r="Z14" s="345">
        <f> IF(Z13 = 1, 1, 0)</f>
        <v>0.0</v>
      </c>
      <c r="AA14" s="345">
        <f> IF(AA13 = 1, 1, 0)</f>
        <v>0.0</v>
      </c>
      <c r="AB14" s="345">
        <f> IF(AB13 = 1, 1, 0)</f>
        <v>0.0</v>
      </c>
      <c r="AC14" s="345">
        <f> IF(AC13 = 1, 1, 0)</f>
        <v>0.0</v>
      </c>
      <c r="AD14" s="345">
        <f> IF(AD13 = 1, 1, 0)</f>
        <v>0.0</v>
      </c>
      <c r="AE14" s="345">
        <f> IF(AE13 = 1, 1, 0)</f>
        <v>0.0</v>
      </c>
      <c r="AF14" s="345">
        <f> IF(AF13 = 1, 1, 0)</f>
        <v>0.0</v>
      </c>
      <c r="AG14" s="345">
        <f> IF(AG13 = 1, 1, 0)</f>
        <v>0.0</v>
      </c>
      <c r="AH14" s="345">
        <f> IF(AH13 = 1, 1, 0)</f>
        <v>0.0</v>
      </c>
      <c r="AI14" s="345">
        <f> IF(AI13 = 1, 1, 0)</f>
        <v>0.0</v>
      </c>
      <c r="AJ14" s="345">
        <f> IF(AJ13 = 1, 1, 0)</f>
        <v>0.0</v>
      </c>
      <c r="AK14" s="345">
        <f> IF(AK13 = 1, 1, 0)</f>
        <v>0.0</v>
      </c>
      <c r="AL14" s="345">
        <f> IF(AL13 = 1, 1, 0)</f>
        <v>0.0</v>
      </c>
      <c r="AM14" s="345">
        <f> IF(AM13 = 1, 1, 0)</f>
        <v>0.0</v>
      </c>
      <c r="AN14" s="345">
        <f> IF(AN13 = 1, 1, 0)</f>
        <v>0.0</v>
      </c>
      <c r="AO14" s="345">
        <f> IF(AO13 = 1, 1, 0)</f>
        <v>0.0</v>
      </c>
      <c r="AP14" s="345">
        <f> IF(AP13 = 1, 1, 0)</f>
        <v>0.0</v>
      </c>
      <c r="AQ14" s="345">
        <f> IF(AQ13 = 1, 1, 0)</f>
        <v>0.0</v>
      </c>
      <c r="AR14" s="345">
        <f> IF(AR13 = 1, 1, 0)</f>
        <v>0.0</v>
      </c>
      <c r="AS14" s="345">
        <f> IF(AS13 = 1, 1, 0)</f>
        <v>0.0</v>
      </c>
      <c r="AT14" s="345">
        <f> IF(AT13 = 1, 1, 0)</f>
        <v>0.0</v>
      </c>
      <c r="AU14" s="345">
        <f> IF(AU13 = 1, 1, 0)</f>
        <v>0.0</v>
      </c>
      <c r="AV14" s="345">
        <f> IF(AV13 = 1, 1, 0)</f>
        <v>0.0</v>
      </c>
      <c r="AW14" s="345">
        <f> IF(AW13 = 1, 1, 0)</f>
        <v>0.0</v>
      </c>
      <c r="AX14" s="345">
        <f> IF(AX13 = 1, 1, 0)</f>
        <v>0.0</v>
      </c>
      <c r="AY14" s="345">
        <f> IF(AY13 = 1, 1, 0)</f>
        <v>0.0</v>
      </c>
      <c r="AZ14" s="345">
        <f> IF(AZ13 = 1, 1, 0)</f>
        <v>0.0</v>
      </c>
      <c r="BA14" s="345">
        <f> IF(BA13 = 1, 1, 0)</f>
        <v>0.0</v>
      </c>
      <c r="BB14" s="345">
        <f> IF(BB13 = 1, 1, 0)</f>
        <v>0.0</v>
      </c>
      <c r="BC14" s="345">
        <f> IF(BC13 = 1, 1, 0)</f>
        <v>0.0</v>
      </c>
      <c r="BD14" s="345">
        <f> IF(BD13 = 1, 1, 0)</f>
        <v>0.0</v>
      </c>
      <c r="BE14" s="345">
        <f> IF(BE13 = 1, 1, 0)</f>
        <v>0.0</v>
      </c>
      <c r="BF14" s="345">
        <f> IF(BF13 = 1, 1, 0)</f>
        <v>0.0</v>
      </c>
      <c r="BG14" s="345">
        <f> IF(BG13 = 1, 1, 0)</f>
        <v>0.0</v>
      </c>
      <c r="BH14" s="345">
        <f> IF(BH13 = 1, 1, 0)</f>
        <v>0.0</v>
      </c>
      <c r="BI14" s="345">
        <f> IF(BI13 = 1, 1, 0)</f>
        <v>0.0</v>
      </c>
      <c r="BJ14" s="345">
        <f> IF(BJ13 = 1, 1, 0)</f>
        <v>0.0</v>
      </c>
      <c r="BK14" s="345">
        <f> IF(BK13 = 1, 1, 0)</f>
        <v>0.0</v>
      </c>
      <c r="BL14" s="345">
        <f> IF(BL13 = 1, 1, 0)</f>
        <v>0.0</v>
      </c>
      <c r="BM14" s="345">
        <f> IF(BM13 = 1, 1, 0)</f>
        <v>0.0</v>
      </c>
      <c r="BN14" s="345">
        <f> IF(BN13 = 1, 1, 0)</f>
        <v>0.0</v>
      </c>
      <c r="BO14" s="345">
        <f> IF(BO13 = 1, 1, 0)</f>
        <v>0.0</v>
      </c>
      <c r="BP14" s="345">
        <f> IF(BP13 = 1, 1, 0)</f>
        <v>0.0</v>
      </c>
      <c r="BQ14" s="345">
        <f> IF(BQ13 = 1, 1, 0)</f>
        <v>0.0</v>
      </c>
      <c r="BR14" s="345">
        <f> IF(BR13 = 1, 1, 0)</f>
        <v>0.0</v>
      </c>
      <c r="BS14" s="345">
        <f> IF(BS13 = 1, 1, 0)</f>
        <v>0.0</v>
      </c>
      <c r="BT14" s="345">
        <f> IF(BT13 = 1, 1, 0)</f>
        <v>0.0</v>
      </c>
      <c r="BU14" s="345">
        <f> IF(BU13 = 1, 1, 0)</f>
        <v>0.0</v>
      </c>
      <c r="BV14" s="345">
        <f> IF(BV13 = 1, 1, 0)</f>
        <v>0.0</v>
      </c>
      <c r="BW14" s="345">
        <f> IF(BW13 = 1, 1, 0)</f>
        <v>0.0</v>
      </c>
      <c r="BX14" s="345">
        <f> IF(BX13 = 1, 1, 0)</f>
        <v>0.0</v>
      </c>
      <c r="BY14" s="345">
        <f> IF(BY13 = 1, 1, 0)</f>
        <v>0.0</v>
      </c>
      <c r="BZ14" s="345">
        <f> IF(BZ13 = 1, 1, 0)</f>
        <v>0.0</v>
      </c>
      <c r="CA14" s="345">
        <f> IF(CA13 = 1, 1, 0)</f>
        <v>0.0</v>
      </c>
      <c r="CB14" s="345">
        <f> IF(CB13 = 1, 1, 0)</f>
        <v>0.0</v>
      </c>
      <c r="CC14" s="345">
        <f> IF(CC13 = 1, 1, 0)</f>
        <v>0.0</v>
      </c>
      <c r="CD14" s="345">
        <f> IF(CD13 = 1, 1, 0)</f>
        <v>0.0</v>
      </c>
      <c r="CE14" s="345">
        <f> IF(CE13 = 1, 1, 0)</f>
        <v>0.0</v>
      </c>
      <c r="CF14" s="345">
        <f> IF(CF13 = 1, 1, 0)</f>
        <v>0.0</v>
      </c>
      <c r="CG14" s="345">
        <f> IF(CG13 = 1, 1, 0)</f>
        <v>0.0</v>
      </c>
      <c r="CH14" s="345">
        <f> IF(CH13 = 1, 1, 0)</f>
        <v>0.0</v>
      </c>
      <c r="CI14" s="345">
        <f> IF(CI13 = 1, 1, 0)</f>
        <v>0.0</v>
      </c>
      <c r="CJ14" s="345">
        <f> IF(CJ13 = 1, 1, 0)</f>
        <v>0.0</v>
      </c>
      <c r="CK14" s="345">
        <f> IF(CK13 = 1, 1, 0)</f>
        <v>0.0</v>
      </c>
      <c r="CL14" s="345">
        <f> IF(CL13 = 1, 1, 0)</f>
        <v>0.0</v>
      </c>
      <c r="CM14" s="345">
        <f> IF(CM13 = 1, 1, 0)</f>
        <v>0.0</v>
      </c>
      <c r="CN14" s="345">
        <f> IF(CN13 = 1, 1, 0)</f>
        <v>0.0</v>
      </c>
      <c r="CO14" s="345">
        <f> IF(CO13 = 1, 1, 0)</f>
        <v>0.0</v>
      </c>
    </row>
    <row r="16">
      <c r="B16" s="294" t="inlineStr">
        <is>
          <t>Model period beginning</t>
        </is>
      </c>
    </row>
    <row r="17" customFormat="1" s="106">
      <c r="A17" s="125" t="n"/>
      <c r="B17" s="125" t="n"/>
      <c r="C17" s="126" t="n"/>
      <c r="D17" s="24" t="n"/>
      <c r="E17" s="173" t="str">
        <f> InpC!E$9</f>
        <v>First date of time rulers</v>
      </c>
      <c r="F17" s="173">
        <f> InpC!F$9</f>
        <v>44378.0</v>
      </c>
      <c r="G17" s="173" t="str">
        <f> InpC!G$9</f>
        <v>date</v>
      </c>
      <c r="H17" s="61" t="n"/>
      <c r="I17" s="61" t="n"/>
      <c r="J17" s="61" t="n"/>
      <c r="K17" s="61" t="n"/>
      <c r="L17" s="61" t="n"/>
      <c r="M17" s="61" t="n"/>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1" t="n"/>
      <c r="BZ17" s="61" t="n"/>
      <c r="CA17" s="61" t="n"/>
      <c r="CB17" s="61" t="n"/>
      <c r="CC17" s="61" t="n"/>
      <c r="CD17" s="61" t="n"/>
      <c r="CE17" s="61" t="n"/>
      <c r="CF17" s="61" t="n"/>
      <c r="CG17" s="61" t="n"/>
      <c r="CH17" s="61" t="n"/>
      <c r="CI17" s="61" t="n"/>
      <c r="CJ17" s="61" t="n"/>
      <c r="CK17" s="61" t="n"/>
      <c r="CL17" s="61" t="n"/>
      <c r="CM17" s="61" t="n"/>
      <c r="CN17" s="61" t="n"/>
      <c r="CO17" s="61" t="n"/>
    </row>
    <row r="18" customFormat="1" s="107">
      <c r="A18" s="61" t="n"/>
      <c r="B18" s="61" t="n"/>
      <c r="C18" s="61" t="n"/>
      <c r="D18" s="61" t="n"/>
      <c r="E18" s="325" t="str">
        <f> InpC!E$12</f>
        <v>Months per model period</v>
      </c>
      <c r="F18" s="325">
        <f> InpC!F$12</f>
        <v>3.0</v>
      </c>
      <c r="G18" s="325" t="str">
        <f> InpC!G$12</f>
        <v>months</v>
      </c>
      <c r="H18" s="61" t="n"/>
      <c r="I18" s="61" t="n"/>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1" t="n"/>
      <c r="BZ18" s="61" t="n"/>
      <c r="CA18" s="61" t="n"/>
      <c r="CB18" s="61" t="n"/>
      <c r="CC18" s="61" t="n"/>
      <c r="CD18" s="61" t="n"/>
      <c r="CE18" s="61" t="n"/>
      <c r="CF18" s="61" t="n"/>
      <c r="CG18" s="61" t="n"/>
      <c r="CH18" s="61" t="n"/>
      <c r="CI18" s="61" t="n"/>
      <c r="CJ18" s="61" t="n"/>
      <c r="CK18" s="61" t="n"/>
      <c r="CL18" s="61" t="n"/>
      <c r="CM18" s="61" t="n"/>
      <c r="CN18" s="61" t="n"/>
      <c r="CO18" s="61" t="n"/>
    </row>
    <row r="19">
      <c r="E19" s="61" t="str">
        <f> E$14</f>
        <v>First model column flag</v>
      </c>
      <c r="F19" s="61">
        <f> F$14</f>
        <v>0.0</v>
      </c>
      <c r="G19" s="61" t="str">
        <f> G$14</f>
        <v>flag</v>
      </c>
      <c r="H19" s="61">
        <f> H$14</f>
        <v>1.0</v>
      </c>
      <c r="I19" s="61">
        <f> I$14</f>
        <v>0.0</v>
      </c>
      <c r="J19" s="61">
        <f> J$14</f>
        <v>1.0</v>
      </c>
      <c r="K19" s="61">
        <f> K$14</f>
        <v>0.0</v>
      </c>
      <c r="L19" s="61">
        <f> L$14</f>
        <v>0.0</v>
      </c>
      <c r="M19" s="61">
        <f> M$14</f>
        <v>0.0</v>
      </c>
      <c r="N19" s="61">
        <f> N$14</f>
        <v>0.0</v>
      </c>
      <c r="O19" s="61">
        <f> O$14</f>
        <v>0.0</v>
      </c>
      <c r="P19" s="61">
        <f> P$14</f>
        <v>0.0</v>
      </c>
      <c r="Q19" s="61">
        <f> Q$14</f>
        <v>0.0</v>
      </c>
      <c r="R19" s="61">
        <f> R$14</f>
        <v>0.0</v>
      </c>
      <c r="S19" s="61">
        <f> S$14</f>
        <v>0.0</v>
      </c>
      <c r="T19" s="61">
        <f> T$14</f>
        <v>0.0</v>
      </c>
      <c r="U19" s="61">
        <f> U$14</f>
        <v>0.0</v>
      </c>
      <c r="V19" s="61">
        <f> V$14</f>
        <v>0.0</v>
      </c>
      <c r="W19" s="61">
        <f> W$14</f>
        <v>0.0</v>
      </c>
      <c r="X19" s="61">
        <f> X$14</f>
        <v>0.0</v>
      </c>
      <c r="Y19" s="61">
        <f> Y$14</f>
        <v>0.0</v>
      </c>
      <c r="Z19" s="61">
        <f> Z$14</f>
        <v>0.0</v>
      </c>
      <c r="AA19" s="61">
        <f> AA$14</f>
        <v>0.0</v>
      </c>
      <c r="AB19" s="61">
        <f> AB$14</f>
        <v>0.0</v>
      </c>
      <c r="AC19" s="61">
        <f> AC$14</f>
        <v>0.0</v>
      </c>
      <c r="AD19" s="61">
        <f> AD$14</f>
        <v>0.0</v>
      </c>
      <c r="AE19" s="61">
        <f> AE$14</f>
        <v>0.0</v>
      </c>
      <c r="AF19" s="61">
        <f> AF$14</f>
        <v>0.0</v>
      </c>
      <c r="AG19" s="61">
        <f> AG$14</f>
        <v>0.0</v>
      </c>
      <c r="AH19" s="61">
        <f> AH$14</f>
        <v>0.0</v>
      </c>
      <c r="AI19" s="61">
        <f> AI$14</f>
        <v>0.0</v>
      </c>
      <c r="AJ19" s="61">
        <f> AJ$14</f>
        <v>0.0</v>
      </c>
      <c r="AK19" s="61">
        <f> AK$14</f>
        <v>0.0</v>
      </c>
      <c r="AL19" s="61">
        <f> AL$14</f>
        <v>0.0</v>
      </c>
      <c r="AM19" s="61">
        <f> AM$14</f>
        <v>0.0</v>
      </c>
      <c r="AN19" s="61">
        <f> AN$14</f>
        <v>0.0</v>
      </c>
      <c r="AO19" s="61">
        <f> AO$14</f>
        <v>0.0</v>
      </c>
      <c r="AP19" s="61">
        <f> AP$14</f>
        <v>0.0</v>
      </c>
      <c r="AQ19" s="61">
        <f> AQ$14</f>
        <v>0.0</v>
      </c>
      <c r="AR19" s="61">
        <f> AR$14</f>
        <v>0.0</v>
      </c>
      <c r="AS19" s="61">
        <f> AS$14</f>
        <v>0.0</v>
      </c>
      <c r="AT19" s="61">
        <f> AT$14</f>
        <v>0.0</v>
      </c>
      <c r="AU19" s="61">
        <f> AU$14</f>
        <v>0.0</v>
      </c>
      <c r="AV19" s="61">
        <f> AV$14</f>
        <v>0.0</v>
      </c>
      <c r="AW19" s="61">
        <f> AW$14</f>
        <v>0.0</v>
      </c>
      <c r="AX19" s="61">
        <f> AX$14</f>
        <v>0.0</v>
      </c>
      <c r="AY19" s="61">
        <f> AY$14</f>
        <v>0.0</v>
      </c>
      <c r="AZ19" s="61">
        <f> AZ$14</f>
        <v>0.0</v>
      </c>
      <c r="BA19" s="61">
        <f> BA$14</f>
        <v>0.0</v>
      </c>
      <c r="BB19" s="61">
        <f> BB$14</f>
        <v>0.0</v>
      </c>
      <c r="BC19" s="61">
        <f> BC$14</f>
        <v>0.0</v>
      </c>
      <c r="BD19" s="61">
        <f> BD$14</f>
        <v>0.0</v>
      </c>
      <c r="BE19" s="61">
        <f> BE$14</f>
        <v>0.0</v>
      </c>
      <c r="BF19" s="61">
        <f> BF$14</f>
        <v>0.0</v>
      </c>
      <c r="BG19" s="61">
        <f> BG$14</f>
        <v>0.0</v>
      </c>
      <c r="BH19" s="61">
        <f> BH$14</f>
        <v>0.0</v>
      </c>
      <c r="BI19" s="61">
        <f> BI$14</f>
        <v>0.0</v>
      </c>
      <c r="BJ19" s="61">
        <f> BJ$14</f>
        <v>0.0</v>
      </c>
      <c r="BK19" s="61">
        <f> BK$14</f>
        <v>0.0</v>
      </c>
      <c r="BL19" s="61">
        <f> BL$14</f>
        <v>0.0</v>
      </c>
      <c r="BM19" s="61">
        <f> BM$14</f>
        <v>0.0</v>
      </c>
      <c r="BN19" s="61">
        <f> BN$14</f>
        <v>0.0</v>
      </c>
      <c r="BO19" s="61">
        <f> BO$14</f>
        <v>0.0</v>
      </c>
      <c r="BP19" s="61">
        <f> BP$14</f>
        <v>0.0</v>
      </c>
      <c r="BQ19" s="61">
        <f> BQ$14</f>
        <v>0.0</v>
      </c>
      <c r="BR19" s="61">
        <f> BR$14</f>
        <v>0.0</v>
      </c>
      <c r="BS19" s="61">
        <f> BS$14</f>
        <v>0.0</v>
      </c>
      <c r="BT19" s="61">
        <f> BT$14</f>
        <v>0.0</v>
      </c>
      <c r="BU19" s="61">
        <f> BU$14</f>
        <v>0.0</v>
      </c>
      <c r="BV19" s="61">
        <f> BV$14</f>
        <v>0.0</v>
      </c>
      <c r="BW19" s="61">
        <f> BW$14</f>
        <v>0.0</v>
      </c>
      <c r="BX19" s="61">
        <f> BX$14</f>
        <v>0.0</v>
      </c>
      <c r="BY19" s="61">
        <f> BY$14</f>
        <v>0.0</v>
      </c>
      <c r="BZ19" s="61">
        <f> BZ$14</f>
        <v>0.0</v>
      </c>
      <c r="CA19" s="61">
        <f> CA$14</f>
        <v>0.0</v>
      </c>
      <c r="CB19" s="61">
        <f> CB$14</f>
        <v>0.0</v>
      </c>
      <c r="CC19" s="61">
        <f> CC$14</f>
        <v>0.0</v>
      </c>
      <c r="CD19" s="61">
        <f> CD$14</f>
        <v>0.0</v>
      </c>
      <c r="CE19" s="61">
        <f> CE$14</f>
        <v>0.0</v>
      </c>
      <c r="CF19" s="61">
        <f> CF$14</f>
        <v>0.0</v>
      </c>
      <c r="CG19" s="61">
        <f> CG$14</f>
        <v>0.0</v>
      </c>
      <c r="CH19" s="61">
        <f> CH$14</f>
        <v>0.0</v>
      </c>
      <c r="CI19" s="61">
        <f> CI$14</f>
        <v>0.0</v>
      </c>
      <c r="CJ19" s="61">
        <f> CJ$14</f>
        <v>0.0</v>
      </c>
      <c r="CK19" s="61">
        <f> CK$14</f>
        <v>0.0</v>
      </c>
      <c r="CL19" s="61">
        <f> CL$14</f>
        <v>0.0</v>
      </c>
      <c r="CM19" s="61">
        <f> CM$14</f>
        <v>0.0</v>
      </c>
      <c r="CN19" s="61">
        <f> CN$14</f>
        <v>0.0</v>
      </c>
      <c r="CO19" s="61">
        <f> CO$14</f>
        <v>0.0</v>
      </c>
    </row>
    <row r="20" customFormat="1" s="119">
      <c r="A20" s="167" t="n"/>
      <c r="B20" s="167" t="n"/>
      <c r="C20" s="237" t="n"/>
      <c r="D20" s="170" t="n"/>
      <c r="E20" s="205" t="inlineStr">
        <is>
          <t xml:space="preserve">Model period beginning </t>
        </is>
      </c>
      <c r="F20" s="205" t="n"/>
      <c r="G20" s="205" t="inlineStr">
        <is>
          <t>date</t>
        </is>
      </c>
      <c r="H20" s="205" t="n"/>
      <c r="I20" s="203" t="n"/>
      <c r="J20" s="205">
        <f> IF(J19 = 1, $F17, DATE(YEAR(I20), MONTH(I20) + $F18, DAY(1)))</f>
        <v>44378.0</v>
      </c>
      <c r="K20" s="205">
        <f> IF(K19 = 1, $F17, DATE(YEAR(J20), MONTH(J20) + $F18, DAY(1)))</f>
        <v>44470.0</v>
      </c>
      <c r="L20" s="205">
        <f> IF(L19 = 1, $F17, DATE(YEAR(K20), MONTH(K20) + $F18, DAY(1)))</f>
        <v>44562.0</v>
      </c>
      <c r="M20" s="205">
        <f> IF(M19 = 1, $F17, DATE(YEAR(L20), MONTH(L20) + $F18, DAY(1)))</f>
        <v>44652.0</v>
      </c>
      <c r="N20" s="205">
        <f> IF(N19 = 1, $F17, DATE(YEAR(M20), MONTH(M20) + $F18, DAY(1)))</f>
        <v>44743.0</v>
      </c>
      <c r="O20" s="205">
        <f> IF(O19 = 1, $F17, DATE(YEAR(N20), MONTH(N20) + $F18, DAY(1)))</f>
        <v>44835.0</v>
      </c>
      <c r="P20" s="205">
        <f> IF(P19 = 1, $F17, DATE(YEAR(O20), MONTH(O20) + $F18, DAY(1)))</f>
        <v>44927.0</v>
      </c>
      <c r="Q20" s="205">
        <f> IF(Q19 = 1, $F17, DATE(YEAR(P20), MONTH(P20) + $F18, DAY(1)))</f>
        <v>45017.0</v>
      </c>
      <c r="R20" s="205">
        <f> IF(R19 = 1, $F17, DATE(YEAR(Q20), MONTH(Q20) + $F18, DAY(1)))</f>
        <v>45108.0</v>
      </c>
      <c r="S20" s="205">
        <f> IF(S19 = 1, $F17, DATE(YEAR(R20), MONTH(R20) + $F18, DAY(1)))</f>
        <v>45200.0</v>
      </c>
      <c r="T20" s="205">
        <f> IF(T19 = 1, $F17, DATE(YEAR(S20), MONTH(S20) + $F18, DAY(1)))</f>
        <v>45292.0</v>
      </c>
      <c r="U20" s="205">
        <f> IF(U19 = 1, $F17, DATE(YEAR(T20), MONTH(T20) + $F18, DAY(1)))</f>
        <v>45383.0</v>
      </c>
      <c r="V20" s="205">
        <f> IF(V19 = 1, $F17, DATE(YEAR(U20), MONTH(U20) + $F18, DAY(1)))</f>
        <v>45474.0</v>
      </c>
      <c r="W20" s="205">
        <f> IF(W19 = 1, $F17, DATE(YEAR(V20), MONTH(V20) + $F18, DAY(1)))</f>
        <v>45566.0</v>
      </c>
      <c r="X20" s="205">
        <f> IF(X19 = 1, $F17, DATE(YEAR(W20), MONTH(W20) + $F18, DAY(1)))</f>
        <v>45658.0</v>
      </c>
      <c r="Y20" s="205">
        <f> IF(Y19 = 1, $F17, DATE(YEAR(X20), MONTH(X20) + $F18, DAY(1)))</f>
        <v>45748.0</v>
      </c>
      <c r="Z20" s="205">
        <f> IF(Z19 = 1, $F17, DATE(YEAR(Y20), MONTH(Y20) + $F18, DAY(1)))</f>
        <v>45839.0</v>
      </c>
      <c r="AA20" s="205">
        <f> IF(AA19 = 1, $F17, DATE(YEAR(Z20), MONTH(Z20) + $F18, DAY(1)))</f>
        <v>45931.0</v>
      </c>
      <c r="AB20" s="205">
        <f> IF(AB19 = 1, $F17, DATE(YEAR(AA20), MONTH(AA20) + $F18, DAY(1)))</f>
        <v>46023.0</v>
      </c>
      <c r="AC20" s="205">
        <f> IF(AC19 = 1, $F17, DATE(YEAR(AB20), MONTH(AB20) + $F18, DAY(1)))</f>
        <v>46113.0</v>
      </c>
      <c r="AD20" s="205">
        <f> IF(AD19 = 1, $F17, DATE(YEAR(AC20), MONTH(AC20) + $F18, DAY(1)))</f>
        <v>46204.0</v>
      </c>
      <c r="AE20" s="205">
        <f> IF(AE19 = 1, $F17, DATE(YEAR(AD20), MONTH(AD20) + $F18, DAY(1)))</f>
        <v>46296.0</v>
      </c>
      <c r="AF20" s="205">
        <f> IF(AF19 = 1, $F17, DATE(YEAR(AE20), MONTH(AE20) + $F18, DAY(1)))</f>
        <v>46388.0</v>
      </c>
      <c r="AG20" s="205">
        <f> IF(AG19 = 1, $F17, DATE(YEAR(AF20), MONTH(AF20) + $F18, DAY(1)))</f>
        <v>46478.0</v>
      </c>
      <c r="AH20" s="205">
        <f> IF(AH19 = 1, $F17, DATE(YEAR(AG20), MONTH(AG20) + $F18, DAY(1)))</f>
        <v>46569.0</v>
      </c>
      <c r="AI20" s="205">
        <f> IF(AI19 = 1, $F17, DATE(YEAR(AH20), MONTH(AH20) + $F18, DAY(1)))</f>
        <v>46661.0</v>
      </c>
      <c r="AJ20" s="205">
        <f> IF(AJ19 = 1, $F17, DATE(YEAR(AI20), MONTH(AI20) + $F18, DAY(1)))</f>
        <v>46753.0</v>
      </c>
      <c r="AK20" s="205">
        <f> IF(AK19 = 1, $F17, DATE(YEAR(AJ20), MONTH(AJ20) + $F18, DAY(1)))</f>
        <v>46844.0</v>
      </c>
      <c r="AL20" s="205">
        <f> IF(AL19 = 1, $F17, DATE(YEAR(AK20), MONTH(AK20) + $F18, DAY(1)))</f>
        <v>46935.0</v>
      </c>
      <c r="AM20" s="205">
        <f> IF(AM19 = 1, $F17, DATE(YEAR(AL20), MONTH(AL20) + $F18, DAY(1)))</f>
        <v>47027.0</v>
      </c>
      <c r="AN20" s="205">
        <f> IF(AN19 = 1, $F17, DATE(YEAR(AM20), MONTH(AM20) + $F18, DAY(1)))</f>
        <v>47119.0</v>
      </c>
      <c r="AO20" s="205">
        <f> IF(AO19 = 1, $F17, DATE(YEAR(AN20), MONTH(AN20) + $F18, DAY(1)))</f>
        <v>47209.0</v>
      </c>
      <c r="AP20" s="205">
        <f> IF(AP19 = 1, $F17, DATE(YEAR(AO20), MONTH(AO20) + $F18, DAY(1)))</f>
        <v>47300.0</v>
      </c>
      <c r="AQ20" s="205">
        <f> IF(AQ19 = 1, $F17, DATE(YEAR(AP20), MONTH(AP20) + $F18, DAY(1)))</f>
        <v>47392.0</v>
      </c>
      <c r="AR20" s="205">
        <f> IF(AR19 = 1, $F17, DATE(YEAR(AQ20), MONTH(AQ20) + $F18, DAY(1)))</f>
        <v>47484.0</v>
      </c>
      <c r="AS20" s="205">
        <f> IF(AS19 = 1, $F17, DATE(YEAR(AR20), MONTH(AR20) + $F18, DAY(1)))</f>
        <v>47574.0</v>
      </c>
      <c r="AT20" s="205">
        <f> IF(AT19 = 1, $F17, DATE(YEAR(AS20), MONTH(AS20) + $F18, DAY(1)))</f>
        <v>47665.0</v>
      </c>
      <c r="AU20" s="205">
        <f> IF(AU19 = 1, $F17, DATE(YEAR(AT20), MONTH(AT20) + $F18, DAY(1)))</f>
        <v>47757.0</v>
      </c>
      <c r="AV20" s="205">
        <f> IF(AV19 = 1, $F17, DATE(YEAR(AU20), MONTH(AU20) + $F18, DAY(1)))</f>
        <v>47849.0</v>
      </c>
      <c r="AW20" s="205">
        <f> IF(AW19 = 1, $F17, DATE(YEAR(AV20), MONTH(AV20) + $F18, DAY(1)))</f>
        <v>47939.0</v>
      </c>
      <c r="AX20" s="205">
        <f> IF(AX19 = 1, $F17, DATE(YEAR(AW20), MONTH(AW20) + $F18, DAY(1)))</f>
        <v>48030.0</v>
      </c>
      <c r="AY20" s="205">
        <f> IF(AY19 = 1, $F17, DATE(YEAR(AX20), MONTH(AX20) + $F18, DAY(1)))</f>
        <v>48122.0</v>
      </c>
      <c r="AZ20" s="205">
        <f> IF(AZ19 = 1, $F17, DATE(YEAR(AY20), MONTH(AY20) + $F18, DAY(1)))</f>
        <v>48214.0</v>
      </c>
      <c r="BA20" s="205">
        <f> IF(BA19 = 1, $F17, DATE(YEAR(AZ20), MONTH(AZ20) + $F18, DAY(1)))</f>
        <v>48305.0</v>
      </c>
      <c r="BB20" s="205">
        <f> IF(BB19 = 1, $F17, DATE(YEAR(BA20), MONTH(BA20) + $F18, DAY(1)))</f>
        <v>48396.0</v>
      </c>
      <c r="BC20" s="205">
        <f> IF(BC19 = 1, $F17, DATE(YEAR(BB20), MONTH(BB20) + $F18, DAY(1)))</f>
        <v>48488.0</v>
      </c>
      <c r="BD20" s="205">
        <f> IF(BD19 = 1, $F17, DATE(YEAR(BC20), MONTH(BC20) + $F18, DAY(1)))</f>
        <v>48580.0</v>
      </c>
      <c r="BE20" s="205">
        <f> IF(BE19 = 1, $F17, DATE(YEAR(BD20), MONTH(BD20) + $F18, DAY(1)))</f>
        <v>48670.0</v>
      </c>
      <c r="BF20" s="205">
        <f> IF(BF19 = 1, $F17, DATE(YEAR(BE20), MONTH(BE20) + $F18, DAY(1)))</f>
        <v>48761.0</v>
      </c>
      <c r="BG20" s="205">
        <f> IF(BG19 = 1, $F17, DATE(YEAR(BF20), MONTH(BF20) + $F18, DAY(1)))</f>
        <v>48853.0</v>
      </c>
      <c r="BH20" s="205">
        <f> IF(BH19 = 1, $F17, DATE(YEAR(BG20), MONTH(BG20) + $F18, DAY(1)))</f>
        <v>48945.0</v>
      </c>
      <c r="BI20" s="205">
        <f> IF(BI19 = 1, $F17, DATE(YEAR(BH20), MONTH(BH20) + $F18, DAY(1)))</f>
        <v>49035.0</v>
      </c>
      <c r="BJ20" s="205">
        <f> IF(BJ19 = 1, $F17, DATE(YEAR(BI20), MONTH(BI20) + $F18, DAY(1)))</f>
        <v>49126.0</v>
      </c>
      <c r="BK20" s="205">
        <f> IF(BK19 = 1, $F17, DATE(YEAR(BJ20), MONTH(BJ20) + $F18, DAY(1)))</f>
        <v>49218.0</v>
      </c>
      <c r="BL20" s="205">
        <f> IF(BL19 = 1, $F17, DATE(YEAR(BK20), MONTH(BK20) + $F18, DAY(1)))</f>
        <v>49310.0</v>
      </c>
      <c r="BM20" s="205">
        <f> IF(BM19 = 1, $F17, DATE(YEAR(BL20), MONTH(BL20) + $F18, DAY(1)))</f>
        <v>49400.0</v>
      </c>
      <c r="BN20" s="205">
        <f> IF(BN19 = 1, $F17, DATE(YEAR(BM20), MONTH(BM20) + $F18, DAY(1)))</f>
        <v>49491.0</v>
      </c>
      <c r="BO20" s="205">
        <f> IF(BO19 = 1, $F17, DATE(YEAR(BN20), MONTH(BN20) + $F18, DAY(1)))</f>
        <v>49583.0</v>
      </c>
      <c r="BP20" s="205">
        <f> IF(BP19 = 1, $F17, DATE(YEAR(BO20), MONTH(BO20) + $F18, DAY(1)))</f>
        <v>49675.0</v>
      </c>
      <c r="BQ20" s="205">
        <f> IF(BQ19 = 1, $F17, DATE(YEAR(BP20), MONTH(BP20) + $F18, DAY(1)))</f>
        <v>49766.0</v>
      </c>
      <c r="BR20" s="205">
        <f> IF(BR19 = 1, $F17, DATE(YEAR(BQ20), MONTH(BQ20) + $F18, DAY(1)))</f>
        <v>49857.0</v>
      </c>
      <c r="BS20" s="205">
        <f> IF(BS19 = 1, $F17, DATE(YEAR(BR20), MONTH(BR20) + $F18, DAY(1)))</f>
        <v>49949.0</v>
      </c>
      <c r="BT20" s="205">
        <f> IF(BT19 = 1, $F17, DATE(YEAR(BS20), MONTH(BS20) + $F18, DAY(1)))</f>
        <v>50041.0</v>
      </c>
      <c r="BU20" s="205">
        <f> IF(BU19 = 1, $F17, DATE(YEAR(BT20), MONTH(BT20) + $F18, DAY(1)))</f>
        <v>50131.0</v>
      </c>
      <c r="BV20" s="205">
        <f> IF(BV19 = 1, $F17, DATE(YEAR(BU20), MONTH(BU20) + $F18, DAY(1)))</f>
        <v>50222.0</v>
      </c>
      <c r="BW20" s="205">
        <f> IF(BW19 = 1, $F17, DATE(YEAR(BV20), MONTH(BV20) + $F18, DAY(1)))</f>
        <v>50314.0</v>
      </c>
      <c r="BX20" s="205">
        <f> IF(BX19 = 1, $F17, DATE(YEAR(BW20), MONTH(BW20) + $F18, DAY(1)))</f>
        <v>50406.0</v>
      </c>
      <c r="BY20" s="205">
        <f> IF(BY19 = 1, $F17, DATE(YEAR(BX20), MONTH(BX20) + $F18, DAY(1)))</f>
        <v>50496.0</v>
      </c>
      <c r="BZ20" s="205">
        <f> IF(BZ19 = 1, $F17, DATE(YEAR(BY20), MONTH(BY20) + $F18, DAY(1)))</f>
        <v>50587.0</v>
      </c>
      <c r="CA20" s="205">
        <f> IF(CA19 = 1, $F17, DATE(YEAR(BZ20), MONTH(BZ20) + $F18, DAY(1)))</f>
        <v>50679.0</v>
      </c>
      <c r="CB20" s="205">
        <f> IF(CB19 = 1, $F17, DATE(YEAR(CA20), MONTH(CA20) + $F18, DAY(1)))</f>
        <v>50771.0</v>
      </c>
      <c r="CC20" s="205">
        <f> IF(CC19 = 1, $F17, DATE(YEAR(CB20), MONTH(CB20) + $F18, DAY(1)))</f>
        <v>50861.0</v>
      </c>
      <c r="CD20" s="205">
        <f> IF(CD19 = 1, $F17, DATE(YEAR(CC20), MONTH(CC20) + $F18, DAY(1)))</f>
        <v>50952.0</v>
      </c>
      <c r="CE20" s="205">
        <f> IF(CE19 = 1, $F17, DATE(YEAR(CD20), MONTH(CD20) + $F18, DAY(1)))</f>
        <v>51044.0</v>
      </c>
      <c r="CF20" s="205">
        <f> IF(CF19 = 1, $F17, DATE(YEAR(CE20), MONTH(CE20) + $F18, DAY(1)))</f>
        <v>51136.0</v>
      </c>
      <c r="CG20" s="205">
        <f> IF(CG19 = 1, $F17, DATE(YEAR(CF20), MONTH(CF20) + $F18, DAY(1)))</f>
        <v>51227.0</v>
      </c>
      <c r="CH20" s="205">
        <f> IF(CH19 = 1, $F17, DATE(YEAR(CG20), MONTH(CG20) + $F18, DAY(1)))</f>
        <v>51318.0</v>
      </c>
      <c r="CI20" s="205">
        <f> IF(CI19 = 1, $F17, DATE(YEAR(CH20), MONTH(CH20) + $F18, DAY(1)))</f>
        <v>51410.0</v>
      </c>
      <c r="CJ20" s="205">
        <f> IF(CJ19 = 1, $F17, DATE(YEAR(CI20), MONTH(CI20) + $F18, DAY(1)))</f>
        <v>51502.0</v>
      </c>
      <c r="CK20" s="205">
        <f> IF(CK19 = 1, $F17, DATE(YEAR(CJ20), MONTH(CJ20) + $F18, DAY(1)))</f>
        <v>51592.0</v>
      </c>
      <c r="CL20" s="205">
        <f> IF(CL19 = 1, $F17, DATE(YEAR(CK20), MONTH(CK20) + $F18, DAY(1)))</f>
        <v>51683.0</v>
      </c>
      <c r="CM20" s="205">
        <f> IF(CM19 = 1, $F17, DATE(YEAR(CL20), MONTH(CL20) + $F18, DAY(1)))</f>
        <v>51775.0</v>
      </c>
      <c r="CN20" s="205">
        <f> IF(CN19 = 1, $F17, DATE(YEAR(CM20), MONTH(CM20) + $F18, DAY(1)))</f>
        <v>51867.0</v>
      </c>
      <c r="CO20" s="205">
        <f> IF(CO19 = 1, $F17, DATE(YEAR(CN20), MONTH(CN20) + $F18, DAY(1)))</f>
        <v>51957.0</v>
      </c>
    </row>
    <row r="21" customFormat="1" s="146">
      <c r="A21" s="163" t="n"/>
      <c r="B21" s="163" t="n"/>
      <c r="C21" s="172" t="n"/>
      <c r="D21" s="169" t="n"/>
      <c r="E21" s="169" t="n"/>
      <c r="F21" s="169" t="n"/>
      <c r="G21" s="169" t="n"/>
      <c r="H21" s="169" t="n"/>
      <c r="I21" s="169" t="n"/>
      <c r="J21" s="169" t="n"/>
      <c r="K21" s="169" t="n"/>
      <c r="L21" s="169" t="n"/>
      <c r="M21" s="169" t="n"/>
      <c r="N21" s="169" t="n"/>
      <c r="O21" s="169" t="n"/>
      <c r="P21" s="169" t="n"/>
      <c r="Q21" s="169" t="n"/>
      <c r="R21" s="169" t="n"/>
      <c r="S21" s="169" t="n"/>
      <c r="T21" s="169" t="n"/>
      <c r="U21" s="169" t="n"/>
      <c r="V21" s="169" t="n"/>
      <c r="W21" s="169" t="n"/>
      <c r="X21" s="169" t="n"/>
      <c r="Y21" s="169" t="n"/>
      <c r="Z21" s="169" t="n"/>
      <c r="AA21" s="169" t="n"/>
      <c r="AB21" s="169" t="n"/>
      <c r="AC21" s="169" t="n"/>
      <c r="AD21" s="169" t="n"/>
      <c r="AE21" s="169" t="n"/>
      <c r="AF21" s="169" t="n"/>
      <c r="AG21" s="169" t="n"/>
      <c r="AH21" s="169" t="n"/>
      <c r="AI21" s="169"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row>
    <row r="22" customFormat="1" s="146">
      <c r="A22" s="163" t="n"/>
      <c r="B22" s="163" t="inlineStr">
        <is>
          <t>Model period ending</t>
        </is>
      </c>
      <c r="C22" s="172" t="n"/>
      <c r="D22" s="169" t="n"/>
      <c r="E22" s="169" t="n"/>
      <c r="F22" s="169" t="n"/>
      <c r="G22" s="169" t="n"/>
      <c r="H22" s="169" t="n"/>
      <c r="I22" s="169" t="n"/>
      <c r="J22" s="169" t="n"/>
      <c r="K22" s="169" t="n"/>
      <c r="L22" s="169" t="n"/>
      <c r="M22" s="169" t="n"/>
      <c r="N22" s="169" t="n"/>
      <c r="O22" s="169" t="n"/>
      <c r="P22" s="169" t="n"/>
      <c r="Q22" s="169" t="n"/>
      <c r="R22" s="169" t="n"/>
      <c r="S22" s="169" t="n"/>
      <c r="T22" s="169" t="n"/>
      <c r="U22" s="169" t="n"/>
      <c r="V22" s="169" t="n"/>
      <c r="W22" s="169" t="n"/>
      <c r="X22" s="169" t="n"/>
      <c r="Y22" s="169" t="n"/>
      <c r="Z22" s="169" t="n"/>
      <c r="AA22" s="169" t="n"/>
      <c r="AB22" s="169" t="n"/>
      <c r="AC22" s="169" t="n"/>
      <c r="AD22" s="169" t="n"/>
      <c r="AE22" s="169" t="n"/>
      <c r="AF22" s="169" t="n"/>
      <c r="AG22" s="169" t="n"/>
      <c r="AH22" s="169" t="n"/>
      <c r="AI22" s="169"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row>
    <row r="23" customFormat="1" s="107">
      <c r="A23" s="61" t="n"/>
      <c r="B23" s="61" t="n"/>
      <c r="C23" s="61" t="n"/>
      <c r="D23" s="61" t="n"/>
      <c r="E23" s="325" t="str">
        <f> InpC!E$12</f>
        <v>Months per model period</v>
      </c>
      <c r="F23" s="325">
        <f> InpC!F$12</f>
        <v>3.0</v>
      </c>
      <c r="G23" s="325" t="str">
        <f> InpC!G$12</f>
        <v>months</v>
      </c>
      <c r="H23" s="61" t="n"/>
      <c r="I23" s="61" t="n"/>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1" t="n"/>
      <c r="BZ23" s="61" t="n"/>
      <c r="CA23" s="61" t="n"/>
      <c r="CB23" s="61" t="n"/>
      <c r="CC23" s="61" t="n"/>
      <c r="CD23" s="61" t="n"/>
      <c r="CE23" s="61" t="n"/>
      <c r="CF23" s="61" t="n"/>
      <c r="CG23" s="61" t="n"/>
      <c r="CH23" s="61" t="n"/>
      <c r="CI23" s="61" t="n"/>
      <c r="CJ23" s="61" t="n"/>
      <c r="CK23" s="61" t="n"/>
      <c r="CL23" s="61" t="n"/>
      <c r="CM23" s="61" t="n"/>
      <c r="CN23" s="61" t="n"/>
      <c r="CO23" s="61" t="n"/>
    </row>
    <row r="24" customFormat="1" s="119">
      <c r="A24" s="167" t="n"/>
      <c r="B24" s="167" t="n"/>
      <c r="C24" s="237" t="n"/>
      <c r="D24" s="170" t="n"/>
      <c r="E24" s="205" t="str">
        <f> E$20</f>
        <v>Model period beginning </v>
      </c>
      <c r="F24" s="205">
        <f> F$20</f>
        <v>0.0</v>
      </c>
      <c r="G24" s="205" t="str">
        <f> G$20</f>
        <v>date</v>
      </c>
      <c r="H24" s="205">
        <f> H$20</f>
        <v>0.0</v>
      </c>
      <c r="I24" s="205">
        <f> I$20</f>
        <v>0.0</v>
      </c>
      <c r="J24" s="205">
        <f> J$20</f>
        <v>44378.0</v>
      </c>
      <c r="K24" s="205">
        <f> K$20</f>
        <v>44470.0</v>
      </c>
      <c r="L24" s="205">
        <f> L$20</f>
        <v>44562.0</v>
      </c>
      <c r="M24" s="205">
        <f> M$20</f>
        <v>44652.0</v>
      </c>
      <c r="N24" s="205">
        <f> N$20</f>
        <v>44743.0</v>
      </c>
      <c r="O24" s="205">
        <f> O$20</f>
        <v>44835.0</v>
      </c>
      <c r="P24" s="205">
        <f> P$20</f>
        <v>44927.0</v>
      </c>
      <c r="Q24" s="205">
        <f> Q$20</f>
        <v>45017.0</v>
      </c>
      <c r="R24" s="205">
        <f> R$20</f>
        <v>45108.0</v>
      </c>
      <c r="S24" s="205">
        <f> S$20</f>
        <v>45200.0</v>
      </c>
      <c r="T24" s="205">
        <f> T$20</f>
        <v>45292.0</v>
      </c>
      <c r="U24" s="205">
        <f> U$20</f>
        <v>45383.0</v>
      </c>
      <c r="V24" s="205">
        <f> V$20</f>
        <v>45474.0</v>
      </c>
      <c r="W24" s="205">
        <f> W$20</f>
        <v>45566.0</v>
      </c>
      <c r="X24" s="205">
        <f> X$20</f>
        <v>45658.0</v>
      </c>
      <c r="Y24" s="205">
        <f> Y$20</f>
        <v>45748.0</v>
      </c>
      <c r="Z24" s="205">
        <f> Z$20</f>
        <v>45839.0</v>
      </c>
      <c r="AA24" s="205">
        <f> AA$20</f>
        <v>45931.0</v>
      </c>
      <c r="AB24" s="205">
        <f> AB$20</f>
        <v>46023.0</v>
      </c>
      <c r="AC24" s="205">
        <f> AC$20</f>
        <v>46113.0</v>
      </c>
      <c r="AD24" s="205">
        <f> AD$20</f>
        <v>46204.0</v>
      </c>
      <c r="AE24" s="205">
        <f> AE$20</f>
        <v>46296.0</v>
      </c>
      <c r="AF24" s="205">
        <f> AF$20</f>
        <v>46388.0</v>
      </c>
      <c r="AG24" s="205">
        <f> AG$20</f>
        <v>46478.0</v>
      </c>
      <c r="AH24" s="205">
        <f> AH$20</f>
        <v>46569.0</v>
      </c>
      <c r="AI24" s="205">
        <f> AI$20</f>
        <v>46661.0</v>
      </c>
      <c r="AJ24" s="205">
        <f> AJ$20</f>
        <v>46753.0</v>
      </c>
      <c r="AK24" s="205">
        <f> AK$20</f>
        <v>46844.0</v>
      </c>
      <c r="AL24" s="205">
        <f> AL$20</f>
        <v>46935.0</v>
      </c>
      <c r="AM24" s="205">
        <f> AM$20</f>
        <v>47027.0</v>
      </c>
      <c r="AN24" s="205">
        <f> AN$20</f>
        <v>47119.0</v>
      </c>
      <c r="AO24" s="205">
        <f> AO$20</f>
        <v>47209.0</v>
      </c>
      <c r="AP24" s="205">
        <f> AP$20</f>
        <v>47300.0</v>
      </c>
      <c r="AQ24" s="205">
        <f> AQ$20</f>
        <v>47392.0</v>
      </c>
      <c r="AR24" s="205">
        <f> AR$20</f>
        <v>47484.0</v>
      </c>
      <c r="AS24" s="205">
        <f> AS$20</f>
        <v>47574.0</v>
      </c>
      <c r="AT24" s="205">
        <f> AT$20</f>
        <v>47665.0</v>
      </c>
      <c r="AU24" s="205">
        <f> AU$20</f>
        <v>47757.0</v>
      </c>
      <c r="AV24" s="205">
        <f> AV$20</f>
        <v>47849.0</v>
      </c>
      <c r="AW24" s="205">
        <f> AW$20</f>
        <v>47939.0</v>
      </c>
      <c r="AX24" s="205">
        <f> AX$20</f>
        <v>48030.0</v>
      </c>
      <c r="AY24" s="205">
        <f> AY$20</f>
        <v>48122.0</v>
      </c>
      <c r="AZ24" s="205">
        <f> AZ$20</f>
        <v>48214.0</v>
      </c>
      <c r="BA24" s="205">
        <f> BA$20</f>
        <v>48305.0</v>
      </c>
      <c r="BB24" s="205">
        <f> BB$20</f>
        <v>48396.0</v>
      </c>
      <c r="BC24" s="205">
        <f> BC$20</f>
        <v>48488.0</v>
      </c>
      <c r="BD24" s="205">
        <f> BD$20</f>
        <v>48580.0</v>
      </c>
      <c r="BE24" s="205">
        <f> BE$20</f>
        <v>48670.0</v>
      </c>
      <c r="BF24" s="205">
        <f> BF$20</f>
        <v>48761.0</v>
      </c>
      <c r="BG24" s="205">
        <f> BG$20</f>
        <v>48853.0</v>
      </c>
      <c r="BH24" s="205">
        <f> BH$20</f>
        <v>48945.0</v>
      </c>
      <c r="BI24" s="205">
        <f> BI$20</f>
        <v>49035.0</v>
      </c>
      <c r="BJ24" s="205">
        <f> BJ$20</f>
        <v>49126.0</v>
      </c>
      <c r="BK24" s="205">
        <f> BK$20</f>
        <v>49218.0</v>
      </c>
      <c r="BL24" s="205">
        <f> BL$20</f>
        <v>49310.0</v>
      </c>
      <c r="BM24" s="205">
        <f> BM$20</f>
        <v>49400.0</v>
      </c>
      <c r="BN24" s="205">
        <f> BN$20</f>
        <v>49491.0</v>
      </c>
      <c r="BO24" s="205">
        <f> BO$20</f>
        <v>49583.0</v>
      </c>
      <c r="BP24" s="205">
        <f> BP$20</f>
        <v>49675.0</v>
      </c>
      <c r="BQ24" s="205">
        <f> BQ$20</f>
        <v>49766.0</v>
      </c>
      <c r="BR24" s="205">
        <f> BR$20</f>
        <v>49857.0</v>
      </c>
      <c r="BS24" s="205">
        <f> BS$20</f>
        <v>49949.0</v>
      </c>
      <c r="BT24" s="205">
        <f> BT$20</f>
        <v>50041.0</v>
      </c>
      <c r="BU24" s="205">
        <f> BU$20</f>
        <v>50131.0</v>
      </c>
      <c r="BV24" s="205">
        <f> BV$20</f>
        <v>50222.0</v>
      </c>
      <c r="BW24" s="205">
        <f> BW$20</f>
        <v>50314.0</v>
      </c>
      <c r="BX24" s="205">
        <f> BX$20</f>
        <v>50406.0</v>
      </c>
      <c r="BY24" s="205">
        <f> BY$20</f>
        <v>50496.0</v>
      </c>
      <c r="BZ24" s="205">
        <f> BZ$20</f>
        <v>50587.0</v>
      </c>
      <c r="CA24" s="205">
        <f> CA$20</f>
        <v>50679.0</v>
      </c>
      <c r="CB24" s="205">
        <f> CB$20</f>
        <v>50771.0</v>
      </c>
      <c r="CC24" s="205">
        <f> CC$20</f>
        <v>50861.0</v>
      </c>
      <c r="CD24" s="205">
        <f> CD$20</f>
        <v>50952.0</v>
      </c>
      <c r="CE24" s="205">
        <f> CE$20</f>
        <v>51044.0</v>
      </c>
      <c r="CF24" s="205">
        <f> CF$20</f>
        <v>51136.0</v>
      </c>
      <c r="CG24" s="205">
        <f> CG$20</f>
        <v>51227.0</v>
      </c>
      <c r="CH24" s="205">
        <f> CH$20</f>
        <v>51318.0</v>
      </c>
      <c r="CI24" s="205">
        <f> CI$20</f>
        <v>51410.0</v>
      </c>
      <c r="CJ24" s="205">
        <f> CJ$20</f>
        <v>51502.0</v>
      </c>
      <c r="CK24" s="205">
        <f> CK$20</f>
        <v>51592.0</v>
      </c>
      <c r="CL24" s="205">
        <f> CL$20</f>
        <v>51683.0</v>
      </c>
      <c r="CM24" s="205">
        <f> CM$20</f>
        <v>51775.0</v>
      </c>
      <c r="CN24" s="205">
        <f> CN$20</f>
        <v>51867.0</v>
      </c>
      <c r="CO24" s="205">
        <f> CO$20</f>
        <v>51957.0</v>
      </c>
    </row>
    <row r="25" customFormat="1" s="315">
      <c r="A25" s="311" t="n"/>
      <c r="B25" s="311" t="n"/>
      <c r="C25" s="312" t="n"/>
      <c r="D25" s="313" t="n"/>
      <c r="E25" s="314" t="inlineStr">
        <is>
          <t xml:space="preserve">Model period ending </t>
        </is>
      </c>
      <c r="F25" s="314" t="n"/>
      <c r="G25" s="314" t="inlineStr">
        <is>
          <t>date</t>
        </is>
      </c>
      <c r="H25" s="314" t="n"/>
      <c r="I25" s="314" t="n"/>
      <c r="J25" s="314">
        <f> DATE(YEAR(J24), MONTH(J24) + $F23, DAY(J24) -1)</f>
        <v>44469.0</v>
      </c>
      <c r="K25" s="314">
        <f> DATE(YEAR(K24), MONTH(K24) + $F23, DAY(K24) -1)</f>
        <v>44561.0</v>
      </c>
      <c r="L25" s="314">
        <f> DATE(YEAR(L24), MONTH(L24) + $F23, DAY(L24) -1)</f>
        <v>44651.0</v>
      </c>
      <c r="M25" s="314">
        <f> DATE(YEAR(M24), MONTH(M24) + $F23, DAY(M24) -1)</f>
        <v>44742.0</v>
      </c>
      <c r="N25" s="314">
        <f> DATE(YEAR(N24), MONTH(N24) + $F23, DAY(N24) -1)</f>
        <v>44834.0</v>
      </c>
      <c r="O25" s="314">
        <f> DATE(YEAR(O24), MONTH(O24) + $F23, DAY(O24) -1)</f>
        <v>44926.0</v>
      </c>
      <c r="P25" s="314">
        <f> DATE(YEAR(P24), MONTH(P24) + $F23, DAY(P24) -1)</f>
        <v>45016.0</v>
      </c>
      <c r="Q25" s="314">
        <f> DATE(YEAR(Q24), MONTH(Q24) + $F23, DAY(Q24) -1)</f>
        <v>45107.0</v>
      </c>
      <c r="R25" s="314">
        <f> DATE(YEAR(R24), MONTH(R24) + $F23, DAY(R24) -1)</f>
        <v>45199.0</v>
      </c>
      <c r="S25" s="314">
        <f> DATE(YEAR(S24), MONTH(S24) + $F23, DAY(S24) -1)</f>
        <v>45291.0</v>
      </c>
      <c r="T25" s="314">
        <f> DATE(YEAR(T24), MONTH(T24) + $F23, DAY(T24) -1)</f>
        <v>45382.0</v>
      </c>
      <c r="U25" s="314">
        <f> DATE(YEAR(U24), MONTH(U24) + $F23, DAY(U24) -1)</f>
        <v>45473.0</v>
      </c>
      <c r="V25" s="314">
        <f> DATE(YEAR(V24), MONTH(V24) + $F23, DAY(V24) -1)</f>
        <v>45565.0</v>
      </c>
      <c r="W25" s="314">
        <f> DATE(YEAR(W24), MONTH(W24) + $F23, DAY(W24) -1)</f>
        <v>45657.0</v>
      </c>
      <c r="X25" s="314">
        <f> DATE(YEAR(X24), MONTH(X24) + $F23, DAY(X24) -1)</f>
        <v>45747.0</v>
      </c>
      <c r="Y25" s="314">
        <f> DATE(YEAR(Y24), MONTH(Y24) + $F23, DAY(Y24) -1)</f>
        <v>45838.0</v>
      </c>
      <c r="Z25" s="314">
        <f> DATE(YEAR(Z24), MONTH(Z24) + $F23, DAY(Z24) -1)</f>
        <v>45930.0</v>
      </c>
      <c r="AA25" s="314">
        <f> DATE(YEAR(AA24), MONTH(AA24) + $F23, DAY(AA24) -1)</f>
        <v>46022.0</v>
      </c>
      <c r="AB25" s="314">
        <f> DATE(YEAR(AB24), MONTH(AB24) + $F23, DAY(AB24) -1)</f>
        <v>46112.0</v>
      </c>
      <c r="AC25" s="314">
        <f> DATE(YEAR(AC24), MONTH(AC24) + $F23, DAY(AC24) -1)</f>
        <v>46203.0</v>
      </c>
      <c r="AD25" s="314">
        <f> DATE(YEAR(AD24), MONTH(AD24) + $F23, DAY(AD24) -1)</f>
        <v>46295.0</v>
      </c>
      <c r="AE25" s="314">
        <f> DATE(YEAR(AE24), MONTH(AE24) + $F23, DAY(AE24) -1)</f>
        <v>46387.0</v>
      </c>
      <c r="AF25" s="314">
        <f> DATE(YEAR(AF24), MONTH(AF24) + $F23, DAY(AF24) -1)</f>
        <v>46477.0</v>
      </c>
      <c r="AG25" s="314">
        <f> DATE(YEAR(AG24), MONTH(AG24) + $F23, DAY(AG24) -1)</f>
        <v>46568.0</v>
      </c>
      <c r="AH25" s="314">
        <f> DATE(YEAR(AH24), MONTH(AH24) + $F23, DAY(AH24) -1)</f>
        <v>46660.0</v>
      </c>
      <c r="AI25" s="314">
        <f> DATE(YEAR(AI24), MONTH(AI24) + $F23, DAY(AI24) -1)</f>
        <v>46752.0</v>
      </c>
      <c r="AJ25" s="314">
        <f> DATE(YEAR(AJ24), MONTH(AJ24) + $F23, DAY(AJ24) -1)</f>
        <v>46843.0</v>
      </c>
      <c r="AK25" s="314">
        <f> DATE(YEAR(AK24), MONTH(AK24) + $F23, DAY(AK24) -1)</f>
        <v>46934.0</v>
      </c>
      <c r="AL25" s="314">
        <f> DATE(YEAR(AL24), MONTH(AL24) + $F23, DAY(AL24) -1)</f>
        <v>47026.0</v>
      </c>
      <c r="AM25" s="314">
        <f> DATE(YEAR(AM24), MONTH(AM24) + $F23, DAY(AM24) -1)</f>
        <v>47118.0</v>
      </c>
      <c r="AN25" s="314">
        <f> DATE(YEAR(AN24), MONTH(AN24) + $F23, DAY(AN24) -1)</f>
        <v>47208.0</v>
      </c>
      <c r="AO25" s="314">
        <f> DATE(YEAR(AO24), MONTH(AO24) + $F23, DAY(AO24) -1)</f>
        <v>47299.0</v>
      </c>
      <c r="AP25" s="314">
        <f> DATE(YEAR(AP24), MONTH(AP24) + $F23, DAY(AP24) -1)</f>
        <v>47391.0</v>
      </c>
      <c r="AQ25" s="314">
        <f> DATE(YEAR(AQ24), MONTH(AQ24) + $F23, DAY(AQ24) -1)</f>
        <v>47483.0</v>
      </c>
      <c r="AR25" s="314">
        <f> DATE(YEAR(AR24), MONTH(AR24) + $F23, DAY(AR24) -1)</f>
        <v>47573.0</v>
      </c>
      <c r="AS25" s="314">
        <f> DATE(YEAR(AS24), MONTH(AS24) + $F23, DAY(AS24) -1)</f>
        <v>47664.0</v>
      </c>
      <c r="AT25" s="314">
        <f> DATE(YEAR(AT24), MONTH(AT24) + $F23, DAY(AT24) -1)</f>
        <v>47756.0</v>
      </c>
      <c r="AU25" s="314">
        <f> DATE(YEAR(AU24), MONTH(AU24) + $F23, DAY(AU24) -1)</f>
        <v>47848.0</v>
      </c>
      <c r="AV25" s="314">
        <f> DATE(YEAR(AV24), MONTH(AV24) + $F23, DAY(AV24) -1)</f>
        <v>47938.0</v>
      </c>
      <c r="AW25" s="314">
        <f> DATE(YEAR(AW24), MONTH(AW24) + $F23, DAY(AW24) -1)</f>
        <v>48029.0</v>
      </c>
      <c r="AX25" s="314">
        <f> DATE(YEAR(AX24), MONTH(AX24) + $F23, DAY(AX24) -1)</f>
        <v>48121.0</v>
      </c>
      <c r="AY25" s="314">
        <f> DATE(YEAR(AY24), MONTH(AY24) + $F23, DAY(AY24) -1)</f>
        <v>48213.0</v>
      </c>
      <c r="AZ25" s="314">
        <f> DATE(YEAR(AZ24), MONTH(AZ24) + $F23, DAY(AZ24) -1)</f>
        <v>48304.0</v>
      </c>
      <c r="BA25" s="314">
        <f> DATE(YEAR(BA24), MONTH(BA24) + $F23, DAY(BA24) -1)</f>
        <v>48395.0</v>
      </c>
      <c r="BB25" s="314">
        <f> DATE(YEAR(BB24), MONTH(BB24) + $F23, DAY(BB24) -1)</f>
        <v>48487.0</v>
      </c>
      <c r="BC25" s="314">
        <f> DATE(YEAR(BC24), MONTH(BC24) + $F23, DAY(BC24) -1)</f>
        <v>48579.0</v>
      </c>
      <c r="BD25" s="314">
        <f> DATE(YEAR(BD24), MONTH(BD24) + $F23, DAY(BD24) -1)</f>
        <v>48669.0</v>
      </c>
      <c r="BE25" s="314">
        <f> DATE(YEAR(BE24), MONTH(BE24) + $F23, DAY(BE24) -1)</f>
        <v>48760.0</v>
      </c>
      <c r="BF25" s="314">
        <f> DATE(YEAR(BF24), MONTH(BF24) + $F23, DAY(BF24) -1)</f>
        <v>48852.0</v>
      </c>
      <c r="BG25" s="314">
        <f> DATE(YEAR(BG24), MONTH(BG24) + $F23, DAY(BG24) -1)</f>
        <v>48944.0</v>
      </c>
      <c r="BH25" s="314">
        <f> DATE(YEAR(BH24), MONTH(BH24) + $F23, DAY(BH24) -1)</f>
        <v>49034.0</v>
      </c>
      <c r="BI25" s="314">
        <f> DATE(YEAR(BI24), MONTH(BI24) + $F23, DAY(BI24) -1)</f>
        <v>49125.0</v>
      </c>
      <c r="BJ25" s="314">
        <f> DATE(YEAR(BJ24), MONTH(BJ24) + $F23, DAY(BJ24) -1)</f>
        <v>49217.0</v>
      </c>
      <c r="BK25" s="314">
        <f> DATE(YEAR(BK24), MONTH(BK24) + $F23, DAY(BK24) -1)</f>
        <v>49309.0</v>
      </c>
      <c r="BL25" s="314">
        <f> DATE(YEAR(BL24), MONTH(BL24) + $F23, DAY(BL24) -1)</f>
        <v>49399.0</v>
      </c>
      <c r="BM25" s="314">
        <f> DATE(YEAR(BM24), MONTH(BM24) + $F23, DAY(BM24) -1)</f>
        <v>49490.0</v>
      </c>
      <c r="BN25" s="314">
        <f> DATE(YEAR(BN24), MONTH(BN24) + $F23, DAY(BN24) -1)</f>
        <v>49582.0</v>
      </c>
      <c r="BO25" s="314">
        <f> DATE(YEAR(BO24), MONTH(BO24) + $F23, DAY(BO24) -1)</f>
        <v>49674.0</v>
      </c>
      <c r="BP25" s="314">
        <f> DATE(YEAR(BP24), MONTH(BP24) + $F23, DAY(BP24) -1)</f>
        <v>49765.0</v>
      </c>
      <c r="BQ25" s="314">
        <f> DATE(YEAR(BQ24), MONTH(BQ24) + $F23, DAY(BQ24) -1)</f>
        <v>49856.0</v>
      </c>
      <c r="BR25" s="314">
        <f> DATE(YEAR(BR24), MONTH(BR24) + $F23, DAY(BR24) -1)</f>
        <v>49948.0</v>
      </c>
      <c r="BS25" s="314">
        <f> DATE(YEAR(BS24), MONTH(BS24) + $F23, DAY(BS24) -1)</f>
        <v>50040.0</v>
      </c>
      <c r="BT25" s="314">
        <f> DATE(YEAR(BT24), MONTH(BT24) + $F23, DAY(BT24) -1)</f>
        <v>50130.0</v>
      </c>
      <c r="BU25" s="314">
        <f> DATE(YEAR(BU24), MONTH(BU24) + $F23, DAY(BU24) -1)</f>
        <v>50221.0</v>
      </c>
      <c r="BV25" s="314">
        <f> DATE(YEAR(BV24), MONTH(BV24) + $F23, DAY(BV24) -1)</f>
        <v>50313.0</v>
      </c>
      <c r="BW25" s="314">
        <f> DATE(YEAR(BW24), MONTH(BW24) + $F23, DAY(BW24) -1)</f>
        <v>50405.0</v>
      </c>
      <c r="BX25" s="314">
        <f> DATE(YEAR(BX24), MONTH(BX24) + $F23, DAY(BX24) -1)</f>
        <v>50495.0</v>
      </c>
      <c r="BY25" s="314">
        <f> DATE(YEAR(BY24), MONTH(BY24) + $F23, DAY(BY24) -1)</f>
        <v>50586.0</v>
      </c>
      <c r="BZ25" s="314">
        <f> DATE(YEAR(BZ24), MONTH(BZ24) + $F23, DAY(BZ24) -1)</f>
        <v>50678.0</v>
      </c>
      <c r="CA25" s="314">
        <f> DATE(YEAR(CA24), MONTH(CA24) + $F23, DAY(CA24) -1)</f>
        <v>50770.0</v>
      </c>
      <c r="CB25" s="314">
        <f> DATE(YEAR(CB24), MONTH(CB24) + $F23, DAY(CB24) -1)</f>
        <v>50860.0</v>
      </c>
      <c r="CC25" s="314">
        <f> DATE(YEAR(CC24), MONTH(CC24) + $F23, DAY(CC24) -1)</f>
        <v>50951.0</v>
      </c>
      <c r="CD25" s="314">
        <f> DATE(YEAR(CD24), MONTH(CD24) + $F23, DAY(CD24) -1)</f>
        <v>51043.0</v>
      </c>
      <c r="CE25" s="314">
        <f> DATE(YEAR(CE24), MONTH(CE24) + $F23, DAY(CE24) -1)</f>
        <v>51135.0</v>
      </c>
      <c r="CF25" s="314">
        <f> DATE(YEAR(CF24), MONTH(CF24) + $F23, DAY(CF24) -1)</f>
        <v>51226.0</v>
      </c>
      <c r="CG25" s="314">
        <f> DATE(YEAR(CG24), MONTH(CG24) + $F23, DAY(CG24) -1)</f>
        <v>51317.0</v>
      </c>
      <c r="CH25" s="314">
        <f> DATE(YEAR(CH24), MONTH(CH24) + $F23, DAY(CH24) -1)</f>
        <v>51409.0</v>
      </c>
      <c r="CI25" s="314">
        <f> DATE(YEAR(CI24), MONTH(CI24) + $F23, DAY(CI24) -1)</f>
        <v>51501.0</v>
      </c>
      <c r="CJ25" s="314">
        <f> DATE(YEAR(CJ24), MONTH(CJ24) + $F23, DAY(CJ24) -1)</f>
        <v>51591.0</v>
      </c>
      <c r="CK25" s="314">
        <f> DATE(YEAR(CK24), MONTH(CK24) + $F23, DAY(CK24) -1)</f>
        <v>51682.0</v>
      </c>
      <c r="CL25" s="314">
        <f> DATE(YEAR(CL24), MONTH(CL24) + $F23, DAY(CL24) -1)</f>
        <v>51774.0</v>
      </c>
      <c r="CM25" s="314">
        <f> DATE(YEAR(CM24), MONTH(CM24) + $F23, DAY(CM24) -1)</f>
        <v>51866.0</v>
      </c>
      <c r="CN25" s="314">
        <f> DATE(YEAR(CN24), MONTH(CN24) + $F23, DAY(CN24) -1)</f>
        <v>51956.0</v>
      </c>
      <c r="CO25" s="314">
        <f> DATE(YEAR(CO24), MONTH(CO24) + $F23, DAY(CO24) -1)</f>
        <v>52047.0</v>
      </c>
    </row>
    <row r="26" customFormat="1" s="146">
      <c r="A26" s="163" t="n"/>
      <c r="B26" s="163" t="n"/>
      <c r="C26" s="172" t="n"/>
      <c r="D26" s="169" t="n"/>
      <c r="E26" s="169" t="n"/>
      <c r="F26" s="169" t="n"/>
      <c r="G26" s="169" t="n"/>
      <c r="H26" s="169" t="n"/>
      <c r="I26" s="169" t="n"/>
      <c r="J26" s="169" t="n"/>
      <c r="K26" s="169" t="n"/>
      <c r="L26" s="169" t="n"/>
      <c r="M26" s="169" t="n"/>
      <c r="N26" s="169" t="n"/>
      <c r="O26" s="169" t="n"/>
      <c r="P26" s="169" t="n"/>
      <c r="Q26" s="169" t="n"/>
      <c r="R26" s="169" t="n"/>
      <c r="S26" s="169" t="n"/>
      <c r="T26" s="169" t="n"/>
      <c r="U26" s="169" t="n"/>
      <c r="V26" s="169" t="n"/>
      <c r="W26" s="169" t="n"/>
      <c r="X26" s="169" t="n"/>
      <c r="Y26" s="169" t="n"/>
      <c r="Z26" s="169" t="n"/>
      <c r="AA26" s="169" t="n"/>
      <c r="AB26" s="169" t="n"/>
      <c r="AC26" s="169" t="n"/>
      <c r="AD26" s="169" t="n"/>
      <c r="AE26" s="169" t="n"/>
      <c r="AF26" s="169" t="n"/>
      <c r="AG26" s="169" t="n"/>
      <c r="AH26" s="169" t="n"/>
      <c r="AI26" s="169"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row>
    <row r="27" customFormat="1" s="146">
      <c r="A27" s="163" t="n"/>
      <c r="B27" s="163" t="inlineStr">
        <is>
          <t>Days in model period</t>
        </is>
      </c>
      <c r="C27" s="172" t="n"/>
      <c r="D27" s="169" t="n"/>
      <c r="E27" s="169" t="n"/>
      <c r="F27" s="169" t="n"/>
      <c r="G27" s="169" t="n"/>
      <c r="H27" s="169" t="n"/>
      <c r="I27" s="169" t="n"/>
      <c r="J27" s="169" t="n"/>
      <c r="K27" s="169" t="n"/>
      <c r="L27" s="169" t="n"/>
      <c r="M27" s="169" t="n"/>
      <c r="N27" s="169" t="n"/>
      <c r="O27" s="169" t="n"/>
      <c r="P27" s="169" t="n"/>
      <c r="Q27" s="169" t="n"/>
      <c r="R27" s="169" t="n"/>
      <c r="S27" s="169" t="n"/>
      <c r="T27" s="169" t="n"/>
      <c r="U27" s="169" t="n"/>
      <c r="V27" s="169" t="n"/>
      <c r="W27" s="169" t="n"/>
      <c r="X27" s="169" t="n"/>
      <c r="Y27" s="169" t="n"/>
      <c r="Z27" s="169" t="n"/>
      <c r="AA27" s="169" t="n"/>
      <c r="AB27" s="169" t="n"/>
      <c r="AC27" s="169" t="n"/>
      <c r="AD27" s="169" t="n"/>
      <c r="AE27" s="169" t="n"/>
      <c r="AF27" s="169" t="n"/>
      <c r="AG27" s="169" t="n"/>
      <c r="AH27" s="169" t="n"/>
      <c r="AI27" s="169"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row>
    <row r="28" customFormat="1" s="146">
      <c r="A28" s="163" t="n"/>
      <c r="B28" s="163" t="n"/>
      <c r="C28" s="172" t="n"/>
      <c r="D28" s="169" t="n"/>
      <c r="E28" s="114" t="str">
        <f> E$25</f>
        <v>Model period ending </v>
      </c>
      <c r="F28" s="114">
        <f> F$25</f>
        <v>0.0</v>
      </c>
      <c r="G28" s="114" t="str">
        <f> G$25</f>
        <v>date</v>
      </c>
      <c r="H28" s="114">
        <f> H$25</f>
        <v>0.0</v>
      </c>
      <c r="I28" s="114">
        <f> I$25</f>
        <v>0.0</v>
      </c>
      <c r="J28" s="114">
        <f> J$25</f>
        <v>44469.0</v>
      </c>
      <c r="K28" s="114">
        <f> K$25</f>
        <v>44561.0</v>
      </c>
      <c r="L28" s="114">
        <f> L$25</f>
        <v>44651.0</v>
      </c>
      <c r="M28" s="114">
        <f> M$25</f>
        <v>44742.0</v>
      </c>
      <c r="N28" s="114">
        <f> N$25</f>
        <v>44834.0</v>
      </c>
      <c r="O28" s="114">
        <f> O$25</f>
        <v>44926.0</v>
      </c>
      <c r="P28" s="114">
        <f> P$25</f>
        <v>45016.0</v>
      </c>
      <c r="Q28" s="114">
        <f> Q$25</f>
        <v>45107.0</v>
      </c>
      <c r="R28" s="114">
        <f> R$25</f>
        <v>45199.0</v>
      </c>
      <c r="S28" s="114">
        <f> S$25</f>
        <v>45291.0</v>
      </c>
      <c r="T28" s="114">
        <f> T$25</f>
        <v>45382.0</v>
      </c>
      <c r="U28" s="114">
        <f> U$25</f>
        <v>45473.0</v>
      </c>
      <c r="V28" s="114">
        <f> V$25</f>
        <v>45565.0</v>
      </c>
      <c r="W28" s="114">
        <f> W$25</f>
        <v>45657.0</v>
      </c>
      <c r="X28" s="114">
        <f> X$25</f>
        <v>45747.0</v>
      </c>
      <c r="Y28" s="114">
        <f> Y$25</f>
        <v>45838.0</v>
      </c>
      <c r="Z28" s="114">
        <f> Z$25</f>
        <v>45930.0</v>
      </c>
      <c r="AA28" s="114">
        <f> AA$25</f>
        <v>46022.0</v>
      </c>
      <c r="AB28" s="114">
        <f> AB$25</f>
        <v>46112.0</v>
      </c>
      <c r="AC28" s="114">
        <f> AC$25</f>
        <v>46203.0</v>
      </c>
      <c r="AD28" s="114">
        <f> AD$25</f>
        <v>46295.0</v>
      </c>
      <c r="AE28" s="114">
        <f> AE$25</f>
        <v>46387.0</v>
      </c>
      <c r="AF28" s="114">
        <f> AF$25</f>
        <v>46477.0</v>
      </c>
      <c r="AG28" s="114">
        <f> AG$25</f>
        <v>46568.0</v>
      </c>
      <c r="AH28" s="114">
        <f> AH$25</f>
        <v>46660.0</v>
      </c>
      <c r="AI28" s="114">
        <f> AI$25</f>
        <v>46752.0</v>
      </c>
      <c r="AJ28" s="114">
        <f> AJ$25</f>
        <v>46843.0</v>
      </c>
      <c r="AK28" s="114">
        <f> AK$25</f>
        <v>46934.0</v>
      </c>
      <c r="AL28" s="114">
        <f> AL$25</f>
        <v>47026.0</v>
      </c>
      <c r="AM28" s="114">
        <f> AM$25</f>
        <v>47118.0</v>
      </c>
      <c r="AN28" s="114">
        <f> AN$25</f>
        <v>47208.0</v>
      </c>
      <c r="AO28" s="114">
        <f> AO$25</f>
        <v>47299.0</v>
      </c>
      <c r="AP28" s="114">
        <f> AP$25</f>
        <v>47391.0</v>
      </c>
      <c r="AQ28" s="114">
        <f> AQ$25</f>
        <v>47483.0</v>
      </c>
      <c r="AR28" s="114">
        <f> AR$25</f>
        <v>47573.0</v>
      </c>
      <c r="AS28" s="114">
        <f> AS$25</f>
        <v>47664.0</v>
      </c>
      <c r="AT28" s="114">
        <f> AT$25</f>
        <v>47756.0</v>
      </c>
      <c r="AU28" s="114">
        <f> AU$25</f>
        <v>47848.0</v>
      </c>
      <c r="AV28" s="114">
        <f> AV$25</f>
        <v>47938.0</v>
      </c>
      <c r="AW28" s="114">
        <f> AW$25</f>
        <v>48029.0</v>
      </c>
      <c r="AX28" s="114">
        <f> AX$25</f>
        <v>48121.0</v>
      </c>
      <c r="AY28" s="114">
        <f> AY$25</f>
        <v>48213.0</v>
      </c>
      <c r="AZ28" s="114">
        <f> AZ$25</f>
        <v>48304.0</v>
      </c>
      <c r="BA28" s="114">
        <f> BA$25</f>
        <v>48395.0</v>
      </c>
      <c r="BB28" s="114">
        <f> BB$25</f>
        <v>48487.0</v>
      </c>
      <c r="BC28" s="114">
        <f> BC$25</f>
        <v>48579.0</v>
      </c>
      <c r="BD28" s="114">
        <f> BD$25</f>
        <v>48669.0</v>
      </c>
      <c r="BE28" s="114">
        <f> BE$25</f>
        <v>48760.0</v>
      </c>
      <c r="BF28" s="114">
        <f> BF$25</f>
        <v>48852.0</v>
      </c>
      <c r="BG28" s="114">
        <f> BG$25</f>
        <v>48944.0</v>
      </c>
      <c r="BH28" s="114">
        <f> BH$25</f>
        <v>49034.0</v>
      </c>
      <c r="BI28" s="114">
        <f> BI$25</f>
        <v>49125.0</v>
      </c>
      <c r="BJ28" s="114">
        <f> BJ$25</f>
        <v>49217.0</v>
      </c>
      <c r="BK28" s="114">
        <f> BK$25</f>
        <v>49309.0</v>
      </c>
      <c r="BL28" s="114">
        <f> BL$25</f>
        <v>49399.0</v>
      </c>
      <c r="BM28" s="114">
        <f> BM$25</f>
        <v>49490.0</v>
      </c>
      <c r="BN28" s="114">
        <f> BN$25</f>
        <v>49582.0</v>
      </c>
      <c r="BO28" s="114">
        <f> BO$25</f>
        <v>49674.0</v>
      </c>
      <c r="BP28" s="114">
        <f> BP$25</f>
        <v>49765.0</v>
      </c>
      <c r="BQ28" s="114">
        <f> BQ$25</f>
        <v>49856.0</v>
      </c>
      <c r="BR28" s="114">
        <f> BR$25</f>
        <v>49948.0</v>
      </c>
      <c r="BS28" s="114">
        <f> BS$25</f>
        <v>50040.0</v>
      </c>
      <c r="BT28" s="114">
        <f> BT$25</f>
        <v>50130.0</v>
      </c>
      <c r="BU28" s="114">
        <f> BU$25</f>
        <v>50221.0</v>
      </c>
      <c r="BV28" s="114">
        <f> BV$25</f>
        <v>50313.0</v>
      </c>
      <c r="BW28" s="114">
        <f> BW$25</f>
        <v>50405.0</v>
      </c>
      <c r="BX28" s="114">
        <f> BX$25</f>
        <v>50495.0</v>
      </c>
      <c r="BY28" s="114">
        <f> BY$25</f>
        <v>50586.0</v>
      </c>
      <c r="BZ28" s="114">
        <f> BZ$25</f>
        <v>50678.0</v>
      </c>
      <c r="CA28" s="114">
        <f> CA$25</f>
        <v>50770.0</v>
      </c>
      <c r="CB28" s="114">
        <f> CB$25</f>
        <v>50860.0</v>
      </c>
      <c r="CC28" s="114">
        <f> CC$25</f>
        <v>50951.0</v>
      </c>
      <c r="CD28" s="114">
        <f> CD$25</f>
        <v>51043.0</v>
      </c>
      <c r="CE28" s="114">
        <f> CE$25</f>
        <v>51135.0</v>
      </c>
      <c r="CF28" s="114">
        <f> CF$25</f>
        <v>51226.0</v>
      </c>
      <c r="CG28" s="114">
        <f> CG$25</f>
        <v>51317.0</v>
      </c>
      <c r="CH28" s="114">
        <f> CH$25</f>
        <v>51409.0</v>
      </c>
      <c r="CI28" s="114">
        <f> CI$25</f>
        <v>51501.0</v>
      </c>
      <c r="CJ28" s="114">
        <f> CJ$25</f>
        <v>51591.0</v>
      </c>
      <c r="CK28" s="114">
        <f> CK$25</f>
        <v>51682.0</v>
      </c>
      <c r="CL28" s="114">
        <f> CL$25</f>
        <v>51774.0</v>
      </c>
      <c r="CM28" s="114">
        <f> CM$25</f>
        <v>51866.0</v>
      </c>
      <c r="CN28" s="114">
        <f> CN$25</f>
        <v>51956.0</v>
      </c>
      <c r="CO28" s="114">
        <f> CO$25</f>
        <v>52047.0</v>
      </c>
    </row>
    <row r="29" customFormat="1" s="119">
      <c r="A29" s="167" t="n"/>
      <c r="B29" s="167" t="n"/>
      <c r="C29" s="237" t="n"/>
      <c r="D29" s="170" t="inlineStr">
        <is>
          <t>less</t>
        </is>
      </c>
      <c r="E29" s="205" t="str">
        <f> E$20</f>
        <v>Model period beginning </v>
      </c>
      <c r="F29" s="205">
        <f> F$20</f>
        <v>0.0</v>
      </c>
      <c r="G29" s="205" t="str">
        <f> G$20</f>
        <v>date</v>
      </c>
      <c r="H29" s="205">
        <f> H$20</f>
        <v>0.0</v>
      </c>
      <c r="I29" s="205">
        <f> I$20</f>
        <v>0.0</v>
      </c>
      <c r="J29" s="205">
        <f> J$20</f>
        <v>44378.0</v>
      </c>
      <c r="K29" s="205">
        <f> K$20</f>
        <v>44470.0</v>
      </c>
      <c r="L29" s="205">
        <f> L$20</f>
        <v>44562.0</v>
      </c>
      <c r="M29" s="205">
        <f> M$20</f>
        <v>44652.0</v>
      </c>
      <c r="N29" s="205">
        <f> N$20</f>
        <v>44743.0</v>
      </c>
      <c r="O29" s="205">
        <f> O$20</f>
        <v>44835.0</v>
      </c>
      <c r="P29" s="205">
        <f> P$20</f>
        <v>44927.0</v>
      </c>
      <c r="Q29" s="205">
        <f> Q$20</f>
        <v>45017.0</v>
      </c>
      <c r="R29" s="205">
        <f> R$20</f>
        <v>45108.0</v>
      </c>
      <c r="S29" s="205">
        <f> S$20</f>
        <v>45200.0</v>
      </c>
      <c r="T29" s="205">
        <f> T$20</f>
        <v>45292.0</v>
      </c>
      <c r="U29" s="205">
        <f> U$20</f>
        <v>45383.0</v>
      </c>
      <c r="V29" s="205">
        <f> V$20</f>
        <v>45474.0</v>
      </c>
      <c r="W29" s="205">
        <f> W$20</f>
        <v>45566.0</v>
      </c>
      <c r="X29" s="205">
        <f> X$20</f>
        <v>45658.0</v>
      </c>
      <c r="Y29" s="205">
        <f> Y$20</f>
        <v>45748.0</v>
      </c>
      <c r="Z29" s="205">
        <f> Z$20</f>
        <v>45839.0</v>
      </c>
      <c r="AA29" s="205">
        <f> AA$20</f>
        <v>45931.0</v>
      </c>
      <c r="AB29" s="205">
        <f> AB$20</f>
        <v>46023.0</v>
      </c>
      <c r="AC29" s="205">
        <f> AC$20</f>
        <v>46113.0</v>
      </c>
      <c r="AD29" s="205">
        <f> AD$20</f>
        <v>46204.0</v>
      </c>
      <c r="AE29" s="205">
        <f> AE$20</f>
        <v>46296.0</v>
      </c>
      <c r="AF29" s="205">
        <f> AF$20</f>
        <v>46388.0</v>
      </c>
      <c r="AG29" s="205">
        <f> AG$20</f>
        <v>46478.0</v>
      </c>
      <c r="AH29" s="205">
        <f> AH$20</f>
        <v>46569.0</v>
      </c>
      <c r="AI29" s="205">
        <f> AI$20</f>
        <v>46661.0</v>
      </c>
      <c r="AJ29" s="205">
        <f> AJ$20</f>
        <v>46753.0</v>
      </c>
      <c r="AK29" s="205">
        <f> AK$20</f>
        <v>46844.0</v>
      </c>
      <c r="AL29" s="205">
        <f> AL$20</f>
        <v>46935.0</v>
      </c>
      <c r="AM29" s="205">
        <f> AM$20</f>
        <v>47027.0</v>
      </c>
      <c r="AN29" s="205">
        <f> AN$20</f>
        <v>47119.0</v>
      </c>
      <c r="AO29" s="205">
        <f> AO$20</f>
        <v>47209.0</v>
      </c>
      <c r="AP29" s="205">
        <f> AP$20</f>
        <v>47300.0</v>
      </c>
      <c r="AQ29" s="205">
        <f> AQ$20</f>
        <v>47392.0</v>
      </c>
      <c r="AR29" s="205">
        <f> AR$20</f>
        <v>47484.0</v>
      </c>
      <c r="AS29" s="205">
        <f> AS$20</f>
        <v>47574.0</v>
      </c>
      <c r="AT29" s="205">
        <f> AT$20</f>
        <v>47665.0</v>
      </c>
      <c r="AU29" s="205">
        <f> AU$20</f>
        <v>47757.0</v>
      </c>
      <c r="AV29" s="205">
        <f> AV$20</f>
        <v>47849.0</v>
      </c>
      <c r="AW29" s="205">
        <f> AW$20</f>
        <v>47939.0</v>
      </c>
      <c r="AX29" s="205">
        <f> AX$20</f>
        <v>48030.0</v>
      </c>
      <c r="AY29" s="205">
        <f> AY$20</f>
        <v>48122.0</v>
      </c>
      <c r="AZ29" s="205">
        <f> AZ$20</f>
        <v>48214.0</v>
      </c>
      <c r="BA29" s="205">
        <f> BA$20</f>
        <v>48305.0</v>
      </c>
      <c r="BB29" s="205">
        <f> BB$20</f>
        <v>48396.0</v>
      </c>
      <c r="BC29" s="205">
        <f> BC$20</f>
        <v>48488.0</v>
      </c>
      <c r="BD29" s="205">
        <f> BD$20</f>
        <v>48580.0</v>
      </c>
      <c r="BE29" s="205">
        <f> BE$20</f>
        <v>48670.0</v>
      </c>
      <c r="BF29" s="205">
        <f> BF$20</f>
        <v>48761.0</v>
      </c>
      <c r="BG29" s="205">
        <f> BG$20</f>
        <v>48853.0</v>
      </c>
      <c r="BH29" s="205">
        <f> BH$20</f>
        <v>48945.0</v>
      </c>
      <c r="BI29" s="205">
        <f> BI$20</f>
        <v>49035.0</v>
      </c>
      <c r="BJ29" s="205">
        <f> BJ$20</f>
        <v>49126.0</v>
      </c>
      <c r="BK29" s="205">
        <f> BK$20</f>
        <v>49218.0</v>
      </c>
      <c r="BL29" s="205">
        <f> BL$20</f>
        <v>49310.0</v>
      </c>
      <c r="BM29" s="205">
        <f> BM$20</f>
        <v>49400.0</v>
      </c>
      <c r="BN29" s="205">
        <f> BN$20</f>
        <v>49491.0</v>
      </c>
      <c r="BO29" s="205">
        <f> BO$20</f>
        <v>49583.0</v>
      </c>
      <c r="BP29" s="205">
        <f> BP$20</f>
        <v>49675.0</v>
      </c>
      <c r="BQ29" s="205">
        <f> BQ$20</f>
        <v>49766.0</v>
      </c>
      <c r="BR29" s="205">
        <f> BR$20</f>
        <v>49857.0</v>
      </c>
      <c r="BS29" s="205">
        <f> BS$20</f>
        <v>49949.0</v>
      </c>
      <c r="BT29" s="205">
        <f> BT$20</f>
        <v>50041.0</v>
      </c>
      <c r="BU29" s="205">
        <f> BU$20</f>
        <v>50131.0</v>
      </c>
      <c r="BV29" s="205">
        <f> BV$20</f>
        <v>50222.0</v>
      </c>
      <c r="BW29" s="205">
        <f> BW$20</f>
        <v>50314.0</v>
      </c>
      <c r="BX29" s="205">
        <f> BX$20</f>
        <v>50406.0</v>
      </c>
      <c r="BY29" s="205">
        <f> BY$20</f>
        <v>50496.0</v>
      </c>
      <c r="BZ29" s="205">
        <f> BZ$20</f>
        <v>50587.0</v>
      </c>
      <c r="CA29" s="205">
        <f> CA$20</f>
        <v>50679.0</v>
      </c>
      <c r="CB29" s="205">
        <f> CB$20</f>
        <v>50771.0</v>
      </c>
      <c r="CC29" s="205">
        <f> CC$20</f>
        <v>50861.0</v>
      </c>
      <c r="CD29" s="205">
        <f> CD$20</f>
        <v>50952.0</v>
      </c>
      <c r="CE29" s="205">
        <f> CE$20</f>
        <v>51044.0</v>
      </c>
      <c r="CF29" s="205">
        <f> CF$20</f>
        <v>51136.0</v>
      </c>
      <c r="CG29" s="205">
        <f> CG$20</f>
        <v>51227.0</v>
      </c>
      <c r="CH29" s="205">
        <f> CH$20</f>
        <v>51318.0</v>
      </c>
      <c r="CI29" s="205">
        <f> CI$20</f>
        <v>51410.0</v>
      </c>
      <c r="CJ29" s="205">
        <f> CJ$20</f>
        <v>51502.0</v>
      </c>
      <c r="CK29" s="205">
        <f> CK$20</f>
        <v>51592.0</v>
      </c>
      <c r="CL29" s="205">
        <f> CL$20</f>
        <v>51683.0</v>
      </c>
      <c r="CM29" s="205">
        <f> CM$20</f>
        <v>51775.0</v>
      </c>
      <c r="CN29" s="205">
        <f> CN$20</f>
        <v>51867.0</v>
      </c>
      <c r="CO29" s="205">
        <f> CO$20</f>
        <v>51957.0</v>
      </c>
    </row>
    <row r="30" customFormat="1" s="369">
      <c r="A30" s="348" t="n"/>
      <c r="B30" s="348" t="n"/>
      <c r="C30" s="349" t="n"/>
      <c r="D30" s="150" t="n"/>
      <c r="E30" s="150" t="inlineStr">
        <is>
          <t>Days in model period</t>
        </is>
      </c>
      <c r="F30" s="150" t="n"/>
      <c r="G30" s="150" t="inlineStr">
        <is>
          <t>days</t>
        </is>
      </c>
      <c r="H30" s="150" t="n"/>
      <c r="I30" s="150" t="n"/>
      <c r="J30" s="150">
        <f>J28-J29+1</f>
        <v>92.0</v>
      </c>
      <c r="K30" s="150">
        <f>K28-K29+1</f>
        <v>92.0</v>
      </c>
      <c r="L30" s="150">
        <f>L28-L29+1</f>
        <v>90.0</v>
      </c>
      <c r="M30" s="150">
        <f>M28-M29+1</f>
        <v>91.0</v>
      </c>
      <c r="N30" s="150">
        <f>N28-N29+1</f>
        <v>92.0</v>
      </c>
      <c r="O30" s="150">
        <f>O28-O29+1</f>
        <v>92.0</v>
      </c>
      <c r="P30" s="150">
        <f>P28-P29+1</f>
        <v>90.0</v>
      </c>
      <c r="Q30" s="150">
        <f>Q28-Q29+1</f>
        <v>91.0</v>
      </c>
      <c r="R30" s="150">
        <f>R28-R29+1</f>
        <v>92.0</v>
      </c>
      <c r="S30" s="150">
        <f>S28-S29+1</f>
        <v>92.0</v>
      </c>
      <c r="T30" s="150">
        <f>T28-T29+1</f>
        <v>91.0</v>
      </c>
      <c r="U30" s="150">
        <f>U28-U29+1</f>
        <v>91.0</v>
      </c>
      <c r="V30" s="150">
        <f>V28-V29+1</f>
        <v>92.0</v>
      </c>
      <c r="W30" s="150">
        <f>W28-W29+1</f>
        <v>92.0</v>
      </c>
      <c r="X30" s="150">
        <f>X28-X29+1</f>
        <v>90.0</v>
      </c>
      <c r="Y30" s="150">
        <f>Y28-Y29+1</f>
        <v>91.0</v>
      </c>
      <c r="Z30" s="150">
        <f>Z28-Z29+1</f>
        <v>92.0</v>
      </c>
      <c r="AA30" s="150">
        <f>AA28-AA29+1</f>
        <v>92.0</v>
      </c>
      <c r="AB30" s="150">
        <f>AB28-AB29+1</f>
        <v>90.0</v>
      </c>
      <c r="AC30" s="150">
        <f>AC28-AC29+1</f>
        <v>91.0</v>
      </c>
      <c r="AD30" s="150">
        <f>AD28-AD29+1</f>
        <v>92.0</v>
      </c>
      <c r="AE30" s="150">
        <f>AE28-AE29+1</f>
        <v>92.0</v>
      </c>
      <c r="AF30" s="150">
        <f>AF28-AF29+1</f>
        <v>90.0</v>
      </c>
      <c r="AG30" s="150">
        <f>AG28-AG29+1</f>
        <v>91.0</v>
      </c>
      <c r="AH30" s="150">
        <f>AH28-AH29+1</f>
        <v>92.0</v>
      </c>
      <c r="AI30" s="150">
        <f>AI28-AI29+1</f>
        <v>92.0</v>
      </c>
      <c r="AJ30" s="150">
        <f>AJ28-AJ29+1</f>
        <v>91.0</v>
      </c>
      <c r="AK30" s="150">
        <f>AK28-AK29+1</f>
        <v>91.0</v>
      </c>
      <c r="AL30" s="150">
        <f>AL28-AL29+1</f>
        <v>92.0</v>
      </c>
      <c r="AM30" s="150">
        <f>AM28-AM29+1</f>
        <v>92.0</v>
      </c>
      <c r="AN30" s="150">
        <f>AN28-AN29+1</f>
        <v>90.0</v>
      </c>
      <c r="AO30" s="150">
        <f>AO28-AO29+1</f>
        <v>91.0</v>
      </c>
      <c r="AP30" s="150">
        <f>AP28-AP29+1</f>
        <v>92.0</v>
      </c>
      <c r="AQ30" s="150">
        <f>AQ28-AQ29+1</f>
        <v>92.0</v>
      </c>
      <c r="AR30" s="150">
        <f>AR28-AR29+1</f>
        <v>90.0</v>
      </c>
      <c r="AS30" s="150">
        <f>AS28-AS29+1</f>
        <v>91.0</v>
      </c>
      <c r="AT30" s="150">
        <f>AT28-AT29+1</f>
        <v>92.0</v>
      </c>
      <c r="AU30" s="150">
        <f>AU28-AU29+1</f>
        <v>92.0</v>
      </c>
      <c r="AV30" s="150">
        <f>AV28-AV29+1</f>
        <v>90.0</v>
      </c>
      <c r="AW30" s="150">
        <f>AW28-AW29+1</f>
        <v>91.0</v>
      </c>
      <c r="AX30" s="150">
        <f>AX28-AX29+1</f>
        <v>92.0</v>
      </c>
      <c r="AY30" s="150">
        <f>AY28-AY29+1</f>
        <v>92.0</v>
      </c>
      <c r="AZ30" s="150">
        <f>AZ28-AZ29+1</f>
        <v>91.0</v>
      </c>
      <c r="BA30" s="150">
        <f>BA28-BA29+1</f>
        <v>91.0</v>
      </c>
      <c r="BB30" s="150">
        <f>BB28-BB29+1</f>
        <v>92.0</v>
      </c>
      <c r="BC30" s="150">
        <f>BC28-BC29+1</f>
        <v>92.0</v>
      </c>
      <c r="BD30" s="150">
        <f>BD28-BD29+1</f>
        <v>90.0</v>
      </c>
      <c r="BE30" s="150">
        <f>BE28-BE29+1</f>
        <v>91.0</v>
      </c>
      <c r="BF30" s="150">
        <f>BF28-BF29+1</f>
        <v>92.0</v>
      </c>
      <c r="BG30" s="150">
        <f>BG28-BG29+1</f>
        <v>92.0</v>
      </c>
      <c r="BH30" s="150">
        <f>BH28-BH29+1</f>
        <v>90.0</v>
      </c>
      <c r="BI30" s="150">
        <f>BI28-BI29+1</f>
        <v>91.0</v>
      </c>
      <c r="BJ30" s="150">
        <f>BJ28-BJ29+1</f>
        <v>92.0</v>
      </c>
      <c r="BK30" s="150">
        <f>BK28-BK29+1</f>
        <v>92.0</v>
      </c>
      <c r="BL30" s="150">
        <f>BL28-BL29+1</f>
        <v>90.0</v>
      </c>
      <c r="BM30" s="150">
        <f>BM28-BM29+1</f>
        <v>91.0</v>
      </c>
      <c r="BN30" s="150">
        <f>BN28-BN29+1</f>
        <v>92.0</v>
      </c>
      <c r="BO30" s="150">
        <f>BO28-BO29+1</f>
        <v>92.0</v>
      </c>
      <c r="BP30" s="150">
        <f>BP28-BP29+1</f>
        <v>91.0</v>
      </c>
      <c r="BQ30" s="150">
        <f>BQ28-BQ29+1</f>
        <v>91.0</v>
      </c>
      <c r="BR30" s="150">
        <f>BR28-BR29+1</f>
        <v>92.0</v>
      </c>
      <c r="BS30" s="150">
        <f>BS28-BS29+1</f>
        <v>92.0</v>
      </c>
      <c r="BT30" s="150">
        <f>BT28-BT29+1</f>
        <v>90.0</v>
      </c>
      <c r="BU30" s="150">
        <f>BU28-BU29+1</f>
        <v>91.0</v>
      </c>
      <c r="BV30" s="150">
        <f>BV28-BV29+1</f>
        <v>92.0</v>
      </c>
      <c r="BW30" s="150">
        <f>BW28-BW29+1</f>
        <v>92.0</v>
      </c>
      <c r="BX30" s="150">
        <f>BX28-BX29+1</f>
        <v>90.0</v>
      </c>
      <c r="BY30" s="150">
        <f>BY28-BY29+1</f>
        <v>91.0</v>
      </c>
      <c r="BZ30" s="150">
        <f>BZ28-BZ29+1</f>
        <v>92.0</v>
      </c>
      <c r="CA30" s="150">
        <f>CA28-CA29+1</f>
        <v>92.0</v>
      </c>
      <c r="CB30" s="150">
        <f>CB28-CB29+1</f>
        <v>90.0</v>
      </c>
      <c r="CC30" s="150">
        <f>CC28-CC29+1</f>
        <v>91.0</v>
      </c>
      <c r="CD30" s="150">
        <f>CD28-CD29+1</f>
        <v>92.0</v>
      </c>
      <c r="CE30" s="150">
        <f>CE28-CE29+1</f>
        <v>92.0</v>
      </c>
      <c r="CF30" s="150">
        <f>CF28-CF29+1</f>
        <v>91.0</v>
      </c>
      <c r="CG30" s="150">
        <f>CG28-CG29+1</f>
        <v>91.0</v>
      </c>
      <c r="CH30" s="150">
        <f>CH28-CH29+1</f>
        <v>92.0</v>
      </c>
      <c r="CI30" s="150">
        <f>CI28-CI29+1</f>
        <v>92.0</v>
      </c>
      <c r="CJ30" s="150">
        <f>CJ28-CJ29+1</f>
        <v>90.0</v>
      </c>
      <c r="CK30" s="150">
        <f>CK28-CK29+1</f>
        <v>91.0</v>
      </c>
      <c r="CL30" s="150">
        <f>CL28-CL29+1</f>
        <v>92.0</v>
      </c>
      <c r="CM30" s="150">
        <f>CM28-CM29+1</f>
        <v>92.0</v>
      </c>
      <c r="CN30" s="150">
        <f>CN28-CN29+1</f>
        <v>90.0</v>
      </c>
      <c r="CO30" s="150">
        <f>CO28-CO29+1</f>
        <v>91.0</v>
      </c>
    </row>
    <row r="31" customFormat="1" s="146">
      <c r="A31" s="163" t="n"/>
      <c r="B31" s="163" t="n"/>
      <c r="C31" s="172" t="n"/>
      <c r="D31" s="169" t="n"/>
      <c r="E31" s="169" t="n"/>
      <c r="F31" s="169" t="n"/>
      <c r="G31" s="169" t="n"/>
      <c r="H31" s="169" t="n"/>
      <c r="I31" s="169" t="n"/>
      <c r="J31" s="169" t="n"/>
      <c r="K31" s="169" t="n"/>
      <c r="L31" s="169" t="n"/>
      <c r="M31" s="169" t="n"/>
      <c r="N31" s="169" t="n"/>
      <c r="O31" s="169" t="n"/>
      <c r="P31" s="169" t="n"/>
      <c r="Q31" s="169" t="n"/>
      <c r="R31" s="169" t="n"/>
      <c r="S31" s="169" t="n"/>
      <c r="T31" s="169" t="n"/>
      <c r="U31" s="169" t="n"/>
      <c r="V31" s="169" t="n"/>
      <c r="W31" s="169" t="n"/>
      <c r="X31" s="169" t="n"/>
      <c r="Y31" s="169" t="n"/>
      <c r="Z31" s="169" t="n"/>
      <c r="AA31" s="169" t="n"/>
      <c r="AB31" s="169" t="n"/>
      <c r="AC31" s="169" t="n"/>
      <c r="AD31" s="169" t="n"/>
      <c r="AE31" s="169" t="n"/>
      <c r="AF31" s="169" t="n"/>
      <c r="AG31" s="169" t="n"/>
      <c r="AH31" s="169" t="n"/>
      <c r="AI31" s="169"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row>
    <row r="32" customFormat="1" s="119">
      <c r="A32" s="167" t="n"/>
      <c r="B32" s="163" t="inlineStr">
        <is>
          <t>Financial year ending</t>
        </is>
      </c>
      <c r="C32" s="237" t="n"/>
      <c r="D32" s="170" t="n"/>
      <c r="E32" s="205" t="n"/>
      <c r="F32" s="205" t="n"/>
      <c r="G32" s="205" t="n"/>
      <c r="H32" s="61" t="n"/>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1" t="n"/>
      <c r="BZ32" s="61" t="n"/>
      <c r="CA32" s="61" t="n"/>
      <c r="CB32" s="61" t="n"/>
      <c r="CC32" s="61" t="n"/>
      <c r="CD32" s="61" t="n"/>
      <c r="CE32" s="61" t="n"/>
      <c r="CF32" s="61" t="n"/>
      <c r="CG32" s="61" t="n"/>
      <c r="CH32" s="61" t="n"/>
      <c r="CI32" s="61" t="n"/>
      <c r="CJ32" s="61" t="n"/>
      <c r="CK32" s="61" t="n"/>
      <c r="CL32" s="61" t="n"/>
      <c r="CM32" s="61" t="n"/>
      <c r="CN32" s="61" t="n"/>
      <c r="CO32" s="61" t="n"/>
    </row>
    <row r="33" customFormat="1" s="119">
      <c r="A33" s="167" t="n"/>
      <c r="B33" s="163" t="n"/>
      <c r="C33" s="237" t="n"/>
      <c r="D33" s="170" t="n"/>
      <c r="E33" s="343" t="str">
        <f> InpC!E$100</f>
        <v>First modelling column financial year number</v>
      </c>
      <c r="F33" s="398">
        <f> InpC!F$100</f>
        <v>2021.0</v>
      </c>
      <c r="G33" s="286" t="str">
        <f> InpC!G$100</f>
        <v>year #</v>
      </c>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1" t="n"/>
      <c r="AZ33" s="61" t="n"/>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1" t="n"/>
      <c r="BZ33" s="61" t="n"/>
      <c r="CA33" s="61" t="n"/>
      <c r="CB33" s="61" t="n"/>
      <c r="CC33" s="61" t="n"/>
      <c r="CD33" s="61" t="n"/>
      <c r="CE33" s="61" t="n"/>
      <c r="CF33" s="61" t="n"/>
      <c r="CG33" s="61" t="n"/>
      <c r="CH33" s="61" t="n"/>
      <c r="CI33" s="61" t="n"/>
      <c r="CJ33" s="61" t="n"/>
      <c r="CK33" s="61" t="n"/>
      <c r="CL33" s="61" t="n"/>
      <c r="CM33" s="61" t="n"/>
      <c r="CN33" s="61" t="n"/>
      <c r="CO33" s="61" t="n"/>
    </row>
    <row r="34" customFormat="1" s="154">
      <c r="A34" s="163" t="n"/>
      <c r="B34" s="163" t="n"/>
      <c r="C34" s="172" t="n"/>
      <c r="D34" s="169" t="n"/>
      <c r="E34" s="309" t="str">
        <f> InpC!E$98</f>
        <v>Financial year end month number</v>
      </c>
      <c r="F34" s="308">
        <f> InpC!F$98</f>
        <v>12.0</v>
      </c>
      <c r="G34" s="309" t="str">
        <f> InpC!G$98</f>
        <v>month #</v>
      </c>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1" t="n"/>
      <c r="BZ34" s="61" t="n"/>
      <c r="CA34" s="61" t="n"/>
      <c r="CB34" s="61" t="n"/>
      <c r="CC34" s="61" t="n"/>
      <c r="CD34" s="61" t="n"/>
      <c r="CE34" s="61" t="n"/>
      <c r="CF34" s="61" t="n"/>
      <c r="CG34" s="61" t="n"/>
      <c r="CH34" s="61" t="n"/>
      <c r="CI34" s="61" t="n"/>
      <c r="CJ34" s="61" t="n"/>
      <c r="CK34" s="61" t="n"/>
      <c r="CL34" s="61" t="n"/>
      <c r="CM34" s="61" t="n"/>
      <c r="CN34" s="61" t="n"/>
      <c r="CO34" s="61" t="n"/>
    </row>
    <row r="35" customFormat="1" s="119">
      <c r="A35" s="167" t="n"/>
      <c r="B35" s="167" t="n"/>
      <c r="C35" s="237" t="n"/>
      <c r="D35" s="170" t="n"/>
      <c r="E35" s="205" t="str">
        <f> E$25</f>
        <v>Model period ending </v>
      </c>
      <c r="F35" s="205">
        <f> F$25</f>
        <v>0.0</v>
      </c>
      <c r="G35" s="205" t="str">
        <f> G$25</f>
        <v>date</v>
      </c>
      <c r="H35" s="205">
        <f> H$25</f>
        <v>0.0</v>
      </c>
      <c r="I35" s="205">
        <f> I$25</f>
        <v>0.0</v>
      </c>
      <c r="J35" s="205">
        <f> J$25</f>
        <v>44469.0</v>
      </c>
      <c r="K35" s="205">
        <f> K$25</f>
        <v>44561.0</v>
      </c>
      <c r="L35" s="205">
        <f> L$25</f>
        <v>44651.0</v>
      </c>
      <c r="M35" s="205">
        <f> M$25</f>
        <v>44742.0</v>
      </c>
      <c r="N35" s="205">
        <f> N$25</f>
        <v>44834.0</v>
      </c>
      <c r="O35" s="205">
        <f> O$25</f>
        <v>44926.0</v>
      </c>
      <c r="P35" s="205">
        <f> P$25</f>
        <v>45016.0</v>
      </c>
      <c r="Q35" s="205">
        <f> Q$25</f>
        <v>45107.0</v>
      </c>
      <c r="R35" s="205">
        <f> R$25</f>
        <v>45199.0</v>
      </c>
      <c r="S35" s="205">
        <f> S$25</f>
        <v>45291.0</v>
      </c>
      <c r="T35" s="205">
        <f> T$25</f>
        <v>45382.0</v>
      </c>
      <c r="U35" s="205">
        <f> U$25</f>
        <v>45473.0</v>
      </c>
      <c r="V35" s="205">
        <f> V$25</f>
        <v>45565.0</v>
      </c>
      <c r="W35" s="205">
        <f> W$25</f>
        <v>45657.0</v>
      </c>
      <c r="X35" s="205">
        <f> X$25</f>
        <v>45747.0</v>
      </c>
      <c r="Y35" s="205">
        <f> Y$25</f>
        <v>45838.0</v>
      </c>
      <c r="Z35" s="205">
        <f> Z$25</f>
        <v>45930.0</v>
      </c>
      <c r="AA35" s="205">
        <f> AA$25</f>
        <v>46022.0</v>
      </c>
      <c r="AB35" s="205">
        <f> AB$25</f>
        <v>46112.0</v>
      </c>
      <c r="AC35" s="205">
        <f> AC$25</f>
        <v>46203.0</v>
      </c>
      <c r="AD35" s="205">
        <f> AD$25</f>
        <v>46295.0</v>
      </c>
      <c r="AE35" s="205">
        <f> AE$25</f>
        <v>46387.0</v>
      </c>
      <c r="AF35" s="205">
        <f> AF$25</f>
        <v>46477.0</v>
      </c>
      <c r="AG35" s="205">
        <f> AG$25</f>
        <v>46568.0</v>
      </c>
      <c r="AH35" s="205">
        <f> AH$25</f>
        <v>46660.0</v>
      </c>
      <c r="AI35" s="205">
        <f> AI$25</f>
        <v>46752.0</v>
      </c>
      <c r="AJ35" s="205">
        <f> AJ$25</f>
        <v>46843.0</v>
      </c>
      <c r="AK35" s="205">
        <f> AK$25</f>
        <v>46934.0</v>
      </c>
      <c r="AL35" s="205">
        <f> AL$25</f>
        <v>47026.0</v>
      </c>
      <c r="AM35" s="205">
        <f> AM$25</f>
        <v>47118.0</v>
      </c>
      <c r="AN35" s="205">
        <f> AN$25</f>
        <v>47208.0</v>
      </c>
      <c r="AO35" s="205">
        <f> AO$25</f>
        <v>47299.0</v>
      </c>
      <c r="AP35" s="205">
        <f> AP$25</f>
        <v>47391.0</v>
      </c>
      <c r="AQ35" s="205">
        <f> AQ$25</f>
        <v>47483.0</v>
      </c>
      <c r="AR35" s="205">
        <f> AR$25</f>
        <v>47573.0</v>
      </c>
      <c r="AS35" s="205">
        <f> AS$25</f>
        <v>47664.0</v>
      </c>
      <c r="AT35" s="205">
        <f> AT$25</f>
        <v>47756.0</v>
      </c>
      <c r="AU35" s="205">
        <f> AU$25</f>
        <v>47848.0</v>
      </c>
      <c r="AV35" s="205">
        <f> AV$25</f>
        <v>47938.0</v>
      </c>
      <c r="AW35" s="205">
        <f> AW$25</f>
        <v>48029.0</v>
      </c>
      <c r="AX35" s="205">
        <f> AX$25</f>
        <v>48121.0</v>
      </c>
      <c r="AY35" s="205">
        <f> AY$25</f>
        <v>48213.0</v>
      </c>
      <c r="AZ35" s="205">
        <f> AZ$25</f>
        <v>48304.0</v>
      </c>
      <c r="BA35" s="205">
        <f> BA$25</f>
        <v>48395.0</v>
      </c>
      <c r="BB35" s="205">
        <f> BB$25</f>
        <v>48487.0</v>
      </c>
      <c r="BC35" s="205">
        <f> BC$25</f>
        <v>48579.0</v>
      </c>
      <c r="BD35" s="205">
        <f> BD$25</f>
        <v>48669.0</v>
      </c>
      <c r="BE35" s="205">
        <f> BE$25</f>
        <v>48760.0</v>
      </c>
      <c r="BF35" s="205">
        <f> BF$25</f>
        <v>48852.0</v>
      </c>
      <c r="BG35" s="205">
        <f> BG$25</f>
        <v>48944.0</v>
      </c>
      <c r="BH35" s="205">
        <f> BH$25</f>
        <v>49034.0</v>
      </c>
      <c r="BI35" s="205">
        <f> BI$25</f>
        <v>49125.0</v>
      </c>
      <c r="BJ35" s="205">
        <f> BJ$25</f>
        <v>49217.0</v>
      </c>
      <c r="BK35" s="205">
        <f> BK$25</f>
        <v>49309.0</v>
      </c>
      <c r="BL35" s="205">
        <f> BL$25</f>
        <v>49399.0</v>
      </c>
      <c r="BM35" s="205">
        <f> BM$25</f>
        <v>49490.0</v>
      </c>
      <c r="BN35" s="205">
        <f> BN$25</f>
        <v>49582.0</v>
      </c>
      <c r="BO35" s="205">
        <f> BO$25</f>
        <v>49674.0</v>
      </c>
      <c r="BP35" s="205">
        <f> BP$25</f>
        <v>49765.0</v>
      </c>
      <c r="BQ35" s="205">
        <f> BQ$25</f>
        <v>49856.0</v>
      </c>
      <c r="BR35" s="205">
        <f> BR$25</f>
        <v>49948.0</v>
      </c>
      <c r="BS35" s="205">
        <f> BS$25</f>
        <v>50040.0</v>
      </c>
      <c r="BT35" s="205">
        <f> BT$25</f>
        <v>50130.0</v>
      </c>
      <c r="BU35" s="205">
        <f> BU$25</f>
        <v>50221.0</v>
      </c>
      <c r="BV35" s="205">
        <f> BV$25</f>
        <v>50313.0</v>
      </c>
      <c r="BW35" s="205">
        <f> BW$25</f>
        <v>50405.0</v>
      </c>
      <c r="BX35" s="205">
        <f> BX$25</f>
        <v>50495.0</v>
      </c>
      <c r="BY35" s="205">
        <f> BY$25</f>
        <v>50586.0</v>
      </c>
      <c r="BZ35" s="205">
        <f> BZ$25</f>
        <v>50678.0</v>
      </c>
      <c r="CA35" s="205">
        <f> CA$25</f>
        <v>50770.0</v>
      </c>
      <c r="CB35" s="205">
        <f> CB$25</f>
        <v>50860.0</v>
      </c>
      <c r="CC35" s="205">
        <f> CC$25</f>
        <v>50951.0</v>
      </c>
      <c r="CD35" s="205">
        <f> CD$25</f>
        <v>51043.0</v>
      </c>
      <c r="CE35" s="205">
        <f> CE$25</f>
        <v>51135.0</v>
      </c>
      <c r="CF35" s="205">
        <f> CF$25</f>
        <v>51226.0</v>
      </c>
      <c r="CG35" s="205">
        <f> CG$25</f>
        <v>51317.0</v>
      </c>
      <c r="CH35" s="205">
        <f> CH$25</f>
        <v>51409.0</v>
      </c>
      <c r="CI35" s="205">
        <f> CI$25</f>
        <v>51501.0</v>
      </c>
      <c r="CJ35" s="205">
        <f> CJ$25</f>
        <v>51591.0</v>
      </c>
      <c r="CK35" s="205">
        <f> CK$25</f>
        <v>51682.0</v>
      </c>
      <c r="CL35" s="205">
        <f> CL$25</f>
        <v>51774.0</v>
      </c>
      <c r="CM35" s="205">
        <f> CM$25</f>
        <v>51866.0</v>
      </c>
      <c r="CN35" s="205">
        <f> CN$25</f>
        <v>51956.0</v>
      </c>
      <c r="CO35" s="205">
        <f> CO$25</f>
        <v>52047.0</v>
      </c>
    </row>
    <row r="36">
      <c r="E36" s="61" t="str">
        <f> E$14</f>
        <v>First model column flag</v>
      </c>
      <c r="F36" s="61">
        <f> F$14</f>
        <v>0.0</v>
      </c>
      <c r="G36" s="61" t="str">
        <f> G$14</f>
        <v>flag</v>
      </c>
      <c r="H36" s="61">
        <f> H$14</f>
        <v>1.0</v>
      </c>
      <c r="I36" s="61">
        <f> I$14</f>
        <v>0.0</v>
      </c>
      <c r="J36" s="61">
        <f> J$14</f>
        <v>1.0</v>
      </c>
      <c r="K36" s="61">
        <f> K$14</f>
        <v>0.0</v>
      </c>
      <c r="L36" s="61">
        <f> L$14</f>
        <v>0.0</v>
      </c>
      <c r="M36" s="61">
        <f> M$14</f>
        <v>0.0</v>
      </c>
      <c r="N36" s="61">
        <f> N$14</f>
        <v>0.0</v>
      </c>
      <c r="O36" s="61">
        <f> O$14</f>
        <v>0.0</v>
      </c>
      <c r="P36" s="61">
        <f> P$14</f>
        <v>0.0</v>
      </c>
      <c r="Q36" s="61">
        <f> Q$14</f>
        <v>0.0</v>
      </c>
      <c r="R36" s="61">
        <f> R$14</f>
        <v>0.0</v>
      </c>
      <c r="S36" s="61">
        <f> S$14</f>
        <v>0.0</v>
      </c>
      <c r="T36" s="61">
        <f> T$14</f>
        <v>0.0</v>
      </c>
      <c r="U36" s="61">
        <f> U$14</f>
        <v>0.0</v>
      </c>
      <c r="V36" s="61">
        <f> V$14</f>
        <v>0.0</v>
      </c>
      <c r="W36" s="61">
        <f> W$14</f>
        <v>0.0</v>
      </c>
      <c r="X36" s="61">
        <f> X$14</f>
        <v>0.0</v>
      </c>
      <c r="Y36" s="61">
        <f> Y$14</f>
        <v>0.0</v>
      </c>
      <c r="Z36" s="61">
        <f> Z$14</f>
        <v>0.0</v>
      </c>
      <c r="AA36" s="61">
        <f> AA$14</f>
        <v>0.0</v>
      </c>
      <c r="AB36" s="61">
        <f> AB$14</f>
        <v>0.0</v>
      </c>
      <c r="AC36" s="61">
        <f> AC$14</f>
        <v>0.0</v>
      </c>
      <c r="AD36" s="61">
        <f> AD$14</f>
        <v>0.0</v>
      </c>
      <c r="AE36" s="61">
        <f> AE$14</f>
        <v>0.0</v>
      </c>
      <c r="AF36" s="61">
        <f> AF$14</f>
        <v>0.0</v>
      </c>
      <c r="AG36" s="61">
        <f> AG$14</f>
        <v>0.0</v>
      </c>
      <c r="AH36" s="61">
        <f> AH$14</f>
        <v>0.0</v>
      </c>
      <c r="AI36" s="61">
        <f> AI$14</f>
        <v>0.0</v>
      </c>
      <c r="AJ36" s="61">
        <f> AJ$14</f>
        <v>0.0</v>
      </c>
      <c r="AK36" s="61">
        <f> AK$14</f>
        <v>0.0</v>
      </c>
      <c r="AL36" s="61">
        <f> AL$14</f>
        <v>0.0</v>
      </c>
      <c r="AM36" s="61">
        <f> AM$14</f>
        <v>0.0</v>
      </c>
      <c r="AN36" s="61">
        <f> AN$14</f>
        <v>0.0</v>
      </c>
      <c r="AO36" s="61">
        <f> AO$14</f>
        <v>0.0</v>
      </c>
      <c r="AP36" s="61">
        <f> AP$14</f>
        <v>0.0</v>
      </c>
      <c r="AQ36" s="61">
        <f> AQ$14</f>
        <v>0.0</v>
      </c>
      <c r="AR36" s="61">
        <f> AR$14</f>
        <v>0.0</v>
      </c>
      <c r="AS36" s="61">
        <f> AS$14</f>
        <v>0.0</v>
      </c>
      <c r="AT36" s="61">
        <f> AT$14</f>
        <v>0.0</v>
      </c>
      <c r="AU36" s="61">
        <f> AU$14</f>
        <v>0.0</v>
      </c>
      <c r="AV36" s="61">
        <f> AV$14</f>
        <v>0.0</v>
      </c>
      <c r="AW36" s="61">
        <f> AW$14</f>
        <v>0.0</v>
      </c>
      <c r="AX36" s="61">
        <f> AX$14</f>
        <v>0.0</v>
      </c>
      <c r="AY36" s="61">
        <f> AY$14</f>
        <v>0.0</v>
      </c>
      <c r="AZ36" s="61">
        <f> AZ$14</f>
        <v>0.0</v>
      </c>
      <c r="BA36" s="61">
        <f> BA$14</f>
        <v>0.0</v>
      </c>
      <c r="BB36" s="61">
        <f> BB$14</f>
        <v>0.0</v>
      </c>
      <c r="BC36" s="61">
        <f> BC$14</f>
        <v>0.0</v>
      </c>
      <c r="BD36" s="61">
        <f> BD$14</f>
        <v>0.0</v>
      </c>
      <c r="BE36" s="61">
        <f> BE$14</f>
        <v>0.0</v>
      </c>
      <c r="BF36" s="61">
        <f> BF$14</f>
        <v>0.0</v>
      </c>
      <c r="BG36" s="61">
        <f> BG$14</f>
        <v>0.0</v>
      </c>
      <c r="BH36" s="61">
        <f> BH$14</f>
        <v>0.0</v>
      </c>
      <c r="BI36" s="61">
        <f> BI$14</f>
        <v>0.0</v>
      </c>
      <c r="BJ36" s="61">
        <f> BJ$14</f>
        <v>0.0</v>
      </c>
      <c r="BK36" s="61">
        <f> BK$14</f>
        <v>0.0</v>
      </c>
      <c r="BL36" s="61">
        <f> BL$14</f>
        <v>0.0</v>
      </c>
      <c r="BM36" s="61">
        <f> BM$14</f>
        <v>0.0</v>
      </c>
      <c r="BN36" s="61">
        <f> BN$14</f>
        <v>0.0</v>
      </c>
      <c r="BO36" s="61">
        <f> BO$14</f>
        <v>0.0</v>
      </c>
      <c r="BP36" s="61">
        <f> BP$14</f>
        <v>0.0</v>
      </c>
      <c r="BQ36" s="61">
        <f> BQ$14</f>
        <v>0.0</v>
      </c>
      <c r="BR36" s="61">
        <f> BR$14</f>
        <v>0.0</v>
      </c>
      <c r="BS36" s="61">
        <f> BS$14</f>
        <v>0.0</v>
      </c>
      <c r="BT36" s="61">
        <f> BT$14</f>
        <v>0.0</v>
      </c>
      <c r="BU36" s="61">
        <f> BU$14</f>
        <v>0.0</v>
      </c>
      <c r="BV36" s="61">
        <f> BV$14</f>
        <v>0.0</v>
      </c>
      <c r="BW36" s="61">
        <f> BW$14</f>
        <v>0.0</v>
      </c>
      <c r="BX36" s="61">
        <f> BX$14</f>
        <v>0.0</v>
      </c>
      <c r="BY36" s="61">
        <f> BY$14</f>
        <v>0.0</v>
      </c>
      <c r="BZ36" s="61">
        <f> BZ$14</f>
        <v>0.0</v>
      </c>
      <c r="CA36" s="61">
        <f> CA$14</f>
        <v>0.0</v>
      </c>
      <c r="CB36" s="61">
        <f> CB$14</f>
        <v>0.0</v>
      </c>
      <c r="CC36" s="61">
        <f> CC$14</f>
        <v>0.0</v>
      </c>
      <c r="CD36" s="61">
        <f> CD$14</f>
        <v>0.0</v>
      </c>
      <c r="CE36" s="61">
        <f> CE$14</f>
        <v>0.0</v>
      </c>
      <c r="CF36" s="61">
        <f> CF$14</f>
        <v>0.0</v>
      </c>
      <c r="CG36" s="61">
        <f> CG$14</f>
        <v>0.0</v>
      </c>
      <c r="CH36" s="61">
        <f> CH$14</f>
        <v>0.0</v>
      </c>
      <c r="CI36" s="61">
        <f> CI$14</f>
        <v>0.0</v>
      </c>
      <c r="CJ36" s="61">
        <f> CJ$14</f>
        <v>0.0</v>
      </c>
      <c r="CK36" s="61">
        <f> CK$14</f>
        <v>0.0</v>
      </c>
      <c r="CL36" s="61">
        <f> CL$14</f>
        <v>0.0</v>
      </c>
      <c r="CM36" s="61">
        <f> CM$14</f>
        <v>0.0</v>
      </c>
      <c r="CN36" s="61">
        <f> CN$14</f>
        <v>0.0</v>
      </c>
      <c r="CO36" s="61">
        <f> CO$14</f>
        <v>0.0</v>
      </c>
    </row>
    <row r="37" customFormat="1" s="99">
      <c r="A37" s="82" t="n"/>
      <c r="B37" s="82" t="n"/>
      <c r="C37" s="83" t="n"/>
      <c r="D37" s="84" t="n"/>
      <c r="E37" s="61" t="inlineStr">
        <is>
          <t>Financial year ending</t>
        </is>
      </c>
      <c r="F37" s="85" t="n"/>
      <c r="G37" s="85" t="inlineStr">
        <is>
          <t>year #</t>
        </is>
      </c>
      <c r="H37" s="85" t="n"/>
      <c r="I37" s="120" t="n"/>
      <c r="J37" s="85">
        <f> IF(J36 = 1, $F33, IF(J35 &gt; (DATE(I37, $F34 + 1, 1) - 1), I37 + 1, I37))</f>
        <v>2021.0</v>
      </c>
      <c r="K37" s="85">
        <f> IF(K36 = 1, $F33, IF(K35 &gt; (DATE(J37, $F34 + 1, 1) - 1), J37 + 1, J37))</f>
        <v>2021.0</v>
      </c>
      <c r="L37" s="85">
        <f> IF(L36 = 1, $F33, IF(L35 &gt; (DATE(K37, $F34 + 1, 1) - 1), K37 + 1, K37))</f>
        <v>2022.0</v>
      </c>
      <c r="M37" s="85">
        <f> IF(M36 = 1, $F33, IF(M35 &gt; (DATE(L37, $F34 + 1, 1) - 1), L37 + 1, L37))</f>
        <v>2022.0</v>
      </c>
      <c r="N37" s="85">
        <f> IF(N36 = 1, $F33, IF(N35 &gt; (DATE(M37, $F34 + 1, 1) - 1), M37 + 1, M37))</f>
        <v>2022.0</v>
      </c>
      <c r="O37" s="85">
        <f> IF(O36 = 1, $F33, IF(O35 &gt; (DATE(N37, $F34 + 1, 1) - 1), N37 + 1, N37))</f>
        <v>2022.0</v>
      </c>
      <c r="P37" s="85">
        <f> IF(P36 = 1, $F33, IF(P35 &gt; (DATE(O37, $F34 + 1, 1) - 1), O37 + 1, O37))</f>
        <v>2023.0</v>
      </c>
      <c r="Q37" s="85">
        <f> IF(Q36 = 1, $F33, IF(Q35 &gt; (DATE(P37, $F34 + 1, 1) - 1), P37 + 1, P37))</f>
        <v>2023.0</v>
      </c>
      <c r="R37" s="85">
        <f> IF(R36 = 1, $F33, IF(R35 &gt; (DATE(Q37, $F34 + 1, 1) - 1), Q37 + 1, Q37))</f>
        <v>2023.0</v>
      </c>
      <c r="S37" s="85">
        <f> IF(S36 = 1, $F33, IF(S35 &gt; (DATE(R37, $F34 + 1, 1) - 1), R37 + 1, R37))</f>
        <v>2023.0</v>
      </c>
      <c r="T37" s="85">
        <f> IF(T36 = 1, $F33, IF(T35 &gt; (DATE(S37, $F34 + 1, 1) - 1), S37 + 1, S37))</f>
        <v>2024.0</v>
      </c>
      <c r="U37" s="85">
        <f> IF(U36 = 1, $F33, IF(U35 &gt; (DATE(T37, $F34 + 1, 1) - 1), T37 + 1, T37))</f>
        <v>2024.0</v>
      </c>
      <c r="V37" s="85">
        <f> IF(V36 = 1, $F33, IF(V35 &gt; (DATE(U37, $F34 + 1, 1) - 1), U37 + 1, U37))</f>
        <v>2024.0</v>
      </c>
      <c r="W37" s="85">
        <f> IF(W36 = 1, $F33, IF(W35 &gt; (DATE(V37, $F34 + 1, 1) - 1), V37 + 1, V37))</f>
        <v>2024.0</v>
      </c>
      <c r="X37" s="85">
        <f> IF(X36 = 1, $F33, IF(X35 &gt; (DATE(W37, $F34 + 1, 1) - 1), W37 + 1, W37))</f>
        <v>2025.0</v>
      </c>
      <c r="Y37" s="85">
        <f> IF(Y36 = 1, $F33, IF(Y35 &gt; (DATE(X37, $F34 + 1, 1) - 1), X37 + 1, X37))</f>
        <v>2025.0</v>
      </c>
      <c r="Z37" s="85">
        <f> IF(Z36 = 1, $F33, IF(Z35 &gt; (DATE(Y37, $F34 + 1, 1) - 1), Y37 + 1, Y37))</f>
        <v>2025.0</v>
      </c>
      <c r="AA37" s="85">
        <f> IF(AA36 = 1, $F33, IF(AA35 &gt; (DATE(Z37, $F34 + 1, 1) - 1), Z37 + 1, Z37))</f>
        <v>2025.0</v>
      </c>
      <c r="AB37" s="85">
        <f> IF(AB36 = 1, $F33, IF(AB35 &gt; (DATE(AA37, $F34 + 1, 1) - 1), AA37 + 1, AA37))</f>
        <v>2026.0</v>
      </c>
      <c r="AC37" s="85">
        <f> IF(AC36 = 1, $F33, IF(AC35 &gt; (DATE(AB37, $F34 + 1, 1) - 1), AB37 + 1, AB37))</f>
        <v>2026.0</v>
      </c>
      <c r="AD37" s="85">
        <f> IF(AD36 = 1, $F33, IF(AD35 &gt; (DATE(AC37, $F34 + 1, 1) - 1), AC37 + 1, AC37))</f>
        <v>2026.0</v>
      </c>
      <c r="AE37" s="85">
        <f> IF(AE36 = 1, $F33, IF(AE35 &gt; (DATE(AD37, $F34 + 1, 1) - 1), AD37 + 1, AD37))</f>
        <v>2026.0</v>
      </c>
      <c r="AF37" s="85">
        <f> IF(AF36 = 1, $F33, IF(AF35 &gt; (DATE(AE37, $F34 + 1, 1) - 1), AE37 + 1, AE37))</f>
        <v>2027.0</v>
      </c>
      <c r="AG37" s="85">
        <f> IF(AG36 = 1, $F33, IF(AG35 &gt; (DATE(AF37, $F34 + 1, 1) - 1), AF37 + 1, AF37))</f>
        <v>2027.0</v>
      </c>
      <c r="AH37" s="85">
        <f> IF(AH36 = 1, $F33, IF(AH35 &gt; (DATE(AG37, $F34 + 1, 1) - 1), AG37 + 1, AG37))</f>
        <v>2027.0</v>
      </c>
      <c r="AI37" s="85">
        <f> IF(AI36 = 1, $F33, IF(AI35 &gt; (DATE(AH37, $F34 + 1, 1) - 1), AH37 + 1, AH37))</f>
        <v>2027.0</v>
      </c>
      <c r="AJ37" s="85">
        <f> IF(AJ36 = 1, $F33, IF(AJ35 &gt; (DATE(AI37, $F34 + 1, 1) - 1), AI37 + 1, AI37))</f>
        <v>2028.0</v>
      </c>
      <c r="AK37" s="85">
        <f> IF(AK36 = 1, $F33, IF(AK35 &gt; (DATE(AJ37, $F34 + 1, 1) - 1), AJ37 + 1, AJ37))</f>
        <v>2028.0</v>
      </c>
      <c r="AL37" s="85">
        <f> IF(AL36 = 1, $F33, IF(AL35 &gt; (DATE(AK37, $F34 + 1, 1) - 1), AK37 + 1, AK37))</f>
        <v>2028.0</v>
      </c>
      <c r="AM37" s="85">
        <f> IF(AM36 = 1, $F33, IF(AM35 &gt; (DATE(AL37, $F34 + 1, 1) - 1), AL37 + 1, AL37))</f>
        <v>2028.0</v>
      </c>
      <c r="AN37" s="85">
        <f> IF(AN36 = 1, $F33, IF(AN35 &gt; (DATE(AM37, $F34 + 1, 1) - 1), AM37 + 1, AM37))</f>
        <v>2029.0</v>
      </c>
      <c r="AO37" s="85">
        <f> IF(AO36 = 1, $F33, IF(AO35 &gt; (DATE(AN37, $F34 + 1, 1) - 1), AN37 + 1, AN37))</f>
        <v>2029.0</v>
      </c>
      <c r="AP37" s="85">
        <f> IF(AP36 = 1, $F33, IF(AP35 &gt; (DATE(AO37, $F34 + 1, 1) - 1), AO37 + 1, AO37))</f>
        <v>2029.0</v>
      </c>
      <c r="AQ37" s="85">
        <f> IF(AQ36 = 1, $F33, IF(AQ35 &gt; (DATE(AP37, $F34 + 1, 1) - 1), AP37 + 1, AP37))</f>
        <v>2029.0</v>
      </c>
      <c r="AR37" s="85">
        <f> IF(AR36 = 1, $F33, IF(AR35 &gt; (DATE(AQ37, $F34 + 1, 1) - 1), AQ37 + 1, AQ37))</f>
        <v>2030.0</v>
      </c>
      <c r="AS37" s="85">
        <f> IF(AS36 = 1, $F33, IF(AS35 &gt; (DATE(AR37, $F34 + 1, 1) - 1), AR37 + 1, AR37))</f>
        <v>2030.0</v>
      </c>
      <c r="AT37" s="85">
        <f> IF(AT36 = 1, $F33, IF(AT35 &gt; (DATE(AS37, $F34 + 1, 1) - 1), AS37 + 1, AS37))</f>
        <v>2030.0</v>
      </c>
      <c r="AU37" s="85">
        <f> IF(AU36 = 1, $F33, IF(AU35 &gt; (DATE(AT37, $F34 + 1, 1) - 1), AT37 + 1, AT37))</f>
        <v>2030.0</v>
      </c>
      <c r="AV37" s="85">
        <f> IF(AV36 = 1, $F33, IF(AV35 &gt; (DATE(AU37, $F34 + 1, 1) - 1), AU37 + 1, AU37))</f>
        <v>2031.0</v>
      </c>
      <c r="AW37" s="85">
        <f> IF(AW36 = 1, $F33, IF(AW35 &gt; (DATE(AV37, $F34 + 1, 1) - 1), AV37 + 1, AV37))</f>
        <v>2031.0</v>
      </c>
      <c r="AX37" s="85">
        <f> IF(AX36 = 1, $F33, IF(AX35 &gt; (DATE(AW37, $F34 + 1, 1) - 1), AW37 + 1, AW37))</f>
        <v>2031.0</v>
      </c>
      <c r="AY37" s="85">
        <f> IF(AY36 = 1, $F33, IF(AY35 &gt; (DATE(AX37, $F34 + 1, 1) - 1), AX37 + 1, AX37))</f>
        <v>2031.0</v>
      </c>
      <c r="AZ37" s="85">
        <f> IF(AZ36 = 1, $F33, IF(AZ35 &gt; (DATE(AY37, $F34 + 1, 1) - 1), AY37 + 1, AY37))</f>
        <v>2032.0</v>
      </c>
      <c r="BA37" s="85">
        <f> IF(BA36 = 1, $F33, IF(BA35 &gt; (DATE(AZ37, $F34 + 1, 1) - 1), AZ37 + 1, AZ37))</f>
        <v>2032.0</v>
      </c>
      <c r="BB37" s="85">
        <f> IF(BB36 = 1, $F33, IF(BB35 &gt; (DATE(BA37, $F34 + 1, 1) - 1), BA37 + 1, BA37))</f>
        <v>2032.0</v>
      </c>
      <c r="BC37" s="85">
        <f> IF(BC36 = 1, $F33, IF(BC35 &gt; (DATE(BB37, $F34 + 1, 1) - 1), BB37 + 1, BB37))</f>
        <v>2032.0</v>
      </c>
      <c r="BD37" s="85">
        <f> IF(BD36 = 1, $F33, IF(BD35 &gt; (DATE(BC37, $F34 + 1, 1) - 1), BC37 + 1, BC37))</f>
        <v>2033.0</v>
      </c>
      <c r="BE37" s="85">
        <f> IF(BE36 = 1, $F33, IF(BE35 &gt; (DATE(BD37, $F34 + 1, 1) - 1), BD37 + 1, BD37))</f>
        <v>2033.0</v>
      </c>
      <c r="BF37" s="85">
        <f> IF(BF36 = 1, $F33, IF(BF35 &gt; (DATE(BE37, $F34 + 1, 1) - 1), BE37 + 1, BE37))</f>
        <v>2033.0</v>
      </c>
      <c r="BG37" s="85">
        <f> IF(BG36 = 1, $F33, IF(BG35 &gt; (DATE(BF37, $F34 + 1, 1) - 1), BF37 + 1, BF37))</f>
        <v>2033.0</v>
      </c>
      <c r="BH37" s="85">
        <f> IF(BH36 = 1, $F33, IF(BH35 &gt; (DATE(BG37, $F34 + 1, 1) - 1), BG37 + 1, BG37))</f>
        <v>2034.0</v>
      </c>
      <c r="BI37" s="85">
        <f> IF(BI36 = 1, $F33, IF(BI35 &gt; (DATE(BH37, $F34 + 1, 1) - 1), BH37 + 1, BH37))</f>
        <v>2034.0</v>
      </c>
      <c r="BJ37" s="85">
        <f> IF(BJ36 = 1, $F33, IF(BJ35 &gt; (DATE(BI37, $F34 + 1, 1) - 1), BI37 + 1, BI37))</f>
        <v>2034.0</v>
      </c>
      <c r="BK37" s="85">
        <f> IF(BK36 = 1, $F33, IF(BK35 &gt; (DATE(BJ37, $F34 + 1, 1) - 1), BJ37 + 1, BJ37))</f>
        <v>2034.0</v>
      </c>
      <c r="BL37" s="85">
        <f> IF(BL36 = 1, $F33, IF(BL35 &gt; (DATE(BK37, $F34 + 1, 1) - 1), BK37 + 1, BK37))</f>
        <v>2035.0</v>
      </c>
      <c r="BM37" s="85">
        <f> IF(BM36 = 1, $F33, IF(BM35 &gt; (DATE(BL37, $F34 + 1, 1) - 1), BL37 + 1, BL37))</f>
        <v>2035.0</v>
      </c>
      <c r="BN37" s="85">
        <f> IF(BN36 = 1, $F33, IF(BN35 &gt; (DATE(BM37, $F34 + 1, 1) - 1), BM37 + 1, BM37))</f>
        <v>2035.0</v>
      </c>
      <c r="BO37" s="85">
        <f> IF(BO36 = 1, $F33, IF(BO35 &gt; (DATE(BN37, $F34 + 1, 1) - 1), BN37 + 1, BN37))</f>
        <v>2035.0</v>
      </c>
      <c r="BP37" s="85">
        <f> IF(BP36 = 1, $F33, IF(BP35 &gt; (DATE(BO37, $F34 + 1, 1) - 1), BO37 + 1, BO37))</f>
        <v>2036.0</v>
      </c>
      <c r="BQ37" s="85">
        <f> IF(BQ36 = 1, $F33, IF(BQ35 &gt; (DATE(BP37, $F34 + 1, 1) - 1), BP37 + 1, BP37))</f>
        <v>2036.0</v>
      </c>
      <c r="BR37" s="85">
        <f> IF(BR36 = 1, $F33, IF(BR35 &gt; (DATE(BQ37, $F34 + 1, 1) - 1), BQ37 + 1, BQ37))</f>
        <v>2036.0</v>
      </c>
      <c r="BS37" s="85">
        <f> IF(BS36 = 1, $F33, IF(BS35 &gt; (DATE(BR37, $F34 + 1, 1) - 1), BR37 + 1, BR37))</f>
        <v>2036.0</v>
      </c>
      <c r="BT37" s="85">
        <f> IF(BT36 = 1, $F33, IF(BT35 &gt; (DATE(BS37, $F34 + 1, 1) - 1), BS37 + 1, BS37))</f>
        <v>2037.0</v>
      </c>
      <c r="BU37" s="85">
        <f> IF(BU36 = 1, $F33, IF(BU35 &gt; (DATE(BT37, $F34 + 1, 1) - 1), BT37 + 1, BT37))</f>
        <v>2037.0</v>
      </c>
      <c r="BV37" s="85">
        <f> IF(BV36 = 1, $F33, IF(BV35 &gt; (DATE(BU37, $F34 + 1, 1) - 1), BU37 + 1, BU37))</f>
        <v>2037.0</v>
      </c>
      <c r="BW37" s="85">
        <f> IF(BW36 = 1, $F33, IF(BW35 &gt; (DATE(BV37, $F34 + 1, 1) - 1), BV37 + 1, BV37))</f>
        <v>2037.0</v>
      </c>
      <c r="BX37" s="85">
        <f> IF(BX36 = 1, $F33, IF(BX35 &gt; (DATE(BW37, $F34 + 1, 1) - 1), BW37 + 1, BW37))</f>
        <v>2038.0</v>
      </c>
      <c r="BY37" s="85">
        <f> IF(BY36 = 1, $F33, IF(BY35 &gt; (DATE(BX37, $F34 + 1, 1) - 1), BX37 + 1, BX37))</f>
        <v>2038.0</v>
      </c>
      <c r="BZ37" s="85">
        <f> IF(BZ36 = 1, $F33, IF(BZ35 &gt; (DATE(BY37, $F34 + 1, 1) - 1), BY37 + 1, BY37))</f>
        <v>2038.0</v>
      </c>
      <c r="CA37" s="85">
        <f> IF(CA36 = 1, $F33, IF(CA35 &gt; (DATE(BZ37, $F34 + 1, 1) - 1), BZ37 + 1, BZ37))</f>
        <v>2038.0</v>
      </c>
      <c r="CB37" s="85">
        <f> IF(CB36 = 1, $F33, IF(CB35 &gt; (DATE(CA37, $F34 + 1, 1) - 1), CA37 + 1, CA37))</f>
        <v>2039.0</v>
      </c>
      <c r="CC37" s="85">
        <f> IF(CC36 = 1, $F33, IF(CC35 &gt; (DATE(CB37, $F34 + 1, 1) - 1), CB37 + 1, CB37))</f>
        <v>2039.0</v>
      </c>
      <c r="CD37" s="85">
        <f> IF(CD36 = 1, $F33, IF(CD35 &gt; (DATE(CC37, $F34 + 1, 1) - 1), CC37 + 1, CC37))</f>
        <v>2039.0</v>
      </c>
      <c r="CE37" s="85">
        <f> IF(CE36 = 1, $F33, IF(CE35 &gt; (DATE(CD37, $F34 + 1, 1) - 1), CD37 + 1, CD37))</f>
        <v>2039.0</v>
      </c>
      <c r="CF37" s="85">
        <f> IF(CF36 = 1, $F33, IF(CF35 &gt; (DATE(CE37, $F34 + 1, 1) - 1), CE37 + 1, CE37))</f>
        <v>2040.0</v>
      </c>
      <c r="CG37" s="85">
        <f> IF(CG36 = 1, $F33, IF(CG35 &gt; (DATE(CF37, $F34 + 1, 1) - 1), CF37 + 1, CF37))</f>
        <v>2040.0</v>
      </c>
      <c r="CH37" s="85">
        <f> IF(CH36 = 1, $F33, IF(CH35 &gt; (DATE(CG37, $F34 + 1, 1) - 1), CG37 + 1, CG37))</f>
        <v>2040.0</v>
      </c>
      <c r="CI37" s="85">
        <f> IF(CI36 = 1, $F33, IF(CI35 &gt; (DATE(CH37, $F34 + 1, 1) - 1), CH37 + 1, CH37))</f>
        <v>2040.0</v>
      </c>
      <c r="CJ37" s="85">
        <f> IF(CJ36 = 1, $F33, IF(CJ35 &gt; (DATE(CI37, $F34 + 1, 1) - 1), CI37 + 1, CI37))</f>
        <v>2041.0</v>
      </c>
      <c r="CK37" s="85">
        <f> IF(CK36 = 1, $F33, IF(CK35 &gt; (DATE(CJ37, $F34 + 1, 1) - 1), CJ37 + 1, CJ37))</f>
        <v>2041.0</v>
      </c>
      <c r="CL37" s="85">
        <f> IF(CL36 = 1, $F33, IF(CL35 &gt; (DATE(CK37, $F34 + 1, 1) - 1), CK37 + 1, CK37))</f>
        <v>2041.0</v>
      </c>
      <c r="CM37" s="85">
        <f> IF(CM36 = 1, $F33, IF(CM35 &gt; (DATE(CL37, $F34 + 1, 1) - 1), CL37 + 1, CL37))</f>
        <v>2041.0</v>
      </c>
      <c r="CN37" s="85">
        <f> IF(CN36 = 1, $F33, IF(CN35 &gt; (DATE(CM37, $F34 + 1, 1) - 1), CM37 + 1, CM37))</f>
        <v>2042.0</v>
      </c>
      <c r="CO37" s="85">
        <f> IF(CO36 = 1, $F33, IF(CO35 &gt; (DATE(CN37, $F34 + 1, 1) - 1), CN37 + 1, CN37))</f>
        <v>2042.0</v>
      </c>
    </row>
    <row r="38" customFormat="1" s="146">
      <c r="A38" s="163" t="n"/>
      <c r="B38" s="163" t="n"/>
      <c r="C38" s="172" t="n"/>
      <c r="D38" s="169" t="n"/>
      <c r="E38" s="169" t="n"/>
      <c r="F38" s="169" t="n"/>
      <c r="G38" s="169" t="n"/>
      <c r="H38" s="169" t="n"/>
      <c r="I38" s="169" t="n"/>
      <c r="J38" s="169" t="n"/>
      <c r="K38" s="169" t="n"/>
      <c r="L38" s="169" t="n"/>
      <c r="M38" s="169" t="n"/>
      <c r="N38" s="169" t="n"/>
      <c r="O38" s="169" t="n"/>
      <c r="P38" s="169" t="n"/>
      <c r="Q38" s="169" t="n"/>
      <c r="R38" s="169" t="n"/>
      <c r="S38" s="169" t="n"/>
      <c r="T38" s="169" t="n"/>
      <c r="U38" s="169" t="n"/>
      <c r="V38" s="169" t="n"/>
      <c r="W38" s="169" t="n"/>
      <c r="X38" s="169" t="n"/>
      <c r="Y38" s="169" t="n"/>
      <c r="Z38" s="169" t="n"/>
      <c r="AA38" s="169" t="n"/>
      <c r="AB38" s="169" t="n"/>
      <c r="AC38" s="169" t="n"/>
      <c r="AD38" s="169" t="n"/>
      <c r="AE38" s="169" t="n"/>
      <c r="AF38" s="169" t="n"/>
      <c r="AG38" s="169" t="n"/>
      <c r="AH38" s="169" t="n"/>
      <c r="AI38" s="169" t="n"/>
      <c r="AJ38" s="169" t="n"/>
      <c r="AK38" s="169" t="n"/>
      <c r="AL38" s="169" t="n"/>
      <c r="AM38" s="169" t="n"/>
      <c r="AN38" s="169" t="n"/>
      <c r="AO38" s="169" t="n"/>
      <c r="AP38" s="169" t="n"/>
      <c r="AQ38" s="169" t="n"/>
      <c r="AR38" s="169"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row>
    <row r="39" customFormat="1" s="146">
      <c r="A39" s="163" t="n"/>
      <c r="B39" s="163" t="n"/>
      <c r="C39" s="172" t="n"/>
      <c r="D39" s="169" t="n"/>
      <c r="E39" s="169" t="n"/>
      <c r="F39" s="169" t="n"/>
      <c r="G39" s="169" t="n"/>
      <c r="H39" s="169" t="n"/>
      <c r="I39" s="169" t="n"/>
      <c r="J39" s="169" t="n"/>
      <c r="K39" s="169" t="n"/>
      <c r="L39" s="169" t="n"/>
      <c r="M39" s="169" t="n"/>
      <c r="N39" s="169" t="n"/>
      <c r="O39" s="169" t="n"/>
      <c r="P39" s="169" t="n"/>
      <c r="Q39" s="169" t="n"/>
      <c r="R39" s="169" t="n"/>
      <c r="S39" s="169" t="n"/>
      <c r="T39" s="169" t="n"/>
      <c r="U39" s="169" t="n"/>
      <c r="V39" s="169" t="n"/>
      <c r="W39" s="169" t="n"/>
      <c r="X39" s="169" t="n"/>
      <c r="Y39" s="169" t="n"/>
      <c r="Z39" s="169" t="n"/>
      <c r="AA39" s="169" t="n"/>
      <c r="AB39" s="169" t="n"/>
      <c r="AC39" s="169" t="n"/>
      <c r="AD39" s="169" t="n"/>
      <c r="AE39" s="169" t="n"/>
      <c r="AF39" s="169" t="n"/>
      <c r="AG39" s="169" t="n"/>
      <c r="AH39" s="169" t="n"/>
      <c r="AI39" s="169" t="n"/>
      <c r="AJ39" s="169" t="n"/>
      <c r="AK39" s="169" t="n"/>
      <c r="AL39" s="169" t="n"/>
      <c r="AM39" s="169" t="n"/>
      <c r="AN39" s="169"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row>
    <row r="40" customFormat="1" s="146">
      <c r="A40" s="163" t="inlineStr">
        <is>
          <t>FLAGS</t>
        </is>
      </c>
      <c r="B40" s="163" t="n"/>
      <c r="C40" s="172" t="n"/>
      <c r="D40" s="169" t="n"/>
      <c r="E40" s="169" t="n"/>
      <c r="F40" s="169" t="n"/>
      <c r="G40" s="169" t="n"/>
      <c r="H40" s="169" t="n"/>
      <c r="I40" s="169" t="n"/>
      <c r="J40" s="169" t="n"/>
      <c r="K40" s="169" t="n"/>
      <c r="L40" s="169" t="n"/>
      <c r="M40" s="169" t="n"/>
      <c r="N40" s="169" t="n"/>
      <c r="O40" s="169" t="n"/>
      <c r="P40" s="169" t="n"/>
      <c r="Q40" s="169" t="n"/>
      <c r="R40" s="169" t="n"/>
      <c r="S40" s="169" t="n"/>
      <c r="T40" s="169" t="n"/>
      <c r="U40" s="169" t="n"/>
      <c r="V40" s="169" t="n"/>
      <c r="W40" s="169" t="n"/>
      <c r="X40" s="169" t="n"/>
      <c r="Y40" s="169" t="n"/>
      <c r="Z40" s="169" t="n"/>
      <c r="AA40" s="169" t="n"/>
      <c r="AB40" s="169" t="n"/>
      <c r="AC40" s="169" t="n"/>
      <c r="AD40" s="169" t="n"/>
      <c r="AE40" s="169" t="n"/>
      <c r="AF40" s="169" t="n"/>
      <c r="AG40" s="169" t="n"/>
      <c r="AH40" s="169" t="n"/>
      <c r="AI40" s="169" t="n"/>
      <c r="AJ40" s="169" t="n"/>
      <c r="AK40" s="169" t="n"/>
      <c r="AL40" s="169" t="n"/>
      <c r="AM40" s="169" t="n"/>
      <c r="AN40" s="169"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row>
    <row r="41" customFormat="1" s="146">
      <c r="A41" s="163" t="n"/>
      <c r="B41" s="163" t="n"/>
      <c r="C41" s="172" t="n"/>
      <c r="D41" s="169" t="n"/>
      <c r="E41" s="169" t="n"/>
      <c r="F41" s="169" t="n"/>
      <c r="G41" s="169" t="n"/>
      <c r="H41" s="169" t="n"/>
      <c r="I41" s="169" t="n"/>
      <c r="J41" s="169" t="n"/>
      <c r="K41" s="169" t="n"/>
      <c r="L41" s="169" t="n"/>
      <c r="M41" s="169" t="n"/>
      <c r="N41" s="169" t="n"/>
      <c r="O41" s="169" t="n"/>
      <c r="P41" s="169" t="n"/>
      <c r="Q41" s="169" t="n"/>
      <c r="R41" s="169" t="n"/>
      <c r="S41" s="169" t="n"/>
      <c r="T41" s="169" t="n"/>
      <c r="U41" s="169" t="n"/>
      <c r="V41" s="169" t="n"/>
      <c r="W41" s="169" t="n"/>
      <c r="X41" s="169" t="n"/>
      <c r="Y41" s="169" t="n"/>
      <c r="Z41" s="169" t="n"/>
      <c r="AA41" s="169" t="n"/>
      <c r="AB41" s="169" t="n"/>
      <c r="AC41" s="169" t="n"/>
      <c r="AD41" s="169" t="n"/>
      <c r="AE41" s="169" t="n"/>
      <c r="AF41" s="169" t="n"/>
      <c r="AG41" s="169" t="n"/>
      <c r="AH41" s="169" t="n"/>
      <c r="AI41" s="169" t="n"/>
      <c r="AJ41" s="169" t="n"/>
      <c r="AK41" s="169" t="n"/>
      <c r="AL41" s="169" t="n"/>
      <c r="AM41" s="169" t="n"/>
      <c r="AN41" s="169"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row>
    <row r="42" customFormat="1" s="146">
      <c r="A42" s="163" t="n"/>
      <c r="B42" s="163" t="inlineStr">
        <is>
          <t>Acquisition / initial balance date flag</t>
        </is>
      </c>
      <c r="C42" s="172" t="n"/>
      <c r="D42" s="169" t="n"/>
      <c r="E42" s="169" t="n"/>
      <c r="F42" s="169" t="n"/>
      <c r="G42" s="169" t="n"/>
      <c r="H42" s="169" t="n"/>
      <c r="I42" s="169" t="n"/>
      <c r="J42" s="169" t="n"/>
      <c r="K42" s="169" t="n"/>
      <c r="L42" s="169" t="n"/>
      <c r="M42" s="169" t="n"/>
      <c r="N42" s="169" t="n"/>
      <c r="O42" s="169" t="n"/>
      <c r="P42" s="169" t="n"/>
      <c r="Q42" s="169" t="n"/>
      <c r="R42" s="169" t="n"/>
      <c r="S42" s="169" t="n"/>
      <c r="T42" s="169" t="n"/>
      <c r="U42" s="169" t="n"/>
      <c r="V42" s="169" t="n"/>
      <c r="W42" s="169" t="n"/>
      <c r="X42" s="169" t="n"/>
      <c r="Y42" s="169" t="n"/>
      <c r="Z42" s="169" t="n"/>
      <c r="AA42" s="169" t="n"/>
      <c r="AB42" s="169" t="n"/>
      <c r="AC42" s="169" t="n"/>
      <c r="AD42" s="169" t="n"/>
      <c r="AE42" s="169" t="n"/>
      <c r="AF42" s="169" t="n"/>
      <c r="AG42" s="169" t="n"/>
      <c r="AH42" s="169" t="n"/>
      <c r="AI42" s="169" t="n"/>
      <c r="AJ42" s="169" t="n"/>
      <c r="AK42" s="169" t="n"/>
      <c r="AL42" s="169" t="n"/>
      <c r="AM42" s="169" t="n"/>
      <c r="AN42" s="169"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row>
    <row r="43" customFormat="1" s="106">
      <c r="A43" s="125" t="n"/>
      <c r="B43" s="125" t="n"/>
      <c r="C43" s="126" t="n"/>
      <c r="D43" s="127" t="n"/>
      <c r="E43" s="173" t="str">
        <f> InpC!E$10</f>
        <v>Acquisition / initial balance date</v>
      </c>
      <c r="F43" s="173">
        <f> InpC!F$10</f>
        <v>44561.0</v>
      </c>
      <c r="G43" s="173" t="str">
        <f> InpC!G$10</f>
        <v>date</v>
      </c>
      <c r="H43" s="61" t="n"/>
      <c r="I43" s="61" t="n"/>
      <c r="J43" s="61" t="n"/>
      <c r="K43" s="61" t="n"/>
      <c r="L43" s="61" t="n"/>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1" t="n"/>
      <c r="BZ43" s="61" t="n"/>
      <c r="CA43" s="61" t="n"/>
      <c r="CB43" s="61" t="n"/>
      <c r="CC43" s="61" t="n"/>
      <c r="CD43" s="61" t="n"/>
      <c r="CE43" s="61" t="n"/>
      <c r="CF43" s="61" t="n"/>
      <c r="CG43" s="61" t="n"/>
      <c r="CH43" s="61" t="n"/>
      <c r="CI43" s="61" t="n"/>
      <c r="CJ43" s="61" t="n"/>
      <c r="CK43" s="61" t="n"/>
      <c r="CL43" s="61" t="n"/>
      <c r="CM43" s="61" t="n"/>
      <c r="CN43" s="61" t="n"/>
      <c r="CO43" s="61" t="n"/>
    </row>
    <row r="44" ht="15" customFormat="1" customHeight="1" s="123">
      <c r="A44" s="167" t="n"/>
      <c r="B44" s="167" t="n"/>
      <c r="C44" s="237" t="n"/>
      <c r="D44" s="121" t="n"/>
      <c r="E44" s="140" t="str">
        <f> E$25</f>
        <v>Model period ending </v>
      </c>
      <c r="F44" s="140">
        <f> F$25</f>
        <v>0.0</v>
      </c>
      <c r="G44" s="140" t="str">
        <f> G$25</f>
        <v>date</v>
      </c>
      <c r="H44" s="140">
        <f> H$25</f>
        <v>0.0</v>
      </c>
      <c r="I44" s="140">
        <f> I$25</f>
        <v>0.0</v>
      </c>
      <c r="J44" s="140">
        <f> J$25</f>
        <v>44469.0</v>
      </c>
      <c r="K44" s="140">
        <f> K$25</f>
        <v>44561.0</v>
      </c>
      <c r="L44" s="140">
        <f> L$25</f>
        <v>44651.0</v>
      </c>
      <c r="M44" s="140">
        <f> M$25</f>
        <v>44742.0</v>
      </c>
      <c r="N44" s="140">
        <f> N$25</f>
        <v>44834.0</v>
      </c>
      <c r="O44" s="140">
        <f> O$25</f>
        <v>44926.0</v>
      </c>
      <c r="P44" s="140">
        <f> P$25</f>
        <v>45016.0</v>
      </c>
      <c r="Q44" s="140">
        <f> Q$25</f>
        <v>45107.0</v>
      </c>
      <c r="R44" s="140">
        <f> R$25</f>
        <v>45199.0</v>
      </c>
      <c r="S44" s="140">
        <f> S$25</f>
        <v>45291.0</v>
      </c>
      <c r="T44" s="140">
        <f> T$25</f>
        <v>45382.0</v>
      </c>
      <c r="U44" s="140">
        <f> U$25</f>
        <v>45473.0</v>
      </c>
      <c r="V44" s="140">
        <f> V$25</f>
        <v>45565.0</v>
      </c>
      <c r="W44" s="140">
        <f> W$25</f>
        <v>45657.0</v>
      </c>
      <c r="X44" s="140">
        <f> X$25</f>
        <v>45747.0</v>
      </c>
      <c r="Y44" s="140">
        <f> Y$25</f>
        <v>45838.0</v>
      </c>
      <c r="Z44" s="140">
        <f> Z$25</f>
        <v>45930.0</v>
      </c>
      <c r="AA44" s="140">
        <f> AA$25</f>
        <v>46022.0</v>
      </c>
      <c r="AB44" s="140">
        <f> AB$25</f>
        <v>46112.0</v>
      </c>
      <c r="AC44" s="140">
        <f> AC$25</f>
        <v>46203.0</v>
      </c>
      <c r="AD44" s="140">
        <f> AD$25</f>
        <v>46295.0</v>
      </c>
      <c r="AE44" s="140">
        <f> AE$25</f>
        <v>46387.0</v>
      </c>
      <c r="AF44" s="140">
        <f> AF$25</f>
        <v>46477.0</v>
      </c>
      <c r="AG44" s="140">
        <f> AG$25</f>
        <v>46568.0</v>
      </c>
      <c r="AH44" s="140">
        <f> AH$25</f>
        <v>46660.0</v>
      </c>
      <c r="AI44" s="140">
        <f> AI$25</f>
        <v>46752.0</v>
      </c>
      <c r="AJ44" s="140">
        <f> AJ$25</f>
        <v>46843.0</v>
      </c>
      <c r="AK44" s="140">
        <f> AK$25</f>
        <v>46934.0</v>
      </c>
      <c r="AL44" s="140">
        <f> AL$25</f>
        <v>47026.0</v>
      </c>
      <c r="AM44" s="140">
        <f> AM$25</f>
        <v>47118.0</v>
      </c>
      <c r="AN44" s="140">
        <f> AN$25</f>
        <v>47208.0</v>
      </c>
      <c r="AO44" s="140">
        <f> AO$25</f>
        <v>47299.0</v>
      </c>
      <c r="AP44" s="140">
        <f> AP$25</f>
        <v>47391.0</v>
      </c>
      <c r="AQ44" s="140">
        <f> AQ$25</f>
        <v>47483.0</v>
      </c>
      <c r="AR44" s="140">
        <f> AR$25</f>
        <v>47573.0</v>
      </c>
      <c r="AS44" s="140">
        <f> AS$25</f>
        <v>47664.0</v>
      </c>
      <c r="AT44" s="140">
        <f> AT$25</f>
        <v>47756.0</v>
      </c>
      <c r="AU44" s="140">
        <f> AU$25</f>
        <v>47848.0</v>
      </c>
      <c r="AV44" s="140">
        <f> AV$25</f>
        <v>47938.0</v>
      </c>
      <c r="AW44" s="140">
        <f> AW$25</f>
        <v>48029.0</v>
      </c>
      <c r="AX44" s="140">
        <f> AX$25</f>
        <v>48121.0</v>
      </c>
      <c r="AY44" s="140">
        <f> AY$25</f>
        <v>48213.0</v>
      </c>
      <c r="AZ44" s="140">
        <f> AZ$25</f>
        <v>48304.0</v>
      </c>
      <c r="BA44" s="140">
        <f> BA$25</f>
        <v>48395.0</v>
      </c>
      <c r="BB44" s="140">
        <f> BB$25</f>
        <v>48487.0</v>
      </c>
      <c r="BC44" s="140">
        <f> BC$25</f>
        <v>48579.0</v>
      </c>
      <c r="BD44" s="140">
        <f> BD$25</f>
        <v>48669.0</v>
      </c>
      <c r="BE44" s="140">
        <f> BE$25</f>
        <v>48760.0</v>
      </c>
      <c r="BF44" s="140">
        <f> BF$25</f>
        <v>48852.0</v>
      </c>
      <c r="BG44" s="140">
        <f> BG$25</f>
        <v>48944.0</v>
      </c>
      <c r="BH44" s="140">
        <f> BH$25</f>
        <v>49034.0</v>
      </c>
      <c r="BI44" s="140">
        <f> BI$25</f>
        <v>49125.0</v>
      </c>
      <c r="BJ44" s="140">
        <f> BJ$25</f>
        <v>49217.0</v>
      </c>
      <c r="BK44" s="140">
        <f> BK$25</f>
        <v>49309.0</v>
      </c>
      <c r="BL44" s="140">
        <f> BL$25</f>
        <v>49399.0</v>
      </c>
      <c r="BM44" s="140">
        <f> BM$25</f>
        <v>49490.0</v>
      </c>
      <c r="BN44" s="140">
        <f> BN$25</f>
        <v>49582.0</v>
      </c>
      <c r="BO44" s="140">
        <f> BO$25</f>
        <v>49674.0</v>
      </c>
      <c r="BP44" s="140">
        <f> BP$25</f>
        <v>49765.0</v>
      </c>
      <c r="BQ44" s="140">
        <f> BQ$25</f>
        <v>49856.0</v>
      </c>
      <c r="BR44" s="140">
        <f> BR$25</f>
        <v>49948.0</v>
      </c>
      <c r="BS44" s="140">
        <f> BS$25</f>
        <v>50040.0</v>
      </c>
      <c r="BT44" s="140">
        <f> BT$25</f>
        <v>50130.0</v>
      </c>
      <c r="BU44" s="140">
        <f> BU$25</f>
        <v>50221.0</v>
      </c>
      <c r="BV44" s="140">
        <f> BV$25</f>
        <v>50313.0</v>
      </c>
      <c r="BW44" s="140">
        <f> BW$25</f>
        <v>50405.0</v>
      </c>
      <c r="BX44" s="140">
        <f> BX$25</f>
        <v>50495.0</v>
      </c>
      <c r="BY44" s="140">
        <f> BY$25</f>
        <v>50586.0</v>
      </c>
      <c r="BZ44" s="140">
        <f> BZ$25</f>
        <v>50678.0</v>
      </c>
      <c r="CA44" s="140">
        <f> CA$25</f>
        <v>50770.0</v>
      </c>
      <c r="CB44" s="140">
        <f> CB$25</f>
        <v>50860.0</v>
      </c>
      <c r="CC44" s="140">
        <f> CC$25</f>
        <v>50951.0</v>
      </c>
      <c r="CD44" s="140">
        <f> CD$25</f>
        <v>51043.0</v>
      </c>
      <c r="CE44" s="140">
        <f> CE$25</f>
        <v>51135.0</v>
      </c>
      <c r="CF44" s="140">
        <f> CF$25</f>
        <v>51226.0</v>
      </c>
      <c r="CG44" s="140">
        <f> CG$25</f>
        <v>51317.0</v>
      </c>
      <c r="CH44" s="140">
        <f> CH$25</f>
        <v>51409.0</v>
      </c>
      <c r="CI44" s="140">
        <f> CI$25</f>
        <v>51501.0</v>
      </c>
      <c r="CJ44" s="140">
        <f> CJ$25</f>
        <v>51591.0</v>
      </c>
      <c r="CK44" s="140">
        <f> CK$25</f>
        <v>51682.0</v>
      </c>
      <c r="CL44" s="140">
        <f> CL$25</f>
        <v>51774.0</v>
      </c>
      <c r="CM44" s="140">
        <f> CM$25</f>
        <v>51866.0</v>
      </c>
      <c r="CN44" s="140">
        <f> CN$25</f>
        <v>51956.0</v>
      </c>
      <c r="CO44" s="140">
        <f> CO$25</f>
        <v>52047.0</v>
      </c>
    </row>
    <row r="45" customFormat="1" s="330">
      <c r="A45" s="326" t="n"/>
      <c r="B45" s="326" t="n"/>
      <c r="C45" s="327" t="n"/>
      <c r="D45" s="328" t="n"/>
      <c r="E45" s="345" t="inlineStr">
        <is>
          <t>Acquisition / initial balance date flag</t>
        </is>
      </c>
      <c r="F45" s="345" t="n"/>
      <c r="G45" s="345" t="inlineStr">
        <is>
          <t>flag</t>
        </is>
      </c>
      <c r="H45" s="345">
        <f>SUM(J45:CO45)</f>
        <v>1.0</v>
      </c>
      <c r="I45" s="345" t="n"/>
      <c r="J45" s="345">
        <f> IF(J44 = $F43, 1, 0)</f>
        <v>0.0</v>
      </c>
      <c r="K45" s="345">
        <f> IF(K44 = $F43, 1, 0)</f>
        <v>1.0</v>
      </c>
      <c r="L45" s="345">
        <f> IF(L44 = $F43, 1, 0)</f>
        <v>0.0</v>
      </c>
      <c r="M45" s="345">
        <f> IF(M44 = $F43, 1, 0)</f>
        <v>0.0</v>
      </c>
      <c r="N45" s="345">
        <f> IF(N44 = $F43, 1, 0)</f>
        <v>0.0</v>
      </c>
      <c r="O45" s="345">
        <f> IF(O44 = $F43, 1, 0)</f>
        <v>0.0</v>
      </c>
      <c r="P45" s="345">
        <f> IF(P44 = $F43, 1, 0)</f>
        <v>0.0</v>
      </c>
      <c r="Q45" s="345">
        <f> IF(Q44 = $F43, 1, 0)</f>
        <v>0.0</v>
      </c>
      <c r="R45" s="345">
        <f> IF(R44 = $F43, 1, 0)</f>
        <v>0.0</v>
      </c>
      <c r="S45" s="345">
        <f> IF(S44 = $F43, 1, 0)</f>
        <v>0.0</v>
      </c>
      <c r="T45" s="345">
        <f> IF(T44 = $F43, 1, 0)</f>
        <v>0.0</v>
      </c>
      <c r="U45" s="345">
        <f> IF(U44 = $F43, 1, 0)</f>
        <v>0.0</v>
      </c>
      <c r="V45" s="345">
        <f> IF(V44 = $F43, 1, 0)</f>
        <v>0.0</v>
      </c>
      <c r="W45" s="345">
        <f> IF(W44 = $F43, 1, 0)</f>
        <v>0.0</v>
      </c>
      <c r="X45" s="345">
        <f> IF(X44 = $F43, 1, 0)</f>
        <v>0.0</v>
      </c>
      <c r="Y45" s="345">
        <f> IF(Y44 = $F43, 1, 0)</f>
        <v>0.0</v>
      </c>
      <c r="Z45" s="345">
        <f> IF(Z44 = $F43, 1, 0)</f>
        <v>0.0</v>
      </c>
      <c r="AA45" s="345">
        <f> IF(AA44 = $F43, 1, 0)</f>
        <v>0.0</v>
      </c>
      <c r="AB45" s="345">
        <f> IF(AB44 = $F43, 1, 0)</f>
        <v>0.0</v>
      </c>
      <c r="AC45" s="345">
        <f> IF(AC44 = $F43, 1, 0)</f>
        <v>0.0</v>
      </c>
      <c r="AD45" s="345">
        <f> IF(AD44 = $F43, 1, 0)</f>
        <v>0.0</v>
      </c>
      <c r="AE45" s="345">
        <f> IF(AE44 = $F43, 1, 0)</f>
        <v>0.0</v>
      </c>
      <c r="AF45" s="345">
        <f> IF(AF44 = $F43, 1, 0)</f>
        <v>0.0</v>
      </c>
      <c r="AG45" s="345">
        <f> IF(AG44 = $F43, 1, 0)</f>
        <v>0.0</v>
      </c>
      <c r="AH45" s="345">
        <f> IF(AH44 = $F43, 1, 0)</f>
        <v>0.0</v>
      </c>
      <c r="AI45" s="345">
        <f> IF(AI44 = $F43, 1, 0)</f>
        <v>0.0</v>
      </c>
      <c r="AJ45" s="345">
        <f> IF(AJ44 = $F43, 1, 0)</f>
        <v>0.0</v>
      </c>
      <c r="AK45" s="345">
        <f> IF(AK44 = $F43, 1, 0)</f>
        <v>0.0</v>
      </c>
      <c r="AL45" s="345">
        <f> IF(AL44 = $F43, 1, 0)</f>
        <v>0.0</v>
      </c>
      <c r="AM45" s="345">
        <f> IF(AM44 = $F43, 1, 0)</f>
        <v>0.0</v>
      </c>
      <c r="AN45" s="345">
        <f> IF(AN44 = $F43, 1, 0)</f>
        <v>0.0</v>
      </c>
      <c r="AO45" s="345">
        <f> IF(AO44 = $F43, 1, 0)</f>
        <v>0.0</v>
      </c>
      <c r="AP45" s="345">
        <f> IF(AP44 = $F43, 1, 0)</f>
        <v>0.0</v>
      </c>
      <c r="AQ45" s="345">
        <f> IF(AQ44 = $F43, 1, 0)</f>
        <v>0.0</v>
      </c>
      <c r="AR45" s="345">
        <f> IF(AR44 = $F43, 1, 0)</f>
        <v>0.0</v>
      </c>
      <c r="AS45" s="345">
        <f> IF(AS44 = $F43, 1, 0)</f>
        <v>0.0</v>
      </c>
      <c r="AT45" s="345">
        <f> IF(AT44 = $F43, 1, 0)</f>
        <v>0.0</v>
      </c>
      <c r="AU45" s="345">
        <f> IF(AU44 = $F43, 1, 0)</f>
        <v>0.0</v>
      </c>
      <c r="AV45" s="345">
        <f> IF(AV44 = $F43, 1, 0)</f>
        <v>0.0</v>
      </c>
      <c r="AW45" s="345">
        <f> IF(AW44 = $F43, 1, 0)</f>
        <v>0.0</v>
      </c>
      <c r="AX45" s="345">
        <f> IF(AX44 = $F43, 1, 0)</f>
        <v>0.0</v>
      </c>
      <c r="AY45" s="345">
        <f> IF(AY44 = $F43, 1, 0)</f>
        <v>0.0</v>
      </c>
      <c r="AZ45" s="345">
        <f> IF(AZ44 = $F43, 1, 0)</f>
        <v>0.0</v>
      </c>
      <c r="BA45" s="345">
        <f> IF(BA44 = $F43, 1, 0)</f>
        <v>0.0</v>
      </c>
      <c r="BB45" s="345">
        <f> IF(BB44 = $F43, 1, 0)</f>
        <v>0.0</v>
      </c>
      <c r="BC45" s="345">
        <f> IF(BC44 = $F43, 1, 0)</f>
        <v>0.0</v>
      </c>
      <c r="BD45" s="345">
        <f> IF(BD44 = $F43, 1, 0)</f>
        <v>0.0</v>
      </c>
      <c r="BE45" s="345">
        <f> IF(BE44 = $F43, 1, 0)</f>
        <v>0.0</v>
      </c>
      <c r="BF45" s="345">
        <f> IF(BF44 = $F43, 1, 0)</f>
        <v>0.0</v>
      </c>
      <c r="BG45" s="345">
        <f> IF(BG44 = $F43, 1, 0)</f>
        <v>0.0</v>
      </c>
      <c r="BH45" s="345">
        <f> IF(BH44 = $F43, 1, 0)</f>
        <v>0.0</v>
      </c>
      <c r="BI45" s="345">
        <f> IF(BI44 = $F43, 1, 0)</f>
        <v>0.0</v>
      </c>
      <c r="BJ45" s="345">
        <f> IF(BJ44 = $F43, 1, 0)</f>
        <v>0.0</v>
      </c>
      <c r="BK45" s="345">
        <f> IF(BK44 = $F43, 1, 0)</f>
        <v>0.0</v>
      </c>
      <c r="BL45" s="345">
        <f> IF(BL44 = $F43, 1, 0)</f>
        <v>0.0</v>
      </c>
      <c r="BM45" s="345">
        <f> IF(BM44 = $F43, 1, 0)</f>
        <v>0.0</v>
      </c>
      <c r="BN45" s="345">
        <f> IF(BN44 = $F43, 1, 0)</f>
        <v>0.0</v>
      </c>
      <c r="BO45" s="345">
        <f> IF(BO44 = $F43, 1, 0)</f>
        <v>0.0</v>
      </c>
      <c r="BP45" s="345">
        <f> IF(BP44 = $F43, 1, 0)</f>
        <v>0.0</v>
      </c>
      <c r="BQ45" s="345">
        <f> IF(BQ44 = $F43, 1, 0)</f>
        <v>0.0</v>
      </c>
      <c r="BR45" s="345">
        <f> IF(BR44 = $F43, 1, 0)</f>
        <v>0.0</v>
      </c>
      <c r="BS45" s="345">
        <f> IF(BS44 = $F43, 1, 0)</f>
        <v>0.0</v>
      </c>
      <c r="BT45" s="345">
        <f> IF(BT44 = $F43, 1, 0)</f>
        <v>0.0</v>
      </c>
      <c r="BU45" s="345">
        <f> IF(BU44 = $F43, 1, 0)</f>
        <v>0.0</v>
      </c>
      <c r="BV45" s="345">
        <f> IF(BV44 = $F43, 1, 0)</f>
        <v>0.0</v>
      </c>
      <c r="BW45" s="345">
        <f> IF(BW44 = $F43, 1, 0)</f>
        <v>0.0</v>
      </c>
      <c r="BX45" s="345">
        <f> IF(BX44 = $F43, 1, 0)</f>
        <v>0.0</v>
      </c>
      <c r="BY45" s="345">
        <f> IF(BY44 = $F43, 1, 0)</f>
        <v>0.0</v>
      </c>
      <c r="BZ45" s="345">
        <f> IF(BZ44 = $F43, 1, 0)</f>
        <v>0.0</v>
      </c>
      <c r="CA45" s="345">
        <f> IF(CA44 = $F43, 1, 0)</f>
        <v>0.0</v>
      </c>
      <c r="CB45" s="345">
        <f> IF(CB44 = $F43, 1, 0)</f>
        <v>0.0</v>
      </c>
      <c r="CC45" s="345">
        <f> IF(CC44 = $F43, 1, 0)</f>
        <v>0.0</v>
      </c>
      <c r="CD45" s="345">
        <f> IF(CD44 = $F43, 1, 0)</f>
        <v>0.0</v>
      </c>
      <c r="CE45" s="345">
        <f> IF(CE44 = $F43, 1, 0)</f>
        <v>0.0</v>
      </c>
      <c r="CF45" s="345">
        <f> IF(CF44 = $F43, 1, 0)</f>
        <v>0.0</v>
      </c>
      <c r="CG45" s="345">
        <f> IF(CG44 = $F43, 1, 0)</f>
        <v>0.0</v>
      </c>
      <c r="CH45" s="345">
        <f> IF(CH44 = $F43, 1, 0)</f>
        <v>0.0</v>
      </c>
      <c r="CI45" s="345">
        <f> IF(CI44 = $F43, 1, 0)</f>
        <v>0.0</v>
      </c>
      <c r="CJ45" s="345">
        <f> IF(CJ44 = $F43, 1, 0)</f>
        <v>0.0</v>
      </c>
      <c r="CK45" s="345">
        <f> IF(CK44 = $F43, 1, 0)</f>
        <v>0.0</v>
      </c>
      <c r="CL45" s="345">
        <f> IF(CL44 = $F43, 1, 0)</f>
        <v>0.0</v>
      </c>
      <c r="CM45" s="345">
        <f> IF(CM44 = $F43, 1, 0)</f>
        <v>0.0</v>
      </c>
      <c r="CN45" s="345">
        <f> IF(CN44 = $F43, 1, 0)</f>
        <v>0.0</v>
      </c>
      <c r="CO45" s="345">
        <f> IF(CO44 = $F43, 1, 0)</f>
        <v>0.0</v>
      </c>
    </row>
    <row r="47" ht="15" customFormat="1" customHeight="1" s="142">
      <c r="A47" s="163" t="n"/>
      <c r="B47" s="163" t="inlineStr">
        <is>
          <t>First forecast period flag</t>
        </is>
      </c>
      <c r="C47" s="172" t="n"/>
      <c r="D47" s="88" t="n"/>
      <c r="E47" s="169" t="n"/>
      <c r="F47" s="169" t="n"/>
      <c r="G47" s="169" t="n"/>
      <c r="H47" s="61" t="n"/>
      <c r="I47" s="61" t="n"/>
      <c r="J47" s="61" t="n"/>
      <c r="K47" s="61" t="n"/>
      <c r="L47" s="61" t="n"/>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1" t="n"/>
      <c r="BZ47" s="61" t="n"/>
      <c r="CA47" s="61" t="n"/>
      <c r="CB47" s="61" t="n"/>
      <c r="CC47" s="61" t="n"/>
      <c r="CD47" s="61" t="n"/>
      <c r="CE47" s="61" t="n"/>
      <c r="CF47" s="61" t="n"/>
      <c r="CG47" s="61" t="n"/>
      <c r="CH47" s="61" t="n"/>
      <c r="CI47" s="61" t="n"/>
      <c r="CJ47" s="61" t="n"/>
      <c r="CK47" s="61" t="n"/>
      <c r="CL47" s="61" t="n"/>
      <c r="CM47" s="61" t="n"/>
      <c r="CN47" s="61" t="n"/>
      <c r="CO47" s="61" t="n"/>
    </row>
    <row r="48" customFormat="1" s="106">
      <c r="A48" s="125" t="n"/>
      <c r="B48" s="125" t="n"/>
      <c r="C48" s="126" t="n"/>
      <c r="D48" s="127" t="n"/>
      <c r="E48" s="173" t="str">
        <f> InpC!E$10</f>
        <v>Acquisition / initial balance date</v>
      </c>
      <c r="F48" s="173">
        <f> InpC!F$10</f>
        <v>44561.0</v>
      </c>
      <c r="G48" s="173" t="str">
        <f> InpC!G$10</f>
        <v>date</v>
      </c>
      <c r="H48" s="61" t="n"/>
      <c r="I48" s="61" t="n"/>
      <c r="J48" s="61" t="n"/>
      <c r="K48" s="61" t="n"/>
      <c r="L48" s="61" t="n"/>
      <c r="M48" s="61" t="n"/>
      <c r="N48" s="61" t="n"/>
      <c r="O48" s="61" t="n"/>
      <c r="P48" s="61" t="n"/>
      <c r="Q48" s="61" t="n"/>
      <c r="R48" s="61" t="n"/>
      <c r="S48" s="61" t="n"/>
      <c r="T48" s="61" t="n"/>
      <c r="U48" s="61" t="n"/>
      <c r="V48" s="61" t="n"/>
      <c r="W48" s="61" t="n"/>
      <c r="X48" s="61" t="n"/>
      <c r="Y48" s="61" t="n"/>
      <c r="Z48" s="61" t="n"/>
      <c r="AA48" s="61" t="n"/>
      <c r="AB48" s="61" t="n"/>
      <c r="AC48" s="61" t="n"/>
      <c r="AD48" s="61" t="n"/>
      <c r="AE48" s="61" t="n"/>
      <c r="AF48" s="61" t="n"/>
      <c r="AG48" s="61" t="n"/>
      <c r="AH48" s="61" t="n"/>
      <c r="AI48" s="61" t="n"/>
      <c r="AJ48" s="61" t="n"/>
      <c r="AK48" s="61" t="n"/>
      <c r="AL48" s="61" t="n"/>
      <c r="AM48" s="61" t="n"/>
      <c r="AN48" s="61" t="n"/>
      <c r="AO48" s="61" t="n"/>
      <c r="AP48" s="61" t="n"/>
      <c r="AQ48" s="61" t="n"/>
      <c r="AR48" s="61" t="n"/>
      <c r="AS48" s="61" t="n"/>
      <c r="AT48" s="61" t="n"/>
      <c r="AU48" s="61" t="n"/>
      <c r="AV48" s="61" t="n"/>
      <c r="AW48" s="61" t="n"/>
      <c r="AX48" s="61" t="n"/>
      <c r="AY48" s="61" t="n"/>
      <c r="AZ48" s="61" t="n"/>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1" t="n"/>
      <c r="BZ48" s="61" t="n"/>
      <c r="CA48" s="61" t="n"/>
      <c r="CB48" s="61" t="n"/>
      <c r="CC48" s="61" t="n"/>
      <c r="CD48" s="61" t="n"/>
      <c r="CE48" s="61" t="n"/>
      <c r="CF48" s="61" t="n"/>
      <c r="CG48" s="61" t="n"/>
      <c r="CH48" s="61" t="n"/>
      <c r="CI48" s="61" t="n"/>
      <c r="CJ48" s="61" t="n"/>
      <c r="CK48" s="61" t="n"/>
      <c r="CL48" s="61" t="n"/>
      <c r="CM48" s="61" t="n"/>
      <c r="CN48" s="61" t="n"/>
      <c r="CO48" s="61" t="n"/>
    </row>
    <row r="49" ht="15" customFormat="1" customHeight="1" s="128">
      <c r="A49" s="125" t="n"/>
      <c r="B49" s="125" t="n"/>
      <c r="C49" s="126" t="n"/>
      <c r="D49" s="127" t="n"/>
      <c r="E49" s="127" t="inlineStr">
        <is>
          <t>First forecast period start date</t>
        </is>
      </c>
      <c r="F49" s="127">
        <f> F48 + 1</f>
        <v>44562.0</v>
      </c>
      <c r="G49" s="127" t="inlineStr">
        <is>
          <t>date</t>
        </is>
      </c>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1" t="n"/>
      <c r="BZ49" s="61" t="n"/>
      <c r="CA49" s="61" t="n"/>
      <c r="CB49" s="61" t="n"/>
      <c r="CC49" s="61" t="n"/>
      <c r="CD49" s="61" t="n"/>
      <c r="CE49" s="61" t="n"/>
      <c r="CF49" s="61" t="n"/>
      <c r="CG49" s="61" t="n"/>
      <c r="CH49" s="61" t="n"/>
      <c r="CI49" s="61" t="n"/>
      <c r="CJ49" s="61" t="n"/>
      <c r="CK49" s="61" t="n"/>
      <c r="CL49" s="61" t="n"/>
      <c r="CM49" s="61" t="n"/>
      <c r="CN49" s="61" t="n"/>
      <c r="CO49" s="61" t="n"/>
    </row>
    <row r="50" ht="15" customFormat="1" customHeight="1" s="142">
      <c r="A50" s="163" t="n"/>
      <c r="B50" s="163" t="n"/>
      <c r="C50" s="172" t="n"/>
      <c r="D50" s="88" t="n"/>
      <c r="E50" s="169" t="n"/>
      <c r="F50" s="169" t="n"/>
      <c r="G50" s="169" t="n"/>
      <c r="H50" s="61" t="n"/>
      <c r="I50" s="61" t="n"/>
      <c r="J50" s="61" t="n"/>
      <c r="K50" s="61" t="n"/>
      <c r="L50" s="61" t="n"/>
      <c r="M50" s="61" t="n"/>
      <c r="N50" s="61" t="n"/>
      <c r="O50" s="61" t="n"/>
      <c r="P50" s="61" t="n"/>
      <c r="Q50" s="61" t="n"/>
      <c r="R50" s="61" t="n"/>
      <c r="S50" s="61" t="n"/>
      <c r="T50" s="61" t="n"/>
      <c r="U50" s="61" t="n"/>
      <c r="V50" s="61" t="n"/>
      <c r="W50" s="61" t="n"/>
      <c r="X50" s="61" t="n"/>
      <c r="Y50" s="61" t="n"/>
      <c r="Z50" s="61" t="n"/>
      <c r="AA50" s="61" t="n"/>
      <c r="AB50" s="61" t="n"/>
      <c r="AC50" s="61" t="n"/>
      <c r="AD50" s="61" t="n"/>
      <c r="AE50" s="61" t="n"/>
      <c r="AF50" s="61" t="n"/>
      <c r="AG50" s="61" t="n"/>
      <c r="AH50" s="61" t="n"/>
      <c r="AI50" s="61" t="n"/>
      <c r="AJ50" s="61" t="n"/>
      <c r="AK50" s="61" t="n"/>
      <c r="AL50" s="61" t="n"/>
      <c r="AM50" s="61" t="n"/>
      <c r="AN50" s="61" t="n"/>
      <c r="AO50" s="61" t="n"/>
      <c r="AP50" s="61" t="n"/>
      <c r="AQ50" s="61" t="n"/>
      <c r="AR50" s="61" t="n"/>
      <c r="AS50" s="61" t="n"/>
      <c r="AT50" s="61" t="n"/>
      <c r="AU50" s="61" t="n"/>
      <c r="AV50" s="61" t="n"/>
      <c r="AW50" s="61" t="n"/>
      <c r="AX50" s="61" t="n"/>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1" t="n"/>
      <c r="BZ50" s="61" t="n"/>
      <c r="CA50" s="61" t="n"/>
      <c r="CB50" s="61" t="n"/>
      <c r="CC50" s="61" t="n"/>
      <c r="CD50" s="61" t="n"/>
      <c r="CE50" s="61" t="n"/>
      <c r="CF50" s="61" t="n"/>
      <c r="CG50" s="61" t="n"/>
      <c r="CH50" s="61" t="n"/>
      <c r="CI50" s="61" t="n"/>
      <c r="CJ50" s="61" t="n"/>
      <c r="CK50" s="61" t="n"/>
      <c r="CL50" s="61" t="n"/>
      <c r="CM50" s="61" t="n"/>
      <c r="CN50" s="61" t="n"/>
      <c r="CO50" s="61" t="n"/>
    </row>
    <row r="51" customFormat="1" s="133">
      <c r="A51" s="129" t="n"/>
      <c r="B51" s="129" t="n"/>
      <c r="C51" s="130" t="n"/>
      <c r="D51" s="131" t="n"/>
      <c r="E51" s="399" t="str">
        <f> E$49</f>
        <v>First forecast period start date</v>
      </c>
      <c r="F51" s="399">
        <f> F$49</f>
        <v>44562.0</v>
      </c>
      <c r="G51" s="399" t="str">
        <f> G$49</f>
        <v>date</v>
      </c>
      <c r="H51" s="61" t="n"/>
      <c r="I51" s="61" t="n"/>
      <c r="J51" s="61" t="n"/>
      <c r="K51" s="61" t="n"/>
      <c r="L51" s="61" t="n"/>
      <c r="M51" s="61" t="n"/>
      <c r="N51" s="61" t="n"/>
      <c r="O51" s="61" t="n"/>
      <c r="P51" s="61" t="n"/>
      <c r="Q51" s="61" t="n"/>
      <c r="R51" s="61" t="n"/>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1" t="n"/>
      <c r="AN51" s="61" t="n"/>
      <c r="AO51" s="61" t="n"/>
      <c r="AP51" s="61" t="n"/>
      <c r="AQ51" s="61" t="n"/>
      <c r="AR51" s="61" t="n"/>
      <c r="AS51" s="61" t="n"/>
      <c r="AT51" s="61" t="n"/>
      <c r="AU51" s="61" t="n"/>
      <c r="AV51" s="61" t="n"/>
      <c r="AW51" s="61" t="n"/>
      <c r="AX51" s="61" t="n"/>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1" t="n"/>
      <c r="BZ51" s="61" t="n"/>
      <c r="CA51" s="61" t="n"/>
      <c r="CB51" s="61" t="n"/>
      <c r="CC51" s="61" t="n"/>
      <c r="CD51" s="61" t="n"/>
      <c r="CE51" s="61" t="n"/>
      <c r="CF51" s="61" t="n"/>
      <c r="CG51" s="61" t="n"/>
      <c r="CH51" s="61" t="n"/>
      <c r="CI51" s="61" t="n"/>
      <c r="CJ51" s="61" t="n"/>
      <c r="CK51" s="61" t="n"/>
      <c r="CL51" s="61" t="n"/>
      <c r="CM51" s="61" t="n"/>
      <c r="CN51" s="61" t="n"/>
      <c r="CO51" s="61" t="n"/>
    </row>
    <row r="52" ht="15" customFormat="1" customHeight="1" s="123">
      <c r="A52" s="167" t="n"/>
      <c r="B52" s="167" t="n"/>
      <c r="C52" s="237" t="n"/>
      <c r="D52" s="121" t="n"/>
      <c r="E52" s="140" t="str">
        <f> E$25</f>
        <v>Model period ending </v>
      </c>
      <c r="F52" s="140">
        <f> F$25</f>
        <v>0.0</v>
      </c>
      <c r="G52" s="140" t="str">
        <f> G$25</f>
        <v>date</v>
      </c>
      <c r="H52" s="140">
        <f> H$25</f>
        <v>0.0</v>
      </c>
      <c r="I52" s="134">
        <f> I$25</f>
        <v>0.0</v>
      </c>
      <c r="J52" s="140">
        <f> J$25</f>
        <v>44469.0</v>
      </c>
      <c r="K52" s="140">
        <f> K$25</f>
        <v>44561.0</v>
      </c>
      <c r="L52" s="140">
        <f> L$25</f>
        <v>44651.0</v>
      </c>
      <c r="M52" s="140">
        <f> M$25</f>
        <v>44742.0</v>
      </c>
      <c r="N52" s="140">
        <f> N$25</f>
        <v>44834.0</v>
      </c>
      <c r="O52" s="140">
        <f> O$25</f>
        <v>44926.0</v>
      </c>
      <c r="P52" s="140">
        <f> P$25</f>
        <v>45016.0</v>
      </c>
      <c r="Q52" s="140">
        <f> Q$25</f>
        <v>45107.0</v>
      </c>
      <c r="R52" s="140">
        <f> R$25</f>
        <v>45199.0</v>
      </c>
      <c r="S52" s="140">
        <f> S$25</f>
        <v>45291.0</v>
      </c>
      <c r="T52" s="140">
        <f> T$25</f>
        <v>45382.0</v>
      </c>
      <c r="U52" s="140">
        <f> U$25</f>
        <v>45473.0</v>
      </c>
      <c r="V52" s="140">
        <f> V$25</f>
        <v>45565.0</v>
      </c>
      <c r="W52" s="140">
        <f> W$25</f>
        <v>45657.0</v>
      </c>
      <c r="X52" s="140">
        <f> X$25</f>
        <v>45747.0</v>
      </c>
      <c r="Y52" s="140">
        <f> Y$25</f>
        <v>45838.0</v>
      </c>
      <c r="Z52" s="140">
        <f> Z$25</f>
        <v>45930.0</v>
      </c>
      <c r="AA52" s="140">
        <f> AA$25</f>
        <v>46022.0</v>
      </c>
      <c r="AB52" s="140">
        <f> AB$25</f>
        <v>46112.0</v>
      </c>
      <c r="AC52" s="140">
        <f> AC$25</f>
        <v>46203.0</v>
      </c>
      <c r="AD52" s="140">
        <f> AD$25</f>
        <v>46295.0</v>
      </c>
      <c r="AE52" s="140">
        <f> AE$25</f>
        <v>46387.0</v>
      </c>
      <c r="AF52" s="140">
        <f> AF$25</f>
        <v>46477.0</v>
      </c>
      <c r="AG52" s="140">
        <f> AG$25</f>
        <v>46568.0</v>
      </c>
      <c r="AH52" s="140">
        <f> AH$25</f>
        <v>46660.0</v>
      </c>
      <c r="AI52" s="140">
        <f> AI$25</f>
        <v>46752.0</v>
      </c>
      <c r="AJ52" s="140">
        <f> AJ$25</f>
        <v>46843.0</v>
      </c>
      <c r="AK52" s="140">
        <f> AK$25</f>
        <v>46934.0</v>
      </c>
      <c r="AL52" s="140">
        <f> AL$25</f>
        <v>47026.0</v>
      </c>
      <c r="AM52" s="140">
        <f> AM$25</f>
        <v>47118.0</v>
      </c>
      <c r="AN52" s="140">
        <f> AN$25</f>
        <v>47208.0</v>
      </c>
      <c r="AO52" s="140">
        <f> AO$25</f>
        <v>47299.0</v>
      </c>
      <c r="AP52" s="140">
        <f> AP$25</f>
        <v>47391.0</v>
      </c>
      <c r="AQ52" s="140">
        <f> AQ$25</f>
        <v>47483.0</v>
      </c>
      <c r="AR52" s="140">
        <f> AR$25</f>
        <v>47573.0</v>
      </c>
      <c r="AS52" s="140">
        <f> AS$25</f>
        <v>47664.0</v>
      </c>
      <c r="AT52" s="140">
        <f> AT$25</f>
        <v>47756.0</v>
      </c>
      <c r="AU52" s="140">
        <f> AU$25</f>
        <v>47848.0</v>
      </c>
      <c r="AV52" s="140">
        <f> AV$25</f>
        <v>47938.0</v>
      </c>
      <c r="AW52" s="140">
        <f> AW$25</f>
        <v>48029.0</v>
      </c>
      <c r="AX52" s="140">
        <f> AX$25</f>
        <v>48121.0</v>
      </c>
      <c r="AY52" s="140">
        <f> AY$25</f>
        <v>48213.0</v>
      </c>
      <c r="AZ52" s="140">
        <f> AZ$25</f>
        <v>48304.0</v>
      </c>
      <c r="BA52" s="140">
        <f> BA$25</f>
        <v>48395.0</v>
      </c>
      <c r="BB52" s="140">
        <f> BB$25</f>
        <v>48487.0</v>
      </c>
      <c r="BC52" s="140">
        <f> BC$25</f>
        <v>48579.0</v>
      </c>
      <c r="BD52" s="140">
        <f> BD$25</f>
        <v>48669.0</v>
      </c>
      <c r="BE52" s="140">
        <f> BE$25</f>
        <v>48760.0</v>
      </c>
      <c r="BF52" s="140">
        <f> BF$25</f>
        <v>48852.0</v>
      </c>
      <c r="BG52" s="140">
        <f> BG$25</f>
        <v>48944.0</v>
      </c>
      <c r="BH52" s="140">
        <f> BH$25</f>
        <v>49034.0</v>
      </c>
      <c r="BI52" s="140">
        <f> BI$25</f>
        <v>49125.0</v>
      </c>
      <c r="BJ52" s="140">
        <f> BJ$25</f>
        <v>49217.0</v>
      </c>
      <c r="BK52" s="140">
        <f> BK$25</f>
        <v>49309.0</v>
      </c>
      <c r="BL52" s="140">
        <f> BL$25</f>
        <v>49399.0</v>
      </c>
      <c r="BM52" s="140">
        <f> BM$25</f>
        <v>49490.0</v>
      </c>
      <c r="BN52" s="140">
        <f> BN$25</f>
        <v>49582.0</v>
      </c>
      <c r="BO52" s="140">
        <f> BO$25</f>
        <v>49674.0</v>
      </c>
      <c r="BP52" s="140">
        <f> BP$25</f>
        <v>49765.0</v>
      </c>
      <c r="BQ52" s="140">
        <f> BQ$25</f>
        <v>49856.0</v>
      </c>
      <c r="BR52" s="140">
        <f> BR$25</f>
        <v>49948.0</v>
      </c>
      <c r="BS52" s="140">
        <f> BS$25</f>
        <v>50040.0</v>
      </c>
      <c r="BT52" s="140">
        <f> BT$25</f>
        <v>50130.0</v>
      </c>
      <c r="BU52" s="140">
        <f> BU$25</f>
        <v>50221.0</v>
      </c>
      <c r="BV52" s="140">
        <f> BV$25</f>
        <v>50313.0</v>
      </c>
      <c r="BW52" s="140">
        <f> BW$25</f>
        <v>50405.0</v>
      </c>
      <c r="BX52" s="140">
        <f> BX$25</f>
        <v>50495.0</v>
      </c>
      <c r="BY52" s="140">
        <f> BY$25</f>
        <v>50586.0</v>
      </c>
      <c r="BZ52" s="140">
        <f> BZ$25</f>
        <v>50678.0</v>
      </c>
      <c r="CA52" s="140">
        <f> CA$25</f>
        <v>50770.0</v>
      </c>
      <c r="CB52" s="140">
        <f> CB$25</f>
        <v>50860.0</v>
      </c>
      <c r="CC52" s="140">
        <f> CC$25</f>
        <v>50951.0</v>
      </c>
      <c r="CD52" s="140">
        <f> CD$25</f>
        <v>51043.0</v>
      </c>
      <c r="CE52" s="140">
        <f> CE$25</f>
        <v>51135.0</v>
      </c>
      <c r="CF52" s="140">
        <f> CF$25</f>
        <v>51226.0</v>
      </c>
      <c r="CG52" s="140">
        <f> CG$25</f>
        <v>51317.0</v>
      </c>
      <c r="CH52" s="140">
        <f> CH$25</f>
        <v>51409.0</v>
      </c>
      <c r="CI52" s="140">
        <f> CI$25</f>
        <v>51501.0</v>
      </c>
      <c r="CJ52" s="140">
        <f> CJ$25</f>
        <v>51591.0</v>
      </c>
      <c r="CK52" s="140">
        <f> CK$25</f>
        <v>51682.0</v>
      </c>
      <c r="CL52" s="140">
        <f> CL$25</f>
        <v>51774.0</v>
      </c>
      <c r="CM52" s="140">
        <f> CM$25</f>
        <v>51866.0</v>
      </c>
      <c r="CN52" s="140">
        <f> CN$25</f>
        <v>51956.0</v>
      </c>
      <c r="CO52" s="140">
        <f> CO$25</f>
        <v>52047.0</v>
      </c>
    </row>
    <row r="53" customFormat="1" s="29">
      <c r="A53" s="294" t="n"/>
      <c r="B53" s="294" t="n"/>
      <c r="C53" s="212" t="n"/>
      <c r="D53" s="61" t="n"/>
      <c r="E53" s="61" t="inlineStr">
        <is>
          <t>First forecast period flag</t>
        </is>
      </c>
      <c r="F53" s="61" t="n"/>
      <c r="G53" s="61" t="inlineStr">
        <is>
          <t>flag</t>
        </is>
      </c>
      <c r="H53" s="61">
        <f> SUM(J53:CO53)</f>
        <v>1.0</v>
      </c>
      <c r="I53" s="61" t="n"/>
      <c r="J53" s="61">
        <f> IF(AND(I52 &lt; $F51, J52 &gt;= $F51), 1, 0)</f>
        <v>0.0</v>
      </c>
      <c r="K53" s="61">
        <f> IF(AND(J52 &lt; $F51, K52 &gt;= $F51), 1, 0)</f>
        <v>0.0</v>
      </c>
      <c r="L53" s="61">
        <f> IF(AND(K52 &lt; $F51, L52 &gt;= $F51), 1, 0)</f>
        <v>1.0</v>
      </c>
      <c r="M53" s="61">
        <f> IF(AND(L52 &lt; $F51, M52 &gt;= $F51), 1, 0)</f>
        <v>0.0</v>
      </c>
      <c r="N53" s="61">
        <f> IF(AND(M52 &lt; $F51, N52 &gt;= $F51), 1, 0)</f>
        <v>0.0</v>
      </c>
      <c r="O53" s="61">
        <f> IF(AND(N52 &lt; $F51, O52 &gt;= $F51), 1, 0)</f>
        <v>0.0</v>
      </c>
      <c r="P53" s="61">
        <f> IF(AND(O52 &lt; $F51, P52 &gt;= $F51), 1, 0)</f>
        <v>0.0</v>
      </c>
      <c r="Q53" s="61">
        <f> IF(AND(P52 &lt; $F51, Q52 &gt;= $F51), 1, 0)</f>
        <v>0.0</v>
      </c>
      <c r="R53" s="61">
        <f> IF(AND(Q52 &lt; $F51, R52 &gt;= $F51), 1, 0)</f>
        <v>0.0</v>
      </c>
      <c r="S53" s="61">
        <f> IF(AND(R52 &lt; $F51, S52 &gt;= $F51), 1, 0)</f>
        <v>0.0</v>
      </c>
      <c r="T53" s="61">
        <f> IF(AND(S52 &lt; $F51, T52 &gt;= $F51), 1, 0)</f>
        <v>0.0</v>
      </c>
      <c r="U53" s="61">
        <f> IF(AND(T52 &lt; $F51, U52 &gt;= $F51), 1, 0)</f>
        <v>0.0</v>
      </c>
      <c r="V53" s="61">
        <f> IF(AND(U52 &lt; $F51, V52 &gt;= $F51), 1, 0)</f>
        <v>0.0</v>
      </c>
      <c r="W53" s="61">
        <f> IF(AND(V52 &lt; $F51, W52 &gt;= $F51), 1, 0)</f>
        <v>0.0</v>
      </c>
      <c r="X53" s="61">
        <f> IF(AND(W52 &lt; $F51, X52 &gt;= $F51), 1, 0)</f>
        <v>0.0</v>
      </c>
      <c r="Y53" s="61">
        <f> IF(AND(X52 &lt; $F51, Y52 &gt;= $F51), 1, 0)</f>
        <v>0.0</v>
      </c>
      <c r="Z53" s="61">
        <f> IF(AND(Y52 &lt; $F51, Z52 &gt;= $F51), 1, 0)</f>
        <v>0.0</v>
      </c>
      <c r="AA53" s="61">
        <f> IF(AND(Z52 &lt; $F51, AA52 &gt;= $F51), 1, 0)</f>
        <v>0.0</v>
      </c>
      <c r="AB53" s="61">
        <f> IF(AND(AA52 &lt; $F51, AB52 &gt;= $F51), 1, 0)</f>
        <v>0.0</v>
      </c>
      <c r="AC53" s="61">
        <f> IF(AND(AB52 &lt; $F51, AC52 &gt;= $F51), 1, 0)</f>
        <v>0.0</v>
      </c>
      <c r="AD53" s="61">
        <f> IF(AND(AC52 &lt; $F51, AD52 &gt;= $F51), 1, 0)</f>
        <v>0.0</v>
      </c>
      <c r="AE53" s="61">
        <f> IF(AND(AD52 &lt; $F51, AE52 &gt;= $F51), 1, 0)</f>
        <v>0.0</v>
      </c>
      <c r="AF53" s="61">
        <f> IF(AND(AE52 &lt; $F51, AF52 &gt;= $F51), 1, 0)</f>
        <v>0.0</v>
      </c>
      <c r="AG53" s="61">
        <f> IF(AND(AF52 &lt; $F51, AG52 &gt;= $F51), 1, 0)</f>
        <v>0.0</v>
      </c>
      <c r="AH53" s="61">
        <f> IF(AND(AG52 &lt; $F51, AH52 &gt;= $F51), 1, 0)</f>
        <v>0.0</v>
      </c>
      <c r="AI53" s="61">
        <f> IF(AND(AH52 &lt; $F51, AI52 &gt;= $F51), 1, 0)</f>
        <v>0.0</v>
      </c>
      <c r="AJ53" s="61">
        <f> IF(AND(AI52 &lt; $F51, AJ52 &gt;= $F51), 1, 0)</f>
        <v>0.0</v>
      </c>
      <c r="AK53" s="61">
        <f> IF(AND(AJ52 &lt; $F51, AK52 &gt;= $F51), 1, 0)</f>
        <v>0.0</v>
      </c>
      <c r="AL53" s="61">
        <f> IF(AND(AK52 &lt; $F51, AL52 &gt;= $F51), 1, 0)</f>
        <v>0.0</v>
      </c>
      <c r="AM53" s="61">
        <f> IF(AND(AL52 &lt; $F51, AM52 &gt;= $F51), 1, 0)</f>
        <v>0.0</v>
      </c>
      <c r="AN53" s="61">
        <f> IF(AND(AM52 &lt; $F51, AN52 &gt;= $F51), 1, 0)</f>
        <v>0.0</v>
      </c>
      <c r="AO53" s="61">
        <f> IF(AND(AN52 &lt; $F51, AO52 &gt;= $F51), 1, 0)</f>
        <v>0.0</v>
      </c>
      <c r="AP53" s="61">
        <f> IF(AND(AO52 &lt; $F51, AP52 &gt;= $F51), 1, 0)</f>
        <v>0.0</v>
      </c>
      <c r="AQ53" s="61">
        <f> IF(AND(AP52 &lt; $F51, AQ52 &gt;= $F51), 1, 0)</f>
        <v>0.0</v>
      </c>
      <c r="AR53" s="61">
        <f> IF(AND(AQ52 &lt; $F51, AR52 &gt;= $F51), 1, 0)</f>
        <v>0.0</v>
      </c>
      <c r="AS53" s="61">
        <f> IF(AND(AR52 &lt; $F51, AS52 &gt;= $F51), 1, 0)</f>
        <v>0.0</v>
      </c>
      <c r="AT53" s="61">
        <f> IF(AND(AS52 &lt; $F51, AT52 &gt;= $F51), 1, 0)</f>
        <v>0.0</v>
      </c>
      <c r="AU53" s="61">
        <f> IF(AND(AT52 &lt; $F51, AU52 &gt;= $F51), 1, 0)</f>
        <v>0.0</v>
      </c>
      <c r="AV53" s="61">
        <f> IF(AND(AU52 &lt; $F51, AV52 &gt;= $F51), 1, 0)</f>
        <v>0.0</v>
      </c>
      <c r="AW53" s="61">
        <f> IF(AND(AV52 &lt; $F51, AW52 &gt;= $F51), 1, 0)</f>
        <v>0.0</v>
      </c>
      <c r="AX53" s="61">
        <f> IF(AND(AW52 &lt; $F51, AX52 &gt;= $F51), 1, 0)</f>
        <v>0.0</v>
      </c>
      <c r="AY53" s="61">
        <f> IF(AND(AX52 &lt; $F51, AY52 &gt;= $F51), 1, 0)</f>
        <v>0.0</v>
      </c>
      <c r="AZ53" s="61">
        <f> IF(AND(AY52 &lt; $F51, AZ52 &gt;= $F51), 1, 0)</f>
        <v>0.0</v>
      </c>
      <c r="BA53" s="61">
        <f> IF(AND(AZ52 &lt; $F51, BA52 &gt;= $F51), 1, 0)</f>
        <v>0.0</v>
      </c>
      <c r="BB53" s="61">
        <f> IF(AND(BA52 &lt; $F51, BB52 &gt;= $F51), 1, 0)</f>
        <v>0.0</v>
      </c>
      <c r="BC53" s="61">
        <f> IF(AND(BB52 &lt; $F51, BC52 &gt;= $F51), 1, 0)</f>
        <v>0.0</v>
      </c>
      <c r="BD53" s="61">
        <f> IF(AND(BC52 &lt; $F51, BD52 &gt;= $F51), 1, 0)</f>
        <v>0.0</v>
      </c>
      <c r="BE53" s="61">
        <f> IF(AND(BD52 &lt; $F51, BE52 &gt;= $F51), 1, 0)</f>
        <v>0.0</v>
      </c>
      <c r="BF53" s="61">
        <f> IF(AND(BE52 &lt; $F51, BF52 &gt;= $F51), 1, 0)</f>
        <v>0.0</v>
      </c>
      <c r="BG53" s="61">
        <f> IF(AND(BF52 &lt; $F51, BG52 &gt;= $F51), 1, 0)</f>
        <v>0.0</v>
      </c>
      <c r="BH53" s="61">
        <f> IF(AND(BG52 &lt; $F51, BH52 &gt;= $F51), 1, 0)</f>
        <v>0.0</v>
      </c>
      <c r="BI53" s="61">
        <f> IF(AND(BH52 &lt; $F51, BI52 &gt;= $F51), 1, 0)</f>
        <v>0.0</v>
      </c>
      <c r="BJ53" s="61">
        <f> IF(AND(BI52 &lt; $F51, BJ52 &gt;= $F51), 1, 0)</f>
        <v>0.0</v>
      </c>
      <c r="BK53" s="61">
        <f> IF(AND(BJ52 &lt; $F51, BK52 &gt;= $F51), 1, 0)</f>
        <v>0.0</v>
      </c>
      <c r="BL53" s="61">
        <f> IF(AND(BK52 &lt; $F51, BL52 &gt;= $F51), 1, 0)</f>
        <v>0.0</v>
      </c>
      <c r="BM53" s="61">
        <f> IF(AND(BL52 &lt; $F51, BM52 &gt;= $F51), 1, 0)</f>
        <v>0.0</v>
      </c>
      <c r="BN53" s="61">
        <f> IF(AND(BM52 &lt; $F51, BN52 &gt;= $F51), 1, 0)</f>
        <v>0.0</v>
      </c>
      <c r="BO53" s="61">
        <f> IF(AND(BN52 &lt; $F51, BO52 &gt;= $F51), 1, 0)</f>
        <v>0.0</v>
      </c>
      <c r="BP53" s="61">
        <f> IF(AND(BO52 &lt; $F51, BP52 &gt;= $F51), 1, 0)</f>
        <v>0.0</v>
      </c>
      <c r="BQ53" s="61">
        <f> IF(AND(BP52 &lt; $F51, BQ52 &gt;= $F51), 1, 0)</f>
        <v>0.0</v>
      </c>
      <c r="BR53" s="61">
        <f> IF(AND(BQ52 &lt; $F51, BR52 &gt;= $F51), 1, 0)</f>
        <v>0.0</v>
      </c>
      <c r="BS53" s="61">
        <f> IF(AND(BR52 &lt; $F51, BS52 &gt;= $F51), 1, 0)</f>
        <v>0.0</v>
      </c>
      <c r="BT53" s="61">
        <f> IF(AND(BS52 &lt; $F51, BT52 &gt;= $F51), 1, 0)</f>
        <v>0.0</v>
      </c>
      <c r="BU53" s="61">
        <f> IF(AND(BT52 &lt; $F51, BU52 &gt;= $F51), 1, 0)</f>
        <v>0.0</v>
      </c>
      <c r="BV53" s="61">
        <f> IF(AND(BU52 &lt; $F51, BV52 &gt;= $F51), 1, 0)</f>
        <v>0.0</v>
      </c>
      <c r="BW53" s="61">
        <f> IF(AND(BV52 &lt; $F51, BW52 &gt;= $F51), 1, 0)</f>
        <v>0.0</v>
      </c>
      <c r="BX53" s="61">
        <f> IF(AND(BW52 &lt; $F51, BX52 &gt;= $F51), 1, 0)</f>
        <v>0.0</v>
      </c>
      <c r="BY53" s="61">
        <f> IF(AND(BX52 &lt; $F51, BY52 &gt;= $F51), 1, 0)</f>
        <v>0.0</v>
      </c>
      <c r="BZ53" s="61">
        <f> IF(AND(BY52 &lt; $F51, BZ52 &gt;= $F51), 1, 0)</f>
        <v>0.0</v>
      </c>
      <c r="CA53" s="61">
        <f> IF(AND(BZ52 &lt; $F51, CA52 &gt;= $F51), 1, 0)</f>
        <v>0.0</v>
      </c>
      <c r="CB53" s="61">
        <f> IF(AND(CA52 &lt; $F51, CB52 &gt;= $F51), 1, 0)</f>
        <v>0.0</v>
      </c>
      <c r="CC53" s="61">
        <f> IF(AND(CB52 &lt; $F51, CC52 &gt;= $F51), 1, 0)</f>
        <v>0.0</v>
      </c>
      <c r="CD53" s="61">
        <f> IF(AND(CC52 &lt; $F51, CD52 &gt;= $F51), 1, 0)</f>
        <v>0.0</v>
      </c>
      <c r="CE53" s="61">
        <f> IF(AND(CD52 &lt; $F51, CE52 &gt;= $F51), 1, 0)</f>
        <v>0.0</v>
      </c>
      <c r="CF53" s="61">
        <f> IF(AND(CE52 &lt; $F51, CF52 &gt;= $F51), 1, 0)</f>
        <v>0.0</v>
      </c>
      <c r="CG53" s="61">
        <f> IF(AND(CF52 &lt; $F51, CG52 &gt;= $F51), 1, 0)</f>
        <v>0.0</v>
      </c>
      <c r="CH53" s="61">
        <f> IF(AND(CG52 &lt; $F51, CH52 &gt;= $F51), 1, 0)</f>
        <v>0.0</v>
      </c>
      <c r="CI53" s="61">
        <f> IF(AND(CH52 &lt; $F51, CI52 &gt;= $F51), 1, 0)</f>
        <v>0.0</v>
      </c>
      <c r="CJ53" s="61">
        <f> IF(AND(CI52 &lt; $F51, CJ52 &gt;= $F51), 1, 0)</f>
        <v>0.0</v>
      </c>
      <c r="CK53" s="61">
        <f> IF(AND(CJ52 &lt; $F51, CK52 &gt;= $F51), 1, 0)</f>
        <v>0.0</v>
      </c>
      <c r="CL53" s="61">
        <f> IF(AND(CK52 &lt; $F51, CL52 &gt;= $F51), 1, 0)</f>
        <v>0.0</v>
      </c>
      <c r="CM53" s="61">
        <f> IF(AND(CL52 &lt; $F51, CM52 &gt;= $F51), 1, 0)</f>
        <v>0.0</v>
      </c>
      <c r="CN53" s="61">
        <f> IF(AND(CM52 &lt; $F51, CN52 &gt;= $F51), 1, 0)</f>
        <v>0.0</v>
      </c>
      <c r="CO53" s="61">
        <f> IF(AND(CN52 &lt; $F51, CO52 &gt;= $F51), 1, 0)</f>
        <v>0.0</v>
      </c>
    </row>
    <row r="54" ht="15" customFormat="1" customHeight="1" s="142">
      <c r="A54" s="163" t="n"/>
      <c r="B54" s="163" t="n"/>
      <c r="C54" s="172" t="n"/>
      <c r="D54" s="88" t="n"/>
      <c r="E54" s="169" t="n"/>
      <c r="F54" s="169" t="n"/>
      <c r="G54" s="169" t="n"/>
      <c r="H54" s="61" t="n"/>
      <c r="I54" s="61" t="n"/>
      <c r="J54" s="61" t="n"/>
      <c r="K54" s="61" t="n"/>
      <c r="L54" s="61" t="n"/>
      <c r="M54" s="61" t="n"/>
      <c r="N54" s="61" t="n"/>
      <c r="O54" s="61" t="n"/>
      <c r="P54" s="61" t="n"/>
      <c r="Q54" s="61" t="n"/>
      <c r="R54" s="61" t="n"/>
      <c r="S54" s="61" t="n"/>
      <c r="T54" s="61" t="n"/>
      <c r="U54" s="61" t="n"/>
      <c r="V54" s="61" t="n"/>
      <c r="W54" s="61" t="n"/>
      <c r="X54" s="61" t="n"/>
      <c r="Y54" s="61" t="n"/>
      <c r="Z54" s="61" t="n"/>
      <c r="AA54" s="61" t="n"/>
      <c r="AB54" s="61" t="n"/>
      <c r="AC54" s="61" t="n"/>
      <c r="AD54" s="61" t="n"/>
      <c r="AE54" s="61" t="n"/>
      <c r="AF54" s="61" t="n"/>
      <c r="AG54" s="61" t="n"/>
      <c r="AH54" s="61" t="n"/>
      <c r="AI54" s="61" t="n"/>
      <c r="AJ54" s="61" t="n"/>
      <c r="AK54" s="61" t="n"/>
      <c r="AL54" s="61" t="n"/>
      <c r="AM54" s="61" t="n"/>
      <c r="AN54" s="61" t="n"/>
      <c r="AO54" s="61" t="n"/>
      <c r="AP54" s="61" t="n"/>
      <c r="AQ54" s="61" t="n"/>
      <c r="AR54" s="61" t="n"/>
      <c r="AS54" s="61" t="n"/>
      <c r="AT54" s="61" t="n"/>
      <c r="AU54" s="61" t="n"/>
      <c r="AV54" s="61" t="n"/>
      <c r="AW54" s="61" t="n"/>
      <c r="AX54" s="61" t="n"/>
      <c r="AY54" s="61" t="n"/>
      <c r="AZ54" s="61" t="n"/>
      <c r="BA54" s="61" t="n"/>
      <c r="BB54" s="61" t="n"/>
      <c r="BC54" s="61" t="n"/>
      <c r="BD54" s="61" t="n"/>
      <c r="BE54" s="61" t="n"/>
      <c r="BF54" s="61" t="n"/>
      <c r="BG54" s="61" t="n"/>
      <c r="BH54" s="61" t="n"/>
      <c r="BI54" s="61" t="n"/>
      <c r="BJ54" s="61" t="n"/>
      <c r="BK54" s="61" t="n"/>
      <c r="BL54" s="61" t="n"/>
      <c r="BM54" s="61" t="n"/>
      <c r="BN54" s="61" t="n"/>
      <c r="BO54" s="61" t="n"/>
      <c r="BP54" s="61" t="n"/>
      <c r="BQ54" s="61" t="n"/>
      <c r="BR54" s="61" t="n"/>
      <c r="BS54" s="61" t="n"/>
      <c r="BT54" s="61" t="n"/>
      <c r="BU54" s="61" t="n"/>
      <c r="BV54" s="61" t="n"/>
      <c r="BW54" s="61" t="n"/>
      <c r="BX54" s="61" t="n"/>
      <c r="BY54" s="61" t="n"/>
      <c r="BZ54" s="61" t="n"/>
      <c r="CA54" s="61" t="n"/>
      <c r="CB54" s="61" t="n"/>
      <c r="CC54" s="61" t="n"/>
      <c r="CD54" s="61" t="n"/>
      <c r="CE54" s="61" t="n"/>
      <c r="CF54" s="61" t="n"/>
      <c r="CG54" s="61" t="n"/>
      <c r="CH54" s="61" t="n"/>
      <c r="CI54" s="61" t="n"/>
      <c r="CJ54" s="61" t="n"/>
      <c r="CK54" s="61" t="n"/>
      <c r="CL54" s="61" t="n"/>
      <c r="CM54" s="61" t="n"/>
      <c r="CN54" s="61" t="n"/>
      <c r="CO54" s="61" t="n"/>
    </row>
    <row r="55" customFormat="1" s="139">
      <c r="A55" s="135" t="n"/>
      <c r="B55" s="163" t="inlineStr">
        <is>
          <t>Pre-forecast period flag</t>
        </is>
      </c>
      <c r="C55" s="136" t="n"/>
      <c r="D55" s="137" t="n"/>
      <c r="E55" s="138" t="n"/>
      <c r="F55" s="138" t="n"/>
      <c r="G55" s="138" t="n"/>
      <c r="H55" s="138" t="n"/>
      <c r="I55" s="138" t="n"/>
      <c r="J55" s="138" t="n"/>
      <c r="K55" s="138" t="n"/>
      <c r="L55" s="138" t="n"/>
      <c r="M55" s="138" t="n"/>
      <c r="N55" s="138" t="n"/>
      <c r="O55" s="138" t="n"/>
      <c r="P55" s="138" t="n"/>
      <c r="Q55" s="138" t="n"/>
      <c r="R55" s="138" t="n"/>
      <c r="S55" s="138" t="n"/>
      <c r="T55" s="138" t="n"/>
      <c r="U55" s="138" t="n"/>
      <c r="V55" s="138" t="n"/>
      <c r="W55" s="138" t="n"/>
      <c r="X55" s="138" t="n"/>
      <c r="Y55" s="138" t="n"/>
      <c r="Z55" s="138" t="n"/>
      <c r="AA55" s="138" t="n"/>
      <c r="AB55" s="138" t="n"/>
      <c r="AC55" s="138" t="n"/>
      <c r="AD55" s="138" t="n"/>
      <c r="AE55" s="138" t="n"/>
      <c r="AF55" s="138" t="n"/>
      <c r="AG55" s="138" t="n"/>
      <c r="AH55" s="138" t="n"/>
      <c r="AI55" s="138" t="n"/>
      <c r="AJ55" s="138" t="n"/>
      <c r="AK55" s="138" t="n"/>
      <c r="AL55" s="138" t="n"/>
      <c r="AM55" s="138" t="n"/>
      <c r="AN55" s="138" t="n"/>
      <c r="AO55" s="138" t="n"/>
      <c r="AP55" s="138" t="n"/>
      <c r="AQ55" s="138" t="n"/>
      <c r="AR55" s="138" t="n"/>
      <c r="AS55" s="138" t="n"/>
      <c r="AT55" s="138" t="n"/>
      <c r="AU55" s="138" t="n"/>
      <c r="AV55" s="138" t="n"/>
      <c r="AW55" s="138" t="n"/>
      <c r="AX55" s="138" t="n"/>
      <c r="AY55" s="138" t="n"/>
      <c r="AZ55" s="138" t="n"/>
      <c r="BA55" s="138" t="n"/>
      <c r="BB55" s="138" t="n"/>
      <c r="BC55" s="138" t="n"/>
      <c r="BD55" s="138" t="n"/>
      <c r="BE55" s="138" t="n"/>
      <c r="BF55" s="138" t="n"/>
      <c r="BG55" s="138" t="n"/>
      <c r="BH55" s="138" t="n"/>
      <c r="BI55" s="138" t="n"/>
      <c r="BJ55" s="138" t="n"/>
      <c r="BK55" s="138" t="n"/>
      <c r="BL55" s="138" t="n"/>
      <c r="BM55" s="138" t="n"/>
      <c r="BN55" s="138" t="n"/>
      <c r="BO55" s="138" t="n"/>
      <c r="BP55" s="138" t="n"/>
      <c r="BQ55" s="138" t="n"/>
      <c r="BR55" s="138" t="n"/>
      <c r="BS55" s="138" t="n"/>
      <c r="BT55" s="138" t="n"/>
      <c r="BU55" s="138" t="n"/>
      <c r="BV55" s="138" t="n"/>
      <c r="BW55" s="138" t="n"/>
      <c r="BX55" s="138" t="n"/>
      <c r="BY55" s="138" t="n"/>
      <c r="BZ55" s="138" t="n"/>
      <c r="CA55" s="138" t="n"/>
      <c r="CB55" s="138" t="n"/>
      <c r="CC55" s="138" t="n"/>
      <c r="CD55" s="138" t="n"/>
      <c r="CE55" s="138" t="n"/>
      <c r="CF55" s="138" t="n"/>
      <c r="CG55" s="138" t="n"/>
      <c r="CH55" s="138" t="n"/>
      <c r="CI55" s="138" t="n"/>
      <c r="CJ55" s="138" t="n"/>
      <c r="CK55" s="138" t="n"/>
      <c r="CL55" s="138" t="n"/>
      <c r="CM55" s="138" t="n"/>
      <c r="CN55" s="138" t="n"/>
      <c r="CO55" s="138" t="n"/>
    </row>
    <row r="56" customFormat="1" s="106">
      <c r="A56" s="125" t="n"/>
      <c r="B56" s="125" t="n"/>
      <c r="C56" s="126" t="n"/>
      <c r="D56" s="127" t="n"/>
      <c r="E56" s="173" t="str">
        <f> InpC!E$10</f>
        <v>Acquisition / initial balance date</v>
      </c>
      <c r="F56" s="173">
        <f> InpC!F$10</f>
        <v>44561.0</v>
      </c>
      <c r="G56" s="173" t="str">
        <f> InpC!G$10</f>
        <v>date</v>
      </c>
      <c r="H56" s="61" t="n"/>
      <c r="I56" s="61" t="n"/>
      <c r="J56" s="61" t="n"/>
      <c r="K56" s="61" t="n"/>
      <c r="L56" s="61" t="n"/>
      <c r="M56" s="61" t="n"/>
      <c r="N56" s="61" t="n"/>
      <c r="O56" s="61" t="n"/>
      <c r="P56" s="61" t="n"/>
      <c r="Q56" s="61" t="n"/>
      <c r="R56" s="61" t="n"/>
      <c r="S56" s="61" t="n"/>
      <c r="T56" s="61" t="n"/>
      <c r="U56" s="61" t="n"/>
      <c r="V56" s="61" t="n"/>
      <c r="W56" s="61" t="n"/>
      <c r="X56" s="61" t="n"/>
      <c r="Y56" s="61" t="n"/>
      <c r="Z56" s="61" t="n"/>
      <c r="AA56" s="61" t="n"/>
      <c r="AB56" s="61" t="n"/>
      <c r="AC56" s="61" t="n"/>
      <c r="AD56" s="61" t="n"/>
      <c r="AE56" s="61" t="n"/>
      <c r="AF56" s="61" t="n"/>
      <c r="AG56" s="61" t="n"/>
      <c r="AH56" s="61" t="n"/>
      <c r="AI56" s="61" t="n"/>
      <c r="AJ56" s="61" t="n"/>
      <c r="AK56" s="61" t="n"/>
      <c r="AL56" s="61" t="n"/>
      <c r="AM56" s="61" t="n"/>
      <c r="AN56" s="61" t="n"/>
      <c r="AO56" s="61" t="n"/>
      <c r="AP56" s="61" t="n"/>
      <c r="AQ56" s="61" t="n"/>
      <c r="AR56" s="61" t="n"/>
      <c r="AS56" s="61" t="n"/>
      <c r="AT56" s="61" t="n"/>
      <c r="AU56" s="61" t="n"/>
      <c r="AV56" s="61" t="n"/>
      <c r="AW56" s="61" t="n"/>
      <c r="AX56" s="61" t="n"/>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1" t="n"/>
      <c r="BZ56" s="61" t="n"/>
      <c r="CA56" s="61" t="n"/>
      <c r="CB56" s="61" t="n"/>
      <c r="CC56" s="61" t="n"/>
      <c r="CD56" s="61" t="n"/>
      <c r="CE56" s="61" t="n"/>
      <c r="CF56" s="61" t="n"/>
      <c r="CG56" s="61" t="n"/>
      <c r="CH56" s="61" t="n"/>
      <c r="CI56" s="61" t="n"/>
      <c r="CJ56" s="61" t="n"/>
      <c r="CK56" s="61" t="n"/>
      <c r="CL56" s="61" t="n"/>
      <c r="CM56" s="61" t="n"/>
      <c r="CN56" s="61" t="n"/>
      <c r="CO56" s="61" t="n"/>
    </row>
    <row r="57" ht="15" customFormat="1" customHeight="1" s="123">
      <c r="A57" s="167" t="n"/>
      <c r="B57" s="167" t="n"/>
      <c r="C57" s="237" t="n"/>
      <c r="D57" s="121" t="n"/>
      <c r="E57" s="140" t="str">
        <f> E$25</f>
        <v>Model period ending </v>
      </c>
      <c r="F57" s="140">
        <f> F$25</f>
        <v>0.0</v>
      </c>
      <c r="G57" s="140" t="str">
        <f> G$25</f>
        <v>date</v>
      </c>
      <c r="H57" s="140">
        <f> H$25</f>
        <v>0.0</v>
      </c>
      <c r="I57" s="140">
        <f> I$25</f>
        <v>0.0</v>
      </c>
      <c r="J57" s="140">
        <f> J$25</f>
        <v>44469.0</v>
      </c>
      <c r="K57" s="140">
        <f> K$25</f>
        <v>44561.0</v>
      </c>
      <c r="L57" s="140">
        <f> L$25</f>
        <v>44651.0</v>
      </c>
      <c r="M57" s="140">
        <f> M$25</f>
        <v>44742.0</v>
      </c>
      <c r="N57" s="140">
        <f> N$25</f>
        <v>44834.0</v>
      </c>
      <c r="O57" s="140">
        <f> O$25</f>
        <v>44926.0</v>
      </c>
      <c r="P57" s="140">
        <f> P$25</f>
        <v>45016.0</v>
      </c>
      <c r="Q57" s="140">
        <f> Q$25</f>
        <v>45107.0</v>
      </c>
      <c r="R57" s="140">
        <f> R$25</f>
        <v>45199.0</v>
      </c>
      <c r="S57" s="140">
        <f> S$25</f>
        <v>45291.0</v>
      </c>
      <c r="T57" s="140">
        <f> T$25</f>
        <v>45382.0</v>
      </c>
      <c r="U57" s="140">
        <f> U$25</f>
        <v>45473.0</v>
      </c>
      <c r="V57" s="140">
        <f> V$25</f>
        <v>45565.0</v>
      </c>
      <c r="W57" s="140">
        <f> W$25</f>
        <v>45657.0</v>
      </c>
      <c r="X57" s="140">
        <f> X$25</f>
        <v>45747.0</v>
      </c>
      <c r="Y57" s="140">
        <f> Y$25</f>
        <v>45838.0</v>
      </c>
      <c r="Z57" s="140">
        <f> Z$25</f>
        <v>45930.0</v>
      </c>
      <c r="AA57" s="140">
        <f> AA$25</f>
        <v>46022.0</v>
      </c>
      <c r="AB57" s="140">
        <f> AB$25</f>
        <v>46112.0</v>
      </c>
      <c r="AC57" s="140">
        <f> AC$25</f>
        <v>46203.0</v>
      </c>
      <c r="AD57" s="140">
        <f> AD$25</f>
        <v>46295.0</v>
      </c>
      <c r="AE57" s="140">
        <f> AE$25</f>
        <v>46387.0</v>
      </c>
      <c r="AF57" s="140">
        <f> AF$25</f>
        <v>46477.0</v>
      </c>
      <c r="AG57" s="140">
        <f> AG$25</f>
        <v>46568.0</v>
      </c>
      <c r="AH57" s="140">
        <f> AH$25</f>
        <v>46660.0</v>
      </c>
      <c r="AI57" s="140">
        <f> AI$25</f>
        <v>46752.0</v>
      </c>
      <c r="AJ57" s="140">
        <f> AJ$25</f>
        <v>46843.0</v>
      </c>
      <c r="AK57" s="140">
        <f> AK$25</f>
        <v>46934.0</v>
      </c>
      <c r="AL57" s="140">
        <f> AL$25</f>
        <v>47026.0</v>
      </c>
      <c r="AM57" s="140">
        <f> AM$25</f>
        <v>47118.0</v>
      </c>
      <c r="AN57" s="140">
        <f> AN$25</f>
        <v>47208.0</v>
      </c>
      <c r="AO57" s="140">
        <f> AO$25</f>
        <v>47299.0</v>
      </c>
      <c r="AP57" s="140">
        <f> AP$25</f>
        <v>47391.0</v>
      </c>
      <c r="AQ57" s="140">
        <f> AQ$25</f>
        <v>47483.0</v>
      </c>
      <c r="AR57" s="140">
        <f> AR$25</f>
        <v>47573.0</v>
      </c>
      <c r="AS57" s="140">
        <f> AS$25</f>
        <v>47664.0</v>
      </c>
      <c r="AT57" s="140">
        <f> AT$25</f>
        <v>47756.0</v>
      </c>
      <c r="AU57" s="140">
        <f> AU$25</f>
        <v>47848.0</v>
      </c>
      <c r="AV57" s="140">
        <f> AV$25</f>
        <v>47938.0</v>
      </c>
      <c r="AW57" s="140">
        <f> AW$25</f>
        <v>48029.0</v>
      </c>
      <c r="AX57" s="140">
        <f> AX$25</f>
        <v>48121.0</v>
      </c>
      <c r="AY57" s="140">
        <f> AY$25</f>
        <v>48213.0</v>
      </c>
      <c r="AZ57" s="140">
        <f> AZ$25</f>
        <v>48304.0</v>
      </c>
      <c r="BA57" s="140">
        <f> BA$25</f>
        <v>48395.0</v>
      </c>
      <c r="BB57" s="140">
        <f> BB$25</f>
        <v>48487.0</v>
      </c>
      <c r="BC57" s="140">
        <f> BC$25</f>
        <v>48579.0</v>
      </c>
      <c r="BD57" s="140">
        <f> BD$25</f>
        <v>48669.0</v>
      </c>
      <c r="BE57" s="140">
        <f> BE$25</f>
        <v>48760.0</v>
      </c>
      <c r="BF57" s="140">
        <f> BF$25</f>
        <v>48852.0</v>
      </c>
      <c r="BG57" s="140">
        <f> BG$25</f>
        <v>48944.0</v>
      </c>
      <c r="BH57" s="140">
        <f> BH$25</f>
        <v>49034.0</v>
      </c>
      <c r="BI57" s="140">
        <f> BI$25</f>
        <v>49125.0</v>
      </c>
      <c r="BJ57" s="140">
        <f> BJ$25</f>
        <v>49217.0</v>
      </c>
      <c r="BK57" s="140">
        <f> BK$25</f>
        <v>49309.0</v>
      </c>
      <c r="BL57" s="140">
        <f> BL$25</f>
        <v>49399.0</v>
      </c>
      <c r="BM57" s="140">
        <f> BM$25</f>
        <v>49490.0</v>
      </c>
      <c r="BN57" s="140">
        <f> BN$25</f>
        <v>49582.0</v>
      </c>
      <c r="BO57" s="140">
        <f> BO$25</f>
        <v>49674.0</v>
      </c>
      <c r="BP57" s="140">
        <f> BP$25</f>
        <v>49765.0</v>
      </c>
      <c r="BQ57" s="140">
        <f> BQ$25</f>
        <v>49856.0</v>
      </c>
      <c r="BR57" s="140">
        <f> BR$25</f>
        <v>49948.0</v>
      </c>
      <c r="BS57" s="140">
        <f> BS$25</f>
        <v>50040.0</v>
      </c>
      <c r="BT57" s="140">
        <f> BT$25</f>
        <v>50130.0</v>
      </c>
      <c r="BU57" s="140">
        <f> BU$25</f>
        <v>50221.0</v>
      </c>
      <c r="BV57" s="140">
        <f> BV$25</f>
        <v>50313.0</v>
      </c>
      <c r="BW57" s="140">
        <f> BW$25</f>
        <v>50405.0</v>
      </c>
      <c r="BX57" s="140">
        <f> BX$25</f>
        <v>50495.0</v>
      </c>
      <c r="BY57" s="140">
        <f> BY$25</f>
        <v>50586.0</v>
      </c>
      <c r="BZ57" s="140">
        <f> BZ$25</f>
        <v>50678.0</v>
      </c>
      <c r="CA57" s="140">
        <f> CA$25</f>
        <v>50770.0</v>
      </c>
      <c r="CB57" s="140">
        <f> CB$25</f>
        <v>50860.0</v>
      </c>
      <c r="CC57" s="140">
        <f> CC$25</f>
        <v>50951.0</v>
      </c>
      <c r="CD57" s="140">
        <f> CD$25</f>
        <v>51043.0</v>
      </c>
      <c r="CE57" s="140">
        <f> CE$25</f>
        <v>51135.0</v>
      </c>
      <c r="CF57" s="140">
        <f> CF$25</f>
        <v>51226.0</v>
      </c>
      <c r="CG57" s="140">
        <f> CG$25</f>
        <v>51317.0</v>
      </c>
      <c r="CH57" s="140">
        <f> CH$25</f>
        <v>51409.0</v>
      </c>
      <c r="CI57" s="140">
        <f> CI$25</f>
        <v>51501.0</v>
      </c>
      <c r="CJ57" s="140">
        <f> CJ$25</f>
        <v>51591.0</v>
      </c>
      <c r="CK57" s="140">
        <f> CK$25</f>
        <v>51682.0</v>
      </c>
      <c r="CL57" s="140">
        <f> CL$25</f>
        <v>51774.0</v>
      </c>
      <c r="CM57" s="140">
        <f> CM$25</f>
        <v>51866.0</v>
      </c>
      <c r="CN57" s="140">
        <f> CN$25</f>
        <v>51956.0</v>
      </c>
      <c r="CO57" s="140">
        <f> CO$25</f>
        <v>52047.0</v>
      </c>
    </row>
    <row r="58" ht="15" customFormat="1" customHeight="1" s="142">
      <c r="A58" s="163" t="n"/>
      <c r="B58" s="163" t="n"/>
      <c r="C58" s="172" t="n"/>
      <c r="D58" s="141" t="n"/>
      <c r="E58" s="169" t="inlineStr">
        <is>
          <t>Pre-forecast period flag</t>
        </is>
      </c>
      <c r="F58" s="169" t="n"/>
      <c r="G58" s="169" t="inlineStr">
        <is>
          <t>flag</t>
        </is>
      </c>
      <c r="H58" s="169">
        <f> SUM(J58:CO58)</f>
        <v>2.0</v>
      </c>
      <c r="I58" s="169" t="n"/>
      <c r="J58" s="169">
        <f> IF(J57 &lt;= $F56, 1, 0)</f>
        <v>1.0</v>
      </c>
      <c r="K58" s="169">
        <f> IF(K57 &lt;= $F56, 1, 0)</f>
        <v>1.0</v>
      </c>
      <c r="L58" s="169">
        <f> IF(L57 &lt;= $F56, 1, 0)</f>
        <v>0.0</v>
      </c>
      <c r="M58" s="169">
        <f> IF(M57 &lt;= $F56, 1, 0)</f>
        <v>0.0</v>
      </c>
      <c r="N58" s="169">
        <f> IF(N57 &lt;= $F56, 1, 0)</f>
        <v>0.0</v>
      </c>
      <c r="O58" s="169">
        <f> IF(O57 &lt;= $F56, 1, 0)</f>
        <v>0.0</v>
      </c>
      <c r="P58" s="169">
        <f> IF(P57 &lt;= $F56, 1, 0)</f>
        <v>0.0</v>
      </c>
      <c r="Q58" s="169">
        <f> IF(Q57 &lt;= $F56, 1, 0)</f>
        <v>0.0</v>
      </c>
      <c r="R58" s="169">
        <f> IF(R57 &lt;= $F56, 1, 0)</f>
        <v>0.0</v>
      </c>
      <c r="S58" s="169">
        <f> IF(S57 &lt;= $F56, 1, 0)</f>
        <v>0.0</v>
      </c>
      <c r="T58" s="169">
        <f> IF(T57 &lt;= $F56, 1, 0)</f>
        <v>0.0</v>
      </c>
      <c r="U58" s="169">
        <f> IF(U57 &lt;= $F56, 1, 0)</f>
        <v>0.0</v>
      </c>
      <c r="V58" s="169">
        <f> IF(V57 &lt;= $F56, 1, 0)</f>
        <v>0.0</v>
      </c>
      <c r="W58" s="169">
        <f> IF(W57 &lt;= $F56, 1, 0)</f>
        <v>0.0</v>
      </c>
      <c r="X58" s="169">
        <f> IF(X57 &lt;= $F56, 1, 0)</f>
        <v>0.0</v>
      </c>
      <c r="Y58" s="169">
        <f> IF(Y57 &lt;= $F56, 1, 0)</f>
        <v>0.0</v>
      </c>
      <c r="Z58" s="169">
        <f> IF(Z57 &lt;= $F56, 1, 0)</f>
        <v>0.0</v>
      </c>
      <c r="AA58" s="169">
        <f> IF(AA57 &lt;= $F56, 1, 0)</f>
        <v>0.0</v>
      </c>
      <c r="AB58" s="169">
        <f> IF(AB57 &lt;= $F56, 1, 0)</f>
        <v>0.0</v>
      </c>
      <c r="AC58" s="169">
        <f> IF(AC57 &lt;= $F56, 1, 0)</f>
        <v>0.0</v>
      </c>
      <c r="AD58" s="169">
        <f> IF(AD57 &lt;= $F56, 1, 0)</f>
        <v>0.0</v>
      </c>
      <c r="AE58" s="169">
        <f> IF(AE57 &lt;= $F56, 1, 0)</f>
        <v>0.0</v>
      </c>
      <c r="AF58" s="169">
        <f> IF(AF57 &lt;= $F56, 1, 0)</f>
        <v>0.0</v>
      </c>
      <c r="AG58" s="169">
        <f> IF(AG57 &lt;= $F56, 1, 0)</f>
        <v>0.0</v>
      </c>
      <c r="AH58" s="169">
        <f> IF(AH57 &lt;= $F56, 1, 0)</f>
        <v>0.0</v>
      </c>
      <c r="AI58" s="169">
        <f> IF(AI57 &lt;= $F56, 1, 0)</f>
        <v>0.0</v>
      </c>
      <c r="AJ58" s="169">
        <f> IF(AJ57 &lt;= $F56, 1, 0)</f>
        <v>0.0</v>
      </c>
      <c r="AK58" s="169">
        <f> IF(AK57 &lt;= $F56, 1, 0)</f>
        <v>0.0</v>
      </c>
      <c r="AL58" s="169">
        <f> IF(AL57 &lt;= $F56, 1, 0)</f>
        <v>0.0</v>
      </c>
      <c r="AM58" s="169">
        <f> IF(AM57 &lt;= $F56, 1, 0)</f>
        <v>0.0</v>
      </c>
      <c r="AN58" s="169">
        <f> IF(AN57 &lt;= $F56, 1, 0)</f>
        <v>0.0</v>
      </c>
      <c r="AO58" s="169">
        <f> IF(AO57 &lt;= $F56, 1, 0)</f>
        <v>0.0</v>
      </c>
      <c r="AP58" s="169">
        <f> IF(AP57 &lt;= $F56, 1, 0)</f>
        <v>0.0</v>
      </c>
      <c r="AQ58" s="169">
        <f> IF(AQ57 &lt;= $F56, 1, 0)</f>
        <v>0.0</v>
      </c>
      <c r="AR58" s="169">
        <f> IF(AR57 &lt;= $F56, 1, 0)</f>
        <v>0.0</v>
      </c>
      <c r="AS58" s="169">
        <f> IF(AS57 &lt;= $F56, 1, 0)</f>
        <v>0.0</v>
      </c>
      <c r="AT58" s="169">
        <f> IF(AT57 &lt;= $F56, 1, 0)</f>
        <v>0.0</v>
      </c>
      <c r="AU58" s="169">
        <f> IF(AU57 &lt;= $F56, 1, 0)</f>
        <v>0.0</v>
      </c>
      <c r="AV58" s="169">
        <f> IF(AV57 &lt;= $F56, 1, 0)</f>
        <v>0.0</v>
      </c>
      <c r="AW58" s="169">
        <f> IF(AW57 &lt;= $F56, 1, 0)</f>
        <v>0.0</v>
      </c>
      <c r="AX58" s="169">
        <f> IF(AX57 &lt;= $F56, 1, 0)</f>
        <v>0.0</v>
      </c>
      <c r="AY58" s="169">
        <f> IF(AY57 &lt;= $F56, 1, 0)</f>
        <v>0.0</v>
      </c>
      <c r="AZ58" s="169">
        <f> IF(AZ57 &lt;= $F56, 1, 0)</f>
        <v>0.0</v>
      </c>
      <c r="BA58" s="169">
        <f> IF(BA57 &lt;= $F56, 1, 0)</f>
        <v>0.0</v>
      </c>
      <c r="BB58" s="169">
        <f> IF(BB57 &lt;= $F56, 1, 0)</f>
        <v>0.0</v>
      </c>
      <c r="BC58" s="169">
        <f> IF(BC57 &lt;= $F56, 1, 0)</f>
        <v>0.0</v>
      </c>
      <c r="BD58" s="169">
        <f> IF(BD57 &lt;= $F56, 1, 0)</f>
        <v>0.0</v>
      </c>
      <c r="BE58" s="169">
        <f> IF(BE57 &lt;= $F56, 1, 0)</f>
        <v>0.0</v>
      </c>
      <c r="BF58" s="169">
        <f> IF(BF57 &lt;= $F56, 1, 0)</f>
        <v>0.0</v>
      </c>
      <c r="BG58" s="169">
        <f> IF(BG57 &lt;= $F56, 1, 0)</f>
        <v>0.0</v>
      </c>
      <c r="BH58" s="169">
        <f> IF(BH57 &lt;= $F56, 1, 0)</f>
        <v>0.0</v>
      </c>
      <c r="BI58" s="169">
        <f> IF(BI57 &lt;= $F56, 1, 0)</f>
        <v>0.0</v>
      </c>
      <c r="BJ58" s="169">
        <f> IF(BJ57 &lt;= $F56, 1, 0)</f>
        <v>0.0</v>
      </c>
      <c r="BK58" s="169">
        <f> IF(BK57 &lt;= $F56, 1, 0)</f>
        <v>0.0</v>
      </c>
      <c r="BL58" s="169">
        <f> IF(BL57 &lt;= $F56, 1, 0)</f>
        <v>0.0</v>
      </c>
      <c r="BM58" s="169">
        <f> IF(BM57 &lt;= $F56, 1, 0)</f>
        <v>0.0</v>
      </c>
      <c r="BN58" s="169">
        <f> IF(BN57 &lt;= $F56, 1, 0)</f>
        <v>0.0</v>
      </c>
      <c r="BO58" s="169">
        <f> IF(BO57 &lt;= $F56, 1, 0)</f>
        <v>0.0</v>
      </c>
      <c r="BP58" s="169">
        <f> IF(BP57 &lt;= $F56, 1, 0)</f>
        <v>0.0</v>
      </c>
      <c r="BQ58" s="169">
        <f> IF(BQ57 &lt;= $F56, 1, 0)</f>
        <v>0.0</v>
      </c>
      <c r="BR58" s="169">
        <f> IF(BR57 &lt;= $F56, 1, 0)</f>
        <v>0.0</v>
      </c>
      <c r="BS58" s="169">
        <f> IF(BS57 &lt;= $F56, 1, 0)</f>
        <v>0.0</v>
      </c>
      <c r="BT58" s="169">
        <f> IF(BT57 &lt;= $F56, 1, 0)</f>
        <v>0.0</v>
      </c>
      <c r="BU58" s="169">
        <f> IF(BU57 &lt;= $F56, 1, 0)</f>
        <v>0.0</v>
      </c>
      <c r="BV58" s="169">
        <f> IF(BV57 &lt;= $F56, 1, 0)</f>
        <v>0.0</v>
      </c>
      <c r="BW58" s="169">
        <f> IF(BW57 &lt;= $F56, 1, 0)</f>
        <v>0.0</v>
      </c>
      <c r="BX58" s="169">
        <f> IF(BX57 &lt;= $F56, 1, 0)</f>
        <v>0.0</v>
      </c>
      <c r="BY58" s="169">
        <f> IF(BY57 &lt;= $F56, 1, 0)</f>
        <v>0.0</v>
      </c>
      <c r="BZ58" s="169">
        <f> IF(BZ57 &lt;= $F56, 1, 0)</f>
        <v>0.0</v>
      </c>
      <c r="CA58" s="169">
        <f> IF(CA57 &lt;= $F56, 1, 0)</f>
        <v>0.0</v>
      </c>
      <c r="CB58" s="169">
        <f> IF(CB57 &lt;= $F56, 1, 0)</f>
        <v>0.0</v>
      </c>
      <c r="CC58" s="169">
        <f> IF(CC57 &lt;= $F56, 1, 0)</f>
        <v>0.0</v>
      </c>
      <c r="CD58" s="169">
        <f> IF(CD57 &lt;= $F56, 1, 0)</f>
        <v>0.0</v>
      </c>
      <c r="CE58" s="169">
        <f> IF(CE57 &lt;= $F56, 1, 0)</f>
        <v>0.0</v>
      </c>
      <c r="CF58" s="169">
        <f> IF(CF57 &lt;= $F56, 1, 0)</f>
        <v>0.0</v>
      </c>
      <c r="CG58" s="169">
        <f> IF(CG57 &lt;= $F56, 1, 0)</f>
        <v>0.0</v>
      </c>
      <c r="CH58" s="169">
        <f> IF(CH57 &lt;= $F56, 1, 0)</f>
        <v>0.0</v>
      </c>
      <c r="CI58" s="169">
        <f> IF(CI57 &lt;= $F56, 1, 0)</f>
        <v>0.0</v>
      </c>
      <c r="CJ58" s="169">
        <f> IF(CJ57 &lt;= $F56, 1, 0)</f>
        <v>0.0</v>
      </c>
      <c r="CK58" s="169">
        <f> IF(CK57 &lt;= $F56, 1, 0)</f>
        <v>0.0</v>
      </c>
      <c r="CL58" s="169">
        <f> IF(CL57 &lt;= $F56, 1, 0)</f>
        <v>0.0</v>
      </c>
      <c r="CM58" s="169">
        <f> IF(CM57 &lt;= $F56, 1, 0)</f>
        <v>0.0</v>
      </c>
      <c r="CN58" s="169">
        <f> IF(CN57 &lt;= $F56, 1, 0)</f>
        <v>0.0</v>
      </c>
      <c r="CO58" s="169">
        <f> IF(CO57 &lt;= $F56, 1, 0)</f>
        <v>0.0</v>
      </c>
    </row>
    <row r="59" ht="15" customFormat="1" customHeight="1" s="142">
      <c r="A59" s="163" t="n"/>
      <c r="B59" s="163" t="n"/>
      <c r="C59" s="172" t="n"/>
      <c r="D59" s="141" t="n"/>
      <c r="E59" s="169" t="inlineStr">
        <is>
          <t>Pre-forecast period total</t>
        </is>
      </c>
      <c r="F59" s="169">
        <f> SUM(J58:CO58)</f>
        <v>2.0</v>
      </c>
      <c r="G59" s="169" t="inlineStr">
        <is>
          <t>columns</t>
        </is>
      </c>
      <c r="H59" s="169" t="n"/>
      <c r="I59" s="169" t="n"/>
      <c r="J59" s="169" t="n"/>
      <c r="K59" s="169" t="n"/>
      <c r="L59" s="169" t="n"/>
      <c r="M59" s="169" t="n"/>
      <c r="N59" s="169" t="n"/>
      <c r="O59" s="169" t="n"/>
      <c r="P59" s="169" t="n"/>
      <c r="Q59" s="169" t="n"/>
      <c r="R59" s="169" t="n"/>
      <c r="S59" s="169" t="n"/>
      <c r="T59" s="169" t="n"/>
      <c r="U59" s="169" t="n"/>
      <c r="V59" s="169" t="n"/>
      <c r="W59" s="169" t="n"/>
      <c r="X59" s="169" t="n"/>
      <c r="Y59" s="169" t="n"/>
      <c r="Z59" s="169" t="n"/>
      <c r="AA59" s="169" t="n"/>
      <c r="AB59" s="169" t="n"/>
      <c r="AC59" s="169" t="n"/>
      <c r="AD59" s="169" t="n"/>
      <c r="AE59" s="169" t="n"/>
      <c r="AF59" s="169" t="n"/>
      <c r="AG59" s="169" t="n"/>
      <c r="AH59" s="169" t="n"/>
      <c r="AI59" s="169" t="n"/>
      <c r="AJ59" s="169" t="n"/>
      <c r="AK59" s="169" t="n"/>
      <c r="AL59" s="169" t="n"/>
      <c r="AM59" s="169" t="n"/>
      <c r="AN59" s="169" t="n"/>
      <c r="AO59" s="169" t="n"/>
      <c r="AP59" s="169" t="n"/>
      <c r="AQ59" s="169" t="n"/>
      <c r="AR59" s="169" t="n"/>
      <c r="AS59" s="169" t="n"/>
      <c r="AT59" s="169" t="n"/>
      <c r="AU59" s="169" t="n"/>
      <c r="AV59" s="169" t="n"/>
      <c r="AW59" s="169" t="n"/>
      <c r="AX59" s="169" t="n"/>
      <c r="AY59" s="169" t="n"/>
      <c r="AZ59" s="169" t="n"/>
      <c r="BA59" s="169" t="n"/>
      <c r="BB59" s="169" t="n"/>
      <c r="BC59" s="169" t="n"/>
      <c r="BD59" s="169" t="n"/>
      <c r="BE59" s="169" t="n"/>
      <c r="BF59" s="169" t="n"/>
      <c r="BG59" s="169" t="n"/>
      <c r="BH59" s="169"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row>
    <row r="60" ht="15" customFormat="1" customHeight="1" s="142">
      <c r="A60" s="163" t="n"/>
      <c r="B60" s="163" t="n"/>
      <c r="C60" s="172" t="n"/>
      <c r="D60" s="141" t="n"/>
      <c r="E60" s="169" t="n"/>
      <c r="F60" s="169" t="n"/>
      <c r="G60" s="169" t="n"/>
      <c r="H60" s="169" t="n"/>
      <c r="I60" s="169" t="n"/>
      <c r="J60" s="169" t="n"/>
      <c r="K60" s="169" t="n"/>
      <c r="L60" s="169" t="n"/>
      <c r="M60" s="169" t="n"/>
      <c r="N60" s="169" t="n"/>
      <c r="O60" s="169" t="n"/>
      <c r="P60" s="169" t="n"/>
      <c r="Q60" s="169" t="n"/>
      <c r="R60" s="169" t="n"/>
      <c r="S60" s="169" t="n"/>
      <c r="T60" s="169" t="n"/>
      <c r="U60" s="169" t="n"/>
      <c r="V60" s="169" t="n"/>
      <c r="W60" s="169" t="n"/>
      <c r="X60" s="169" t="n"/>
      <c r="Y60" s="169" t="n"/>
      <c r="Z60" s="169" t="n"/>
      <c r="AA60" s="169" t="n"/>
      <c r="AB60" s="169" t="n"/>
      <c r="AC60" s="169" t="n"/>
      <c r="AD60" s="169" t="n"/>
      <c r="AE60" s="169" t="n"/>
      <c r="AF60" s="169" t="n"/>
      <c r="AG60" s="169" t="n"/>
      <c r="AH60" s="169" t="n"/>
      <c r="AI60" s="169" t="n"/>
      <c r="AJ60" s="169" t="n"/>
      <c r="AK60" s="169" t="n"/>
      <c r="AL60" s="169" t="n"/>
      <c r="AM60" s="169" t="n"/>
      <c r="AN60" s="169" t="n"/>
      <c r="AO60" s="169" t="n"/>
      <c r="AP60" s="169" t="n"/>
      <c r="AQ60" s="169" t="n"/>
      <c r="AR60" s="169" t="n"/>
      <c r="AS60" s="169" t="n"/>
      <c r="AT60" s="169" t="n"/>
      <c r="AU60" s="169" t="n"/>
      <c r="AV60" s="169" t="n"/>
      <c r="AW60" s="169" t="n"/>
      <c r="AX60" s="169" t="n"/>
      <c r="AY60" s="169" t="n"/>
      <c r="AZ60" s="169" t="n"/>
      <c r="BA60" s="169" t="n"/>
      <c r="BB60" s="169" t="n"/>
      <c r="BC60" s="169" t="n"/>
      <c r="BD60" s="169" t="n"/>
      <c r="BE60" s="169" t="n"/>
      <c r="BF60" s="169" t="n"/>
      <c r="BG60" s="169" t="n"/>
      <c r="BH60" s="169"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row>
    <row r="61">
      <c r="B61" s="294" t="inlineStr">
        <is>
          <t>Forecast period flag</t>
        </is>
      </c>
    </row>
    <row r="62" customFormat="1" s="113">
      <c r="A62" s="167" t="n"/>
      <c r="B62" s="167" t="n"/>
      <c r="C62" s="237" t="n"/>
      <c r="D62" s="170" t="n"/>
      <c r="E62" s="173" t="str">
        <f> InpC!E$10</f>
        <v>Acquisition / initial balance date</v>
      </c>
      <c r="F62" s="173">
        <f> InpC!F$10</f>
        <v>44561.0</v>
      </c>
      <c r="G62" s="173" t="str">
        <f> InpC!G$10</f>
        <v>date</v>
      </c>
      <c r="H62" s="61" t="n"/>
      <c r="I62" s="61" t="n"/>
      <c r="J62" s="61" t="n"/>
      <c r="K62" s="61" t="n"/>
      <c r="L62" s="61" t="n"/>
      <c r="M62" s="61" t="n"/>
      <c r="N62" s="61" t="n"/>
      <c r="O62" s="61" t="n"/>
      <c r="P62" s="61" t="n"/>
      <c r="Q62" s="61" t="n"/>
      <c r="R62" s="61" t="n"/>
      <c r="S62" s="61" t="n"/>
      <c r="T62" s="61" t="n"/>
      <c r="U62" s="61" t="n"/>
      <c r="V62" s="61" t="n"/>
      <c r="W62" s="61" t="n"/>
      <c r="X62" s="61" t="n"/>
      <c r="Y62" s="61" t="n"/>
      <c r="Z62" s="61" t="n"/>
      <c r="AA62" s="61" t="n"/>
      <c r="AB62" s="61" t="n"/>
      <c r="AC62" s="61" t="n"/>
      <c r="AD62" s="61" t="n"/>
      <c r="AE62" s="61" t="n"/>
      <c r="AF62" s="61" t="n"/>
      <c r="AG62" s="61" t="n"/>
      <c r="AH62" s="61" t="n"/>
      <c r="AI62" s="61" t="n"/>
      <c r="AJ62" s="61" t="n"/>
      <c r="AK62" s="61" t="n"/>
      <c r="AL62" s="61" t="n"/>
      <c r="AM62" s="61" t="n"/>
      <c r="AN62" s="61" t="n"/>
      <c r="AO62" s="61" t="n"/>
      <c r="AP62" s="61" t="n"/>
      <c r="AQ62" s="61" t="n"/>
      <c r="AR62" s="61" t="n"/>
      <c r="AS62" s="61" t="n"/>
      <c r="AT62" s="61" t="n"/>
      <c r="AU62" s="61" t="n"/>
      <c r="AV62" s="61" t="n"/>
      <c r="AW62" s="61" t="n"/>
      <c r="AX62" s="61" t="n"/>
      <c r="AY62" s="61" t="n"/>
      <c r="AZ62" s="61" t="n"/>
      <c r="BA62" s="61" t="n"/>
      <c r="BB62" s="61" t="n"/>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1" t="n"/>
      <c r="BZ62" s="61" t="n"/>
      <c r="CA62" s="61" t="n"/>
      <c r="CB62" s="61" t="n"/>
      <c r="CC62" s="61" t="n"/>
      <c r="CD62" s="61" t="n"/>
      <c r="CE62" s="61" t="n"/>
      <c r="CF62" s="61" t="n"/>
      <c r="CG62" s="61" t="n"/>
      <c r="CH62" s="61" t="n"/>
      <c r="CI62" s="61" t="n"/>
      <c r="CJ62" s="61" t="n"/>
      <c r="CK62" s="61" t="n"/>
      <c r="CL62" s="61" t="n"/>
      <c r="CM62" s="61" t="n"/>
      <c r="CN62" s="61" t="n"/>
      <c r="CO62" s="61" t="n"/>
    </row>
    <row r="63" customFormat="1" s="154">
      <c r="A63" s="163" t="n"/>
      <c r="B63" s="163" t="n"/>
      <c r="C63" s="172" t="n"/>
      <c r="D63" s="169" t="n"/>
      <c r="E63" s="308" t="str">
        <f> InpC!E$11</f>
        <v>Length of forecast period</v>
      </c>
      <c r="F63" s="308">
        <f> InpC!F$11</f>
        <v>20.0</v>
      </c>
      <c r="G63" s="308" t="str">
        <f> InpC!G$11</f>
        <v>years</v>
      </c>
      <c r="H63" s="61" t="n"/>
      <c r="I63" s="61" t="n"/>
      <c r="J63" s="61" t="n"/>
      <c r="K63" s="61" t="n"/>
      <c r="L63" s="61" t="n"/>
      <c r="M63" s="61" t="n"/>
      <c r="N63" s="61" t="n"/>
      <c r="O63" s="61" t="n"/>
      <c r="P63" s="61" t="n"/>
      <c r="Q63" s="61" t="n"/>
      <c r="R63" s="61" t="n"/>
      <c r="S63" s="61" t="n"/>
      <c r="T63" s="61" t="n"/>
      <c r="U63" s="61" t="n"/>
      <c r="V63" s="61" t="n"/>
      <c r="W63" s="61" t="n"/>
      <c r="X63" s="61" t="n"/>
      <c r="Y63" s="61" t="n"/>
      <c r="Z63" s="61" t="n"/>
      <c r="AA63" s="61" t="n"/>
      <c r="AB63" s="61" t="n"/>
      <c r="AC63" s="61" t="n"/>
      <c r="AD63" s="61" t="n"/>
      <c r="AE63" s="61" t="n"/>
      <c r="AF63" s="61" t="n"/>
      <c r="AG63" s="61" t="n"/>
      <c r="AH63" s="61" t="n"/>
      <c r="AI63" s="61" t="n"/>
      <c r="AJ63" s="61" t="n"/>
      <c r="AK63" s="61" t="n"/>
      <c r="AL63" s="61" t="n"/>
      <c r="AM63" s="61" t="n"/>
      <c r="AN63" s="61" t="n"/>
      <c r="AO63" s="61" t="n"/>
      <c r="AP63" s="61" t="n"/>
      <c r="AQ63" s="61" t="n"/>
      <c r="AR63" s="61" t="n"/>
      <c r="AS63" s="61" t="n"/>
      <c r="AT63" s="61" t="n"/>
      <c r="AU63" s="61" t="n"/>
      <c r="AV63" s="61" t="n"/>
      <c r="AW63" s="61" t="n"/>
      <c r="AX63" s="61" t="n"/>
      <c r="AY63" s="61" t="n"/>
      <c r="AZ63" s="61" t="n"/>
      <c r="BA63" s="61" t="n"/>
      <c r="BB63" s="61" t="n"/>
      <c r="BC63" s="61" t="n"/>
      <c r="BD63" s="61" t="n"/>
      <c r="BE63" s="61" t="n"/>
      <c r="BF63" s="61" t="n"/>
      <c r="BG63" s="61" t="n"/>
      <c r="BH63" s="61" t="n"/>
      <c r="BI63" s="61" t="n"/>
      <c r="BJ63" s="61" t="n"/>
      <c r="BK63" s="61" t="n"/>
      <c r="BL63" s="61" t="n"/>
      <c r="BM63" s="61" t="n"/>
      <c r="BN63" s="61" t="n"/>
      <c r="BO63" s="61" t="n"/>
      <c r="BP63" s="61" t="n"/>
      <c r="BQ63" s="61" t="n"/>
      <c r="BR63" s="61" t="n"/>
      <c r="BS63" s="61" t="n"/>
      <c r="BT63" s="61" t="n"/>
      <c r="BU63" s="61" t="n"/>
      <c r="BV63" s="61" t="n"/>
      <c r="BW63" s="61" t="n"/>
      <c r="BX63" s="61" t="n"/>
      <c r="BY63" s="61" t="n"/>
      <c r="BZ63" s="61" t="n"/>
      <c r="CA63" s="61" t="n"/>
      <c r="CB63" s="61" t="n"/>
      <c r="CC63" s="61" t="n"/>
      <c r="CD63" s="61" t="n"/>
      <c r="CE63" s="61" t="n"/>
      <c r="CF63" s="61" t="n"/>
      <c r="CG63" s="61" t="n"/>
      <c r="CH63" s="61" t="n"/>
      <c r="CI63" s="61" t="n"/>
      <c r="CJ63" s="61" t="n"/>
      <c r="CK63" s="61" t="n"/>
      <c r="CL63" s="61" t="n"/>
      <c r="CM63" s="61" t="n"/>
      <c r="CN63" s="61" t="n"/>
      <c r="CO63" s="61" t="n"/>
    </row>
    <row r="64" customFormat="1" s="119">
      <c r="A64" s="167" t="n"/>
      <c r="B64" s="167" t="n"/>
      <c r="C64" s="237" t="n"/>
      <c r="D64" s="170" t="n"/>
      <c r="E64" s="205" t="inlineStr">
        <is>
          <t>Last forecast date</t>
        </is>
      </c>
      <c r="F64" s="127">
        <f>EOMONTH(F62,F63 * 12)</f>
        <v>51866.0</v>
      </c>
      <c r="G64" s="205" t="inlineStr">
        <is>
          <t>date</t>
        </is>
      </c>
      <c r="H64" s="61" t="n"/>
      <c r="I64" s="61" t="n"/>
      <c r="J64" s="61" t="n"/>
      <c r="K64" s="61" t="n"/>
      <c r="L64" s="61" t="n"/>
      <c r="M64" s="61" t="n"/>
      <c r="N64" s="61" t="n"/>
      <c r="O64" s="61" t="n"/>
      <c r="P64" s="61" t="n"/>
      <c r="Q64" s="61" t="n"/>
      <c r="R64" s="61" t="n"/>
      <c r="S64" s="61" t="n"/>
      <c r="T64" s="61" t="n"/>
      <c r="U64" s="61" t="n"/>
      <c r="V64" s="61" t="n"/>
      <c r="W64" s="61" t="n"/>
      <c r="X64" s="61" t="n"/>
      <c r="Y64" s="61" t="n"/>
      <c r="Z64" s="61" t="n"/>
      <c r="AA64" s="61" t="n"/>
      <c r="AB64" s="61" t="n"/>
      <c r="AC64" s="61" t="n"/>
      <c r="AD64" s="61" t="n"/>
      <c r="AE64" s="61" t="n"/>
      <c r="AF64" s="61" t="n"/>
      <c r="AG64" s="61" t="n"/>
      <c r="AH64" s="61" t="n"/>
      <c r="AI64" s="61" t="n"/>
      <c r="AJ64" s="61" t="n"/>
      <c r="AK64" s="61" t="n"/>
      <c r="AL64" s="61" t="n"/>
      <c r="AM64" s="61" t="n"/>
      <c r="AN64" s="61" t="n"/>
      <c r="AO64" s="61" t="n"/>
      <c r="AP64" s="61" t="n"/>
      <c r="AQ64" s="61" t="n"/>
      <c r="AR64" s="61" t="n"/>
      <c r="AS64" s="61" t="n"/>
      <c r="AT64" s="61" t="n"/>
      <c r="AU64" s="61" t="n"/>
      <c r="AV64" s="61" t="n"/>
      <c r="AW64" s="61" t="n"/>
      <c r="AX64" s="61" t="n"/>
      <c r="AY64" s="61" t="n"/>
      <c r="AZ64" s="61" t="n"/>
      <c r="BA64" s="61" t="n"/>
      <c r="BB64" s="61" t="n"/>
      <c r="BC64" s="61" t="n"/>
      <c r="BD64" s="61" t="n"/>
      <c r="BE64" s="61" t="n"/>
      <c r="BF64" s="61" t="n"/>
      <c r="BG64" s="61" t="n"/>
      <c r="BH64" s="61" t="n"/>
      <c r="BI64" s="61" t="n"/>
      <c r="BJ64" s="61" t="n"/>
      <c r="BK64" s="61" t="n"/>
      <c r="BL64" s="61" t="n"/>
      <c r="BM64" s="61" t="n"/>
      <c r="BN64" s="61" t="n"/>
      <c r="BO64" s="61" t="n"/>
      <c r="BP64" s="61" t="n"/>
      <c r="BQ64" s="61" t="n"/>
      <c r="BR64" s="61" t="n"/>
      <c r="BS64" s="61" t="n"/>
      <c r="BT64" s="61" t="n"/>
      <c r="BU64" s="61" t="n"/>
      <c r="BV64" s="61" t="n"/>
      <c r="BW64" s="61" t="n"/>
      <c r="BX64" s="61" t="n"/>
      <c r="BY64" s="61" t="n"/>
      <c r="BZ64" s="61" t="n"/>
      <c r="CA64" s="61" t="n"/>
      <c r="CB64" s="61" t="n"/>
      <c r="CC64" s="61" t="n"/>
      <c r="CD64" s="61" t="n"/>
      <c r="CE64" s="61" t="n"/>
      <c r="CF64" s="61" t="n"/>
      <c r="CG64" s="61" t="n"/>
      <c r="CH64" s="61" t="n"/>
      <c r="CI64" s="61" t="n"/>
      <c r="CJ64" s="61" t="n"/>
      <c r="CK64" s="61" t="n"/>
      <c r="CL64" s="61" t="n"/>
      <c r="CM64" s="61" t="n"/>
      <c r="CN64" s="61" t="n"/>
      <c r="CO64" s="61" t="n"/>
    </row>
    <row r="65" customFormat="1" s="146">
      <c r="A65" s="163" t="n"/>
      <c r="B65" s="163" t="n"/>
      <c r="C65" s="172" t="n"/>
      <c r="D65" s="169" t="n"/>
      <c r="E65" s="169" t="n"/>
      <c r="F65" s="169" t="n"/>
      <c r="G65" s="169" t="n"/>
      <c r="H65" s="61" t="n"/>
      <c r="I65" s="61" t="n"/>
      <c r="J65" s="61" t="n"/>
      <c r="K65" s="61" t="n"/>
      <c r="L65" s="61" t="n"/>
      <c r="M65" s="61" t="n"/>
      <c r="N65" s="61" t="n"/>
      <c r="O65" s="61" t="n"/>
      <c r="P65" s="61" t="n"/>
      <c r="Q65" s="61" t="n"/>
      <c r="R65" s="61" t="n"/>
      <c r="S65" s="61" t="n"/>
      <c r="T65" s="61" t="n"/>
      <c r="U65" s="61" t="n"/>
      <c r="V65" s="61" t="n"/>
      <c r="W65" s="61" t="n"/>
      <c r="X65" s="61" t="n"/>
      <c r="Y65" s="61" t="n"/>
      <c r="Z65" s="61" t="n"/>
      <c r="AA65" s="61" t="n"/>
      <c r="AB65" s="61" t="n"/>
      <c r="AC65" s="61" t="n"/>
      <c r="AD65" s="61" t="n"/>
      <c r="AE65" s="61" t="n"/>
      <c r="AF65" s="61" t="n"/>
      <c r="AG65" s="61" t="n"/>
      <c r="AH65" s="61" t="n"/>
      <c r="AI65" s="61" t="n"/>
      <c r="AJ65" s="61" t="n"/>
      <c r="AK65" s="61" t="n"/>
      <c r="AL65" s="61" t="n"/>
      <c r="AM65" s="61" t="n"/>
      <c r="AN65" s="61" t="n"/>
      <c r="AO65" s="61" t="n"/>
      <c r="AP65" s="61" t="n"/>
      <c r="AQ65" s="61" t="n"/>
      <c r="AR65" s="61" t="n"/>
      <c r="AS65" s="61" t="n"/>
      <c r="AT65" s="61" t="n"/>
      <c r="AU65" s="61" t="n"/>
      <c r="AV65" s="61" t="n"/>
      <c r="AW65" s="61" t="n"/>
      <c r="AX65" s="61" t="n"/>
      <c r="AY65" s="61" t="n"/>
      <c r="AZ65" s="61" t="n"/>
      <c r="BA65" s="61" t="n"/>
      <c r="BB65" s="61" t="n"/>
      <c r="BC65" s="61" t="n"/>
      <c r="BD65" s="61" t="n"/>
      <c r="BE65" s="61" t="n"/>
      <c r="BF65" s="61" t="n"/>
      <c r="BG65" s="61" t="n"/>
      <c r="BH65" s="61" t="n"/>
      <c r="BI65" s="61" t="n"/>
      <c r="BJ65" s="61" t="n"/>
      <c r="BK65" s="61" t="n"/>
      <c r="BL65" s="61" t="n"/>
      <c r="BM65" s="61" t="n"/>
      <c r="BN65" s="61" t="n"/>
      <c r="BO65" s="61" t="n"/>
      <c r="BP65" s="61" t="n"/>
      <c r="BQ65" s="61" t="n"/>
      <c r="BR65" s="61" t="n"/>
      <c r="BS65" s="61" t="n"/>
      <c r="BT65" s="61" t="n"/>
      <c r="BU65" s="61" t="n"/>
      <c r="BV65" s="61" t="n"/>
      <c r="BW65" s="61" t="n"/>
      <c r="BX65" s="61" t="n"/>
      <c r="BY65" s="61" t="n"/>
      <c r="BZ65" s="61" t="n"/>
      <c r="CA65" s="61" t="n"/>
      <c r="CB65" s="61" t="n"/>
      <c r="CC65" s="61" t="n"/>
      <c r="CD65" s="61" t="n"/>
      <c r="CE65" s="61" t="n"/>
      <c r="CF65" s="61" t="n"/>
      <c r="CG65" s="61" t="n"/>
      <c r="CH65" s="61" t="n"/>
      <c r="CI65" s="61" t="n"/>
      <c r="CJ65" s="61" t="n"/>
      <c r="CK65" s="61" t="n"/>
      <c r="CL65" s="61" t="n"/>
      <c r="CM65" s="61" t="n"/>
      <c r="CN65" s="61" t="n"/>
      <c r="CO65" s="61" t="n"/>
    </row>
    <row r="66" customFormat="1" s="106">
      <c r="A66" s="125" t="n"/>
      <c r="B66" s="125" t="n"/>
      <c r="C66" s="126" t="n"/>
      <c r="D66" s="24" t="n"/>
      <c r="E66" s="173" t="str">
        <f> InpC!E$10</f>
        <v>Acquisition / initial balance date</v>
      </c>
      <c r="F66" s="173">
        <f> InpC!F$10</f>
        <v>44561.0</v>
      </c>
      <c r="G66" s="173" t="str">
        <f> InpC!G$10</f>
        <v>date</v>
      </c>
      <c r="H66" s="61" t="n"/>
      <c r="I66" s="61" t="n"/>
      <c r="J66" s="61" t="n"/>
      <c r="K66" s="61" t="n"/>
      <c r="L66" s="61" t="n"/>
      <c r="M66" s="61" t="n"/>
      <c r="N66" s="61" t="n"/>
      <c r="O66" s="61" t="n"/>
      <c r="P66" s="61" t="n"/>
      <c r="Q66" s="61" t="n"/>
      <c r="R66" s="61" t="n"/>
      <c r="S66" s="61" t="n"/>
      <c r="T66" s="61" t="n"/>
      <c r="U66" s="61" t="n"/>
      <c r="V66" s="61" t="n"/>
      <c r="W66" s="61" t="n"/>
      <c r="X66" s="61" t="n"/>
      <c r="Y66" s="61" t="n"/>
      <c r="Z66" s="61" t="n"/>
      <c r="AA66" s="61" t="n"/>
      <c r="AB66" s="61" t="n"/>
      <c r="AC66" s="61" t="n"/>
      <c r="AD66" s="61" t="n"/>
      <c r="AE66" s="61" t="n"/>
      <c r="AF66" s="61" t="n"/>
      <c r="AG66" s="61" t="n"/>
      <c r="AH66" s="61" t="n"/>
      <c r="AI66" s="61" t="n"/>
      <c r="AJ66" s="61" t="n"/>
      <c r="AK66" s="61" t="n"/>
      <c r="AL66" s="61" t="n"/>
      <c r="AM66" s="61" t="n"/>
      <c r="AN66" s="61" t="n"/>
      <c r="AO66" s="61" t="n"/>
      <c r="AP66" s="61" t="n"/>
      <c r="AQ66" s="61" t="n"/>
      <c r="AR66" s="61" t="n"/>
      <c r="AS66" s="61" t="n"/>
      <c r="AT66" s="61" t="n"/>
      <c r="AU66" s="61" t="n"/>
      <c r="AV66" s="61" t="n"/>
      <c r="AW66" s="61" t="n"/>
      <c r="AX66" s="61" t="n"/>
      <c r="AY66" s="61" t="n"/>
      <c r="AZ66" s="61" t="n"/>
      <c r="BA66" s="61" t="n"/>
      <c r="BB66" s="61" t="n"/>
      <c r="BC66" s="61" t="n"/>
      <c r="BD66" s="61" t="n"/>
      <c r="BE66" s="61" t="n"/>
      <c r="BF66" s="61" t="n"/>
      <c r="BG66" s="61" t="n"/>
      <c r="BH66" s="61" t="n"/>
      <c r="BI66" s="61" t="n"/>
      <c r="BJ66" s="61" t="n"/>
      <c r="BK66" s="61" t="n"/>
      <c r="BL66" s="61" t="n"/>
      <c r="BM66" s="61" t="n"/>
      <c r="BN66" s="61" t="n"/>
      <c r="BO66" s="61" t="n"/>
      <c r="BP66" s="61" t="n"/>
      <c r="BQ66" s="61" t="n"/>
      <c r="BR66" s="61" t="n"/>
      <c r="BS66" s="61" t="n"/>
      <c r="BT66" s="61" t="n"/>
      <c r="BU66" s="61" t="n"/>
      <c r="BV66" s="61" t="n"/>
      <c r="BW66" s="61" t="n"/>
      <c r="BX66" s="61" t="n"/>
      <c r="BY66" s="61" t="n"/>
      <c r="BZ66" s="61" t="n"/>
      <c r="CA66" s="61" t="n"/>
      <c r="CB66" s="61" t="n"/>
      <c r="CC66" s="61" t="n"/>
      <c r="CD66" s="61" t="n"/>
      <c r="CE66" s="61" t="n"/>
      <c r="CF66" s="61" t="n"/>
      <c r="CG66" s="61" t="n"/>
      <c r="CH66" s="61" t="n"/>
      <c r="CI66" s="61" t="n"/>
      <c r="CJ66" s="61" t="n"/>
      <c r="CK66" s="61" t="n"/>
      <c r="CL66" s="61" t="n"/>
      <c r="CM66" s="61" t="n"/>
      <c r="CN66" s="61" t="n"/>
      <c r="CO66" s="61" t="n"/>
    </row>
    <row r="67" customFormat="1" s="26">
      <c r="A67" s="125" t="n"/>
      <c r="B67" s="125" t="n"/>
      <c r="C67" s="126" t="n"/>
      <c r="D67" s="24" t="n"/>
      <c r="E67" s="127" t="str">
        <f> E$64</f>
        <v>Last forecast date</v>
      </c>
      <c r="F67" s="127">
        <f> F$64</f>
        <v>51866.0</v>
      </c>
      <c r="G67" s="127" t="str">
        <f> G$64</f>
        <v>date</v>
      </c>
      <c r="H67" s="61" t="n"/>
      <c r="I67" s="61" t="n"/>
      <c r="J67" s="61" t="n"/>
      <c r="K67" s="61" t="n"/>
      <c r="L67" s="61" t="n"/>
      <c r="M67" s="61" t="n"/>
      <c r="N67" s="61" t="n"/>
      <c r="O67" s="61" t="n"/>
      <c r="P67" s="61" t="n"/>
      <c r="Q67" s="61" t="n"/>
      <c r="R67" s="61" t="n"/>
      <c r="S67" s="61" t="n"/>
      <c r="T67" s="61" t="n"/>
      <c r="U67" s="61" t="n"/>
      <c r="V67" s="61" t="n"/>
      <c r="W67" s="61" t="n"/>
      <c r="X67" s="61" t="n"/>
      <c r="Y67" s="61" t="n"/>
      <c r="Z67" s="61" t="n"/>
      <c r="AA67" s="61" t="n"/>
      <c r="AB67" s="61" t="n"/>
      <c r="AC67" s="61" t="n"/>
      <c r="AD67" s="61" t="n"/>
      <c r="AE67" s="61" t="n"/>
      <c r="AF67" s="61" t="n"/>
      <c r="AG67" s="61" t="n"/>
      <c r="AH67" s="61" t="n"/>
      <c r="AI67" s="61" t="n"/>
      <c r="AJ67" s="61" t="n"/>
      <c r="AK67" s="61" t="n"/>
      <c r="AL67" s="61" t="n"/>
      <c r="AM67" s="61" t="n"/>
      <c r="AN67" s="61" t="n"/>
      <c r="AO67" s="61" t="n"/>
      <c r="AP67" s="61" t="n"/>
      <c r="AQ67" s="61" t="n"/>
      <c r="AR67" s="61" t="n"/>
      <c r="AS67" s="61" t="n"/>
      <c r="AT67" s="61" t="n"/>
      <c r="AU67" s="61" t="n"/>
      <c r="AV67" s="61" t="n"/>
      <c r="AW67" s="61" t="n"/>
      <c r="AX67" s="61" t="n"/>
      <c r="AY67" s="61" t="n"/>
      <c r="AZ67" s="61" t="n"/>
      <c r="BA67" s="61" t="n"/>
      <c r="BB67" s="61" t="n"/>
      <c r="BC67" s="61" t="n"/>
      <c r="BD67" s="61" t="n"/>
      <c r="BE67" s="61" t="n"/>
      <c r="BF67" s="61" t="n"/>
      <c r="BG67" s="61" t="n"/>
      <c r="BH67" s="61" t="n"/>
      <c r="BI67" s="61" t="n"/>
      <c r="BJ67" s="61" t="n"/>
      <c r="BK67" s="61" t="n"/>
      <c r="BL67" s="61" t="n"/>
      <c r="BM67" s="61" t="n"/>
      <c r="BN67" s="61" t="n"/>
      <c r="BO67" s="61" t="n"/>
      <c r="BP67" s="61" t="n"/>
      <c r="BQ67" s="61" t="n"/>
      <c r="BR67" s="61" t="n"/>
      <c r="BS67" s="61" t="n"/>
      <c r="BT67" s="61" t="n"/>
      <c r="BU67" s="61" t="n"/>
      <c r="BV67" s="61" t="n"/>
      <c r="BW67" s="61" t="n"/>
      <c r="BX67" s="61" t="n"/>
      <c r="BY67" s="61" t="n"/>
      <c r="BZ67" s="61" t="n"/>
      <c r="CA67" s="61" t="n"/>
      <c r="CB67" s="61" t="n"/>
      <c r="CC67" s="61" t="n"/>
      <c r="CD67" s="61" t="n"/>
      <c r="CE67" s="61" t="n"/>
      <c r="CF67" s="61" t="n"/>
      <c r="CG67" s="61" t="n"/>
      <c r="CH67" s="61" t="n"/>
      <c r="CI67" s="61" t="n"/>
      <c r="CJ67" s="61" t="n"/>
      <c r="CK67" s="61" t="n"/>
      <c r="CL67" s="61" t="n"/>
      <c r="CM67" s="61" t="n"/>
      <c r="CN67" s="61" t="n"/>
      <c r="CO67" s="61" t="n"/>
    </row>
    <row r="68" ht="15" customFormat="1" customHeight="1" s="123">
      <c r="A68" s="167" t="n"/>
      <c r="B68" s="167" t="n"/>
      <c r="C68" s="237" t="n"/>
      <c r="D68" s="121" t="n"/>
      <c r="E68" s="140" t="str">
        <f> E$25</f>
        <v>Model period ending </v>
      </c>
      <c r="F68" s="140">
        <f> F$25</f>
        <v>0.0</v>
      </c>
      <c r="G68" s="140" t="str">
        <f> G$25</f>
        <v>date</v>
      </c>
      <c r="H68" s="140">
        <f> H$25</f>
        <v>0.0</v>
      </c>
      <c r="I68" s="140">
        <f> I$25</f>
        <v>0.0</v>
      </c>
      <c r="J68" s="140">
        <f> J$25</f>
        <v>44469.0</v>
      </c>
      <c r="K68" s="140">
        <f> K$25</f>
        <v>44561.0</v>
      </c>
      <c r="L68" s="140">
        <f> L$25</f>
        <v>44651.0</v>
      </c>
      <c r="M68" s="140">
        <f> M$25</f>
        <v>44742.0</v>
      </c>
      <c r="N68" s="140">
        <f> N$25</f>
        <v>44834.0</v>
      </c>
      <c r="O68" s="140">
        <f> O$25</f>
        <v>44926.0</v>
      </c>
      <c r="P68" s="140">
        <f> P$25</f>
        <v>45016.0</v>
      </c>
      <c r="Q68" s="140">
        <f> Q$25</f>
        <v>45107.0</v>
      </c>
      <c r="R68" s="140">
        <f> R$25</f>
        <v>45199.0</v>
      </c>
      <c r="S68" s="140">
        <f> S$25</f>
        <v>45291.0</v>
      </c>
      <c r="T68" s="140">
        <f> T$25</f>
        <v>45382.0</v>
      </c>
      <c r="U68" s="140">
        <f> U$25</f>
        <v>45473.0</v>
      </c>
      <c r="V68" s="140">
        <f> V$25</f>
        <v>45565.0</v>
      </c>
      <c r="W68" s="140">
        <f> W$25</f>
        <v>45657.0</v>
      </c>
      <c r="X68" s="140">
        <f> X$25</f>
        <v>45747.0</v>
      </c>
      <c r="Y68" s="140">
        <f> Y$25</f>
        <v>45838.0</v>
      </c>
      <c r="Z68" s="140">
        <f> Z$25</f>
        <v>45930.0</v>
      </c>
      <c r="AA68" s="140">
        <f> AA$25</f>
        <v>46022.0</v>
      </c>
      <c r="AB68" s="140">
        <f> AB$25</f>
        <v>46112.0</v>
      </c>
      <c r="AC68" s="140">
        <f> AC$25</f>
        <v>46203.0</v>
      </c>
      <c r="AD68" s="140">
        <f> AD$25</f>
        <v>46295.0</v>
      </c>
      <c r="AE68" s="140">
        <f> AE$25</f>
        <v>46387.0</v>
      </c>
      <c r="AF68" s="140">
        <f> AF$25</f>
        <v>46477.0</v>
      </c>
      <c r="AG68" s="140">
        <f> AG$25</f>
        <v>46568.0</v>
      </c>
      <c r="AH68" s="140">
        <f> AH$25</f>
        <v>46660.0</v>
      </c>
      <c r="AI68" s="140">
        <f> AI$25</f>
        <v>46752.0</v>
      </c>
      <c r="AJ68" s="140">
        <f> AJ$25</f>
        <v>46843.0</v>
      </c>
      <c r="AK68" s="140">
        <f> AK$25</f>
        <v>46934.0</v>
      </c>
      <c r="AL68" s="140">
        <f> AL$25</f>
        <v>47026.0</v>
      </c>
      <c r="AM68" s="140">
        <f> AM$25</f>
        <v>47118.0</v>
      </c>
      <c r="AN68" s="140">
        <f> AN$25</f>
        <v>47208.0</v>
      </c>
      <c r="AO68" s="140">
        <f> AO$25</f>
        <v>47299.0</v>
      </c>
      <c r="AP68" s="140">
        <f> AP$25</f>
        <v>47391.0</v>
      </c>
      <c r="AQ68" s="140">
        <f> AQ$25</f>
        <v>47483.0</v>
      </c>
      <c r="AR68" s="140">
        <f> AR$25</f>
        <v>47573.0</v>
      </c>
      <c r="AS68" s="140">
        <f> AS$25</f>
        <v>47664.0</v>
      </c>
      <c r="AT68" s="140">
        <f> AT$25</f>
        <v>47756.0</v>
      </c>
      <c r="AU68" s="140">
        <f> AU$25</f>
        <v>47848.0</v>
      </c>
      <c r="AV68" s="140">
        <f> AV$25</f>
        <v>47938.0</v>
      </c>
      <c r="AW68" s="140">
        <f> AW$25</f>
        <v>48029.0</v>
      </c>
      <c r="AX68" s="140">
        <f> AX$25</f>
        <v>48121.0</v>
      </c>
      <c r="AY68" s="140">
        <f> AY$25</f>
        <v>48213.0</v>
      </c>
      <c r="AZ68" s="140">
        <f> AZ$25</f>
        <v>48304.0</v>
      </c>
      <c r="BA68" s="140">
        <f> BA$25</f>
        <v>48395.0</v>
      </c>
      <c r="BB68" s="140">
        <f> BB$25</f>
        <v>48487.0</v>
      </c>
      <c r="BC68" s="140">
        <f> BC$25</f>
        <v>48579.0</v>
      </c>
      <c r="BD68" s="140">
        <f> BD$25</f>
        <v>48669.0</v>
      </c>
      <c r="BE68" s="140">
        <f> BE$25</f>
        <v>48760.0</v>
      </c>
      <c r="BF68" s="140">
        <f> BF$25</f>
        <v>48852.0</v>
      </c>
      <c r="BG68" s="140">
        <f> BG$25</f>
        <v>48944.0</v>
      </c>
      <c r="BH68" s="140">
        <f> BH$25</f>
        <v>49034.0</v>
      </c>
      <c r="BI68" s="140">
        <f> BI$25</f>
        <v>49125.0</v>
      </c>
      <c r="BJ68" s="140">
        <f> BJ$25</f>
        <v>49217.0</v>
      </c>
      <c r="BK68" s="140">
        <f> BK$25</f>
        <v>49309.0</v>
      </c>
      <c r="BL68" s="140">
        <f> BL$25</f>
        <v>49399.0</v>
      </c>
      <c r="BM68" s="140">
        <f> BM$25</f>
        <v>49490.0</v>
      </c>
      <c r="BN68" s="140">
        <f> BN$25</f>
        <v>49582.0</v>
      </c>
      <c r="BO68" s="140">
        <f> BO$25</f>
        <v>49674.0</v>
      </c>
      <c r="BP68" s="140">
        <f> BP$25</f>
        <v>49765.0</v>
      </c>
      <c r="BQ68" s="140">
        <f> BQ$25</f>
        <v>49856.0</v>
      </c>
      <c r="BR68" s="140">
        <f> BR$25</f>
        <v>49948.0</v>
      </c>
      <c r="BS68" s="140">
        <f> BS$25</f>
        <v>50040.0</v>
      </c>
      <c r="BT68" s="140">
        <f> BT$25</f>
        <v>50130.0</v>
      </c>
      <c r="BU68" s="140">
        <f> BU$25</f>
        <v>50221.0</v>
      </c>
      <c r="BV68" s="140">
        <f> BV$25</f>
        <v>50313.0</v>
      </c>
      <c r="BW68" s="140">
        <f> BW$25</f>
        <v>50405.0</v>
      </c>
      <c r="BX68" s="140">
        <f> BX$25</f>
        <v>50495.0</v>
      </c>
      <c r="BY68" s="140">
        <f> BY$25</f>
        <v>50586.0</v>
      </c>
      <c r="BZ68" s="140">
        <f> BZ$25</f>
        <v>50678.0</v>
      </c>
      <c r="CA68" s="140">
        <f> CA$25</f>
        <v>50770.0</v>
      </c>
      <c r="CB68" s="140">
        <f> CB$25</f>
        <v>50860.0</v>
      </c>
      <c r="CC68" s="140">
        <f> CC$25</f>
        <v>50951.0</v>
      </c>
      <c r="CD68" s="140">
        <f> CD$25</f>
        <v>51043.0</v>
      </c>
      <c r="CE68" s="140">
        <f> CE$25</f>
        <v>51135.0</v>
      </c>
      <c r="CF68" s="140">
        <f> CF$25</f>
        <v>51226.0</v>
      </c>
      <c r="CG68" s="140">
        <f> CG$25</f>
        <v>51317.0</v>
      </c>
      <c r="CH68" s="140">
        <f> CH$25</f>
        <v>51409.0</v>
      </c>
      <c r="CI68" s="140">
        <f> CI$25</f>
        <v>51501.0</v>
      </c>
      <c r="CJ68" s="140">
        <f> CJ$25</f>
        <v>51591.0</v>
      </c>
      <c r="CK68" s="140">
        <f> CK$25</f>
        <v>51682.0</v>
      </c>
      <c r="CL68" s="140">
        <f> CL$25</f>
        <v>51774.0</v>
      </c>
      <c r="CM68" s="140">
        <f> CM$25</f>
        <v>51866.0</v>
      </c>
      <c r="CN68" s="140">
        <f> CN$25</f>
        <v>51956.0</v>
      </c>
      <c r="CO68" s="140">
        <f> CO$25</f>
        <v>52047.0</v>
      </c>
    </row>
    <row r="69" customFormat="1" s="330">
      <c r="A69" s="326" t="n"/>
      <c r="B69" s="326" t="n"/>
      <c r="C69" s="327" t="n"/>
      <c r="D69" s="328" t="n"/>
      <c r="E69" s="345" t="inlineStr">
        <is>
          <t>Forecast period flag</t>
        </is>
      </c>
      <c r="F69" s="345" t="n"/>
      <c r="G69" s="345" t="inlineStr">
        <is>
          <t>flag</t>
        </is>
      </c>
      <c r="H69" s="345">
        <f> SUM(J69:CO69)</f>
        <v>80.0</v>
      </c>
      <c r="I69" s="345" t="n"/>
      <c r="J69" s="345">
        <f> IF(AND(J68 &gt; $F66, J68 &lt;= $F67), 1, 0)</f>
        <v>0.0</v>
      </c>
      <c r="K69" s="345">
        <f> IF(AND(K68 &gt; $F66, K68 &lt;= $F67), 1, 0)</f>
        <v>0.0</v>
      </c>
      <c r="L69" s="345">
        <f> IF(AND(L68 &gt; $F66, L68 &lt;= $F67), 1, 0)</f>
        <v>1.0</v>
      </c>
      <c r="M69" s="345">
        <f> IF(AND(M68 &gt; $F66, M68 &lt;= $F67), 1, 0)</f>
        <v>1.0</v>
      </c>
      <c r="N69" s="345">
        <f> IF(AND(N68 &gt; $F66, N68 &lt;= $F67), 1, 0)</f>
        <v>1.0</v>
      </c>
      <c r="O69" s="345">
        <f> IF(AND(O68 &gt; $F66, O68 &lt;= $F67), 1, 0)</f>
        <v>1.0</v>
      </c>
      <c r="P69" s="345">
        <f> IF(AND(P68 &gt; $F66, P68 &lt;= $F67), 1, 0)</f>
        <v>1.0</v>
      </c>
      <c r="Q69" s="345">
        <f> IF(AND(Q68 &gt; $F66, Q68 &lt;= $F67), 1, 0)</f>
        <v>1.0</v>
      </c>
      <c r="R69" s="345">
        <f> IF(AND(R68 &gt; $F66, R68 &lt;= $F67), 1, 0)</f>
        <v>1.0</v>
      </c>
      <c r="S69" s="345">
        <f> IF(AND(S68 &gt; $F66, S68 &lt;= $F67), 1, 0)</f>
        <v>1.0</v>
      </c>
      <c r="T69" s="345">
        <f> IF(AND(T68 &gt; $F66, T68 &lt;= $F67), 1, 0)</f>
        <v>1.0</v>
      </c>
      <c r="U69" s="345">
        <f> IF(AND(U68 &gt; $F66, U68 &lt;= $F67), 1, 0)</f>
        <v>1.0</v>
      </c>
      <c r="V69" s="345">
        <f> IF(AND(V68 &gt; $F66, V68 &lt;= $F67), 1, 0)</f>
        <v>1.0</v>
      </c>
      <c r="W69" s="345">
        <f> IF(AND(W68 &gt; $F66, W68 &lt;= $F67), 1, 0)</f>
        <v>1.0</v>
      </c>
      <c r="X69" s="345">
        <f> IF(AND(X68 &gt; $F66, X68 &lt;= $F67), 1, 0)</f>
        <v>1.0</v>
      </c>
      <c r="Y69" s="345">
        <f> IF(AND(Y68 &gt; $F66, Y68 &lt;= $F67), 1, 0)</f>
        <v>1.0</v>
      </c>
      <c r="Z69" s="345">
        <f> IF(AND(Z68 &gt; $F66, Z68 &lt;= $F67), 1, 0)</f>
        <v>1.0</v>
      </c>
      <c r="AA69" s="345">
        <f> IF(AND(AA68 &gt; $F66, AA68 &lt;= $F67), 1, 0)</f>
        <v>1.0</v>
      </c>
      <c r="AB69" s="345">
        <f> IF(AND(AB68 &gt; $F66, AB68 &lt;= $F67), 1, 0)</f>
        <v>1.0</v>
      </c>
      <c r="AC69" s="345">
        <f> IF(AND(AC68 &gt; $F66, AC68 &lt;= $F67), 1, 0)</f>
        <v>1.0</v>
      </c>
      <c r="AD69" s="345">
        <f> IF(AND(AD68 &gt; $F66, AD68 &lt;= $F67), 1, 0)</f>
        <v>1.0</v>
      </c>
      <c r="AE69" s="345">
        <f> IF(AND(AE68 &gt; $F66, AE68 &lt;= $F67), 1, 0)</f>
        <v>1.0</v>
      </c>
      <c r="AF69" s="345">
        <f> IF(AND(AF68 &gt; $F66, AF68 &lt;= $F67), 1, 0)</f>
        <v>1.0</v>
      </c>
      <c r="AG69" s="345">
        <f> IF(AND(AG68 &gt; $F66, AG68 &lt;= $F67), 1, 0)</f>
        <v>1.0</v>
      </c>
      <c r="AH69" s="345">
        <f> IF(AND(AH68 &gt; $F66, AH68 &lt;= $F67), 1, 0)</f>
        <v>1.0</v>
      </c>
      <c r="AI69" s="345">
        <f> IF(AND(AI68 &gt; $F66, AI68 &lt;= $F67), 1, 0)</f>
        <v>1.0</v>
      </c>
      <c r="AJ69" s="345">
        <f> IF(AND(AJ68 &gt; $F66, AJ68 &lt;= $F67), 1, 0)</f>
        <v>1.0</v>
      </c>
      <c r="AK69" s="345">
        <f> IF(AND(AK68 &gt; $F66, AK68 &lt;= $F67), 1, 0)</f>
        <v>1.0</v>
      </c>
      <c r="AL69" s="345">
        <f> IF(AND(AL68 &gt; $F66, AL68 &lt;= $F67), 1, 0)</f>
        <v>1.0</v>
      </c>
      <c r="AM69" s="345">
        <f> IF(AND(AM68 &gt; $F66, AM68 &lt;= $F67), 1, 0)</f>
        <v>1.0</v>
      </c>
      <c r="AN69" s="345">
        <f> IF(AND(AN68 &gt; $F66, AN68 &lt;= $F67), 1, 0)</f>
        <v>1.0</v>
      </c>
      <c r="AO69" s="345">
        <f> IF(AND(AO68 &gt; $F66, AO68 &lt;= $F67), 1, 0)</f>
        <v>1.0</v>
      </c>
      <c r="AP69" s="345">
        <f> IF(AND(AP68 &gt; $F66, AP68 &lt;= $F67), 1, 0)</f>
        <v>1.0</v>
      </c>
      <c r="AQ69" s="345">
        <f> IF(AND(AQ68 &gt; $F66, AQ68 &lt;= $F67), 1, 0)</f>
        <v>1.0</v>
      </c>
      <c r="AR69" s="345">
        <f> IF(AND(AR68 &gt; $F66, AR68 &lt;= $F67), 1, 0)</f>
        <v>1.0</v>
      </c>
      <c r="AS69" s="345">
        <f> IF(AND(AS68 &gt; $F66, AS68 &lt;= $F67), 1, 0)</f>
        <v>1.0</v>
      </c>
      <c r="AT69" s="345">
        <f> IF(AND(AT68 &gt; $F66, AT68 &lt;= $F67), 1, 0)</f>
        <v>1.0</v>
      </c>
      <c r="AU69" s="345">
        <f> IF(AND(AU68 &gt; $F66, AU68 &lt;= $F67), 1, 0)</f>
        <v>1.0</v>
      </c>
      <c r="AV69" s="345">
        <f> IF(AND(AV68 &gt; $F66, AV68 &lt;= $F67), 1, 0)</f>
        <v>1.0</v>
      </c>
      <c r="AW69" s="345">
        <f> IF(AND(AW68 &gt; $F66, AW68 &lt;= $F67), 1, 0)</f>
        <v>1.0</v>
      </c>
      <c r="AX69" s="345">
        <f> IF(AND(AX68 &gt; $F66, AX68 &lt;= $F67), 1, 0)</f>
        <v>1.0</v>
      </c>
      <c r="AY69" s="345">
        <f> IF(AND(AY68 &gt; $F66, AY68 &lt;= $F67), 1, 0)</f>
        <v>1.0</v>
      </c>
      <c r="AZ69" s="345">
        <f> IF(AND(AZ68 &gt; $F66, AZ68 &lt;= $F67), 1, 0)</f>
        <v>1.0</v>
      </c>
      <c r="BA69" s="345">
        <f> IF(AND(BA68 &gt; $F66, BA68 &lt;= $F67), 1, 0)</f>
        <v>1.0</v>
      </c>
      <c r="BB69" s="345">
        <f> IF(AND(BB68 &gt; $F66, BB68 &lt;= $F67), 1, 0)</f>
        <v>1.0</v>
      </c>
      <c r="BC69" s="345">
        <f> IF(AND(BC68 &gt; $F66, BC68 &lt;= $F67), 1, 0)</f>
        <v>1.0</v>
      </c>
      <c r="BD69" s="345">
        <f> IF(AND(BD68 &gt; $F66, BD68 &lt;= $F67), 1, 0)</f>
        <v>1.0</v>
      </c>
      <c r="BE69" s="345">
        <f> IF(AND(BE68 &gt; $F66, BE68 &lt;= $F67), 1, 0)</f>
        <v>1.0</v>
      </c>
      <c r="BF69" s="345">
        <f> IF(AND(BF68 &gt; $F66, BF68 &lt;= $F67), 1, 0)</f>
        <v>1.0</v>
      </c>
      <c r="BG69" s="345">
        <f> IF(AND(BG68 &gt; $F66, BG68 &lt;= $F67), 1, 0)</f>
        <v>1.0</v>
      </c>
      <c r="BH69" s="345">
        <f> IF(AND(BH68 &gt; $F66, BH68 &lt;= $F67), 1, 0)</f>
        <v>1.0</v>
      </c>
      <c r="BI69" s="345">
        <f> IF(AND(BI68 &gt; $F66, BI68 &lt;= $F67), 1, 0)</f>
        <v>1.0</v>
      </c>
      <c r="BJ69" s="345">
        <f> IF(AND(BJ68 &gt; $F66, BJ68 &lt;= $F67), 1, 0)</f>
        <v>1.0</v>
      </c>
      <c r="BK69" s="345">
        <f> IF(AND(BK68 &gt; $F66, BK68 &lt;= $F67), 1, 0)</f>
        <v>1.0</v>
      </c>
      <c r="BL69" s="345">
        <f> IF(AND(BL68 &gt; $F66, BL68 &lt;= $F67), 1, 0)</f>
        <v>1.0</v>
      </c>
      <c r="BM69" s="345">
        <f> IF(AND(BM68 &gt; $F66, BM68 &lt;= $F67), 1, 0)</f>
        <v>1.0</v>
      </c>
      <c r="BN69" s="345">
        <f> IF(AND(BN68 &gt; $F66, BN68 &lt;= $F67), 1, 0)</f>
        <v>1.0</v>
      </c>
      <c r="BO69" s="345">
        <f> IF(AND(BO68 &gt; $F66, BO68 &lt;= $F67), 1, 0)</f>
        <v>1.0</v>
      </c>
      <c r="BP69" s="345">
        <f> IF(AND(BP68 &gt; $F66, BP68 &lt;= $F67), 1, 0)</f>
        <v>1.0</v>
      </c>
      <c r="BQ69" s="345">
        <f> IF(AND(BQ68 &gt; $F66, BQ68 &lt;= $F67), 1, 0)</f>
        <v>1.0</v>
      </c>
      <c r="BR69" s="345">
        <f> IF(AND(BR68 &gt; $F66, BR68 &lt;= $F67), 1, 0)</f>
        <v>1.0</v>
      </c>
      <c r="BS69" s="345">
        <f> IF(AND(BS68 &gt; $F66, BS68 &lt;= $F67), 1, 0)</f>
        <v>1.0</v>
      </c>
      <c r="BT69" s="345">
        <f> IF(AND(BT68 &gt; $F66, BT68 &lt;= $F67), 1, 0)</f>
        <v>1.0</v>
      </c>
      <c r="BU69" s="345">
        <f> IF(AND(BU68 &gt; $F66, BU68 &lt;= $F67), 1, 0)</f>
        <v>1.0</v>
      </c>
      <c r="BV69" s="345">
        <f> IF(AND(BV68 &gt; $F66, BV68 &lt;= $F67), 1, 0)</f>
        <v>1.0</v>
      </c>
      <c r="BW69" s="345">
        <f> IF(AND(BW68 &gt; $F66, BW68 &lt;= $F67), 1, 0)</f>
        <v>1.0</v>
      </c>
      <c r="BX69" s="345">
        <f> IF(AND(BX68 &gt; $F66, BX68 &lt;= $F67), 1, 0)</f>
        <v>1.0</v>
      </c>
      <c r="BY69" s="345">
        <f> IF(AND(BY68 &gt; $F66, BY68 &lt;= $F67), 1, 0)</f>
        <v>1.0</v>
      </c>
      <c r="BZ69" s="345">
        <f> IF(AND(BZ68 &gt; $F66, BZ68 &lt;= $F67), 1, 0)</f>
        <v>1.0</v>
      </c>
      <c r="CA69" s="345">
        <f> IF(AND(CA68 &gt; $F66, CA68 &lt;= $F67), 1, 0)</f>
        <v>1.0</v>
      </c>
      <c r="CB69" s="345">
        <f> IF(AND(CB68 &gt; $F66, CB68 &lt;= $F67), 1, 0)</f>
        <v>1.0</v>
      </c>
      <c r="CC69" s="345">
        <f> IF(AND(CC68 &gt; $F66, CC68 &lt;= $F67), 1, 0)</f>
        <v>1.0</v>
      </c>
      <c r="CD69" s="345">
        <f> IF(AND(CD68 &gt; $F66, CD68 &lt;= $F67), 1, 0)</f>
        <v>1.0</v>
      </c>
      <c r="CE69" s="345">
        <f> IF(AND(CE68 &gt; $F66, CE68 &lt;= $F67), 1, 0)</f>
        <v>1.0</v>
      </c>
      <c r="CF69" s="345">
        <f> IF(AND(CF68 &gt; $F66, CF68 &lt;= $F67), 1, 0)</f>
        <v>1.0</v>
      </c>
      <c r="CG69" s="345">
        <f> IF(AND(CG68 &gt; $F66, CG68 &lt;= $F67), 1, 0)</f>
        <v>1.0</v>
      </c>
      <c r="CH69" s="345">
        <f> IF(AND(CH68 &gt; $F66, CH68 &lt;= $F67), 1, 0)</f>
        <v>1.0</v>
      </c>
      <c r="CI69" s="345">
        <f> IF(AND(CI68 &gt; $F66, CI68 &lt;= $F67), 1, 0)</f>
        <v>1.0</v>
      </c>
      <c r="CJ69" s="345">
        <f> IF(AND(CJ68 &gt; $F66, CJ68 &lt;= $F67), 1, 0)</f>
        <v>1.0</v>
      </c>
      <c r="CK69" s="345">
        <f> IF(AND(CK68 &gt; $F66, CK68 &lt;= $F67), 1, 0)</f>
        <v>1.0</v>
      </c>
      <c r="CL69" s="345">
        <f> IF(AND(CL68 &gt; $F66, CL68 &lt;= $F67), 1, 0)</f>
        <v>1.0</v>
      </c>
      <c r="CM69" s="345">
        <f> IF(AND(CM68 &gt; $F66, CM68 &lt;= $F67), 1, 0)</f>
        <v>1.0</v>
      </c>
      <c r="CN69" s="345">
        <f> IF(AND(CN68 &gt; $F66, CN68 &lt;= $F67), 1, 0)</f>
        <v>0.0</v>
      </c>
      <c r="CO69" s="345">
        <f> IF(AND(CO68 &gt; $F66, CO68 &lt;= $F67), 1, 0)</f>
        <v>0.0</v>
      </c>
    </row>
    <row r="70" customFormat="1" s="29">
      <c r="A70" s="294" t="n"/>
      <c r="B70" s="294" t="n"/>
      <c r="C70" s="212" t="n"/>
      <c r="D70" s="61" t="n"/>
      <c r="E70" s="61" t="inlineStr">
        <is>
          <t>Forecast period total</t>
        </is>
      </c>
      <c r="F70" s="61">
        <f>SUM(J69:CO69)</f>
        <v>80.0</v>
      </c>
      <c r="G70" s="61" t="inlineStr">
        <is>
          <t>columns</t>
        </is>
      </c>
      <c r="H70" s="61" t="n"/>
      <c r="I70" s="61" t="n"/>
      <c r="J70" s="61" t="n"/>
      <c r="K70" s="61" t="n"/>
      <c r="L70" s="61" t="n"/>
      <c r="M70" s="61" t="n"/>
      <c r="N70" s="61" t="n"/>
      <c r="O70" s="61" t="n"/>
      <c r="P70" s="61" t="n"/>
      <c r="Q70" s="61" t="n"/>
      <c r="R70" s="61" t="n"/>
      <c r="S70" s="61" t="n"/>
      <c r="T70" s="61" t="n"/>
      <c r="U70" s="61" t="n"/>
      <c r="V70" s="61" t="n"/>
      <c r="W70" s="61" t="n"/>
      <c r="X70" s="61" t="n"/>
      <c r="Y70" s="61" t="n"/>
      <c r="Z70" s="61" t="n"/>
      <c r="AA70" s="61" t="n"/>
      <c r="AB70" s="61" t="n"/>
      <c r="AC70" s="61" t="n"/>
      <c r="AD70" s="61" t="n"/>
      <c r="AE70" s="61" t="n"/>
      <c r="AF70" s="61" t="n"/>
      <c r="AG70" s="61" t="n"/>
      <c r="AH70" s="61" t="n"/>
      <c r="AI70" s="61" t="n"/>
      <c r="AJ70" s="61" t="n"/>
      <c r="AK70" s="61" t="n"/>
      <c r="AL70" s="61" t="n"/>
      <c r="AM70" s="61" t="n"/>
      <c r="AN70" s="61" t="n"/>
      <c r="AO70" s="61" t="n"/>
      <c r="AP70" s="61" t="n"/>
      <c r="AQ70" s="61" t="n"/>
      <c r="AR70" s="61" t="n"/>
      <c r="AS70" s="61" t="n"/>
      <c r="AT70" s="61" t="n"/>
      <c r="AU70" s="61" t="n"/>
      <c r="AV70" s="61" t="n"/>
      <c r="AW70" s="61" t="n"/>
      <c r="AX70" s="61" t="n"/>
      <c r="AY70" s="61" t="n"/>
      <c r="AZ70" s="61" t="n"/>
      <c r="BA70" s="61" t="n"/>
      <c r="BB70" s="61" t="n"/>
      <c r="BC70" s="61" t="n"/>
      <c r="BD70" s="61" t="n"/>
      <c r="BE70" s="61" t="n"/>
      <c r="BF70" s="61" t="n"/>
      <c r="BG70" s="61" t="n"/>
      <c r="BH70" s="61" t="n"/>
      <c r="BI70" s="61" t="n"/>
      <c r="BJ70" s="61" t="n"/>
      <c r="BK70" s="61" t="n"/>
      <c r="BL70" s="61" t="n"/>
      <c r="BM70" s="61" t="n"/>
      <c r="BN70" s="61" t="n"/>
      <c r="BO70" s="61" t="n"/>
      <c r="BP70" s="61" t="n"/>
      <c r="BQ70" s="61" t="n"/>
      <c r="BR70" s="61" t="n"/>
      <c r="BS70" s="61" t="n"/>
      <c r="BT70" s="61" t="n"/>
      <c r="BU70" s="61" t="n"/>
      <c r="BV70" s="61" t="n"/>
      <c r="BW70" s="61" t="n"/>
      <c r="BX70" s="61" t="n"/>
      <c r="BY70" s="61" t="n"/>
      <c r="BZ70" s="61" t="n"/>
      <c r="CA70" s="61" t="n"/>
      <c r="CB70" s="61" t="n"/>
      <c r="CC70" s="61" t="n"/>
      <c r="CD70" s="61" t="n"/>
      <c r="CE70" s="61" t="n"/>
      <c r="CF70" s="61" t="n"/>
      <c r="CG70" s="61" t="n"/>
      <c r="CH70" s="61" t="n"/>
      <c r="CI70" s="61" t="n"/>
      <c r="CJ70" s="61" t="n"/>
      <c r="CK70" s="61" t="n"/>
      <c r="CL70" s="61" t="n"/>
      <c r="CM70" s="61" t="n"/>
      <c r="CN70" s="61" t="n"/>
      <c r="CO70" s="61" t="n"/>
    </row>
    <row r="72">
      <c r="B72" s="294" t="inlineStr">
        <is>
          <t>Last forecast period flag</t>
        </is>
      </c>
    </row>
    <row r="73" customFormat="1" s="26">
      <c r="A73" s="125" t="n"/>
      <c r="B73" s="125" t="n"/>
      <c r="C73" s="126" t="n"/>
      <c r="D73" s="24" t="n"/>
      <c r="E73" s="127" t="str">
        <f> E$64</f>
        <v>Last forecast date</v>
      </c>
      <c r="F73" s="127">
        <f> F$64</f>
        <v>51866.0</v>
      </c>
      <c r="G73" s="127" t="str">
        <f> G$64</f>
        <v>date</v>
      </c>
      <c r="H73" s="61" t="n"/>
      <c r="I73" s="61" t="n"/>
      <c r="J73" s="61" t="n"/>
      <c r="K73" s="61" t="n"/>
      <c r="L73" s="61" t="n"/>
      <c r="M73" s="61" t="n"/>
      <c r="N73" s="61" t="n"/>
      <c r="O73" s="61" t="n"/>
      <c r="P73" s="61" t="n"/>
      <c r="Q73" s="61" t="n"/>
      <c r="R73" s="61" t="n"/>
      <c r="S73" s="61" t="n"/>
      <c r="T73" s="61" t="n"/>
      <c r="U73" s="61" t="n"/>
      <c r="V73" s="61" t="n"/>
      <c r="W73" s="61" t="n"/>
      <c r="X73" s="61" t="n"/>
      <c r="Y73" s="61" t="n"/>
      <c r="Z73" s="61" t="n"/>
      <c r="AA73" s="61" t="n"/>
      <c r="AB73" s="61" t="n"/>
      <c r="AC73" s="61" t="n"/>
      <c r="AD73" s="61" t="n"/>
      <c r="AE73" s="61" t="n"/>
      <c r="AF73" s="61" t="n"/>
      <c r="AG73" s="61" t="n"/>
      <c r="AH73" s="61" t="n"/>
      <c r="AI73" s="61" t="n"/>
      <c r="AJ73" s="61" t="n"/>
      <c r="AK73" s="61" t="n"/>
      <c r="AL73" s="61" t="n"/>
      <c r="AM73" s="61" t="n"/>
      <c r="AN73" s="61" t="n"/>
      <c r="AO73" s="61" t="n"/>
      <c r="AP73" s="61" t="n"/>
      <c r="AQ73" s="61" t="n"/>
      <c r="AR73" s="61" t="n"/>
      <c r="AS73" s="61" t="n"/>
      <c r="AT73" s="61" t="n"/>
      <c r="AU73" s="61" t="n"/>
      <c r="AV73" s="61" t="n"/>
      <c r="AW73" s="61" t="n"/>
      <c r="AX73" s="61" t="n"/>
      <c r="AY73" s="61" t="n"/>
      <c r="AZ73" s="61" t="n"/>
      <c r="BA73" s="61" t="n"/>
      <c r="BB73" s="61" t="n"/>
      <c r="BC73" s="61" t="n"/>
      <c r="BD73" s="61" t="n"/>
      <c r="BE73" s="61" t="n"/>
      <c r="BF73" s="61" t="n"/>
      <c r="BG73" s="61" t="n"/>
      <c r="BH73" s="61" t="n"/>
      <c r="BI73" s="61" t="n"/>
      <c r="BJ73" s="61" t="n"/>
      <c r="BK73" s="61" t="n"/>
      <c r="BL73" s="61" t="n"/>
      <c r="BM73" s="61" t="n"/>
      <c r="BN73" s="61" t="n"/>
      <c r="BO73" s="61" t="n"/>
      <c r="BP73" s="61" t="n"/>
      <c r="BQ73" s="61" t="n"/>
      <c r="BR73" s="61" t="n"/>
      <c r="BS73" s="61" t="n"/>
      <c r="BT73" s="61" t="n"/>
      <c r="BU73" s="61" t="n"/>
      <c r="BV73" s="61" t="n"/>
      <c r="BW73" s="61" t="n"/>
      <c r="BX73" s="61" t="n"/>
      <c r="BY73" s="61" t="n"/>
      <c r="BZ73" s="61" t="n"/>
      <c r="CA73" s="61" t="n"/>
      <c r="CB73" s="61" t="n"/>
      <c r="CC73" s="61" t="n"/>
      <c r="CD73" s="61" t="n"/>
      <c r="CE73" s="61" t="n"/>
      <c r="CF73" s="61" t="n"/>
      <c r="CG73" s="61" t="n"/>
      <c r="CH73" s="61" t="n"/>
      <c r="CI73" s="61" t="n"/>
      <c r="CJ73" s="61" t="n"/>
      <c r="CK73" s="61" t="n"/>
      <c r="CL73" s="61" t="n"/>
      <c r="CM73" s="61" t="n"/>
      <c r="CN73" s="61" t="n"/>
      <c r="CO73" s="61" t="n"/>
    </row>
    <row r="74" ht="15" customFormat="1" customHeight="1" s="123">
      <c r="A74" s="167" t="n"/>
      <c r="B74" s="167" t="n"/>
      <c r="C74" s="237" t="n"/>
      <c r="D74" s="121" t="n"/>
      <c r="E74" s="140" t="str">
        <f> E$25</f>
        <v>Model period ending </v>
      </c>
      <c r="F74" s="140">
        <f> F$25</f>
        <v>0.0</v>
      </c>
      <c r="G74" s="140" t="str">
        <f> G$25</f>
        <v>date</v>
      </c>
      <c r="H74" s="140">
        <f> H$25</f>
        <v>0.0</v>
      </c>
      <c r="I74" s="140">
        <f> I$25</f>
        <v>0.0</v>
      </c>
      <c r="J74" s="140">
        <f> J$25</f>
        <v>44469.0</v>
      </c>
      <c r="K74" s="140">
        <f> K$25</f>
        <v>44561.0</v>
      </c>
      <c r="L74" s="140">
        <f> L$25</f>
        <v>44651.0</v>
      </c>
      <c r="M74" s="140">
        <f> M$25</f>
        <v>44742.0</v>
      </c>
      <c r="N74" s="140">
        <f> N$25</f>
        <v>44834.0</v>
      </c>
      <c r="O74" s="140">
        <f> O$25</f>
        <v>44926.0</v>
      </c>
      <c r="P74" s="140">
        <f> P$25</f>
        <v>45016.0</v>
      </c>
      <c r="Q74" s="140">
        <f> Q$25</f>
        <v>45107.0</v>
      </c>
      <c r="R74" s="140">
        <f> R$25</f>
        <v>45199.0</v>
      </c>
      <c r="S74" s="140">
        <f> S$25</f>
        <v>45291.0</v>
      </c>
      <c r="T74" s="140">
        <f> T$25</f>
        <v>45382.0</v>
      </c>
      <c r="U74" s="140">
        <f> U$25</f>
        <v>45473.0</v>
      </c>
      <c r="V74" s="140">
        <f> V$25</f>
        <v>45565.0</v>
      </c>
      <c r="W74" s="140">
        <f> W$25</f>
        <v>45657.0</v>
      </c>
      <c r="X74" s="140">
        <f> X$25</f>
        <v>45747.0</v>
      </c>
      <c r="Y74" s="140">
        <f> Y$25</f>
        <v>45838.0</v>
      </c>
      <c r="Z74" s="140">
        <f> Z$25</f>
        <v>45930.0</v>
      </c>
      <c r="AA74" s="140">
        <f> AA$25</f>
        <v>46022.0</v>
      </c>
      <c r="AB74" s="140">
        <f> AB$25</f>
        <v>46112.0</v>
      </c>
      <c r="AC74" s="140">
        <f> AC$25</f>
        <v>46203.0</v>
      </c>
      <c r="AD74" s="140">
        <f> AD$25</f>
        <v>46295.0</v>
      </c>
      <c r="AE74" s="140">
        <f> AE$25</f>
        <v>46387.0</v>
      </c>
      <c r="AF74" s="140">
        <f> AF$25</f>
        <v>46477.0</v>
      </c>
      <c r="AG74" s="140">
        <f> AG$25</f>
        <v>46568.0</v>
      </c>
      <c r="AH74" s="140">
        <f> AH$25</f>
        <v>46660.0</v>
      </c>
      <c r="AI74" s="140">
        <f> AI$25</f>
        <v>46752.0</v>
      </c>
      <c r="AJ74" s="140">
        <f> AJ$25</f>
        <v>46843.0</v>
      </c>
      <c r="AK74" s="140">
        <f> AK$25</f>
        <v>46934.0</v>
      </c>
      <c r="AL74" s="140">
        <f> AL$25</f>
        <v>47026.0</v>
      </c>
      <c r="AM74" s="140">
        <f> AM$25</f>
        <v>47118.0</v>
      </c>
      <c r="AN74" s="140">
        <f> AN$25</f>
        <v>47208.0</v>
      </c>
      <c r="AO74" s="140">
        <f> AO$25</f>
        <v>47299.0</v>
      </c>
      <c r="AP74" s="140">
        <f> AP$25</f>
        <v>47391.0</v>
      </c>
      <c r="AQ74" s="140">
        <f> AQ$25</f>
        <v>47483.0</v>
      </c>
      <c r="AR74" s="140">
        <f> AR$25</f>
        <v>47573.0</v>
      </c>
      <c r="AS74" s="140">
        <f> AS$25</f>
        <v>47664.0</v>
      </c>
      <c r="AT74" s="140">
        <f> AT$25</f>
        <v>47756.0</v>
      </c>
      <c r="AU74" s="140">
        <f> AU$25</f>
        <v>47848.0</v>
      </c>
      <c r="AV74" s="140">
        <f> AV$25</f>
        <v>47938.0</v>
      </c>
      <c r="AW74" s="140">
        <f> AW$25</f>
        <v>48029.0</v>
      </c>
      <c r="AX74" s="140">
        <f> AX$25</f>
        <v>48121.0</v>
      </c>
      <c r="AY74" s="140">
        <f> AY$25</f>
        <v>48213.0</v>
      </c>
      <c r="AZ74" s="140">
        <f> AZ$25</f>
        <v>48304.0</v>
      </c>
      <c r="BA74" s="140">
        <f> BA$25</f>
        <v>48395.0</v>
      </c>
      <c r="BB74" s="140">
        <f> BB$25</f>
        <v>48487.0</v>
      </c>
      <c r="BC74" s="140">
        <f> BC$25</f>
        <v>48579.0</v>
      </c>
      <c r="BD74" s="140">
        <f> BD$25</f>
        <v>48669.0</v>
      </c>
      <c r="BE74" s="140">
        <f> BE$25</f>
        <v>48760.0</v>
      </c>
      <c r="BF74" s="140">
        <f> BF$25</f>
        <v>48852.0</v>
      </c>
      <c r="BG74" s="140">
        <f> BG$25</f>
        <v>48944.0</v>
      </c>
      <c r="BH74" s="140">
        <f> BH$25</f>
        <v>49034.0</v>
      </c>
      <c r="BI74" s="140">
        <f> BI$25</f>
        <v>49125.0</v>
      </c>
      <c r="BJ74" s="140">
        <f> BJ$25</f>
        <v>49217.0</v>
      </c>
      <c r="BK74" s="140">
        <f> BK$25</f>
        <v>49309.0</v>
      </c>
      <c r="BL74" s="140">
        <f> BL$25</f>
        <v>49399.0</v>
      </c>
      <c r="BM74" s="140">
        <f> BM$25</f>
        <v>49490.0</v>
      </c>
      <c r="BN74" s="140">
        <f> BN$25</f>
        <v>49582.0</v>
      </c>
      <c r="BO74" s="140">
        <f> BO$25</f>
        <v>49674.0</v>
      </c>
      <c r="BP74" s="140">
        <f> BP$25</f>
        <v>49765.0</v>
      </c>
      <c r="BQ74" s="140">
        <f> BQ$25</f>
        <v>49856.0</v>
      </c>
      <c r="BR74" s="140">
        <f> BR$25</f>
        <v>49948.0</v>
      </c>
      <c r="BS74" s="140">
        <f> BS$25</f>
        <v>50040.0</v>
      </c>
      <c r="BT74" s="140">
        <f> BT$25</f>
        <v>50130.0</v>
      </c>
      <c r="BU74" s="140">
        <f> BU$25</f>
        <v>50221.0</v>
      </c>
      <c r="BV74" s="140">
        <f> BV$25</f>
        <v>50313.0</v>
      </c>
      <c r="BW74" s="140">
        <f> BW$25</f>
        <v>50405.0</v>
      </c>
      <c r="BX74" s="140">
        <f> BX$25</f>
        <v>50495.0</v>
      </c>
      <c r="BY74" s="140">
        <f> BY$25</f>
        <v>50586.0</v>
      </c>
      <c r="BZ74" s="140">
        <f> BZ$25</f>
        <v>50678.0</v>
      </c>
      <c r="CA74" s="140">
        <f> CA$25</f>
        <v>50770.0</v>
      </c>
      <c r="CB74" s="140">
        <f> CB$25</f>
        <v>50860.0</v>
      </c>
      <c r="CC74" s="140">
        <f> CC$25</f>
        <v>50951.0</v>
      </c>
      <c r="CD74" s="140">
        <f> CD$25</f>
        <v>51043.0</v>
      </c>
      <c r="CE74" s="140">
        <f> CE$25</f>
        <v>51135.0</v>
      </c>
      <c r="CF74" s="140">
        <f> CF$25</f>
        <v>51226.0</v>
      </c>
      <c r="CG74" s="140">
        <f> CG$25</f>
        <v>51317.0</v>
      </c>
      <c r="CH74" s="140">
        <f> CH$25</f>
        <v>51409.0</v>
      </c>
      <c r="CI74" s="140">
        <f> CI$25</f>
        <v>51501.0</v>
      </c>
      <c r="CJ74" s="140">
        <f> CJ$25</f>
        <v>51591.0</v>
      </c>
      <c r="CK74" s="140">
        <f> CK$25</f>
        <v>51682.0</v>
      </c>
      <c r="CL74" s="140">
        <f> CL$25</f>
        <v>51774.0</v>
      </c>
      <c r="CM74" s="140">
        <f> CM$25</f>
        <v>51866.0</v>
      </c>
      <c r="CN74" s="140">
        <f> CN$25</f>
        <v>51956.0</v>
      </c>
      <c r="CO74" s="140">
        <f> CO$25</f>
        <v>52047.0</v>
      </c>
    </row>
    <row r="75" customFormat="1" s="330">
      <c r="A75" s="326" t="n"/>
      <c r="B75" s="326" t="n"/>
      <c r="C75" s="327" t="n"/>
      <c r="D75" s="345" t="n"/>
      <c r="E75" s="345" t="inlineStr">
        <is>
          <t>Last forecast period flag</t>
        </is>
      </c>
      <c r="F75" s="326" t="n"/>
      <c r="G75" s="345" t="inlineStr">
        <is>
          <t>flag</t>
        </is>
      </c>
      <c r="H75" s="345">
        <f> SUM(J75:CO75)</f>
        <v>1.0</v>
      </c>
      <c r="I75" s="345" t="n"/>
      <c r="J75" s="345" t="n">
        <v>0</v>
      </c>
      <c r="K75" s="345">
        <f> IF(K74 = $F73, 1, 0)</f>
        <v>0.0</v>
      </c>
      <c r="L75" s="345">
        <f> IF(L74 = $F73, 1, 0)</f>
        <v>0.0</v>
      </c>
      <c r="M75" s="345">
        <f> IF(M74 = $F73, 1, 0)</f>
        <v>0.0</v>
      </c>
      <c r="N75" s="345">
        <f> IF(N74 = $F73, 1, 0)</f>
        <v>0.0</v>
      </c>
      <c r="O75" s="345">
        <f> IF(O74 = $F73, 1, 0)</f>
        <v>0.0</v>
      </c>
      <c r="P75" s="345">
        <f> IF(P74 = $F73, 1, 0)</f>
        <v>0.0</v>
      </c>
      <c r="Q75" s="345">
        <f> IF(Q74 = $F73, 1, 0)</f>
        <v>0.0</v>
      </c>
      <c r="R75" s="345">
        <f> IF(R74 = $F73, 1, 0)</f>
        <v>0.0</v>
      </c>
      <c r="S75" s="345">
        <f> IF(S74 = $F73, 1, 0)</f>
        <v>0.0</v>
      </c>
      <c r="T75" s="345">
        <f> IF(T74 = $F73, 1, 0)</f>
        <v>0.0</v>
      </c>
      <c r="U75" s="345">
        <f> IF(U74 = $F73, 1, 0)</f>
        <v>0.0</v>
      </c>
      <c r="V75" s="345">
        <f> IF(V74 = $F73, 1, 0)</f>
        <v>0.0</v>
      </c>
      <c r="W75" s="345">
        <f> IF(W74 = $F73, 1, 0)</f>
        <v>0.0</v>
      </c>
      <c r="X75" s="345">
        <f> IF(X74 = $F73, 1, 0)</f>
        <v>0.0</v>
      </c>
      <c r="Y75" s="345">
        <f> IF(Y74 = $F73, 1, 0)</f>
        <v>0.0</v>
      </c>
      <c r="Z75" s="345">
        <f> IF(Z74 = $F73, 1, 0)</f>
        <v>0.0</v>
      </c>
      <c r="AA75" s="345">
        <f> IF(AA74 = $F73, 1, 0)</f>
        <v>0.0</v>
      </c>
      <c r="AB75" s="345">
        <f> IF(AB74 = $F73, 1, 0)</f>
        <v>0.0</v>
      </c>
      <c r="AC75" s="345">
        <f> IF(AC74 = $F73, 1, 0)</f>
        <v>0.0</v>
      </c>
      <c r="AD75" s="345">
        <f> IF(AD74 = $F73, 1, 0)</f>
        <v>0.0</v>
      </c>
      <c r="AE75" s="345">
        <f> IF(AE74 = $F73, 1, 0)</f>
        <v>0.0</v>
      </c>
      <c r="AF75" s="345">
        <f> IF(AF74 = $F73, 1, 0)</f>
        <v>0.0</v>
      </c>
      <c r="AG75" s="345">
        <f> IF(AG74 = $F73, 1, 0)</f>
        <v>0.0</v>
      </c>
      <c r="AH75" s="345">
        <f> IF(AH74 = $F73, 1, 0)</f>
        <v>0.0</v>
      </c>
      <c r="AI75" s="345">
        <f> IF(AI74 = $F73, 1, 0)</f>
        <v>0.0</v>
      </c>
      <c r="AJ75" s="345">
        <f> IF(AJ74 = $F73, 1, 0)</f>
        <v>0.0</v>
      </c>
      <c r="AK75" s="345">
        <f> IF(AK74 = $F73, 1, 0)</f>
        <v>0.0</v>
      </c>
      <c r="AL75" s="345">
        <f> IF(AL74 = $F73, 1, 0)</f>
        <v>0.0</v>
      </c>
      <c r="AM75" s="345">
        <f> IF(AM74 = $F73, 1, 0)</f>
        <v>0.0</v>
      </c>
      <c r="AN75" s="345">
        <f> IF(AN74 = $F73, 1, 0)</f>
        <v>0.0</v>
      </c>
      <c r="AO75" s="345">
        <f> IF(AO74 = $F73, 1, 0)</f>
        <v>0.0</v>
      </c>
      <c r="AP75" s="345">
        <f> IF(AP74 = $F73, 1, 0)</f>
        <v>0.0</v>
      </c>
      <c r="AQ75" s="345">
        <f> IF(AQ74 = $F73, 1, 0)</f>
        <v>0.0</v>
      </c>
      <c r="AR75" s="345">
        <f> IF(AR74 = $F73, 1, 0)</f>
        <v>0.0</v>
      </c>
      <c r="AS75" s="345">
        <f> IF(AS74 = $F73, 1, 0)</f>
        <v>0.0</v>
      </c>
      <c r="AT75" s="345">
        <f> IF(AT74 = $F73, 1, 0)</f>
        <v>0.0</v>
      </c>
      <c r="AU75" s="345">
        <f> IF(AU74 = $F73, 1, 0)</f>
        <v>0.0</v>
      </c>
      <c r="AV75" s="345">
        <f> IF(AV74 = $F73, 1, 0)</f>
        <v>0.0</v>
      </c>
      <c r="AW75" s="345">
        <f> IF(AW74 = $F73, 1, 0)</f>
        <v>0.0</v>
      </c>
      <c r="AX75" s="345">
        <f> IF(AX74 = $F73, 1, 0)</f>
        <v>0.0</v>
      </c>
      <c r="AY75" s="345">
        <f> IF(AY74 = $F73, 1, 0)</f>
        <v>0.0</v>
      </c>
      <c r="AZ75" s="345">
        <f> IF(AZ74 = $F73, 1, 0)</f>
        <v>0.0</v>
      </c>
      <c r="BA75" s="345">
        <f> IF(BA74 = $F73, 1, 0)</f>
        <v>0.0</v>
      </c>
      <c r="BB75" s="345">
        <f> IF(BB74 = $F73, 1, 0)</f>
        <v>0.0</v>
      </c>
      <c r="BC75" s="345">
        <f> IF(BC74 = $F73, 1, 0)</f>
        <v>0.0</v>
      </c>
      <c r="BD75" s="345">
        <f> IF(BD74 = $F73, 1, 0)</f>
        <v>0.0</v>
      </c>
      <c r="BE75" s="345">
        <f> IF(BE74 = $F73, 1, 0)</f>
        <v>0.0</v>
      </c>
      <c r="BF75" s="345">
        <f> IF(BF74 = $F73, 1, 0)</f>
        <v>0.0</v>
      </c>
      <c r="BG75" s="345">
        <f> IF(BG74 = $F73, 1, 0)</f>
        <v>0.0</v>
      </c>
      <c r="BH75" s="345">
        <f> IF(BH74 = $F73, 1, 0)</f>
        <v>0.0</v>
      </c>
      <c r="BI75" s="345">
        <f> IF(BI74 = $F73, 1, 0)</f>
        <v>0.0</v>
      </c>
      <c r="BJ75" s="345">
        <f> IF(BJ74 = $F73, 1, 0)</f>
        <v>0.0</v>
      </c>
      <c r="BK75" s="345">
        <f> IF(BK74 = $F73, 1, 0)</f>
        <v>0.0</v>
      </c>
      <c r="BL75" s="345">
        <f> IF(BL74 = $F73, 1, 0)</f>
        <v>0.0</v>
      </c>
      <c r="BM75" s="345">
        <f> IF(BM74 = $F73, 1, 0)</f>
        <v>0.0</v>
      </c>
      <c r="BN75" s="345">
        <f> IF(BN74 = $F73, 1, 0)</f>
        <v>0.0</v>
      </c>
      <c r="BO75" s="345">
        <f> IF(BO74 = $F73, 1, 0)</f>
        <v>0.0</v>
      </c>
      <c r="BP75" s="345">
        <f> IF(BP74 = $F73, 1, 0)</f>
        <v>0.0</v>
      </c>
      <c r="BQ75" s="345">
        <f> IF(BQ74 = $F73, 1, 0)</f>
        <v>0.0</v>
      </c>
      <c r="BR75" s="345">
        <f> IF(BR74 = $F73, 1, 0)</f>
        <v>0.0</v>
      </c>
      <c r="BS75" s="345">
        <f> IF(BS74 = $F73, 1, 0)</f>
        <v>0.0</v>
      </c>
      <c r="BT75" s="345">
        <f> IF(BT74 = $F73, 1, 0)</f>
        <v>0.0</v>
      </c>
      <c r="BU75" s="345">
        <f> IF(BU74 = $F73, 1, 0)</f>
        <v>0.0</v>
      </c>
      <c r="BV75" s="345">
        <f> IF(BV74 = $F73, 1, 0)</f>
        <v>0.0</v>
      </c>
      <c r="BW75" s="345">
        <f> IF(BW74 = $F73, 1, 0)</f>
        <v>0.0</v>
      </c>
      <c r="BX75" s="345">
        <f> IF(BX74 = $F73, 1, 0)</f>
        <v>0.0</v>
      </c>
      <c r="BY75" s="345">
        <f> IF(BY74 = $F73, 1, 0)</f>
        <v>0.0</v>
      </c>
      <c r="BZ75" s="345">
        <f> IF(BZ74 = $F73, 1, 0)</f>
        <v>0.0</v>
      </c>
      <c r="CA75" s="345">
        <f> IF(CA74 = $F73, 1, 0)</f>
        <v>0.0</v>
      </c>
      <c r="CB75" s="345">
        <f> IF(CB74 = $F73, 1, 0)</f>
        <v>0.0</v>
      </c>
      <c r="CC75" s="345">
        <f> IF(CC74 = $F73, 1, 0)</f>
        <v>0.0</v>
      </c>
      <c r="CD75" s="345">
        <f> IF(CD74 = $F73, 1, 0)</f>
        <v>0.0</v>
      </c>
      <c r="CE75" s="345">
        <f> IF(CE74 = $F73, 1, 0)</f>
        <v>0.0</v>
      </c>
      <c r="CF75" s="345">
        <f> IF(CF74 = $F73, 1, 0)</f>
        <v>0.0</v>
      </c>
      <c r="CG75" s="345">
        <f> IF(CG74 = $F73, 1, 0)</f>
        <v>0.0</v>
      </c>
      <c r="CH75" s="345">
        <f> IF(CH74 = $F73, 1, 0)</f>
        <v>0.0</v>
      </c>
      <c r="CI75" s="345">
        <f> IF(CI74 = $F73, 1, 0)</f>
        <v>0.0</v>
      </c>
      <c r="CJ75" s="345">
        <f> IF(CJ74 = $F73, 1, 0)</f>
        <v>0.0</v>
      </c>
      <c r="CK75" s="345">
        <f> IF(CK74 = $F73, 1, 0)</f>
        <v>0.0</v>
      </c>
      <c r="CL75" s="345">
        <f> IF(CL74 = $F73, 1, 0)</f>
        <v>0.0</v>
      </c>
      <c r="CM75" s="345">
        <f> IF(CM74 = $F73, 1, 0)</f>
        <v>1.0</v>
      </c>
      <c r="CN75" s="345">
        <f> IF(CN74 = $F73, 1, 0)</f>
        <v>0.0</v>
      </c>
      <c r="CO75" s="345">
        <f> IF(CO74 = $F73, 1, 0)</f>
        <v>0.0</v>
      </c>
    </row>
    <row r="76">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c r="AA76" s="61" t="n"/>
      <c r="AB76" s="61" t="n"/>
      <c r="AC76" s="61" t="n"/>
      <c r="AD76" s="61" t="n"/>
      <c r="AE76" s="61" t="n"/>
      <c r="AF76" s="61" t="n"/>
      <c r="AG76" s="61" t="n"/>
      <c r="AH76" s="61" t="n"/>
      <c r="AI76" s="61" t="n"/>
      <c r="AJ76" s="61" t="n"/>
      <c r="AK76" s="61" t="n"/>
      <c r="AL76" s="61" t="n"/>
      <c r="AM76" s="61" t="n"/>
      <c r="AN76" s="61" t="n"/>
      <c r="AO76" s="61" t="n"/>
      <c r="AP76" s="61" t="n"/>
      <c r="AQ76" s="61" t="n"/>
      <c r="AR76" s="61" t="n"/>
      <c r="AS76" s="61" t="n"/>
      <c r="AT76" s="61" t="n"/>
      <c r="AU76" s="61" t="n"/>
      <c r="AV76" s="61" t="n"/>
      <c r="AW76" s="61" t="n"/>
      <c r="AX76" s="61" t="n"/>
      <c r="AY76" s="61" t="n"/>
      <c r="AZ76" s="61" t="n"/>
      <c r="BA76" s="61" t="n"/>
      <c r="BB76" s="61" t="n"/>
      <c r="BC76" s="61" t="n"/>
      <c r="BD76" s="61" t="n"/>
      <c r="BE76" s="61" t="n"/>
      <c r="BF76" s="61" t="n"/>
      <c r="BG76" s="61" t="n"/>
      <c r="BH76" s="61" t="n"/>
      <c r="BI76" s="61" t="n"/>
      <c r="BJ76" s="61" t="n"/>
      <c r="BK76" s="61" t="n"/>
      <c r="BL76" s="61" t="n"/>
      <c r="BM76" s="61" t="n"/>
      <c r="BN76" s="61" t="n"/>
      <c r="BO76" s="61" t="n"/>
      <c r="BP76" s="61" t="n"/>
      <c r="BQ76" s="61" t="n"/>
      <c r="BR76" s="61" t="n"/>
      <c r="BS76" s="61" t="n"/>
      <c r="BT76" s="61" t="n"/>
      <c r="BU76" s="61" t="n"/>
      <c r="BV76" s="61" t="n"/>
      <c r="BW76" s="61" t="n"/>
      <c r="BX76" s="61" t="n"/>
      <c r="BY76" s="61" t="n"/>
      <c r="BZ76" s="61" t="n"/>
      <c r="CA76" s="61" t="n"/>
      <c r="CB76" s="61" t="n"/>
      <c r="CC76" s="61" t="n"/>
      <c r="CD76" s="61" t="n"/>
      <c r="CE76" s="61" t="n"/>
      <c r="CF76" s="61" t="n"/>
      <c r="CG76" s="61" t="n"/>
      <c r="CH76" s="61" t="n"/>
      <c r="CI76" s="61" t="n"/>
      <c r="CJ76" s="61" t="n"/>
      <c r="CK76" s="61" t="n"/>
      <c r="CL76" s="61" t="n"/>
      <c r="CM76" s="61" t="n"/>
      <c r="CN76" s="61" t="n"/>
      <c r="CO76" s="61" t="n"/>
    </row>
    <row r="77">
      <c r="B77" s="294" t="inlineStr">
        <is>
          <t>1st post forecast period flag</t>
        </is>
      </c>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c r="AA77" s="61" t="n"/>
      <c r="AB77" s="61" t="n"/>
      <c r="AC77" s="61" t="n"/>
      <c r="AD77" s="61" t="n"/>
      <c r="AE77" s="61" t="n"/>
      <c r="AF77" s="61" t="n"/>
      <c r="AG77" s="61" t="n"/>
      <c r="AH77" s="61" t="n"/>
      <c r="AI77" s="61" t="n"/>
      <c r="AJ77" s="61" t="n"/>
      <c r="AK77" s="61" t="n"/>
      <c r="AL77" s="61" t="n"/>
      <c r="AM77" s="61" t="n"/>
      <c r="AN77" s="61" t="n"/>
      <c r="AO77" s="61" t="n"/>
      <c r="AP77" s="61" t="n"/>
      <c r="AQ77" s="61" t="n"/>
      <c r="AR77" s="61" t="n"/>
      <c r="AS77" s="61" t="n"/>
      <c r="AT77" s="61" t="n"/>
      <c r="AU77" s="61" t="n"/>
      <c r="AV77" s="61" t="n"/>
      <c r="AW77" s="61" t="n"/>
      <c r="AX77" s="61" t="n"/>
      <c r="AY77" s="61" t="n"/>
      <c r="AZ77" s="61" t="n"/>
      <c r="BA77" s="61" t="n"/>
      <c r="BB77" s="61" t="n"/>
      <c r="BC77" s="61" t="n"/>
      <c r="BD77" s="61" t="n"/>
      <c r="BE77" s="61" t="n"/>
      <c r="BF77" s="61" t="n"/>
      <c r="BG77" s="61" t="n"/>
      <c r="BH77" s="61" t="n"/>
      <c r="BI77" s="61" t="n"/>
      <c r="BJ77" s="61" t="n"/>
      <c r="BK77" s="61" t="n"/>
      <c r="BL77" s="61" t="n"/>
      <c r="BM77" s="61" t="n"/>
      <c r="BN77" s="61" t="n"/>
      <c r="BO77" s="61" t="n"/>
      <c r="BP77" s="61" t="n"/>
      <c r="BQ77" s="61" t="n"/>
      <c r="BR77" s="61" t="n"/>
      <c r="BS77" s="61" t="n"/>
      <c r="BT77" s="61" t="n"/>
      <c r="BU77" s="61" t="n"/>
      <c r="BV77" s="61" t="n"/>
      <c r="BW77" s="61" t="n"/>
      <c r="BX77" s="61" t="n"/>
      <c r="BY77" s="61" t="n"/>
      <c r="BZ77" s="61" t="n"/>
      <c r="CA77" s="61" t="n"/>
      <c r="CB77" s="61" t="n"/>
      <c r="CC77" s="61" t="n"/>
      <c r="CD77" s="61" t="n"/>
      <c r="CE77" s="61" t="n"/>
      <c r="CF77" s="61" t="n"/>
      <c r="CG77" s="61" t="n"/>
      <c r="CH77" s="61" t="n"/>
      <c r="CI77" s="61" t="n"/>
      <c r="CJ77" s="61" t="n"/>
      <c r="CK77" s="61" t="n"/>
      <c r="CL77" s="61" t="n"/>
      <c r="CM77" s="61" t="n"/>
      <c r="CN77" s="61" t="n"/>
      <c r="CO77" s="61" t="n"/>
    </row>
    <row r="78">
      <c r="E78" s="152" t="str">
        <f> E$75</f>
        <v>Last forecast period flag</v>
      </c>
      <c r="F78" s="152">
        <f> F$75</f>
        <v>0.0</v>
      </c>
      <c r="G78" s="152" t="str">
        <f> G$75</f>
        <v>flag</v>
      </c>
      <c r="H78" s="152">
        <f> H$75</f>
        <v>1.0</v>
      </c>
      <c r="I78" s="143">
        <f> I$75</f>
        <v>0.0</v>
      </c>
      <c r="J78" s="152">
        <f> J$75</f>
        <v>0.0</v>
      </c>
      <c r="K78" s="152">
        <f> K$75</f>
        <v>0.0</v>
      </c>
      <c r="L78" s="152">
        <f> L$75</f>
        <v>0.0</v>
      </c>
      <c r="M78" s="152">
        <f> M$75</f>
        <v>0.0</v>
      </c>
      <c r="N78" s="152">
        <f> N$75</f>
        <v>0.0</v>
      </c>
      <c r="O78" s="152">
        <f> O$75</f>
        <v>0.0</v>
      </c>
      <c r="P78" s="152">
        <f> P$75</f>
        <v>0.0</v>
      </c>
      <c r="Q78" s="152">
        <f> Q$75</f>
        <v>0.0</v>
      </c>
      <c r="R78" s="152">
        <f> R$75</f>
        <v>0.0</v>
      </c>
      <c r="S78" s="152">
        <f> S$75</f>
        <v>0.0</v>
      </c>
      <c r="T78" s="152">
        <f> T$75</f>
        <v>0.0</v>
      </c>
      <c r="U78" s="152">
        <f> U$75</f>
        <v>0.0</v>
      </c>
      <c r="V78" s="152">
        <f> V$75</f>
        <v>0.0</v>
      </c>
      <c r="W78" s="152">
        <f> W$75</f>
        <v>0.0</v>
      </c>
      <c r="X78" s="152">
        <f> X$75</f>
        <v>0.0</v>
      </c>
      <c r="Y78" s="152">
        <f> Y$75</f>
        <v>0.0</v>
      </c>
      <c r="Z78" s="152">
        <f> Z$75</f>
        <v>0.0</v>
      </c>
      <c r="AA78" s="152">
        <f> AA$75</f>
        <v>0.0</v>
      </c>
      <c r="AB78" s="152">
        <f> AB$75</f>
        <v>0.0</v>
      </c>
      <c r="AC78" s="152">
        <f> AC$75</f>
        <v>0.0</v>
      </c>
      <c r="AD78" s="152">
        <f> AD$75</f>
        <v>0.0</v>
      </c>
      <c r="AE78" s="152">
        <f> AE$75</f>
        <v>0.0</v>
      </c>
      <c r="AF78" s="152">
        <f> AF$75</f>
        <v>0.0</v>
      </c>
      <c r="AG78" s="152">
        <f> AG$75</f>
        <v>0.0</v>
      </c>
      <c r="AH78" s="152">
        <f> AH$75</f>
        <v>0.0</v>
      </c>
      <c r="AI78" s="152">
        <f> AI$75</f>
        <v>0.0</v>
      </c>
      <c r="AJ78" s="152">
        <f> AJ$75</f>
        <v>0.0</v>
      </c>
      <c r="AK78" s="152">
        <f> AK$75</f>
        <v>0.0</v>
      </c>
      <c r="AL78" s="152">
        <f> AL$75</f>
        <v>0.0</v>
      </c>
      <c r="AM78" s="152">
        <f> AM$75</f>
        <v>0.0</v>
      </c>
      <c r="AN78" s="152">
        <f> AN$75</f>
        <v>0.0</v>
      </c>
      <c r="AO78" s="152">
        <f> AO$75</f>
        <v>0.0</v>
      </c>
      <c r="AP78" s="152">
        <f> AP$75</f>
        <v>0.0</v>
      </c>
      <c r="AQ78" s="152">
        <f> AQ$75</f>
        <v>0.0</v>
      </c>
      <c r="AR78" s="152">
        <f> AR$75</f>
        <v>0.0</v>
      </c>
      <c r="AS78" s="152">
        <f> AS$75</f>
        <v>0.0</v>
      </c>
      <c r="AT78" s="152">
        <f> AT$75</f>
        <v>0.0</v>
      </c>
      <c r="AU78" s="152">
        <f> AU$75</f>
        <v>0.0</v>
      </c>
      <c r="AV78" s="152">
        <f> AV$75</f>
        <v>0.0</v>
      </c>
      <c r="AW78" s="152">
        <f> AW$75</f>
        <v>0.0</v>
      </c>
      <c r="AX78" s="152">
        <f> AX$75</f>
        <v>0.0</v>
      </c>
      <c r="AY78" s="152">
        <f> AY$75</f>
        <v>0.0</v>
      </c>
      <c r="AZ78" s="152">
        <f> AZ$75</f>
        <v>0.0</v>
      </c>
      <c r="BA78" s="152">
        <f> BA$75</f>
        <v>0.0</v>
      </c>
      <c r="BB78" s="152">
        <f> BB$75</f>
        <v>0.0</v>
      </c>
      <c r="BC78" s="152">
        <f> BC$75</f>
        <v>0.0</v>
      </c>
      <c r="BD78" s="152">
        <f> BD$75</f>
        <v>0.0</v>
      </c>
      <c r="BE78" s="152">
        <f> BE$75</f>
        <v>0.0</v>
      </c>
      <c r="BF78" s="152">
        <f> BF$75</f>
        <v>0.0</v>
      </c>
      <c r="BG78" s="152">
        <f> BG$75</f>
        <v>0.0</v>
      </c>
      <c r="BH78" s="152">
        <f> BH$75</f>
        <v>0.0</v>
      </c>
      <c r="BI78" s="152">
        <f> BI$75</f>
        <v>0.0</v>
      </c>
      <c r="BJ78" s="152">
        <f> BJ$75</f>
        <v>0.0</v>
      </c>
      <c r="BK78" s="152">
        <f> BK$75</f>
        <v>0.0</v>
      </c>
      <c r="BL78" s="152">
        <f> BL$75</f>
        <v>0.0</v>
      </c>
      <c r="BM78" s="152">
        <f> BM$75</f>
        <v>0.0</v>
      </c>
      <c r="BN78" s="152">
        <f> BN$75</f>
        <v>0.0</v>
      </c>
      <c r="BO78" s="152">
        <f> BO$75</f>
        <v>0.0</v>
      </c>
      <c r="BP78" s="152">
        <f> BP$75</f>
        <v>0.0</v>
      </c>
      <c r="BQ78" s="152">
        <f> BQ$75</f>
        <v>0.0</v>
      </c>
      <c r="BR78" s="152">
        <f> BR$75</f>
        <v>0.0</v>
      </c>
      <c r="BS78" s="152">
        <f> BS$75</f>
        <v>0.0</v>
      </c>
      <c r="BT78" s="152">
        <f> BT$75</f>
        <v>0.0</v>
      </c>
      <c r="BU78" s="152">
        <f> BU$75</f>
        <v>0.0</v>
      </c>
      <c r="BV78" s="152">
        <f> BV$75</f>
        <v>0.0</v>
      </c>
      <c r="BW78" s="152">
        <f> BW$75</f>
        <v>0.0</v>
      </c>
      <c r="BX78" s="152">
        <f> BX$75</f>
        <v>0.0</v>
      </c>
      <c r="BY78" s="152">
        <f> BY$75</f>
        <v>0.0</v>
      </c>
      <c r="BZ78" s="152">
        <f> BZ$75</f>
        <v>0.0</v>
      </c>
      <c r="CA78" s="152">
        <f> CA$75</f>
        <v>0.0</v>
      </c>
      <c r="CB78" s="152">
        <f> CB$75</f>
        <v>0.0</v>
      </c>
      <c r="CC78" s="152">
        <f> CC$75</f>
        <v>0.0</v>
      </c>
      <c r="CD78" s="152">
        <f> CD$75</f>
        <v>0.0</v>
      </c>
      <c r="CE78" s="152">
        <f> CE$75</f>
        <v>0.0</v>
      </c>
      <c r="CF78" s="152">
        <f> CF$75</f>
        <v>0.0</v>
      </c>
      <c r="CG78" s="152">
        <f> CG$75</f>
        <v>0.0</v>
      </c>
      <c r="CH78" s="152">
        <f> CH$75</f>
        <v>0.0</v>
      </c>
      <c r="CI78" s="152">
        <f> CI$75</f>
        <v>0.0</v>
      </c>
      <c r="CJ78" s="152">
        <f> CJ$75</f>
        <v>0.0</v>
      </c>
      <c r="CK78" s="152">
        <f> CK$75</f>
        <v>0.0</v>
      </c>
      <c r="CL78" s="152">
        <f> CL$75</f>
        <v>0.0</v>
      </c>
      <c r="CM78" s="152">
        <f> CM$75</f>
        <v>1.0</v>
      </c>
      <c r="CN78" s="152">
        <f> CN$75</f>
        <v>0.0</v>
      </c>
      <c r="CO78" s="152">
        <f> CO$75</f>
        <v>0.0</v>
      </c>
    </row>
    <row r="79" customFormat="1" s="29">
      <c r="A79" s="294" t="n"/>
      <c r="B79" s="144" t="n"/>
      <c r="C79" s="212" t="n"/>
      <c r="D79" s="61" t="n"/>
      <c r="E79" s="61" t="inlineStr">
        <is>
          <t>1st post forecast period flag</t>
        </is>
      </c>
      <c r="F79" s="61" t="n"/>
      <c r="G79" s="61" t="inlineStr">
        <is>
          <t>flag</t>
        </is>
      </c>
      <c r="H79" s="61">
        <f> SUM(J79:CO79)</f>
        <v>1.0</v>
      </c>
      <c r="I79" s="61" t="n"/>
      <c r="J79" s="61">
        <f> I78</f>
        <v>0.0</v>
      </c>
      <c r="K79" s="61">
        <f> J78</f>
        <v>0.0</v>
      </c>
      <c r="L79" s="61">
        <f> K78</f>
        <v>0.0</v>
      </c>
      <c r="M79" s="61">
        <f> L78</f>
        <v>0.0</v>
      </c>
      <c r="N79" s="61">
        <f> M78</f>
        <v>0.0</v>
      </c>
      <c r="O79" s="61">
        <f> N78</f>
        <v>0.0</v>
      </c>
      <c r="P79" s="61">
        <f> O78</f>
        <v>0.0</v>
      </c>
      <c r="Q79" s="61">
        <f> P78</f>
        <v>0.0</v>
      </c>
      <c r="R79" s="61">
        <f> Q78</f>
        <v>0.0</v>
      </c>
      <c r="S79" s="61">
        <f> R78</f>
        <v>0.0</v>
      </c>
      <c r="T79" s="61">
        <f> S78</f>
        <v>0.0</v>
      </c>
      <c r="U79" s="61">
        <f> T78</f>
        <v>0.0</v>
      </c>
      <c r="V79" s="61">
        <f> U78</f>
        <v>0.0</v>
      </c>
      <c r="W79" s="61">
        <f> V78</f>
        <v>0.0</v>
      </c>
      <c r="X79" s="61">
        <f> W78</f>
        <v>0.0</v>
      </c>
      <c r="Y79" s="61">
        <f> X78</f>
        <v>0.0</v>
      </c>
      <c r="Z79" s="61">
        <f> Y78</f>
        <v>0.0</v>
      </c>
      <c r="AA79" s="61">
        <f> Z78</f>
        <v>0.0</v>
      </c>
      <c r="AB79" s="61">
        <f> AA78</f>
        <v>0.0</v>
      </c>
      <c r="AC79" s="61">
        <f> AB78</f>
        <v>0.0</v>
      </c>
      <c r="AD79" s="61">
        <f> AC78</f>
        <v>0.0</v>
      </c>
      <c r="AE79" s="61">
        <f> AD78</f>
        <v>0.0</v>
      </c>
      <c r="AF79" s="61">
        <f> AE78</f>
        <v>0.0</v>
      </c>
      <c r="AG79" s="61">
        <f> AF78</f>
        <v>0.0</v>
      </c>
      <c r="AH79" s="61">
        <f> AG78</f>
        <v>0.0</v>
      </c>
      <c r="AI79" s="61">
        <f> AH78</f>
        <v>0.0</v>
      </c>
      <c r="AJ79" s="61">
        <f> AI78</f>
        <v>0.0</v>
      </c>
      <c r="AK79" s="61">
        <f> AJ78</f>
        <v>0.0</v>
      </c>
      <c r="AL79" s="61">
        <f> AK78</f>
        <v>0.0</v>
      </c>
      <c r="AM79" s="61">
        <f> AL78</f>
        <v>0.0</v>
      </c>
      <c r="AN79" s="61">
        <f> AM78</f>
        <v>0.0</v>
      </c>
      <c r="AO79" s="61">
        <f> AN78</f>
        <v>0.0</v>
      </c>
      <c r="AP79" s="61">
        <f> AO78</f>
        <v>0.0</v>
      </c>
      <c r="AQ79" s="61">
        <f> AP78</f>
        <v>0.0</v>
      </c>
      <c r="AR79" s="61">
        <f> AQ78</f>
        <v>0.0</v>
      </c>
      <c r="AS79" s="61">
        <f> AR78</f>
        <v>0.0</v>
      </c>
      <c r="AT79" s="61">
        <f> AS78</f>
        <v>0.0</v>
      </c>
      <c r="AU79" s="61">
        <f> AT78</f>
        <v>0.0</v>
      </c>
      <c r="AV79" s="61">
        <f> AU78</f>
        <v>0.0</v>
      </c>
      <c r="AW79" s="61">
        <f> AV78</f>
        <v>0.0</v>
      </c>
      <c r="AX79" s="61">
        <f> AW78</f>
        <v>0.0</v>
      </c>
      <c r="AY79" s="61">
        <f> AX78</f>
        <v>0.0</v>
      </c>
      <c r="AZ79" s="61">
        <f> AY78</f>
        <v>0.0</v>
      </c>
      <c r="BA79" s="61">
        <f> AZ78</f>
        <v>0.0</v>
      </c>
      <c r="BB79" s="61">
        <f> BA78</f>
        <v>0.0</v>
      </c>
      <c r="BC79" s="61">
        <f> BB78</f>
        <v>0.0</v>
      </c>
      <c r="BD79" s="61">
        <f> BC78</f>
        <v>0.0</v>
      </c>
      <c r="BE79" s="61">
        <f> BD78</f>
        <v>0.0</v>
      </c>
      <c r="BF79" s="61">
        <f> BE78</f>
        <v>0.0</v>
      </c>
      <c r="BG79" s="61">
        <f> BF78</f>
        <v>0.0</v>
      </c>
      <c r="BH79" s="61">
        <f> BG78</f>
        <v>0.0</v>
      </c>
      <c r="BI79" s="61">
        <f> BH78</f>
        <v>0.0</v>
      </c>
      <c r="BJ79" s="61">
        <f> BI78</f>
        <v>0.0</v>
      </c>
      <c r="BK79" s="61">
        <f> BJ78</f>
        <v>0.0</v>
      </c>
      <c r="BL79" s="61">
        <f> BK78</f>
        <v>0.0</v>
      </c>
      <c r="BM79" s="61">
        <f> BL78</f>
        <v>0.0</v>
      </c>
      <c r="BN79" s="61">
        <f> BM78</f>
        <v>0.0</v>
      </c>
      <c r="BO79" s="61">
        <f> BN78</f>
        <v>0.0</v>
      </c>
      <c r="BP79" s="61">
        <f> BO78</f>
        <v>0.0</v>
      </c>
      <c r="BQ79" s="61">
        <f> BP78</f>
        <v>0.0</v>
      </c>
      <c r="BR79" s="61">
        <f> BQ78</f>
        <v>0.0</v>
      </c>
      <c r="BS79" s="61">
        <f> BR78</f>
        <v>0.0</v>
      </c>
      <c r="BT79" s="61">
        <f> BS78</f>
        <v>0.0</v>
      </c>
      <c r="BU79" s="61">
        <f> BT78</f>
        <v>0.0</v>
      </c>
      <c r="BV79" s="61">
        <f> BU78</f>
        <v>0.0</v>
      </c>
      <c r="BW79" s="61">
        <f> BV78</f>
        <v>0.0</v>
      </c>
      <c r="BX79" s="61">
        <f> BW78</f>
        <v>0.0</v>
      </c>
      <c r="BY79" s="61">
        <f> BX78</f>
        <v>0.0</v>
      </c>
      <c r="BZ79" s="61">
        <f> BY78</f>
        <v>0.0</v>
      </c>
      <c r="CA79" s="61">
        <f> BZ78</f>
        <v>0.0</v>
      </c>
      <c r="CB79" s="61">
        <f> CA78</f>
        <v>0.0</v>
      </c>
      <c r="CC79" s="61">
        <f> CB78</f>
        <v>0.0</v>
      </c>
      <c r="CD79" s="61">
        <f> CC78</f>
        <v>0.0</v>
      </c>
      <c r="CE79" s="61">
        <f> CD78</f>
        <v>0.0</v>
      </c>
      <c r="CF79" s="61">
        <f> CE78</f>
        <v>0.0</v>
      </c>
      <c r="CG79" s="61">
        <f> CF78</f>
        <v>0.0</v>
      </c>
      <c r="CH79" s="61">
        <f> CG78</f>
        <v>0.0</v>
      </c>
      <c r="CI79" s="61">
        <f> CH78</f>
        <v>0.0</v>
      </c>
      <c r="CJ79" s="61">
        <f> CI78</f>
        <v>0.0</v>
      </c>
      <c r="CK79" s="61">
        <f> CJ78</f>
        <v>0.0</v>
      </c>
      <c r="CL79" s="61">
        <f> CK78</f>
        <v>0.0</v>
      </c>
      <c r="CM79" s="61">
        <f> CL78</f>
        <v>0.0</v>
      </c>
      <c r="CN79" s="61">
        <f> CM78</f>
        <v>1.0</v>
      </c>
      <c r="CO79" s="61">
        <f> CN78</f>
        <v>0.0</v>
      </c>
    </row>
    <row r="80">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c r="AA80" s="61" t="n"/>
      <c r="AB80" s="61" t="n"/>
      <c r="AC80" s="61" t="n"/>
      <c r="AD80" s="61" t="n"/>
      <c r="AE80" s="61" t="n"/>
      <c r="AF80" s="61" t="n"/>
      <c r="AG80" s="61" t="n"/>
      <c r="AH80" s="61" t="n"/>
      <c r="AI80" s="61" t="n"/>
      <c r="AJ80" s="61" t="n"/>
      <c r="AK80" s="61" t="n"/>
      <c r="AL80" s="61" t="n"/>
      <c r="AM80" s="61" t="n"/>
      <c r="AN80" s="61" t="n"/>
      <c r="AO80" s="61" t="n"/>
      <c r="AP80" s="61" t="n"/>
      <c r="AQ80" s="61" t="n"/>
      <c r="AR80" s="61" t="n"/>
      <c r="AS80" s="61" t="n"/>
      <c r="AT80" s="61" t="n"/>
      <c r="AU80" s="61" t="n"/>
      <c r="AV80" s="61" t="n"/>
      <c r="AW80" s="61" t="n"/>
      <c r="AX80" s="61" t="n"/>
      <c r="AY80" s="61" t="n"/>
      <c r="AZ80" s="61" t="n"/>
      <c r="BA80" s="61" t="n"/>
      <c r="BB80" s="61" t="n"/>
      <c r="BC80" s="61" t="n"/>
      <c r="BD80" s="61" t="n"/>
      <c r="BE80" s="61" t="n"/>
      <c r="BF80" s="61" t="n"/>
      <c r="BG80" s="61" t="n"/>
      <c r="BH80" s="61" t="n"/>
      <c r="BI80" s="61" t="n"/>
      <c r="BJ80" s="61" t="n"/>
      <c r="BK80" s="61" t="n"/>
      <c r="BL80" s="61" t="n"/>
      <c r="BM80" s="61" t="n"/>
      <c r="BN80" s="61" t="n"/>
      <c r="BO80" s="61" t="n"/>
      <c r="BP80" s="61" t="n"/>
      <c r="BQ80" s="61" t="n"/>
      <c r="BR80" s="61" t="n"/>
      <c r="BS80" s="61" t="n"/>
      <c r="BT80" s="61" t="n"/>
      <c r="BU80" s="61" t="n"/>
      <c r="BV80" s="61" t="n"/>
      <c r="BW80" s="61" t="n"/>
      <c r="BX80" s="61" t="n"/>
      <c r="BY80" s="61" t="n"/>
      <c r="BZ80" s="61" t="n"/>
      <c r="CA80" s="61" t="n"/>
      <c r="CB80" s="61" t="n"/>
      <c r="CC80" s="61" t="n"/>
      <c r="CD80" s="61" t="n"/>
      <c r="CE80" s="61" t="n"/>
      <c r="CF80" s="61" t="n"/>
      <c r="CG80" s="61" t="n"/>
      <c r="CH80" s="61" t="n"/>
      <c r="CI80" s="61" t="n"/>
      <c r="CJ80" s="61" t="n"/>
      <c r="CK80" s="61" t="n"/>
      <c r="CL80" s="61" t="n"/>
      <c r="CM80" s="61" t="n"/>
      <c r="CN80" s="61" t="n"/>
      <c r="CO80" s="61" t="n"/>
    </row>
    <row r="81" ht="15" customFormat="1" customHeight="1" s="142">
      <c r="A81" s="163" t="n"/>
      <c r="B81" s="163" t="inlineStr">
        <is>
          <t>Post forecast period flag</t>
        </is>
      </c>
      <c r="C81" s="172" t="n"/>
      <c r="D81" s="88" t="n"/>
      <c r="E81" s="169" t="n"/>
      <c r="F81" s="169" t="n"/>
      <c r="G81" s="169" t="n"/>
      <c r="H81" s="169" t="n"/>
      <c r="I81" s="169" t="n"/>
      <c r="J81" s="169" t="n"/>
      <c r="K81" s="169" t="n"/>
      <c r="L81" s="169" t="n"/>
      <c r="M81" s="169" t="n"/>
      <c r="N81" s="169" t="n"/>
      <c r="O81" s="169" t="n"/>
      <c r="P81" s="169" t="n"/>
      <c r="Q81" s="169" t="n"/>
      <c r="R81" s="35" t="n"/>
      <c r="S81" s="35" t="n"/>
      <c r="T81" s="35" t="n"/>
      <c r="U81" s="35" t="n"/>
      <c r="V81" s="35" t="n"/>
      <c r="W81" s="35" t="n"/>
      <c r="X81" s="35" t="n"/>
      <c r="Y81" s="35" t="n"/>
      <c r="Z81" s="35" t="n"/>
      <c r="AA81" s="35" t="n"/>
      <c r="AB81" s="35" t="n"/>
      <c r="AC81" s="35" t="n"/>
      <c r="AD81" s="35" t="n"/>
      <c r="AE81" s="35" t="n"/>
      <c r="AF81" s="35" t="n"/>
      <c r="AG81" s="35" t="n"/>
      <c r="AH81" s="35" t="n"/>
      <c r="AI81" s="35" t="n"/>
      <c r="AJ81" s="35" t="n"/>
      <c r="AK81" s="35" t="n"/>
      <c r="AL81" s="35" t="n"/>
      <c r="AM81" s="35" t="n"/>
      <c r="AN81" s="35" t="n"/>
      <c r="AO81" s="35" t="n"/>
      <c r="AP81" s="35" t="n"/>
      <c r="AQ81" s="35" t="n"/>
      <c r="AR81" s="35" t="n"/>
      <c r="AS81" s="35" t="n"/>
      <c r="AT81" s="35" t="n"/>
      <c r="AU81" s="35" t="n"/>
      <c r="AV81" s="35" t="n"/>
      <c r="AW81" s="35" t="n"/>
      <c r="AX81" s="35" t="n"/>
      <c r="AY81" s="35" t="n"/>
      <c r="AZ81" s="35" t="n"/>
      <c r="BA81" s="35" t="n"/>
      <c r="BB81" s="35" t="n"/>
      <c r="BC81" s="35" t="n"/>
      <c r="BD81" s="35" t="n"/>
      <c r="BE81" s="35" t="n"/>
      <c r="BF81" s="35" t="n"/>
      <c r="BG81" s="35" t="n"/>
      <c r="BH81" s="35" t="n"/>
      <c r="BI81" s="35" t="n"/>
      <c r="BJ81" s="35" t="n"/>
      <c r="BK81" s="35" t="n"/>
      <c r="BL81" s="35" t="n"/>
      <c r="BM81" s="35" t="n"/>
      <c r="BN81" s="35" t="n"/>
      <c r="BO81" s="35" t="n"/>
      <c r="BP81" s="35" t="n"/>
      <c r="BQ81" s="35" t="n"/>
      <c r="BR81" s="35" t="n"/>
      <c r="BS81" s="35" t="n"/>
      <c r="BT81" s="35" t="n"/>
      <c r="BU81" s="35" t="n"/>
      <c r="BV81" s="35" t="n"/>
      <c r="BW81" s="35" t="n"/>
      <c r="BX81" s="35" t="n"/>
      <c r="BY81" s="35" t="n"/>
      <c r="BZ81" s="35" t="n"/>
      <c r="CA81" s="35" t="n"/>
      <c r="CB81" s="35" t="n"/>
      <c r="CC81" s="35" t="n"/>
      <c r="CD81" s="35" t="n"/>
      <c r="CE81" s="35" t="n"/>
      <c r="CF81" s="35" t="n"/>
      <c r="CG81" s="35" t="n"/>
      <c r="CH81" s="35" t="n"/>
      <c r="CI81" s="35" t="n"/>
      <c r="CJ81" s="35" t="n"/>
      <c r="CK81" s="35" t="n"/>
      <c r="CL81" s="35" t="n"/>
      <c r="CM81" s="35" t="n"/>
      <c r="CN81" s="35" t="n"/>
      <c r="CO81" s="35" t="n"/>
    </row>
    <row r="82" customFormat="1" s="29">
      <c r="A82" s="294" t="n"/>
      <c r="B82" s="294" t="n"/>
      <c r="C82" s="212" t="n"/>
      <c r="D82" s="61" t="n"/>
      <c r="E82" s="152" t="str">
        <f> E$79</f>
        <v>1st post forecast period flag</v>
      </c>
      <c r="F82" s="152">
        <f> F$79</f>
        <v>0.0</v>
      </c>
      <c r="G82" s="152" t="str">
        <f> G$79</f>
        <v>flag</v>
      </c>
      <c r="H82" s="152">
        <f> H$79</f>
        <v>1.0</v>
      </c>
      <c r="I82" s="152">
        <f> I$79</f>
        <v>0.0</v>
      </c>
      <c r="J82" s="152">
        <f> J$79</f>
        <v>0.0</v>
      </c>
      <c r="K82" s="152">
        <f> K$79</f>
        <v>0.0</v>
      </c>
      <c r="L82" s="152">
        <f> L$79</f>
        <v>0.0</v>
      </c>
      <c r="M82" s="152">
        <f> M$79</f>
        <v>0.0</v>
      </c>
      <c r="N82" s="152">
        <f> N$79</f>
        <v>0.0</v>
      </c>
      <c r="O82" s="152">
        <f> O$79</f>
        <v>0.0</v>
      </c>
      <c r="P82" s="152">
        <f> P$79</f>
        <v>0.0</v>
      </c>
      <c r="Q82" s="152">
        <f> Q$79</f>
        <v>0.0</v>
      </c>
      <c r="R82" s="152">
        <f> R$79</f>
        <v>0.0</v>
      </c>
      <c r="S82" s="152">
        <f> S$79</f>
        <v>0.0</v>
      </c>
      <c r="T82" s="152">
        <f> T$79</f>
        <v>0.0</v>
      </c>
      <c r="U82" s="152">
        <f> U$79</f>
        <v>0.0</v>
      </c>
      <c r="V82" s="152">
        <f> V$79</f>
        <v>0.0</v>
      </c>
      <c r="W82" s="152">
        <f> W$79</f>
        <v>0.0</v>
      </c>
      <c r="X82" s="152">
        <f> X$79</f>
        <v>0.0</v>
      </c>
      <c r="Y82" s="152">
        <f> Y$79</f>
        <v>0.0</v>
      </c>
      <c r="Z82" s="152">
        <f> Z$79</f>
        <v>0.0</v>
      </c>
      <c r="AA82" s="152">
        <f> AA$79</f>
        <v>0.0</v>
      </c>
      <c r="AB82" s="152">
        <f> AB$79</f>
        <v>0.0</v>
      </c>
      <c r="AC82" s="152">
        <f> AC$79</f>
        <v>0.0</v>
      </c>
      <c r="AD82" s="152">
        <f> AD$79</f>
        <v>0.0</v>
      </c>
      <c r="AE82" s="152">
        <f> AE$79</f>
        <v>0.0</v>
      </c>
      <c r="AF82" s="152">
        <f> AF$79</f>
        <v>0.0</v>
      </c>
      <c r="AG82" s="152">
        <f> AG$79</f>
        <v>0.0</v>
      </c>
      <c r="AH82" s="152">
        <f> AH$79</f>
        <v>0.0</v>
      </c>
      <c r="AI82" s="152">
        <f> AI$79</f>
        <v>0.0</v>
      </c>
      <c r="AJ82" s="152">
        <f> AJ$79</f>
        <v>0.0</v>
      </c>
      <c r="AK82" s="152">
        <f> AK$79</f>
        <v>0.0</v>
      </c>
      <c r="AL82" s="152">
        <f> AL$79</f>
        <v>0.0</v>
      </c>
      <c r="AM82" s="152">
        <f> AM$79</f>
        <v>0.0</v>
      </c>
      <c r="AN82" s="152">
        <f> AN$79</f>
        <v>0.0</v>
      </c>
      <c r="AO82" s="152">
        <f> AO$79</f>
        <v>0.0</v>
      </c>
      <c r="AP82" s="152">
        <f> AP$79</f>
        <v>0.0</v>
      </c>
      <c r="AQ82" s="152">
        <f> AQ$79</f>
        <v>0.0</v>
      </c>
      <c r="AR82" s="152">
        <f> AR$79</f>
        <v>0.0</v>
      </c>
      <c r="AS82" s="152">
        <f> AS$79</f>
        <v>0.0</v>
      </c>
      <c r="AT82" s="152">
        <f> AT$79</f>
        <v>0.0</v>
      </c>
      <c r="AU82" s="152">
        <f> AU$79</f>
        <v>0.0</v>
      </c>
      <c r="AV82" s="152">
        <f> AV$79</f>
        <v>0.0</v>
      </c>
      <c r="AW82" s="152">
        <f> AW$79</f>
        <v>0.0</v>
      </c>
      <c r="AX82" s="152">
        <f> AX$79</f>
        <v>0.0</v>
      </c>
      <c r="AY82" s="152">
        <f> AY$79</f>
        <v>0.0</v>
      </c>
      <c r="AZ82" s="152">
        <f> AZ$79</f>
        <v>0.0</v>
      </c>
      <c r="BA82" s="152">
        <f> BA$79</f>
        <v>0.0</v>
      </c>
      <c r="BB82" s="152">
        <f> BB$79</f>
        <v>0.0</v>
      </c>
      <c r="BC82" s="152">
        <f> BC$79</f>
        <v>0.0</v>
      </c>
      <c r="BD82" s="152">
        <f> BD$79</f>
        <v>0.0</v>
      </c>
      <c r="BE82" s="152">
        <f> BE$79</f>
        <v>0.0</v>
      </c>
      <c r="BF82" s="152">
        <f> BF$79</f>
        <v>0.0</v>
      </c>
      <c r="BG82" s="152">
        <f> BG$79</f>
        <v>0.0</v>
      </c>
      <c r="BH82" s="152">
        <f> BH$79</f>
        <v>0.0</v>
      </c>
      <c r="BI82" s="152">
        <f> BI$79</f>
        <v>0.0</v>
      </c>
      <c r="BJ82" s="152">
        <f> BJ$79</f>
        <v>0.0</v>
      </c>
      <c r="BK82" s="152">
        <f> BK$79</f>
        <v>0.0</v>
      </c>
      <c r="BL82" s="152">
        <f> BL$79</f>
        <v>0.0</v>
      </c>
      <c r="BM82" s="152">
        <f> BM$79</f>
        <v>0.0</v>
      </c>
      <c r="BN82" s="152">
        <f> BN$79</f>
        <v>0.0</v>
      </c>
      <c r="BO82" s="152">
        <f> BO$79</f>
        <v>0.0</v>
      </c>
      <c r="BP82" s="152">
        <f> BP$79</f>
        <v>0.0</v>
      </c>
      <c r="BQ82" s="152">
        <f> BQ$79</f>
        <v>0.0</v>
      </c>
      <c r="BR82" s="152">
        <f> BR$79</f>
        <v>0.0</v>
      </c>
      <c r="BS82" s="152">
        <f> BS$79</f>
        <v>0.0</v>
      </c>
      <c r="BT82" s="152">
        <f> BT$79</f>
        <v>0.0</v>
      </c>
      <c r="BU82" s="152">
        <f> BU$79</f>
        <v>0.0</v>
      </c>
      <c r="BV82" s="152">
        <f> BV$79</f>
        <v>0.0</v>
      </c>
      <c r="BW82" s="152">
        <f> BW$79</f>
        <v>0.0</v>
      </c>
      <c r="BX82" s="152">
        <f> BX$79</f>
        <v>0.0</v>
      </c>
      <c r="BY82" s="152">
        <f> BY$79</f>
        <v>0.0</v>
      </c>
      <c r="BZ82" s="152">
        <f> BZ$79</f>
        <v>0.0</v>
      </c>
      <c r="CA82" s="152">
        <f> CA$79</f>
        <v>0.0</v>
      </c>
      <c r="CB82" s="152">
        <f> CB$79</f>
        <v>0.0</v>
      </c>
      <c r="CC82" s="152">
        <f> CC$79</f>
        <v>0.0</v>
      </c>
      <c r="CD82" s="152">
        <f> CD$79</f>
        <v>0.0</v>
      </c>
      <c r="CE82" s="152">
        <f> CE$79</f>
        <v>0.0</v>
      </c>
      <c r="CF82" s="152">
        <f> CF$79</f>
        <v>0.0</v>
      </c>
      <c r="CG82" s="152">
        <f> CG$79</f>
        <v>0.0</v>
      </c>
      <c r="CH82" s="152">
        <f> CH$79</f>
        <v>0.0</v>
      </c>
      <c r="CI82" s="152">
        <f> CI$79</f>
        <v>0.0</v>
      </c>
      <c r="CJ82" s="152">
        <f> CJ$79</f>
        <v>0.0</v>
      </c>
      <c r="CK82" s="152">
        <f> CK$79</f>
        <v>0.0</v>
      </c>
      <c r="CL82" s="152">
        <f> CL$79</f>
        <v>0.0</v>
      </c>
      <c r="CM82" s="152">
        <f> CM$79</f>
        <v>0.0</v>
      </c>
      <c r="CN82" s="152">
        <f> CN$79</f>
        <v>1.0</v>
      </c>
      <c r="CO82" s="152">
        <f> CO$79</f>
        <v>0.0</v>
      </c>
    </row>
    <row r="83" customFormat="1" s="29">
      <c r="A83" s="294" t="n"/>
      <c r="B83" s="294" t="n"/>
      <c r="C83" s="212" t="n"/>
      <c r="D83" s="61" t="n"/>
      <c r="E83" s="61" t="inlineStr">
        <is>
          <t>Post forecast period flag</t>
        </is>
      </c>
      <c r="F83" s="61" t="n"/>
      <c r="G83" s="61" t="inlineStr">
        <is>
          <t>flag</t>
        </is>
      </c>
      <c r="H83" s="61">
        <f> SUM(J83:CO83)</f>
        <v>2.0</v>
      </c>
      <c r="I83" s="213" t="n"/>
      <c r="J83" s="61">
        <f> I83 + J82</f>
        <v>0.0</v>
      </c>
      <c r="K83" s="61">
        <f> J83 + K82</f>
        <v>0.0</v>
      </c>
      <c r="L83" s="61">
        <f> K83 + L82</f>
        <v>0.0</v>
      </c>
      <c r="M83" s="61">
        <f> L83 + M82</f>
        <v>0.0</v>
      </c>
      <c r="N83" s="61">
        <f> M83 + N82</f>
        <v>0.0</v>
      </c>
      <c r="O83" s="61">
        <f> N83 + O82</f>
        <v>0.0</v>
      </c>
      <c r="P83" s="61">
        <f> O83 + P82</f>
        <v>0.0</v>
      </c>
      <c r="Q83" s="61">
        <f> P83 + Q82</f>
        <v>0.0</v>
      </c>
      <c r="R83" s="61">
        <f> Q83 + R82</f>
        <v>0.0</v>
      </c>
      <c r="S83" s="61">
        <f> R83 + S82</f>
        <v>0.0</v>
      </c>
      <c r="T83" s="61">
        <f> S83 + T82</f>
        <v>0.0</v>
      </c>
      <c r="U83" s="61">
        <f> T83 + U82</f>
        <v>0.0</v>
      </c>
      <c r="V83" s="61">
        <f> U83 + V82</f>
        <v>0.0</v>
      </c>
      <c r="W83" s="61">
        <f> V83 + W82</f>
        <v>0.0</v>
      </c>
      <c r="X83" s="61">
        <f> W83 + X82</f>
        <v>0.0</v>
      </c>
      <c r="Y83" s="61">
        <f> X83 + Y82</f>
        <v>0.0</v>
      </c>
      <c r="Z83" s="61">
        <f> Y83 + Z82</f>
        <v>0.0</v>
      </c>
      <c r="AA83" s="61">
        <f> Z83 + AA82</f>
        <v>0.0</v>
      </c>
      <c r="AB83" s="61">
        <f> AA83 + AB82</f>
        <v>0.0</v>
      </c>
      <c r="AC83" s="61">
        <f> AB83 + AC82</f>
        <v>0.0</v>
      </c>
      <c r="AD83" s="61">
        <f> AC83 + AD82</f>
        <v>0.0</v>
      </c>
      <c r="AE83" s="61">
        <f> AD83 + AE82</f>
        <v>0.0</v>
      </c>
      <c r="AF83" s="61">
        <f> AE83 + AF82</f>
        <v>0.0</v>
      </c>
      <c r="AG83" s="61">
        <f> AF83 + AG82</f>
        <v>0.0</v>
      </c>
      <c r="AH83" s="61">
        <f> AG83 + AH82</f>
        <v>0.0</v>
      </c>
      <c r="AI83" s="61">
        <f> AH83 + AI82</f>
        <v>0.0</v>
      </c>
      <c r="AJ83" s="61">
        <f> AI83 + AJ82</f>
        <v>0.0</v>
      </c>
      <c r="AK83" s="61">
        <f> AJ83 + AK82</f>
        <v>0.0</v>
      </c>
      <c r="AL83" s="61">
        <f> AK83 + AL82</f>
        <v>0.0</v>
      </c>
      <c r="AM83" s="61">
        <f> AL83 + AM82</f>
        <v>0.0</v>
      </c>
      <c r="AN83" s="61">
        <f> AM83 + AN82</f>
        <v>0.0</v>
      </c>
      <c r="AO83" s="61">
        <f> AN83 + AO82</f>
        <v>0.0</v>
      </c>
      <c r="AP83" s="61">
        <f> AO83 + AP82</f>
        <v>0.0</v>
      </c>
      <c r="AQ83" s="61">
        <f> AP83 + AQ82</f>
        <v>0.0</v>
      </c>
      <c r="AR83" s="61">
        <f> AQ83 + AR82</f>
        <v>0.0</v>
      </c>
      <c r="AS83" s="61">
        <f> AR83 + AS82</f>
        <v>0.0</v>
      </c>
      <c r="AT83" s="61">
        <f> AS83 + AT82</f>
        <v>0.0</v>
      </c>
      <c r="AU83" s="61">
        <f> AT83 + AU82</f>
        <v>0.0</v>
      </c>
      <c r="AV83" s="61">
        <f> AU83 + AV82</f>
        <v>0.0</v>
      </c>
      <c r="AW83" s="61">
        <f> AV83 + AW82</f>
        <v>0.0</v>
      </c>
      <c r="AX83" s="61">
        <f> AW83 + AX82</f>
        <v>0.0</v>
      </c>
      <c r="AY83" s="61">
        <f> AX83 + AY82</f>
        <v>0.0</v>
      </c>
      <c r="AZ83" s="61">
        <f> AY83 + AZ82</f>
        <v>0.0</v>
      </c>
      <c r="BA83" s="61">
        <f> AZ83 + BA82</f>
        <v>0.0</v>
      </c>
      <c r="BB83" s="61">
        <f> BA83 + BB82</f>
        <v>0.0</v>
      </c>
      <c r="BC83" s="61">
        <f> BB83 + BC82</f>
        <v>0.0</v>
      </c>
      <c r="BD83" s="61">
        <f> BC83 + BD82</f>
        <v>0.0</v>
      </c>
      <c r="BE83" s="61">
        <f> BD83 + BE82</f>
        <v>0.0</v>
      </c>
      <c r="BF83" s="61">
        <f> BE83 + BF82</f>
        <v>0.0</v>
      </c>
      <c r="BG83" s="61">
        <f> BF83 + BG82</f>
        <v>0.0</v>
      </c>
      <c r="BH83" s="61">
        <f> BG83 + BH82</f>
        <v>0.0</v>
      </c>
      <c r="BI83" s="61">
        <f> BH83 + BI82</f>
        <v>0.0</v>
      </c>
      <c r="BJ83" s="61">
        <f> BI83 + BJ82</f>
        <v>0.0</v>
      </c>
      <c r="BK83" s="61">
        <f> BJ83 + BK82</f>
        <v>0.0</v>
      </c>
      <c r="BL83" s="61">
        <f> BK83 + BL82</f>
        <v>0.0</v>
      </c>
      <c r="BM83" s="61">
        <f> BL83 + BM82</f>
        <v>0.0</v>
      </c>
      <c r="BN83" s="61">
        <f> BM83 + BN82</f>
        <v>0.0</v>
      </c>
      <c r="BO83" s="61">
        <f> BN83 + BO82</f>
        <v>0.0</v>
      </c>
      <c r="BP83" s="61">
        <f> BO83 + BP82</f>
        <v>0.0</v>
      </c>
      <c r="BQ83" s="61">
        <f> BP83 + BQ82</f>
        <v>0.0</v>
      </c>
      <c r="BR83" s="61">
        <f> BQ83 + BR82</f>
        <v>0.0</v>
      </c>
      <c r="BS83" s="61">
        <f> BR83 + BS82</f>
        <v>0.0</v>
      </c>
      <c r="BT83" s="61">
        <f> BS83 + BT82</f>
        <v>0.0</v>
      </c>
      <c r="BU83" s="61">
        <f> BT83 + BU82</f>
        <v>0.0</v>
      </c>
      <c r="BV83" s="61">
        <f> BU83 + BV82</f>
        <v>0.0</v>
      </c>
      <c r="BW83" s="61">
        <f> BV83 + BW82</f>
        <v>0.0</v>
      </c>
      <c r="BX83" s="61">
        <f> BW83 + BX82</f>
        <v>0.0</v>
      </c>
      <c r="BY83" s="61">
        <f> BX83 + BY82</f>
        <v>0.0</v>
      </c>
      <c r="BZ83" s="61">
        <f> BY83 + BZ82</f>
        <v>0.0</v>
      </c>
      <c r="CA83" s="61">
        <f> BZ83 + CA82</f>
        <v>0.0</v>
      </c>
      <c r="CB83" s="61">
        <f> CA83 + CB82</f>
        <v>0.0</v>
      </c>
      <c r="CC83" s="61">
        <f> CB83 + CC82</f>
        <v>0.0</v>
      </c>
      <c r="CD83" s="61">
        <f> CC83 + CD82</f>
        <v>0.0</v>
      </c>
      <c r="CE83" s="61">
        <f> CD83 + CE82</f>
        <v>0.0</v>
      </c>
      <c r="CF83" s="61">
        <f> CE83 + CF82</f>
        <v>0.0</v>
      </c>
      <c r="CG83" s="61">
        <f> CF83 + CG82</f>
        <v>0.0</v>
      </c>
      <c r="CH83" s="61">
        <f> CG83 + CH82</f>
        <v>0.0</v>
      </c>
      <c r="CI83" s="61">
        <f> CH83 + CI82</f>
        <v>0.0</v>
      </c>
      <c r="CJ83" s="61">
        <f> CI83 + CJ82</f>
        <v>0.0</v>
      </c>
      <c r="CK83" s="61">
        <f> CJ83 + CK82</f>
        <v>0.0</v>
      </c>
      <c r="CL83" s="61">
        <f> CK83 + CL82</f>
        <v>0.0</v>
      </c>
      <c r="CM83" s="61">
        <f> CL83 + CM82</f>
        <v>0.0</v>
      </c>
      <c r="CN83" s="61">
        <f> CM83 + CN82</f>
        <v>1.0</v>
      </c>
      <c r="CO83" s="61">
        <f> CN83 + CO82</f>
        <v>1.0</v>
      </c>
    </row>
    <row r="84" customFormat="1" s="29">
      <c r="A84" s="294" t="n"/>
      <c r="B84" s="294" t="n"/>
      <c r="C84" s="212" t="n"/>
      <c r="D84" s="61" t="n"/>
      <c r="E84" s="61" t="inlineStr">
        <is>
          <t>Post forecast period total</t>
        </is>
      </c>
      <c r="F84" s="61">
        <f> SUM(J83:CO83)</f>
        <v>2.0</v>
      </c>
      <c r="G84" s="61" t="inlineStr">
        <is>
          <t>columns</t>
        </is>
      </c>
      <c r="H84" s="61" t="n"/>
      <c r="I84" s="61" t="n"/>
      <c r="J84" s="61" t="n"/>
      <c r="K84" s="61" t="n"/>
      <c r="L84" s="61" t="n"/>
      <c r="M84" s="61" t="n"/>
      <c r="N84" s="61" t="n"/>
      <c r="O84" s="61" t="n"/>
      <c r="P84" s="61" t="n"/>
      <c r="Q84" s="61" t="n"/>
      <c r="R84" s="61" t="n"/>
      <c r="S84" s="61" t="n"/>
      <c r="T84" s="61" t="n"/>
      <c r="U84" s="61" t="n"/>
      <c r="V84" s="61" t="n"/>
      <c r="W84" s="61" t="n"/>
      <c r="X84" s="61" t="n"/>
      <c r="Y84" s="61" t="n"/>
      <c r="Z84" s="61" t="n"/>
      <c r="AA84" s="61" t="n"/>
      <c r="AB84" s="61" t="n"/>
      <c r="AC84" s="61" t="n"/>
      <c r="AD84" s="61" t="n"/>
      <c r="AE84" s="61" t="n"/>
      <c r="AF84" s="61" t="n"/>
      <c r="AG84" s="61" t="n"/>
      <c r="AH84" s="61" t="n"/>
      <c r="AI84" s="61" t="n"/>
      <c r="AJ84" s="61" t="n"/>
      <c r="AK84" s="61" t="n"/>
      <c r="AL84" s="61" t="n"/>
      <c r="AM84" s="61" t="n"/>
      <c r="AN84" s="61" t="n"/>
      <c r="AO84" s="61" t="n"/>
      <c r="AP84" s="61" t="n"/>
      <c r="AQ84" s="61" t="n"/>
      <c r="AR84" s="61" t="n"/>
      <c r="AS84" s="61" t="n"/>
      <c r="AT84" s="61" t="n"/>
      <c r="AU84" s="61" t="n"/>
      <c r="AV84" s="61" t="n"/>
      <c r="AW84" s="61" t="n"/>
      <c r="AX84" s="61" t="n"/>
      <c r="AY84" s="61" t="n"/>
      <c r="AZ84" s="61" t="n"/>
      <c r="BA84" s="61" t="n"/>
      <c r="BB84" s="61" t="n"/>
      <c r="BC84" s="61" t="n"/>
      <c r="BD84" s="61" t="n"/>
      <c r="BE84" s="61" t="n"/>
      <c r="BF84" s="61" t="n"/>
      <c r="BG84" s="61" t="n"/>
      <c r="BH84" s="61" t="n"/>
      <c r="BI84" s="61" t="n"/>
      <c r="BJ84" s="61" t="n"/>
      <c r="BK84" s="61" t="n"/>
      <c r="BL84" s="61" t="n"/>
      <c r="BM84" s="61" t="n"/>
      <c r="BN84" s="61" t="n"/>
      <c r="BO84" s="61" t="n"/>
      <c r="BP84" s="61" t="n"/>
      <c r="BQ84" s="61" t="n"/>
      <c r="BR84" s="61" t="n"/>
      <c r="BS84" s="61" t="n"/>
      <c r="BT84" s="61" t="n"/>
      <c r="BU84" s="61" t="n"/>
      <c r="BV84" s="61" t="n"/>
      <c r="BW84" s="61" t="n"/>
      <c r="BX84" s="61" t="n"/>
      <c r="BY84" s="61" t="n"/>
      <c r="BZ84" s="61" t="n"/>
      <c r="CA84" s="61" t="n"/>
      <c r="CB84" s="61" t="n"/>
      <c r="CC84" s="61" t="n"/>
      <c r="CD84" s="61" t="n"/>
      <c r="CE84" s="61" t="n"/>
      <c r="CF84" s="61" t="n"/>
      <c r="CG84" s="61" t="n"/>
      <c r="CH84" s="61" t="n"/>
      <c r="CI84" s="61" t="n"/>
      <c r="CJ84" s="61" t="n"/>
      <c r="CK84" s="61" t="n"/>
      <c r="CL84" s="61" t="n"/>
      <c r="CM84" s="61" t="n"/>
      <c r="CN84" s="61" t="n"/>
      <c r="CO84" s="61" t="n"/>
    </row>
    <row r="85" customFormat="1" s="146">
      <c r="A85" s="163" t="n"/>
      <c r="B85" s="163" t="n"/>
      <c r="C85" s="172" t="n"/>
      <c r="D85" s="88" t="n"/>
      <c r="E85" s="169" t="n"/>
      <c r="F85" s="169" t="n"/>
      <c r="G85" s="169" t="n"/>
      <c r="H85" s="169" t="n"/>
      <c r="I85" s="169" t="n"/>
      <c r="J85" s="169" t="n"/>
      <c r="K85" s="169" t="n"/>
      <c r="L85" s="169"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row>
    <row r="86" customFormat="1" s="146">
      <c r="A86" s="163" t="n"/>
      <c r="B86" s="163" t="inlineStr">
        <is>
          <t>Depreciation period flag</t>
        </is>
      </c>
      <c r="C86" s="172" t="n"/>
      <c r="D86" s="88" t="n"/>
      <c r="E86" s="169" t="n"/>
      <c r="F86" s="169" t="n"/>
      <c r="G86" s="169" t="n"/>
      <c r="H86" s="169" t="n"/>
      <c r="I86" s="169" t="n"/>
      <c r="J86" s="169" t="n"/>
      <c r="K86" s="169" t="n"/>
      <c r="L86" s="169"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row>
    <row r="87" customFormat="1" s="113">
      <c r="A87" s="167" t="n"/>
      <c r="B87" s="167" t="n"/>
      <c r="C87" s="237" t="n"/>
      <c r="D87" s="170" t="n"/>
      <c r="E87" s="173" t="str">
        <f> InpC!E$10</f>
        <v>Acquisition / initial balance date</v>
      </c>
      <c r="F87" s="173">
        <f> InpC!F$10</f>
        <v>44561.0</v>
      </c>
      <c r="G87" s="173" t="str">
        <f> InpC!G$10</f>
        <v>date</v>
      </c>
      <c r="H87" s="61" t="n"/>
      <c r="I87" s="61" t="n"/>
      <c r="J87" s="61" t="n"/>
      <c r="K87" s="61" t="n"/>
      <c r="L87" s="61" t="n"/>
      <c r="M87" s="61" t="n"/>
      <c r="N87" s="61" t="n"/>
      <c r="O87" s="61" t="n"/>
      <c r="P87" s="61" t="n"/>
      <c r="Q87" s="61" t="n"/>
      <c r="R87" s="61" t="n"/>
      <c r="S87" s="61" t="n"/>
      <c r="T87" s="61" t="n"/>
      <c r="U87" s="61" t="n"/>
      <c r="V87" s="61" t="n"/>
      <c r="W87" s="61" t="n"/>
      <c r="X87" s="61" t="n"/>
      <c r="Y87" s="61" t="n"/>
      <c r="Z87" s="61" t="n"/>
      <c r="AA87" s="61" t="n"/>
      <c r="AB87" s="61" t="n"/>
      <c r="AC87" s="61" t="n"/>
      <c r="AD87" s="61" t="n"/>
      <c r="AE87" s="61" t="n"/>
      <c r="AF87" s="61" t="n"/>
      <c r="AG87" s="61" t="n"/>
      <c r="AH87" s="61" t="n"/>
      <c r="AI87" s="61" t="n"/>
      <c r="AJ87" s="61" t="n"/>
      <c r="AK87" s="61" t="n"/>
      <c r="AL87" s="61" t="n"/>
      <c r="AM87" s="61" t="n"/>
      <c r="AN87" s="61" t="n"/>
      <c r="AO87" s="61" t="n"/>
      <c r="AP87" s="61" t="n"/>
      <c r="AQ87" s="61" t="n"/>
      <c r="AR87" s="61" t="n"/>
      <c r="AS87" s="61" t="n"/>
      <c r="AT87" s="61" t="n"/>
      <c r="AU87" s="61" t="n"/>
      <c r="AV87" s="61" t="n"/>
      <c r="AW87" s="61" t="n"/>
      <c r="AX87" s="61" t="n"/>
      <c r="AY87" s="61" t="n"/>
      <c r="AZ87" s="61" t="n"/>
      <c r="BA87" s="61" t="n"/>
      <c r="BB87" s="61" t="n"/>
      <c r="BC87" s="61" t="n"/>
      <c r="BD87" s="61" t="n"/>
      <c r="BE87" s="61" t="n"/>
      <c r="BF87" s="61" t="n"/>
      <c r="BG87" s="61" t="n"/>
      <c r="BH87" s="61" t="n"/>
      <c r="BI87" s="61" t="n"/>
      <c r="BJ87" s="61" t="n"/>
      <c r="BK87" s="61" t="n"/>
      <c r="BL87" s="61" t="n"/>
      <c r="BM87" s="61" t="n"/>
      <c r="BN87" s="61" t="n"/>
      <c r="BO87" s="61" t="n"/>
      <c r="BP87" s="61" t="n"/>
      <c r="BQ87" s="61" t="n"/>
      <c r="BR87" s="61" t="n"/>
      <c r="BS87" s="61" t="n"/>
      <c r="BT87" s="61" t="n"/>
      <c r="BU87" s="61" t="n"/>
      <c r="BV87" s="61" t="n"/>
      <c r="BW87" s="61" t="n"/>
      <c r="BX87" s="61" t="n"/>
      <c r="BY87" s="61" t="n"/>
      <c r="BZ87" s="61" t="n"/>
      <c r="CA87" s="61" t="n"/>
      <c r="CB87" s="61" t="n"/>
      <c r="CC87" s="61" t="n"/>
      <c r="CD87" s="61" t="n"/>
      <c r="CE87" s="61" t="n"/>
      <c r="CF87" s="61" t="n"/>
      <c r="CG87" s="61" t="n"/>
      <c r="CH87" s="61" t="n"/>
      <c r="CI87" s="61" t="n"/>
      <c r="CJ87" s="61" t="n"/>
      <c r="CK87" s="61" t="n"/>
      <c r="CL87" s="61" t="n"/>
      <c r="CM87" s="61" t="n"/>
      <c r="CN87" s="61" t="n"/>
      <c r="CO87" s="61" t="n"/>
    </row>
    <row r="88" customFormat="1" s="146">
      <c r="A88" s="163" t="n"/>
      <c r="B88" s="163" t="n"/>
      <c r="C88" s="172" t="n"/>
      <c r="D88" s="88" t="n"/>
      <c r="E88" s="308" t="str">
        <f> InpC!E$65</f>
        <v>Useful life of NCA at acquisition </v>
      </c>
      <c r="F88" s="308">
        <f> InpC!F$65</f>
        <v>15.0</v>
      </c>
      <c r="G88" s="308" t="str">
        <f> InpC!G$65</f>
        <v>years</v>
      </c>
      <c r="H88" s="169" t="n"/>
      <c r="I88" s="169" t="n"/>
      <c r="J88" s="169" t="n"/>
      <c r="K88" s="169" t="n"/>
      <c r="L88" s="169"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row>
    <row r="89" customFormat="1" s="146">
      <c r="A89" s="163" t="n"/>
      <c r="B89" s="163" t="n"/>
      <c r="C89" s="172" t="n"/>
      <c r="D89" s="88" t="n"/>
      <c r="E89" s="309" t="str">
        <f> InpC!E$98</f>
        <v>Financial year end month number</v>
      </c>
      <c r="F89" s="308">
        <f> InpC!F$98</f>
        <v>12.0</v>
      </c>
      <c r="G89" s="309" t="str">
        <f> InpC!G$98</f>
        <v>month #</v>
      </c>
      <c r="H89" s="169" t="n"/>
      <c r="I89" s="169" t="n"/>
      <c r="J89" s="169" t="n"/>
      <c r="K89" s="169" t="n"/>
      <c r="L89" s="169" t="n"/>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row>
    <row r="90" customFormat="1" s="146">
      <c r="A90" s="163" t="n"/>
      <c r="B90" s="163" t="n"/>
      <c r="C90" s="172" t="n"/>
      <c r="D90" s="88" t="n"/>
      <c r="E90" s="169" t="inlineStr">
        <is>
          <t>Last depreciation period date</t>
        </is>
      </c>
      <c r="F90" s="127">
        <f> EOMONTH(F87, F88 * F89)</f>
        <v>50040.0</v>
      </c>
      <c r="G90" s="169" t="inlineStr">
        <is>
          <t>date</t>
        </is>
      </c>
      <c r="H90" s="169" t="n"/>
      <c r="I90" s="169" t="n"/>
      <c r="J90" s="169" t="n"/>
      <c r="K90" s="169" t="n"/>
      <c r="L90" s="169" t="n"/>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row>
    <row r="91" customFormat="1" s="146">
      <c r="A91" s="163" t="n"/>
      <c r="B91" s="163" t="n"/>
      <c r="C91" s="172" t="n"/>
      <c r="D91" s="88" t="n"/>
      <c r="E91" s="169" t="n"/>
      <c r="F91" s="169" t="n"/>
      <c r="G91" s="169" t="n"/>
      <c r="H91" s="169" t="n"/>
      <c r="I91" s="169" t="n"/>
      <c r="J91" s="169" t="n"/>
      <c r="K91" s="169" t="n"/>
      <c r="L91" s="169" t="n"/>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row>
    <row r="92" customFormat="1" s="146">
      <c r="A92" s="163" t="n"/>
      <c r="B92" s="163" t="n"/>
      <c r="C92" s="172" t="n"/>
      <c r="D92" s="88" t="n"/>
      <c r="E92" s="173" t="str">
        <f> InpC!E$10</f>
        <v>Acquisition / initial balance date</v>
      </c>
      <c r="F92" s="173">
        <f> InpC!F$10</f>
        <v>44561.0</v>
      </c>
      <c r="G92" s="173" t="str">
        <f> InpC!G$10</f>
        <v>date</v>
      </c>
      <c r="H92" s="169" t="n"/>
      <c r="I92" s="169" t="n"/>
      <c r="J92" s="169" t="n"/>
      <c r="K92" s="169" t="n"/>
      <c r="L92" s="169" t="n"/>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row>
    <row r="93" customFormat="1" s="146">
      <c r="A93" s="163" t="n"/>
      <c r="B93" s="163" t="n"/>
      <c r="C93" s="172" t="n"/>
      <c r="D93" s="88" t="n"/>
      <c r="E93" s="169" t="str">
        <f> E$90</f>
        <v>Last depreciation period date</v>
      </c>
      <c r="F93" s="310">
        <f> F$90</f>
        <v>50040.0</v>
      </c>
      <c r="G93" s="169" t="str">
        <f> G$90</f>
        <v>date</v>
      </c>
      <c r="H93" s="169" t="n"/>
      <c r="I93" s="169" t="n"/>
      <c r="J93" s="169" t="n"/>
      <c r="K93" s="169" t="n"/>
      <c r="L93" s="169" t="n"/>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row>
    <row r="94" ht="15" customFormat="1" customHeight="1" s="123">
      <c r="A94" s="167" t="n"/>
      <c r="B94" s="167" t="n"/>
      <c r="C94" s="237" t="n"/>
      <c r="D94" s="121" t="n"/>
      <c r="E94" s="140" t="str">
        <f> E$25</f>
        <v>Model period ending </v>
      </c>
      <c r="F94" s="140">
        <f> F$25</f>
        <v>0.0</v>
      </c>
      <c r="G94" s="140" t="str">
        <f> G$25</f>
        <v>date</v>
      </c>
      <c r="H94" s="140">
        <f> H$25</f>
        <v>0.0</v>
      </c>
      <c r="I94" s="140">
        <f> I$25</f>
        <v>0.0</v>
      </c>
      <c r="J94" s="140">
        <f> J$25</f>
        <v>44469.0</v>
      </c>
      <c r="K94" s="140">
        <f> K$25</f>
        <v>44561.0</v>
      </c>
      <c r="L94" s="140">
        <f> L$25</f>
        <v>44651.0</v>
      </c>
      <c r="M94" s="140">
        <f> M$25</f>
        <v>44742.0</v>
      </c>
      <c r="N94" s="140">
        <f> N$25</f>
        <v>44834.0</v>
      </c>
      <c r="O94" s="140">
        <f> O$25</f>
        <v>44926.0</v>
      </c>
      <c r="P94" s="140">
        <f> P$25</f>
        <v>45016.0</v>
      </c>
      <c r="Q94" s="140">
        <f> Q$25</f>
        <v>45107.0</v>
      </c>
      <c r="R94" s="140">
        <f> R$25</f>
        <v>45199.0</v>
      </c>
      <c r="S94" s="140">
        <f> S$25</f>
        <v>45291.0</v>
      </c>
      <c r="T94" s="140">
        <f> T$25</f>
        <v>45382.0</v>
      </c>
      <c r="U94" s="140">
        <f> U$25</f>
        <v>45473.0</v>
      </c>
      <c r="V94" s="140">
        <f> V$25</f>
        <v>45565.0</v>
      </c>
      <c r="W94" s="140">
        <f> W$25</f>
        <v>45657.0</v>
      </c>
      <c r="X94" s="140">
        <f> X$25</f>
        <v>45747.0</v>
      </c>
      <c r="Y94" s="140">
        <f> Y$25</f>
        <v>45838.0</v>
      </c>
      <c r="Z94" s="140">
        <f> Z$25</f>
        <v>45930.0</v>
      </c>
      <c r="AA94" s="140">
        <f> AA$25</f>
        <v>46022.0</v>
      </c>
      <c r="AB94" s="140">
        <f> AB$25</f>
        <v>46112.0</v>
      </c>
      <c r="AC94" s="140">
        <f> AC$25</f>
        <v>46203.0</v>
      </c>
      <c r="AD94" s="140">
        <f> AD$25</f>
        <v>46295.0</v>
      </c>
      <c r="AE94" s="140">
        <f> AE$25</f>
        <v>46387.0</v>
      </c>
      <c r="AF94" s="140">
        <f> AF$25</f>
        <v>46477.0</v>
      </c>
      <c r="AG94" s="140">
        <f> AG$25</f>
        <v>46568.0</v>
      </c>
      <c r="AH94" s="140">
        <f> AH$25</f>
        <v>46660.0</v>
      </c>
      <c r="AI94" s="140">
        <f> AI$25</f>
        <v>46752.0</v>
      </c>
      <c r="AJ94" s="140">
        <f> AJ$25</f>
        <v>46843.0</v>
      </c>
      <c r="AK94" s="140">
        <f> AK$25</f>
        <v>46934.0</v>
      </c>
      <c r="AL94" s="140">
        <f> AL$25</f>
        <v>47026.0</v>
      </c>
      <c r="AM94" s="140">
        <f> AM$25</f>
        <v>47118.0</v>
      </c>
      <c r="AN94" s="140">
        <f> AN$25</f>
        <v>47208.0</v>
      </c>
      <c r="AO94" s="140">
        <f> AO$25</f>
        <v>47299.0</v>
      </c>
      <c r="AP94" s="140">
        <f> AP$25</f>
        <v>47391.0</v>
      </c>
      <c r="AQ94" s="140">
        <f> AQ$25</f>
        <v>47483.0</v>
      </c>
      <c r="AR94" s="140">
        <f> AR$25</f>
        <v>47573.0</v>
      </c>
      <c r="AS94" s="140">
        <f> AS$25</f>
        <v>47664.0</v>
      </c>
      <c r="AT94" s="140">
        <f> AT$25</f>
        <v>47756.0</v>
      </c>
      <c r="AU94" s="140">
        <f> AU$25</f>
        <v>47848.0</v>
      </c>
      <c r="AV94" s="140">
        <f> AV$25</f>
        <v>47938.0</v>
      </c>
      <c r="AW94" s="140">
        <f> AW$25</f>
        <v>48029.0</v>
      </c>
      <c r="AX94" s="140">
        <f> AX$25</f>
        <v>48121.0</v>
      </c>
      <c r="AY94" s="140">
        <f> AY$25</f>
        <v>48213.0</v>
      </c>
      <c r="AZ94" s="140">
        <f> AZ$25</f>
        <v>48304.0</v>
      </c>
      <c r="BA94" s="140">
        <f> BA$25</f>
        <v>48395.0</v>
      </c>
      <c r="BB94" s="140">
        <f> BB$25</f>
        <v>48487.0</v>
      </c>
      <c r="BC94" s="140">
        <f> BC$25</f>
        <v>48579.0</v>
      </c>
      <c r="BD94" s="140">
        <f> BD$25</f>
        <v>48669.0</v>
      </c>
      <c r="BE94" s="140">
        <f> BE$25</f>
        <v>48760.0</v>
      </c>
      <c r="BF94" s="140">
        <f> BF$25</f>
        <v>48852.0</v>
      </c>
      <c r="BG94" s="140">
        <f> BG$25</f>
        <v>48944.0</v>
      </c>
      <c r="BH94" s="140">
        <f> BH$25</f>
        <v>49034.0</v>
      </c>
      <c r="BI94" s="140">
        <f> BI$25</f>
        <v>49125.0</v>
      </c>
      <c r="BJ94" s="140">
        <f> BJ$25</f>
        <v>49217.0</v>
      </c>
      <c r="BK94" s="140">
        <f> BK$25</f>
        <v>49309.0</v>
      </c>
      <c r="BL94" s="140">
        <f> BL$25</f>
        <v>49399.0</v>
      </c>
      <c r="BM94" s="140">
        <f> BM$25</f>
        <v>49490.0</v>
      </c>
      <c r="BN94" s="140">
        <f> BN$25</f>
        <v>49582.0</v>
      </c>
      <c r="BO94" s="140">
        <f> BO$25</f>
        <v>49674.0</v>
      </c>
      <c r="BP94" s="140">
        <f> BP$25</f>
        <v>49765.0</v>
      </c>
      <c r="BQ94" s="140">
        <f> BQ$25</f>
        <v>49856.0</v>
      </c>
      <c r="BR94" s="140">
        <f> BR$25</f>
        <v>49948.0</v>
      </c>
      <c r="BS94" s="140">
        <f> BS$25</f>
        <v>50040.0</v>
      </c>
      <c r="BT94" s="140">
        <f> BT$25</f>
        <v>50130.0</v>
      </c>
      <c r="BU94" s="140">
        <f> BU$25</f>
        <v>50221.0</v>
      </c>
      <c r="BV94" s="140">
        <f> BV$25</f>
        <v>50313.0</v>
      </c>
      <c r="BW94" s="140">
        <f> BW$25</f>
        <v>50405.0</v>
      </c>
      <c r="BX94" s="140">
        <f> BX$25</f>
        <v>50495.0</v>
      </c>
      <c r="BY94" s="140">
        <f> BY$25</f>
        <v>50586.0</v>
      </c>
      <c r="BZ94" s="140">
        <f> BZ$25</f>
        <v>50678.0</v>
      </c>
      <c r="CA94" s="140">
        <f> CA$25</f>
        <v>50770.0</v>
      </c>
      <c r="CB94" s="140">
        <f> CB$25</f>
        <v>50860.0</v>
      </c>
      <c r="CC94" s="140">
        <f> CC$25</f>
        <v>50951.0</v>
      </c>
      <c r="CD94" s="140">
        <f> CD$25</f>
        <v>51043.0</v>
      </c>
      <c r="CE94" s="140">
        <f> CE$25</f>
        <v>51135.0</v>
      </c>
      <c r="CF94" s="140">
        <f> CF$25</f>
        <v>51226.0</v>
      </c>
      <c r="CG94" s="140">
        <f> CG$25</f>
        <v>51317.0</v>
      </c>
      <c r="CH94" s="140">
        <f> CH$25</f>
        <v>51409.0</v>
      </c>
      <c r="CI94" s="140">
        <f> CI$25</f>
        <v>51501.0</v>
      </c>
      <c r="CJ94" s="140">
        <f> CJ$25</f>
        <v>51591.0</v>
      </c>
      <c r="CK94" s="140">
        <f> CK$25</f>
        <v>51682.0</v>
      </c>
      <c r="CL94" s="140">
        <f> CL$25</f>
        <v>51774.0</v>
      </c>
      <c r="CM94" s="140">
        <f> CM$25</f>
        <v>51866.0</v>
      </c>
      <c r="CN94" s="140">
        <f> CN$25</f>
        <v>51956.0</v>
      </c>
      <c r="CO94" s="140">
        <f> CO$25</f>
        <v>52047.0</v>
      </c>
    </row>
    <row r="95" customFormat="1" s="369">
      <c r="A95" s="348" t="n"/>
      <c r="B95" s="348" t="n"/>
      <c r="C95" s="349" t="n"/>
      <c r="D95" s="193" t="n"/>
      <c r="E95" s="150" t="inlineStr">
        <is>
          <t>Depreciation period flag</t>
        </is>
      </c>
      <c r="F95" s="150" t="n"/>
      <c r="G95" s="150" t="inlineStr">
        <is>
          <t>flag</t>
        </is>
      </c>
      <c r="H95" s="150">
        <f> SUM(J95:CO95)</f>
        <v>60.0</v>
      </c>
      <c r="I95" s="150" t="n"/>
      <c r="J95" s="150">
        <f> IF(AND(J94 &gt; $F92, J94 &lt;= $F93), 1, 0)</f>
        <v>0.0</v>
      </c>
      <c r="K95" s="150">
        <f> IF(AND(K94 &gt; $F92, K94 &lt;= $F93), 1, 0)</f>
        <v>0.0</v>
      </c>
      <c r="L95" s="150">
        <f> IF(AND(L94 &gt; $F92, L94 &lt;= $F93), 1, 0)</f>
        <v>1.0</v>
      </c>
      <c r="M95" s="150">
        <f> IF(AND(M94 &gt; $F92, M94 &lt;= $F93), 1, 0)</f>
        <v>1.0</v>
      </c>
      <c r="N95" s="150">
        <f> IF(AND(N94 &gt; $F92, N94 &lt;= $F93), 1, 0)</f>
        <v>1.0</v>
      </c>
      <c r="O95" s="150">
        <f> IF(AND(O94 &gt; $F92, O94 &lt;= $F93), 1, 0)</f>
        <v>1.0</v>
      </c>
      <c r="P95" s="150">
        <f> IF(AND(P94 &gt; $F92, P94 &lt;= $F93), 1, 0)</f>
        <v>1.0</v>
      </c>
      <c r="Q95" s="150">
        <f> IF(AND(Q94 &gt; $F92, Q94 &lt;= $F93), 1, 0)</f>
        <v>1.0</v>
      </c>
      <c r="R95" s="150">
        <f> IF(AND(R94 &gt; $F92, R94 &lt;= $F93), 1, 0)</f>
        <v>1.0</v>
      </c>
      <c r="S95" s="150">
        <f> IF(AND(S94 &gt; $F92, S94 &lt;= $F93), 1, 0)</f>
        <v>1.0</v>
      </c>
      <c r="T95" s="150">
        <f> IF(AND(T94 &gt; $F92, T94 &lt;= $F93), 1, 0)</f>
        <v>1.0</v>
      </c>
      <c r="U95" s="150">
        <f> IF(AND(U94 &gt; $F92, U94 &lt;= $F93), 1, 0)</f>
        <v>1.0</v>
      </c>
      <c r="V95" s="150">
        <f> IF(AND(V94 &gt; $F92, V94 &lt;= $F93), 1, 0)</f>
        <v>1.0</v>
      </c>
      <c r="W95" s="150">
        <f> IF(AND(W94 &gt; $F92, W94 &lt;= $F93), 1, 0)</f>
        <v>1.0</v>
      </c>
      <c r="X95" s="150">
        <f> IF(AND(X94 &gt; $F92, X94 &lt;= $F93), 1, 0)</f>
        <v>1.0</v>
      </c>
      <c r="Y95" s="150">
        <f> IF(AND(Y94 &gt; $F92, Y94 &lt;= $F93), 1, 0)</f>
        <v>1.0</v>
      </c>
      <c r="Z95" s="150">
        <f> IF(AND(Z94 &gt; $F92, Z94 &lt;= $F93), 1, 0)</f>
        <v>1.0</v>
      </c>
      <c r="AA95" s="150">
        <f> IF(AND(AA94 &gt; $F92, AA94 &lt;= $F93), 1, 0)</f>
        <v>1.0</v>
      </c>
      <c r="AB95" s="150">
        <f> IF(AND(AB94 &gt; $F92, AB94 &lt;= $F93), 1, 0)</f>
        <v>1.0</v>
      </c>
      <c r="AC95" s="150">
        <f> IF(AND(AC94 &gt; $F92, AC94 &lt;= $F93), 1, 0)</f>
        <v>1.0</v>
      </c>
      <c r="AD95" s="150">
        <f> IF(AND(AD94 &gt; $F92, AD94 &lt;= $F93), 1, 0)</f>
        <v>1.0</v>
      </c>
      <c r="AE95" s="150">
        <f> IF(AND(AE94 &gt; $F92, AE94 &lt;= $F93), 1, 0)</f>
        <v>1.0</v>
      </c>
      <c r="AF95" s="150">
        <f> IF(AND(AF94 &gt; $F92, AF94 &lt;= $F93), 1, 0)</f>
        <v>1.0</v>
      </c>
      <c r="AG95" s="150">
        <f> IF(AND(AG94 &gt; $F92, AG94 &lt;= $F93), 1, 0)</f>
        <v>1.0</v>
      </c>
      <c r="AH95" s="150">
        <f> IF(AND(AH94 &gt; $F92, AH94 &lt;= $F93), 1, 0)</f>
        <v>1.0</v>
      </c>
      <c r="AI95" s="150">
        <f> IF(AND(AI94 &gt; $F92, AI94 &lt;= $F93), 1, 0)</f>
        <v>1.0</v>
      </c>
      <c r="AJ95" s="150">
        <f> IF(AND(AJ94 &gt; $F92, AJ94 &lt;= $F93), 1, 0)</f>
        <v>1.0</v>
      </c>
      <c r="AK95" s="150">
        <f> IF(AND(AK94 &gt; $F92, AK94 &lt;= $F93), 1, 0)</f>
        <v>1.0</v>
      </c>
      <c r="AL95" s="150">
        <f> IF(AND(AL94 &gt; $F92, AL94 &lt;= $F93), 1, 0)</f>
        <v>1.0</v>
      </c>
      <c r="AM95" s="150">
        <f> IF(AND(AM94 &gt; $F92, AM94 &lt;= $F93), 1, 0)</f>
        <v>1.0</v>
      </c>
      <c r="AN95" s="150">
        <f> IF(AND(AN94 &gt; $F92, AN94 &lt;= $F93), 1, 0)</f>
        <v>1.0</v>
      </c>
      <c r="AO95" s="150">
        <f> IF(AND(AO94 &gt; $F92, AO94 &lt;= $F93), 1, 0)</f>
        <v>1.0</v>
      </c>
      <c r="AP95" s="150">
        <f> IF(AND(AP94 &gt; $F92, AP94 &lt;= $F93), 1, 0)</f>
        <v>1.0</v>
      </c>
      <c r="AQ95" s="150">
        <f> IF(AND(AQ94 &gt; $F92, AQ94 &lt;= $F93), 1, 0)</f>
        <v>1.0</v>
      </c>
      <c r="AR95" s="150">
        <f> IF(AND(AR94 &gt; $F92, AR94 &lt;= $F93), 1, 0)</f>
        <v>1.0</v>
      </c>
      <c r="AS95" s="150">
        <f> IF(AND(AS94 &gt; $F92, AS94 &lt;= $F93), 1, 0)</f>
        <v>1.0</v>
      </c>
      <c r="AT95" s="150">
        <f> IF(AND(AT94 &gt; $F92, AT94 &lt;= $F93), 1, 0)</f>
        <v>1.0</v>
      </c>
      <c r="AU95" s="150">
        <f> IF(AND(AU94 &gt; $F92, AU94 &lt;= $F93), 1, 0)</f>
        <v>1.0</v>
      </c>
      <c r="AV95" s="150">
        <f> IF(AND(AV94 &gt; $F92, AV94 &lt;= $F93), 1, 0)</f>
        <v>1.0</v>
      </c>
      <c r="AW95" s="150">
        <f> IF(AND(AW94 &gt; $F92, AW94 &lt;= $F93), 1, 0)</f>
        <v>1.0</v>
      </c>
      <c r="AX95" s="150">
        <f> IF(AND(AX94 &gt; $F92, AX94 &lt;= $F93), 1, 0)</f>
        <v>1.0</v>
      </c>
      <c r="AY95" s="150">
        <f> IF(AND(AY94 &gt; $F92, AY94 &lt;= $F93), 1, 0)</f>
        <v>1.0</v>
      </c>
      <c r="AZ95" s="150">
        <f> IF(AND(AZ94 &gt; $F92, AZ94 &lt;= $F93), 1, 0)</f>
        <v>1.0</v>
      </c>
      <c r="BA95" s="150">
        <f> IF(AND(BA94 &gt; $F92, BA94 &lt;= $F93), 1, 0)</f>
        <v>1.0</v>
      </c>
      <c r="BB95" s="150">
        <f> IF(AND(BB94 &gt; $F92, BB94 &lt;= $F93), 1, 0)</f>
        <v>1.0</v>
      </c>
      <c r="BC95" s="150">
        <f> IF(AND(BC94 &gt; $F92, BC94 &lt;= $F93), 1, 0)</f>
        <v>1.0</v>
      </c>
      <c r="BD95" s="150">
        <f> IF(AND(BD94 &gt; $F92, BD94 &lt;= $F93), 1, 0)</f>
        <v>1.0</v>
      </c>
      <c r="BE95" s="150">
        <f> IF(AND(BE94 &gt; $F92, BE94 &lt;= $F93), 1, 0)</f>
        <v>1.0</v>
      </c>
      <c r="BF95" s="150">
        <f> IF(AND(BF94 &gt; $F92, BF94 &lt;= $F93), 1, 0)</f>
        <v>1.0</v>
      </c>
      <c r="BG95" s="150">
        <f> IF(AND(BG94 &gt; $F92, BG94 &lt;= $F93), 1, 0)</f>
        <v>1.0</v>
      </c>
      <c r="BH95" s="150">
        <f> IF(AND(BH94 &gt; $F92, BH94 &lt;= $F93), 1, 0)</f>
        <v>1.0</v>
      </c>
      <c r="BI95" s="150">
        <f> IF(AND(BI94 &gt; $F92, BI94 &lt;= $F93), 1, 0)</f>
        <v>1.0</v>
      </c>
      <c r="BJ95" s="150">
        <f> IF(AND(BJ94 &gt; $F92, BJ94 &lt;= $F93), 1, 0)</f>
        <v>1.0</v>
      </c>
      <c r="BK95" s="150">
        <f> IF(AND(BK94 &gt; $F92, BK94 &lt;= $F93), 1, 0)</f>
        <v>1.0</v>
      </c>
      <c r="BL95" s="150">
        <f> IF(AND(BL94 &gt; $F92, BL94 &lt;= $F93), 1, 0)</f>
        <v>1.0</v>
      </c>
      <c r="BM95" s="150">
        <f> IF(AND(BM94 &gt; $F92, BM94 &lt;= $F93), 1, 0)</f>
        <v>1.0</v>
      </c>
      <c r="BN95" s="150">
        <f> IF(AND(BN94 &gt; $F92, BN94 &lt;= $F93), 1, 0)</f>
        <v>1.0</v>
      </c>
      <c r="BO95" s="150">
        <f> IF(AND(BO94 &gt; $F92, BO94 &lt;= $F93), 1, 0)</f>
        <v>1.0</v>
      </c>
      <c r="BP95" s="150">
        <f> IF(AND(BP94 &gt; $F92, BP94 &lt;= $F93), 1, 0)</f>
        <v>1.0</v>
      </c>
      <c r="BQ95" s="150">
        <f> IF(AND(BQ94 &gt; $F92, BQ94 &lt;= $F93), 1, 0)</f>
        <v>1.0</v>
      </c>
      <c r="BR95" s="150">
        <f> IF(AND(BR94 &gt; $F92, BR94 &lt;= $F93), 1, 0)</f>
        <v>1.0</v>
      </c>
      <c r="BS95" s="150">
        <f> IF(AND(BS94 &gt; $F92, BS94 &lt;= $F93), 1, 0)</f>
        <v>1.0</v>
      </c>
      <c r="BT95" s="150">
        <f> IF(AND(BT94 &gt; $F92, BT94 &lt;= $F93), 1, 0)</f>
        <v>0.0</v>
      </c>
      <c r="BU95" s="150">
        <f> IF(AND(BU94 &gt; $F92, BU94 &lt;= $F93), 1, 0)</f>
        <v>0.0</v>
      </c>
      <c r="BV95" s="150">
        <f> IF(AND(BV94 &gt; $F92, BV94 &lt;= $F93), 1, 0)</f>
        <v>0.0</v>
      </c>
      <c r="BW95" s="150">
        <f> IF(AND(BW94 &gt; $F92, BW94 &lt;= $F93), 1, 0)</f>
        <v>0.0</v>
      </c>
      <c r="BX95" s="150">
        <f> IF(AND(BX94 &gt; $F92, BX94 &lt;= $F93), 1, 0)</f>
        <v>0.0</v>
      </c>
      <c r="BY95" s="150">
        <f> IF(AND(BY94 &gt; $F92, BY94 &lt;= $F93), 1, 0)</f>
        <v>0.0</v>
      </c>
      <c r="BZ95" s="150">
        <f> IF(AND(BZ94 &gt; $F92, BZ94 &lt;= $F93), 1, 0)</f>
        <v>0.0</v>
      </c>
      <c r="CA95" s="150">
        <f> IF(AND(CA94 &gt; $F92, CA94 &lt;= $F93), 1, 0)</f>
        <v>0.0</v>
      </c>
      <c r="CB95" s="150">
        <f> IF(AND(CB94 &gt; $F92, CB94 &lt;= $F93), 1, 0)</f>
        <v>0.0</v>
      </c>
      <c r="CC95" s="150">
        <f> IF(AND(CC94 &gt; $F92, CC94 &lt;= $F93), 1, 0)</f>
        <v>0.0</v>
      </c>
      <c r="CD95" s="150">
        <f> IF(AND(CD94 &gt; $F92, CD94 &lt;= $F93), 1, 0)</f>
        <v>0.0</v>
      </c>
      <c r="CE95" s="150">
        <f> IF(AND(CE94 &gt; $F92, CE94 &lt;= $F93), 1, 0)</f>
        <v>0.0</v>
      </c>
      <c r="CF95" s="150">
        <f> IF(AND(CF94 &gt; $F92, CF94 &lt;= $F93), 1, 0)</f>
        <v>0.0</v>
      </c>
      <c r="CG95" s="150">
        <f> IF(AND(CG94 &gt; $F92, CG94 &lt;= $F93), 1, 0)</f>
        <v>0.0</v>
      </c>
      <c r="CH95" s="150">
        <f> IF(AND(CH94 &gt; $F92, CH94 &lt;= $F93), 1, 0)</f>
        <v>0.0</v>
      </c>
      <c r="CI95" s="150">
        <f> IF(AND(CI94 &gt; $F92, CI94 &lt;= $F93), 1, 0)</f>
        <v>0.0</v>
      </c>
      <c r="CJ95" s="150">
        <f> IF(AND(CJ94 &gt; $F92, CJ94 &lt;= $F93), 1, 0)</f>
        <v>0.0</v>
      </c>
      <c r="CK95" s="150">
        <f> IF(AND(CK94 &gt; $F92, CK94 &lt;= $F93), 1, 0)</f>
        <v>0.0</v>
      </c>
      <c r="CL95" s="150">
        <f> IF(AND(CL94 &gt; $F92, CL94 &lt;= $F93), 1, 0)</f>
        <v>0.0</v>
      </c>
      <c r="CM95" s="150">
        <f> IF(AND(CM94 &gt; $F92, CM94 &lt;= $F93), 1, 0)</f>
        <v>0.0</v>
      </c>
      <c r="CN95" s="150">
        <f> IF(AND(CN94 &gt; $F92, CN94 &lt;= $F93), 1, 0)</f>
        <v>0.0</v>
      </c>
      <c r="CO95" s="150">
        <f> IF(AND(CO94 &gt; $F92, CO94 &lt;= $F93), 1, 0)</f>
        <v>0.0</v>
      </c>
    </row>
    <row r="96" customFormat="1" s="146">
      <c r="A96" s="163" t="n"/>
      <c r="B96" s="163" t="n"/>
      <c r="C96" s="172" t="n"/>
      <c r="D96" s="88" t="n"/>
      <c r="E96" s="169" t="n"/>
      <c r="F96" s="169" t="n"/>
      <c r="G96" s="169" t="n"/>
      <c r="H96" s="169" t="n"/>
      <c r="I96" s="169" t="n"/>
      <c r="J96" s="169" t="n"/>
      <c r="K96" s="169" t="n"/>
      <c r="L96" s="169" t="n"/>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row>
    <row r="97" customFormat="1" s="146">
      <c r="A97" s="163" t="n"/>
      <c r="B97" s="163" t="n"/>
      <c r="C97" s="172" t="n"/>
      <c r="D97" s="88" t="n"/>
      <c r="E97" s="169" t="n"/>
      <c r="F97" s="169" t="n"/>
      <c r="G97" s="169" t="n"/>
      <c r="H97" s="169" t="n"/>
      <c r="I97" s="169" t="n"/>
      <c r="J97" s="169" t="n"/>
      <c r="K97" s="169" t="n"/>
      <c r="L97" s="169" t="n"/>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row>
    <row r="98" customFormat="1" s="43">
      <c r="A98" s="294" t="n"/>
      <c r="B98" s="294" t="inlineStr">
        <is>
          <t>Timeline label</t>
        </is>
      </c>
      <c r="C98" s="212" t="n"/>
      <c r="D98" s="244" t="n"/>
      <c r="E98" s="61" t="n"/>
      <c r="F98" s="151" t="n"/>
      <c r="G98" s="152" t="n"/>
      <c r="H98" s="152" t="n"/>
      <c r="I98" s="152" t="n"/>
      <c r="J98" s="152" t="n"/>
      <c r="K98" s="152" t="n"/>
      <c r="L98" s="152" t="n"/>
      <c r="M98" s="152" t="n"/>
      <c r="N98" s="152" t="n"/>
      <c r="O98" s="152" t="n"/>
      <c r="P98" s="152" t="n"/>
      <c r="Q98" s="152" t="n"/>
      <c r="R98" s="152" t="n"/>
      <c r="S98" s="152" t="n"/>
      <c r="T98" s="152" t="n"/>
      <c r="U98" s="152" t="n"/>
      <c r="V98" s="152" t="n"/>
      <c r="W98" s="152" t="n"/>
      <c r="X98" s="152" t="n"/>
      <c r="Y98" s="152" t="n"/>
      <c r="Z98" s="152" t="n"/>
      <c r="AA98" s="152" t="n"/>
      <c r="AB98" s="152" t="n"/>
      <c r="AC98" s="152" t="n"/>
      <c r="AD98" s="152" t="n"/>
      <c r="AE98" s="152" t="n"/>
      <c r="AF98" s="152" t="n"/>
      <c r="AG98" s="152" t="n"/>
      <c r="AH98" s="152" t="n"/>
      <c r="AI98" s="152" t="n"/>
      <c r="AJ98" s="152" t="n"/>
      <c r="AK98" s="152" t="n"/>
      <c r="AL98" s="152" t="n"/>
      <c r="AM98" s="152" t="n"/>
      <c r="AN98" s="152" t="n"/>
      <c r="AO98" s="152" t="n"/>
      <c r="AP98" s="152" t="n"/>
      <c r="AQ98" s="152" t="n"/>
      <c r="AR98" s="152" t="n"/>
      <c r="AS98" s="152" t="n"/>
      <c r="AT98" s="152" t="n"/>
      <c r="AU98" s="152" t="n"/>
      <c r="AV98" s="152" t="n"/>
      <c r="AW98" s="152" t="n"/>
      <c r="AX98" s="152" t="n"/>
      <c r="AY98" s="152" t="n"/>
      <c r="AZ98" s="152" t="n"/>
      <c r="BA98" s="152" t="n"/>
      <c r="BB98" s="152" t="n"/>
      <c r="BC98" s="152" t="n"/>
      <c r="BD98" s="152" t="n"/>
      <c r="BE98" s="152" t="n"/>
      <c r="BF98" s="152" t="n"/>
      <c r="BG98" s="152" t="n"/>
      <c r="BH98" s="152" t="n"/>
      <c r="BI98" s="152" t="n"/>
      <c r="BJ98" s="152" t="n"/>
      <c r="BK98" s="152" t="n"/>
      <c r="BL98" s="152" t="n"/>
      <c r="BM98" s="152" t="n"/>
      <c r="BN98" s="152" t="n"/>
      <c r="BO98" s="152" t="n"/>
      <c r="BP98" s="152" t="n"/>
      <c r="BQ98" s="152" t="n"/>
      <c r="BR98" s="152" t="n"/>
      <c r="BS98" s="152" t="n"/>
      <c r="BT98" s="152" t="n"/>
      <c r="BU98" s="152" t="n"/>
      <c r="BV98" s="152" t="n"/>
      <c r="BW98" s="152" t="n"/>
      <c r="BX98" s="152" t="n"/>
      <c r="BY98" s="152" t="n"/>
      <c r="BZ98" s="152" t="n"/>
      <c r="CA98" s="152" t="n"/>
      <c r="CB98" s="152" t="n"/>
      <c r="CC98" s="152" t="n"/>
      <c r="CD98" s="152" t="n"/>
      <c r="CE98" s="152" t="n"/>
      <c r="CF98" s="152" t="n"/>
      <c r="CG98" s="152" t="n"/>
      <c r="CH98" s="152" t="n"/>
      <c r="CI98" s="152" t="n"/>
      <c r="CJ98" s="152" t="n"/>
      <c r="CK98" s="152" t="n"/>
      <c r="CL98" s="152" t="n"/>
      <c r="CM98" s="152" t="n"/>
      <c r="CN98" s="152" t="n"/>
      <c r="CO98" s="152" t="n"/>
    </row>
    <row r="99" customFormat="1" s="43">
      <c r="A99" s="294" t="n"/>
      <c r="B99" s="294" t="n"/>
      <c r="C99" s="212" t="inlineStr">
        <is>
          <t>Timeline label counter</t>
        </is>
      </c>
      <c r="D99" s="244" t="n"/>
      <c r="E99" s="61" t="n"/>
      <c r="F99" s="151" t="n"/>
      <c r="G99" s="152" t="n"/>
      <c r="H99" s="152" t="n"/>
      <c r="I99" s="152" t="n"/>
      <c r="J99" s="152" t="n"/>
      <c r="K99" s="152" t="n"/>
      <c r="L99" s="152" t="n"/>
      <c r="M99" s="152" t="n"/>
      <c r="N99" s="152" t="n"/>
      <c r="O99" s="152" t="n"/>
      <c r="P99" s="152" t="n"/>
      <c r="Q99" s="152" t="n"/>
      <c r="R99" s="152" t="n"/>
      <c r="S99" s="152" t="n"/>
      <c r="T99" s="152" t="n"/>
      <c r="U99" s="152" t="n"/>
      <c r="V99" s="152" t="n"/>
      <c r="W99" s="152" t="n"/>
      <c r="X99" s="152" t="n"/>
      <c r="Y99" s="152" t="n"/>
      <c r="Z99" s="152" t="n"/>
      <c r="AA99" s="152" t="n"/>
      <c r="AB99" s="152" t="n"/>
      <c r="AC99" s="152" t="n"/>
      <c r="AD99" s="152" t="n"/>
      <c r="AE99" s="152" t="n"/>
      <c r="AF99" s="152" t="n"/>
      <c r="AG99" s="152" t="n"/>
      <c r="AH99" s="152" t="n"/>
      <c r="AI99" s="152" t="n"/>
      <c r="AJ99" s="152" t="n"/>
      <c r="AK99" s="152" t="n"/>
      <c r="AL99" s="152" t="n"/>
      <c r="AM99" s="152" t="n"/>
      <c r="AN99" s="152" t="n"/>
      <c r="AO99" s="152" t="n"/>
      <c r="AP99" s="152" t="n"/>
      <c r="AQ99" s="152" t="n"/>
      <c r="AR99" s="152" t="n"/>
      <c r="AS99" s="152" t="n"/>
      <c r="AT99" s="152" t="n"/>
      <c r="AU99" s="152" t="n"/>
      <c r="AV99" s="152" t="n"/>
      <c r="AW99" s="152" t="n"/>
      <c r="AX99" s="152" t="n"/>
      <c r="AY99" s="152" t="n"/>
      <c r="AZ99" s="152" t="n"/>
      <c r="BA99" s="152" t="n"/>
      <c r="BB99" s="152" t="n"/>
      <c r="BC99" s="152" t="n"/>
      <c r="BD99" s="152" t="n"/>
      <c r="BE99" s="152" t="n"/>
      <c r="BF99" s="152" t="n"/>
      <c r="BG99" s="152" t="n"/>
      <c r="BH99" s="152" t="n"/>
      <c r="BI99" s="152" t="n"/>
      <c r="BJ99" s="152" t="n"/>
      <c r="BK99" s="152" t="n"/>
      <c r="BL99" s="152" t="n"/>
      <c r="BM99" s="152" t="n"/>
      <c r="BN99" s="152" t="n"/>
      <c r="BO99" s="152" t="n"/>
      <c r="BP99" s="152" t="n"/>
      <c r="BQ99" s="152" t="n"/>
      <c r="BR99" s="152" t="n"/>
      <c r="BS99" s="152" t="n"/>
      <c r="BT99" s="152" t="n"/>
      <c r="BU99" s="152" t="n"/>
      <c r="BV99" s="152" t="n"/>
      <c r="BW99" s="152" t="n"/>
      <c r="BX99" s="152" t="n"/>
      <c r="BY99" s="152" t="n"/>
      <c r="BZ99" s="152" t="n"/>
      <c r="CA99" s="152" t="n"/>
      <c r="CB99" s="152" t="n"/>
      <c r="CC99" s="152" t="n"/>
      <c r="CD99" s="152" t="n"/>
      <c r="CE99" s="152" t="n"/>
      <c r="CF99" s="152" t="n"/>
      <c r="CG99" s="152" t="n"/>
      <c r="CH99" s="152" t="n"/>
      <c r="CI99" s="152" t="n"/>
      <c r="CJ99" s="152" t="n"/>
      <c r="CK99" s="152" t="n"/>
      <c r="CL99" s="152" t="n"/>
      <c r="CM99" s="152" t="n"/>
      <c r="CN99" s="152" t="n"/>
      <c r="CO99" s="152" t="n"/>
    </row>
    <row r="100" customFormat="1" s="43">
      <c r="A100" s="39" t="n"/>
      <c r="B100" s="39" t="n"/>
      <c r="C100" s="40" t="n"/>
      <c r="D100" s="151" t="n"/>
      <c r="E100" s="152" t="str">
        <f> E$14</f>
        <v>First model column flag</v>
      </c>
      <c r="F100" s="152">
        <f> F$14</f>
        <v>0.0</v>
      </c>
      <c r="G100" s="152" t="str">
        <f> G$14</f>
        <v>flag</v>
      </c>
      <c r="H100" s="152">
        <f> H$14</f>
        <v>1.0</v>
      </c>
      <c r="I100" s="152">
        <f> I$14</f>
        <v>0.0</v>
      </c>
      <c r="J100" s="152">
        <f> J$14</f>
        <v>1.0</v>
      </c>
      <c r="K100" s="152">
        <f> K$14</f>
        <v>0.0</v>
      </c>
      <c r="L100" s="152">
        <f> L$14</f>
        <v>0.0</v>
      </c>
      <c r="M100" s="152">
        <f> M$14</f>
        <v>0.0</v>
      </c>
      <c r="N100" s="152">
        <f> N$14</f>
        <v>0.0</v>
      </c>
      <c r="O100" s="152">
        <f> O$14</f>
        <v>0.0</v>
      </c>
      <c r="P100" s="152">
        <f> P$14</f>
        <v>0.0</v>
      </c>
      <c r="Q100" s="152">
        <f> Q$14</f>
        <v>0.0</v>
      </c>
      <c r="R100" s="152">
        <f> R$14</f>
        <v>0.0</v>
      </c>
      <c r="S100" s="152">
        <f> S$14</f>
        <v>0.0</v>
      </c>
      <c r="T100" s="152">
        <f> T$14</f>
        <v>0.0</v>
      </c>
      <c r="U100" s="152">
        <f> U$14</f>
        <v>0.0</v>
      </c>
      <c r="V100" s="152">
        <f> V$14</f>
        <v>0.0</v>
      </c>
      <c r="W100" s="152">
        <f> W$14</f>
        <v>0.0</v>
      </c>
      <c r="X100" s="152">
        <f> X$14</f>
        <v>0.0</v>
      </c>
      <c r="Y100" s="152">
        <f> Y$14</f>
        <v>0.0</v>
      </c>
      <c r="Z100" s="152">
        <f> Z$14</f>
        <v>0.0</v>
      </c>
      <c r="AA100" s="152">
        <f> AA$14</f>
        <v>0.0</v>
      </c>
      <c r="AB100" s="152">
        <f> AB$14</f>
        <v>0.0</v>
      </c>
      <c r="AC100" s="152">
        <f> AC$14</f>
        <v>0.0</v>
      </c>
      <c r="AD100" s="152">
        <f> AD$14</f>
        <v>0.0</v>
      </c>
      <c r="AE100" s="152">
        <f> AE$14</f>
        <v>0.0</v>
      </c>
      <c r="AF100" s="152">
        <f> AF$14</f>
        <v>0.0</v>
      </c>
      <c r="AG100" s="152">
        <f> AG$14</f>
        <v>0.0</v>
      </c>
      <c r="AH100" s="152">
        <f> AH$14</f>
        <v>0.0</v>
      </c>
      <c r="AI100" s="152">
        <f> AI$14</f>
        <v>0.0</v>
      </c>
      <c r="AJ100" s="152">
        <f> AJ$14</f>
        <v>0.0</v>
      </c>
      <c r="AK100" s="152">
        <f> AK$14</f>
        <v>0.0</v>
      </c>
      <c r="AL100" s="152">
        <f> AL$14</f>
        <v>0.0</v>
      </c>
      <c r="AM100" s="152">
        <f> AM$14</f>
        <v>0.0</v>
      </c>
      <c r="AN100" s="152">
        <f> AN$14</f>
        <v>0.0</v>
      </c>
      <c r="AO100" s="152">
        <f> AO$14</f>
        <v>0.0</v>
      </c>
      <c r="AP100" s="152">
        <f> AP$14</f>
        <v>0.0</v>
      </c>
      <c r="AQ100" s="152">
        <f> AQ$14</f>
        <v>0.0</v>
      </c>
      <c r="AR100" s="152">
        <f> AR$14</f>
        <v>0.0</v>
      </c>
      <c r="AS100" s="152">
        <f> AS$14</f>
        <v>0.0</v>
      </c>
      <c r="AT100" s="152">
        <f> AT$14</f>
        <v>0.0</v>
      </c>
      <c r="AU100" s="152">
        <f> AU$14</f>
        <v>0.0</v>
      </c>
      <c r="AV100" s="152">
        <f> AV$14</f>
        <v>0.0</v>
      </c>
      <c r="AW100" s="152">
        <f> AW$14</f>
        <v>0.0</v>
      </c>
      <c r="AX100" s="152">
        <f> AX$14</f>
        <v>0.0</v>
      </c>
      <c r="AY100" s="152">
        <f> AY$14</f>
        <v>0.0</v>
      </c>
      <c r="AZ100" s="152">
        <f> AZ$14</f>
        <v>0.0</v>
      </c>
      <c r="BA100" s="152">
        <f> BA$14</f>
        <v>0.0</v>
      </c>
      <c r="BB100" s="152">
        <f> BB$14</f>
        <v>0.0</v>
      </c>
      <c r="BC100" s="152">
        <f> BC$14</f>
        <v>0.0</v>
      </c>
      <c r="BD100" s="152">
        <f> BD$14</f>
        <v>0.0</v>
      </c>
      <c r="BE100" s="152">
        <f> BE$14</f>
        <v>0.0</v>
      </c>
      <c r="BF100" s="152">
        <f> BF$14</f>
        <v>0.0</v>
      </c>
      <c r="BG100" s="152">
        <f> BG$14</f>
        <v>0.0</v>
      </c>
      <c r="BH100" s="152">
        <f> BH$14</f>
        <v>0.0</v>
      </c>
      <c r="BI100" s="152">
        <f> BI$14</f>
        <v>0.0</v>
      </c>
      <c r="BJ100" s="152">
        <f> BJ$14</f>
        <v>0.0</v>
      </c>
      <c r="BK100" s="152">
        <f> BK$14</f>
        <v>0.0</v>
      </c>
      <c r="BL100" s="152">
        <f> BL$14</f>
        <v>0.0</v>
      </c>
      <c r="BM100" s="152">
        <f> BM$14</f>
        <v>0.0</v>
      </c>
      <c r="BN100" s="152">
        <f> BN$14</f>
        <v>0.0</v>
      </c>
      <c r="BO100" s="152">
        <f> BO$14</f>
        <v>0.0</v>
      </c>
      <c r="BP100" s="152">
        <f> BP$14</f>
        <v>0.0</v>
      </c>
      <c r="BQ100" s="152">
        <f> BQ$14</f>
        <v>0.0</v>
      </c>
      <c r="BR100" s="152">
        <f> BR$14</f>
        <v>0.0</v>
      </c>
      <c r="BS100" s="152">
        <f> BS$14</f>
        <v>0.0</v>
      </c>
      <c r="BT100" s="152">
        <f> BT$14</f>
        <v>0.0</v>
      </c>
      <c r="BU100" s="152">
        <f> BU$14</f>
        <v>0.0</v>
      </c>
      <c r="BV100" s="152">
        <f> BV$14</f>
        <v>0.0</v>
      </c>
      <c r="BW100" s="152">
        <f> BW$14</f>
        <v>0.0</v>
      </c>
      <c r="BX100" s="152">
        <f> BX$14</f>
        <v>0.0</v>
      </c>
      <c r="BY100" s="152">
        <f> BY$14</f>
        <v>0.0</v>
      </c>
      <c r="BZ100" s="152">
        <f> BZ$14</f>
        <v>0.0</v>
      </c>
      <c r="CA100" s="152">
        <f> CA$14</f>
        <v>0.0</v>
      </c>
      <c r="CB100" s="152">
        <f> CB$14</f>
        <v>0.0</v>
      </c>
      <c r="CC100" s="152">
        <f> CC$14</f>
        <v>0.0</v>
      </c>
      <c r="CD100" s="152">
        <f> CD$14</f>
        <v>0.0</v>
      </c>
      <c r="CE100" s="152">
        <f> CE$14</f>
        <v>0.0</v>
      </c>
      <c r="CF100" s="152">
        <f> CF$14</f>
        <v>0.0</v>
      </c>
      <c r="CG100" s="152">
        <f> CG$14</f>
        <v>0.0</v>
      </c>
      <c r="CH100" s="152">
        <f> CH$14</f>
        <v>0.0</v>
      </c>
      <c r="CI100" s="152">
        <f> CI$14</f>
        <v>0.0</v>
      </c>
      <c r="CJ100" s="152">
        <f> CJ$14</f>
        <v>0.0</v>
      </c>
      <c r="CK100" s="152">
        <f> CK$14</f>
        <v>0.0</v>
      </c>
      <c r="CL100" s="152">
        <f> CL$14</f>
        <v>0.0</v>
      </c>
      <c r="CM100" s="152">
        <f> CM$14</f>
        <v>0.0</v>
      </c>
      <c r="CN100" s="152">
        <f> CN$14</f>
        <v>0.0</v>
      </c>
      <c r="CO100" s="152">
        <f> CO$14</f>
        <v>0.0</v>
      </c>
    </row>
    <row r="101" customFormat="1" s="43">
      <c r="A101" s="39" t="n"/>
      <c r="B101" s="39" t="n"/>
      <c r="C101" s="40" t="n"/>
      <c r="D101" s="151" t="n"/>
      <c r="E101" s="61" t="str">
        <f> E$45</f>
        <v>Acquisition / initial balance date flag</v>
      </c>
      <c r="F101" s="61">
        <f> F$45</f>
        <v>0.0</v>
      </c>
      <c r="G101" s="61" t="str">
        <f> G$45</f>
        <v>flag</v>
      </c>
      <c r="H101" s="61">
        <f> H$45</f>
        <v>1.0</v>
      </c>
      <c r="I101" s="61">
        <f> I$45</f>
        <v>0.0</v>
      </c>
      <c r="J101" s="61">
        <f> J$45</f>
        <v>0.0</v>
      </c>
      <c r="K101" s="61">
        <f> K$45</f>
        <v>1.0</v>
      </c>
      <c r="L101" s="61">
        <f> L$45</f>
        <v>0.0</v>
      </c>
      <c r="M101" s="61">
        <f> M$45</f>
        <v>0.0</v>
      </c>
      <c r="N101" s="61">
        <f> N$45</f>
        <v>0.0</v>
      </c>
      <c r="O101" s="61">
        <f> O$45</f>
        <v>0.0</v>
      </c>
      <c r="P101" s="61">
        <f> P$45</f>
        <v>0.0</v>
      </c>
      <c r="Q101" s="61">
        <f> Q$45</f>
        <v>0.0</v>
      </c>
      <c r="R101" s="61">
        <f> R$45</f>
        <v>0.0</v>
      </c>
      <c r="S101" s="61">
        <f> S$45</f>
        <v>0.0</v>
      </c>
      <c r="T101" s="61">
        <f> T$45</f>
        <v>0.0</v>
      </c>
      <c r="U101" s="61">
        <f> U$45</f>
        <v>0.0</v>
      </c>
      <c r="V101" s="61">
        <f> V$45</f>
        <v>0.0</v>
      </c>
      <c r="W101" s="61">
        <f> W$45</f>
        <v>0.0</v>
      </c>
      <c r="X101" s="61">
        <f> X$45</f>
        <v>0.0</v>
      </c>
      <c r="Y101" s="61">
        <f> Y$45</f>
        <v>0.0</v>
      </c>
      <c r="Z101" s="61">
        <f> Z$45</f>
        <v>0.0</v>
      </c>
      <c r="AA101" s="61">
        <f> AA$45</f>
        <v>0.0</v>
      </c>
      <c r="AB101" s="61">
        <f> AB$45</f>
        <v>0.0</v>
      </c>
      <c r="AC101" s="61">
        <f> AC$45</f>
        <v>0.0</v>
      </c>
      <c r="AD101" s="61">
        <f> AD$45</f>
        <v>0.0</v>
      </c>
      <c r="AE101" s="61">
        <f> AE$45</f>
        <v>0.0</v>
      </c>
      <c r="AF101" s="61">
        <f> AF$45</f>
        <v>0.0</v>
      </c>
      <c r="AG101" s="61">
        <f> AG$45</f>
        <v>0.0</v>
      </c>
      <c r="AH101" s="61">
        <f> AH$45</f>
        <v>0.0</v>
      </c>
      <c r="AI101" s="61">
        <f> AI$45</f>
        <v>0.0</v>
      </c>
      <c r="AJ101" s="61">
        <f> AJ$45</f>
        <v>0.0</v>
      </c>
      <c r="AK101" s="61">
        <f> AK$45</f>
        <v>0.0</v>
      </c>
      <c r="AL101" s="61">
        <f> AL$45</f>
        <v>0.0</v>
      </c>
      <c r="AM101" s="61">
        <f> AM$45</f>
        <v>0.0</v>
      </c>
      <c r="AN101" s="61">
        <f> AN$45</f>
        <v>0.0</v>
      </c>
      <c r="AO101" s="61">
        <f> AO$45</f>
        <v>0.0</v>
      </c>
      <c r="AP101" s="61">
        <f> AP$45</f>
        <v>0.0</v>
      </c>
      <c r="AQ101" s="61">
        <f> AQ$45</f>
        <v>0.0</v>
      </c>
      <c r="AR101" s="61">
        <f> AR$45</f>
        <v>0.0</v>
      </c>
      <c r="AS101" s="61">
        <f> AS$45</f>
        <v>0.0</v>
      </c>
      <c r="AT101" s="61">
        <f> AT$45</f>
        <v>0.0</v>
      </c>
      <c r="AU101" s="61">
        <f> AU$45</f>
        <v>0.0</v>
      </c>
      <c r="AV101" s="61">
        <f> AV$45</f>
        <v>0.0</v>
      </c>
      <c r="AW101" s="61">
        <f> AW$45</f>
        <v>0.0</v>
      </c>
      <c r="AX101" s="61">
        <f> AX$45</f>
        <v>0.0</v>
      </c>
      <c r="AY101" s="61">
        <f> AY$45</f>
        <v>0.0</v>
      </c>
      <c r="AZ101" s="61">
        <f> AZ$45</f>
        <v>0.0</v>
      </c>
      <c r="BA101" s="61">
        <f> BA$45</f>
        <v>0.0</v>
      </c>
      <c r="BB101" s="61">
        <f> BB$45</f>
        <v>0.0</v>
      </c>
      <c r="BC101" s="61">
        <f> BC$45</f>
        <v>0.0</v>
      </c>
      <c r="BD101" s="61">
        <f> BD$45</f>
        <v>0.0</v>
      </c>
      <c r="BE101" s="61">
        <f> BE$45</f>
        <v>0.0</v>
      </c>
      <c r="BF101" s="61">
        <f> BF$45</f>
        <v>0.0</v>
      </c>
      <c r="BG101" s="61">
        <f> BG$45</f>
        <v>0.0</v>
      </c>
      <c r="BH101" s="61">
        <f> BH$45</f>
        <v>0.0</v>
      </c>
      <c r="BI101" s="61">
        <f> BI$45</f>
        <v>0.0</v>
      </c>
      <c r="BJ101" s="61">
        <f> BJ$45</f>
        <v>0.0</v>
      </c>
      <c r="BK101" s="61">
        <f> BK$45</f>
        <v>0.0</v>
      </c>
      <c r="BL101" s="61">
        <f> BL$45</f>
        <v>0.0</v>
      </c>
      <c r="BM101" s="61">
        <f> BM$45</f>
        <v>0.0</v>
      </c>
      <c r="BN101" s="61">
        <f> BN$45</f>
        <v>0.0</v>
      </c>
      <c r="BO101" s="61">
        <f> BO$45</f>
        <v>0.0</v>
      </c>
      <c r="BP101" s="61">
        <f> BP$45</f>
        <v>0.0</v>
      </c>
      <c r="BQ101" s="61">
        <f> BQ$45</f>
        <v>0.0</v>
      </c>
      <c r="BR101" s="61">
        <f> BR$45</f>
        <v>0.0</v>
      </c>
      <c r="BS101" s="61">
        <f> BS$45</f>
        <v>0.0</v>
      </c>
      <c r="BT101" s="61">
        <f> BT$45</f>
        <v>0.0</v>
      </c>
      <c r="BU101" s="61">
        <f> BU$45</f>
        <v>0.0</v>
      </c>
      <c r="BV101" s="61">
        <f> BV$45</f>
        <v>0.0</v>
      </c>
      <c r="BW101" s="61">
        <f> BW$45</f>
        <v>0.0</v>
      </c>
      <c r="BX101" s="61">
        <f> BX$45</f>
        <v>0.0</v>
      </c>
      <c r="BY101" s="61">
        <f> BY$45</f>
        <v>0.0</v>
      </c>
      <c r="BZ101" s="61">
        <f> BZ$45</f>
        <v>0.0</v>
      </c>
      <c r="CA101" s="61">
        <f> CA$45</f>
        <v>0.0</v>
      </c>
      <c r="CB101" s="61">
        <f> CB$45</f>
        <v>0.0</v>
      </c>
      <c r="CC101" s="61">
        <f> CC$45</f>
        <v>0.0</v>
      </c>
      <c r="CD101" s="61">
        <f> CD$45</f>
        <v>0.0</v>
      </c>
      <c r="CE101" s="61">
        <f> CE$45</f>
        <v>0.0</v>
      </c>
      <c r="CF101" s="61">
        <f> CF$45</f>
        <v>0.0</v>
      </c>
      <c r="CG101" s="61">
        <f> CG$45</f>
        <v>0.0</v>
      </c>
      <c r="CH101" s="61">
        <f> CH$45</f>
        <v>0.0</v>
      </c>
      <c r="CI101" s="61">
        <f> CI$45</f>
        <v>0.0</v>
      </c>
      <c r="CJ101" s="61">
        <f> CJ$45</f>
        <v>0.0</v>
      </c>
      <c r="CK101" s="61">
        <f> CK$45</f>
        <v>0.0</v>
      </c>
      <c r="CL101" s="61">
        <f> CL$45</f>
        <v>0.0</v>
      </c>
      <c r="CM101" s="61">
        <f> CM$45</f>
        <v>0.0</v>
      </c>
      <c r="CN101" s="61">
        <f> CN$45</f>
        <v>0.0</v>
      </c>
      <c r="CO101" s="61">
        <f> CO$45</f>
        <v>0.0</v>
      </c>
    </row>
    <row r="102">
      <c r="E102" s="152" t="str">
        <f> E$53</f>
        <v>First forecast period flag</v>
      </c>
      <c r="F102" s="152">
        <f> F$53</f>
        <v>0.0</v>
      </c>
      <c r="G102" s="152" t="str">
        <f> G$53</f>
        <v>flag</v>
      </c>
      <c r="H102" s="152">
        <f> H$53</f>
        <v>1.0</v>
      </c>
      <c r="I102" s="152">
        <f> I$53</f>
        <v>0.0</v>
      </c>
      <c r="J102" s="152">
        <f> J$53</f>
        <v>0.0</v>
      </c>
      <c r="K102" s="152">
        <f> K$53</f>
        <v>0.0</v>
      </c>
      <c r="L102" s="152">
        <f> L$53</f>
        <v>1.0</v>
      </c>
      <c r="M102" s="152">
        <f> M$53</f>
        <v>0.0</v>
      </c>
      <c r="N102" s="152">
        <f> N$53</f>
        <v>0.0</v>
      </c>
      <c r="O102" s="152">
        <f> O$53</f>
        <v>0.0</v>
      </c>
      <c r="P102" s="152">
        <f> P$53</f>
        <v>0.0</v>
      </c>
      <c r="Q102" s="152">
        <f> Q$53</f>
        <v>0.0</v>
      </c>
      <c r="R102" s="152">
        <f> R$53</f>
        <v>0.0</v>
      </c>
      <c r="S102" s="152">
        <f> S$53</f>
        <v>0.0</v>
      </c>
      <c r="T102" s="152">
        <f> T$53</f>
        <v>0.0</v>
      </c>
      <c r="U102" s="152">
        <f> U$53</f>
        <v>0.0</v>
      </c>
      <c r="V102" s="152">
        <f> V$53</f>
        <v>0.0</v>
      </c>
      <c r="W102" s="152">
        <f> W$53</f>
        <v>0.0</v>
      </c>
      <c r="X102" s="152">
        <f> X$53</f>
        <v>0.0</v>
      </c>
      <c r="Y102" s="152">
        <f> Y$53</f>
        <v>0.0</v>
      </c>
      <c r="Z102" s="152">
        <f> Z$53</f>
        <v>0.0</v>
      </c>
      <c r="AA102" s="152">
        <f> AA$53</f>
        <v>0.0</v>
      </c>
      <c r="AB102" s="152">
        <f> AB$53</f>
        <v>0.0</v>
      </c>
      <c r="AC102" s="152">
        <f> AC$53</f>
        <v>0.0</v>
      </c>
      <c r="AD102" s="152">
        <f> AD$53</f>
        <v>0.0</v>
      </c>
      <c r="AE102" s="152">
        <f> AE$53</f>
        <v>0.0</v>
      </c>
      <c r="AF102" s="152">
        <f> AF$53</f>
        <v>0.0</v>
      </c>
      <c r="AG102" s="152">
        <f> AG$53</f>
        <v>0.0</v>
      </c>
      <c r="AH102" s="152">
        <f> AH$53</f>
        <v>0.0</v>
      </c>
      <c r="AI102" s="152">
        <f> AI$53</f>
        <v>0.0</v>
      </c>
      <c r="AJ102" s="152">
        <f> AJ$53</f>
        <v>0.0</v>
      </c>
      <c r="AK102" s="152">
        <f> AK$53</f>
        <v>0.0</v>
      </c>
      <c r="AL102" s="152">
        <f> AL$53</f>
        <v>0.0</v>
      </c>
      <c r="AM102" s="152">
        <f> AM$53</f>
        <v>0.0</v>
      </c>
      <c r="AN102" s="152">
        <f> AN$53</f>
        <v>0.0</v>
      </c>
      <c r="AO102" s="152">
        <f> AO$53</f>
        <v>0.0</v>
      </c>
      <c r="AP102" s="152">
        <f> AP$53</f>
        <v>0.0</v>
      </c>
      <c r="AQ102" s="152">
        <f> AQ$53</f>
        <v>0.0</v>
      </c>
      <c r="AR102" s="152">
        <f> AR$53</f>
        <v>0.0</v>
      </c>
      <c r="AS102" s="152">
        <f> AS$53</f>
        <v>0.0</v>
      </c>
      <c r="AT102" s="152">
        <f> AT$53</f>
        <v>0.0</v>
      </c>
      <c r="AU102" s="152">
        <f> AU$53</f>
        <v>0.0</v>
      </c>
      <c r="AV102" s="152">
        <f> AV$53</f>
        <v>0.0</v>
      </c>
      <c r="AW102" s="152">
        <f> AW$53</f>
        <v>0.0</v>
      </c>
      <c r="AX102" s="152">
        <f> AX$53</f>
        <v>0.0</v>
      </c>
      <c r="AY102" s="152">
        <f> AY$53</f>
        <v>0.0</v>
      </c>
      <c r="AZ102" s="152">
        <f> AZ$53</f>
        <v>0.0</v>
      </c>
      <c r="BA102" s="152">
        <f> BA$53</f>
        <v>0.0</v>
      </c>
      <c r="BB102" s="152">
        <f> BB$53</f>
        <v>0.0</v>
      </c>
      <c r="BC102" s="152">
        <f> BC$53</f>
        <v>0.0</v>
      </c>
      <c r="BD102" s="152">
        <f> BD$53</f>
        <v>0.0</v>
      </c>
      <c r="BE102" s="152">
        <f> BE$53</f>
        <v>0.0</v>
      </c>
      <c r="BF102" s="152">
        <f> BF$53</f>
        <v>0.0</v>
      </c>
      <c r="BG102" s="152">
        <f> BG$53</f>
        <v>0.0</v>
      </c>
      <c r="BH102" s="152">
        <f> BH$53</f>
        <v>0.0</v>
      </c>
      <c r="BI102" s="152">
        <f> BI$53</f>
        <v>0.0</v>
      </c>
      <c r="BJ102" s="152">
        <f> BJ$53</f>
        <v>0.0</v>
      </c>
      <c r="BK102" s="152">
        <f> BK$53</f>
        <v>0.0</v>
      </c>
      <c r="BL102" s="152">
        <f> BL$53</f>
        <v>0.0</v>
      </c>
      <c r="BM102" s="152">
        <f> BM$53</f>
        <v>0.0</v>
      </c>
      <c r="BN102" s="152">
        <f> BN$53</f>
        <v>0.0</v>
      </c>
      <c r="BO102" s="152">
        <f> BO$53</f>
        <v>0.0</v>
      </c>
      <c r="BP102" s="152">
        <f> BP$53</f>
        <v>0.0</v>
      </c>
      <c r="BQ102" s="152">
        <f> BQ$53</f>
        <v>0.0</v>
      </c>
      <c r="BR102" s="152">
        <f> BR$53</f>
        <v>0.0</v>
      </c>
      <c r="BS102" s="152">
        <f> BS$53</f>
        <v>0.0</v>
      </c>
      <c r="BT102" s="152">
        <f> BT$53</f>
        <v>0.0</v>
      </c>
      <c r="BU102" s="152">
        <f> BU$53</f>
        <v>0.0</v>
      </c>
      <c r="BV102" s="152">
        <f> BV$53</f>
        <v>0.0</v>
      </c>
      <c r="BW102" s="152">
        <f> BW$53</f>
        <v>0.0</v>
      </c>
      <c r="BX102" s="152">
        <f> BX$53</f>
        <v>0.0</v>
      </c>
      <c r="BY102" s="152">
        <f> BY$53</f>
        <v>0.0</v>
      </c>
      <c r="BZ102" s="152">
        <f> BZ$53</f>
        <v>0.0</v>
      </c>
      <c r="CA102" s="152">
        <f> CA$53</f>
        <v>0.0</v>
      </c>
      <c r="CB102" s="152">
        <f> CB$53</f>
        <v>0.0</v>
      </c>
      <c r="CC102" s="152">
        <f> CC$53</f>
        <v>0.0</v>
      </c>
      <c r="CD102" s="152">
        <f> CD$53</f>
        <v>0.0</v>
      </c>
      <c r="CE102" s="152">
        <f> CE$53</f>
        <v>0.0</v>
      </c>
      <c r="CF102" s="152">
        <f> CF$53</f>
        <v>0.0</v>
      </c>
      <c r="CG102" s="152">
        <f> CG$53</f>
        <v>0.0</v>
      </c>
      <c r="CH102" s="152">
        <f> CH$53</f>
        <v>0.0</v>
      </c>
      <c r="CI102" s="152">
        <f> CI$53</f>
        <v>0.0</v>
      </c>
      <c r="CJ102" s="152">
        <f> CJ$53</f>
        <v>0.0</v>
      </c>
      <c r="CK102" s="152">
        <f> CK$53</f>
        <v>0.0</v>
      </c>
      <c r="CL102" s="152">
        <f> CL$53</f>
        <v>0.0</v>
      </c>
      <c r="CM102" s="152">
        <f> CM$53</f>
        <v>0.0</v>
      </c>
      <c r="CN102" s="152">
        <f> CN$53</f>
        <v>0.0</v>
      </c>
      <c r="CO102" s="152">
        <f> CO$53</f>
        <v>0.0</v>
      </c>
    </row>
    <row r="103">
      <c r="E103" s="152" t="str">
        <f> E$79</f>
        <v>1st post forecast period flag</v>
      </c>
      <c r="F103" s="152">
        <f> F$79</f>
        <v>0.0</v>
      </c>
      <c r="G103" s="152" t="str">
        <f> G$79</f>
        <v>flag</v>
      </c>
      <c r="H103" s="152">
        <f> H$79</f>
        <v>1.0</v>
      </c>
      <c r="I103" s="152">
        <f> I$79</f>
        <v>0.0</v>
      </c>
      <c r="J103" s="152">
        <f> J$79</f>
        <v>0.0</v>
      </c>
      <c r="K103" s="152">
        <f> K$79</f>
        <v>0.0</v>
      </c>
      <c r="L103" s="152">
        <f> L$79</f>
        <v>0.0</v>
      </c>
      <c r="M103" s="152">
        <f> M$79</f>
        <v>0.0</v>
      </c>
      <c r="N103" s="152">
        <f> N$79</f>
        <v>0.0</v>
      </c>
      <c r="O103" s="152">
        <f> O$79</f>
        <v>0.0</v>
      </c>
      <c r="P103" s="152">
        <f> P$79</f>
        <v>0.0</v>
      </c>
      <c r="Q103" s="152">
        <f> Q$79</f>
        <v>0.0</v>
      </c>
      <c r="R103" s="152">
        <f> R$79</f>
        <v>0.0</v>
      </c>
      <c r="S103" s="152">
        <f> S$79</f>
        <v>0.0</v>
      </c>
      <c r="T103" s="152">
        <f> T$79</f>
        <v>0.0</v>
      </c>
      <c r="U103" s="152">
        <f> U$79</f>
        <v>0.0</v>
      </c>
      <c r="V103" s="152">
        <f> V$79</f>
        <v>0.0</v>
      </c>
      <c r="W103" s="152">
        <f> W$79</f>
        <v>0.0</v>
      </c>
      <c r="X103" s="152">
        <f> X$79</f>
        <v>0.0</v>
      </c>
      <c r="Y103" s="152">
        <f> Y$79</f>
        <v>0.0</v>
      </c>
      <c r="Z103" s="152">
        <f> Z$79</f>
        <v>0.0</v>
      </c>
      <c r="AA103" s="152">
        <f> AA$79</f>
        <v>0.0</v>
      </c>
      <c r="AB103" s="152">
        <f> AB$79</f>
        <v>0.0</v>
      </c>
      <c r="AC103" s="152">
        <f> AC$79</f>
        <v>0.0</v>
      </c>
      <c r="AD103" s="152">
        <f> AD$79</f>
        <v>0.0</v>
      </c>
      <c r="AE103" s="152">
        <f> AE$79</f>
        <v>0.0</v>
      </c>
      <c r="AF103" s="152">
        <f> AF$79</f>
        <v>0.0</v>
      </c>
      <c r="AG103" s="152">
        <f> AG$79</f>
        <v>0.0</v>
      </c>
      <c r="AH103" s="152">
        <f> AH$79</f>
        <v>0.0</v>
      </c>
      <c r="AI103" s="152">
        <f> AI$79</f>
        <v>0.0</v>
      </c>
      <c r="AJ103" s="152">
        <f> AJ$79</f>
        <v>0.0</v>
      </c>
      <c r="AK103" s="152">
        <f> AK$79</f>
        <v>0.0</v>
      </c>
      <c r="AL103" s="152">
        <f> AL$79</f>
        <v>0.0</v>
      </c>
      <c r="AM103" s="152">
        <f> AM$79</f>
        <v>0.0</v>
      </c>
      <c r="AN103" s="152">
        <f> AN$79</f>
        <v>0.0</v>
      </c>
      <c r="AO103" s="152">
        <f> AO$79</f>
        <v>0.0</v>
      </c>
      <c r="AP103" s="152">
        <f> AP$79</f>
        <v>0.0</v>
      </c>
      <c r="AQ103" s="152">
        <f> AQ$79</f>
        <v>0.0</v>
      </c>
      <c r="AR103" s="152">
        <f> AR$79</f>
        <v>0.0</v>
      </c>
      <c r="AS103" s="152">
        <f> AS$79</f>
        <v>0.0</v>
      </c>
      <c r="AT103" s="152">
        <f> AT$79</f>
        <v>0.0</v>
      </c>
      <c r="AU103" s="152">
        <f> AU$79</f>
        <v>0.0</v>
      </c>
      <c r="AV103" s="152">
        <f> AV$79</f>
        <v>0.0</v>
      </c>
      <c r="AW103" s="152">
        <f> AW$79</f>
        <v>0.0</v>
      </c>
      <c r="AX103" s="152">
        <f> AX$79</f>
        <v>0.0</v>
      </c>
      <c r="AY103" s="152">
        <f> AY$79</f>
        <v>0.0</v>
      </c>
      <c r="AZ103" s="152">
        <f> AZ$79</f>
        <v>0.0</v>
      </c>
      <c r="BA103" s="152">
        <f> BA$79</f>
        <v>0.0</v>
      </c>
      <c r="BB103" s="152">
        <f> BB$79</f>
        <v>0.0</v>
      </c>
      <c r="BC103" s="152">
        <f> BC$79</f>
        <v>0.0</v>
      </c>
      <c r="BD103" s="152">
        <f> BD$79</f>
        <v>0.0</v>
      </c>
      <c r="BE103" s="152">
        <f> BE$79</f>
        <v>0.0</v>
      </c>
      <c r="BF103" s="152">
        <f> BF$79</f>
        <v>0.0</v>
      </c>
      <c r="BG103" s="152">
        <f> BG$79</f>
        <v>0.0</v>
      </c>
      <c r="BH103" s="152">
        <f> BH$79</f>
        <v>0.0</v>
      </c>
      <c r="BI103" s="152">
        <f> BI$79</f>
        <v>0.0</v>
      </c>
      <c r="BJ103" s="152">
        <f> BJ$79</f>
        <v>0.0</v>
      </c>
      <c r="BK103" s="152">
        <f> BK$79</f>
        <v>0.0</v>
      </c>
      <c r="BL103" s="152">
        <f> BL$79</f>
        <v>0.0</v>
      </c>
      <c r="BM103" s="152">
        <f> BM$79</f>
        <v>0.0</v>
      </c>
      <c r="BN103" s="152">
        <f> BN$79</f>
        <v>0.0</v>
      </c>
      <c r="BO103" s="152">
        <f> BO$79</f>
        <v>0.0</v>
      </c>
      <c r="BP103" s="152">
        <f> BP$79</f>
        <v>0.0</v>
      </c>
      <c r="BQ103" s="152">
        <f> BQ$79</f>
        <v>0.0</v>
      </c>
      <c r="BR103" s="152">
        <f> BR$79</f>
        <v>0.0</v>
      </c>
      <c r="BS103" s="152">
        <f> BS$79</f>
        <v>0.0</v>
      </c>
      <c r="BT103" s="152">
        <f> BT$79</f>
        <v>0.0</v>
      </c>
      <c r="BU103" s="152">
        <f> BU$79</f>
        <v>0.0</v>
      </c>
      <c r="BV103" s="152">
        <f> BV$79</f>
        <v>0.0</v>
      </c>
      <c r="BW103" s="152">
        <f> BW$79</f>
        <v>0.0</v>
      </c>
      <c r="BX103" s="152">
        <f> BX$79</f>
        <v>0.0</v>
      </c>
      <c r="BY103" s="152">
        <f> BY$79</f>
        <v>0.0</v>
      </c>
      <c r="BZ103" s="152">
        <f> BZ$79</f>
        <v>0.0</v>
      </c>
      <c r="CA103" s="152">
        <f> CA$79</f>
        <v>0.0</v>
      </c>
      <c r="CB103" s="152">
        <f> CB$79</f>
        <v>0.0</v>
      </c>
      <c r="CC103" s="152">
        <f> CC$79</f>
        <v>0.0</v>
      </c>
      <c r="CD103" s="152">
        <f> CD$79</f>
        <v>0.0</v>
      </c>
      <c r="CE103" s="152">
        <f> CE$79</f>
        <v>0.0</v>
      </c>
      <c r="CF103" s="152">
        <f> CF$79</f>
        <v>0.0</v>
      </c>
      <c r="CG103" s="152">
        <f> CG$79</f>
        <v>0.0</v>
      </c>
      <c r="CH103" s="152">
        <f> CH$79</f>
        <v>0.0</v>
      </c>
      <c r="CI103" s="152">
        <f> CI$79</f>
        <v>0.0</v>
      </c>
      <c r="CJ103" s="152">
        <f> CJ$79</f>
        <v>0.0</v>
      </c>
      <c r="CK103" s="152">
        <f> CK$79</f>
        <v>0.0</v>
      </c>
      <c r="CL103" s="152">
        <f> CL$79</f>
        <v>0.0</v>
      </c>
      <c r="CM103" s="152">
        <f> CM$79</f>
        <v>0.0</v>
      </c>
      <c r="CN103" s="152">
        <f> CN$79</f>
        <v>1.0</v>
      </c>
      <c r="CO103" s="152">
        <f> CO$79</f>
        <v>0.0</v>
      </c>
    </row>
    <row r="104" customFormat="1" s="43">
      <c r="A104" s="294" t="n"/>
      <c r="B104" s="294" t="n"/>
      <c r="C104" s="212" t="n"/>
      <c r="D104" s="244" t="n"/>
      <c r="E104" s="158" t="inlineStr">
        <is>
          <t>Timeline label counter</t>
        </is>
      </c>
      <c r="F104" s="151" t="n"/>
      <c r="G104" s="152" t="inlineStr">
        <is>
          <t>counter</t>
        </is>
      </c>
      <c r="H104" s="152" t="n"/>
      <c r="I104" s="143" t="n"/>
      <c r="J104" s="158">
        <f> I104 + MAX(J100:J103)</f>
        <v>1.0</v>
      </c>
      <c r="K104" s="158">
        <f> J104 + MAX(K100:K103)</f>
        <v>2.0</v>
      </c>
      <c r="L104" s="158">
        <f> K104 + MAX(L100:L103)</f>
        <v>3.0</v>
      </c>
      <c r="M104" s="158">
        <f> L104 + MAX(M100:M103)</f>
        <v>3.0</v>
      </c>
      <c r="N104" s="158">
        <f> M104 + MAX(N100:N103)</f>
        <v>3.0</v>
      </c>
      <c r="O104" s="158">
        <f> N104 + MAX(O100:O103)</f>
        <v>3.0</v>
      </c>
      <c r="P104" s="158">
        <f> O104 + MAX(P100:P103)</f>
        <v>3.0</v>
      </c>
      <c r="Q104" s="158">
        <f> P104 + MAX(Q100:Q103)</f>
        <v>3.0</v>
      </c>
      <c r="R104" s="158">
        <f> Q104 + MAX(R100:R103)</f>
        <v>3.0</v>
      </c>
      <c r="S104" s="158">
        <f> R104 + MAX(S100:S103)</f>
        <v>3.0</v>
      </c>
      <c r="T104" s="158">
        <f> S104 + MAX(T100:T103)</f>
        <v>3.0</v>
      </c>
      <c r="U104" s="158">
        <f> T104 + MAX(U100:U103)</f>
        <v>3.0</v>
      </c>
      <c r="V104" s="158">
        <f> U104 + MAX(V100:V103)</f>
        <v>3.0</v>
      </c>
      <c r="W104" s="158">
        <f> V104 + MAX(W100:W103)</f>
        <v>3.0</v>
      </c>
      <c r="X104" s="158">
        <f> W104 + MAX(X100:X103)</f>
        <v>3.0</v>
      </c>
      <c r="Y104" s="158">
        <f> X104 + MAX(Y100:Y103)</f>
        <v>3.0</v>
      </c>
      <c r="Z104" s="158">
        <f> Y104 + MAX(Z100:Z103)</f>
        <v>3.0</v>
      </c>
      <c r="AA104" s="158">
        <f> Z104 + MAX(AA100:AA103)</f>
        <v>3.0</v>
      </c>
      <c r="AB104" s="158">
        <f> AA104 + MAX(AB100:AB103)</f>
        <v>3.0</v>
      </c>
      <c r="AC104" s="158">
        <f> AB104 + MAX(AC100:AC103)</f>
        <v>3.0</v>
      </c>
      <c r="AD104" s="158">
        <f> AC104 + MAX(AD100:AD103)</f>
        <v>3.0</v>
      </c>
      <c r="AE104" s="158">
        <f> AD104 + MAX(AE100:AE103)</f>
        <v>3.0</v>
      </c>
      <c r="AF104" s="158">
        <f> AE104 + MAX(AF100:AF103)</f>
        <v>3.0</v>
      </c>
      <c r="AG104" s="158">
        <f> AF104 + MAX(AG100:AG103)</f>
        <v>3.0</v>
      </c>
      <c r="AH104" s="158">
        <f> AG104 + MAX(AH100:AH103)</f>
        <v>3.0</v>
      </c>
      <c r="AI104" s="158">
        <f> AH104 + MAX(AI100:AI103)</f>
        <v>3.0</v>
      </c>
      <c r="AJ104" s="158">
        <f> AI104 + MAX(AJ100:AJ103)</f>
        <v>3.0</v>
      </c>
      <c r="AK104" s="158">
        <f> AJ104 + MAX(AK100:AK103)</f>
        <v>3.0</v>
      </c>
      <c r="AL104" s="158">
        <f> AK104 + MAX(AL100:AL103)</f>
        <v>3.0</v>
      </c>
      <c r="AM104" s="158">
        <f> AL104 + MAX(AM100:AM103)</f>
        <v>3.0</v>
      </c>
      <c r="AN104" s="158">
        <f> AM104 + MAX(AN100:AN103)</f>
        <v>3.0</v>
      </c>
      <c r="AO104" s="158">
        <f> AN104 + MAX(AO100:AO103)</f>
        <v>3.0</v>
      </c>
      <c r="AP104" s="158">
        <f> AO104 + MAX(AP100:AP103)</f>
        <v>3.0</v>
      </c>
      <c r="AQ104" s="158">
        <f> AP104 + MAX(AQ100:AQ103)</f>
        <v>3.0</v>
      </c>
      <c r="AR104" s="158">
        <f> AQ104 + MAX(AR100:AR103)</f>
        <v>3.0</v>
      </c>
      <c r="AS104" s="158">
        <f> AR104 + MAX(AS100:AS103)</f>
        <v>3.0</v>
      </c>
      <c r="AT104" s="158">
        <f> AS104 + MAX(AT100:AT103)</f>
        <v>3.0</v>
      </c>
      <c r="AU104" s="158">
        <f> AT104 + MAX(AU100:AU103)</f>
        <v>3.0</v>
      </c>
      <c r="AV104" s="158">
        <f> AU104 + MAX(AV100:AV103)</f>
        <v>3.0</v>
      </c>
      <c r="AW104" s="158">
        <f> AV104 + MAX(AW100:AW103)</f>
        <v>3.0</v>
      </c>
      <c r="AX104" s="158">
        <f> AW104 + MAX(AX100:AX103)</f>
        <v>3.0</v>
      </c>
      <c r="AY104" s="158">
        <f> AX104 + MAX(AY100:AY103)</f>
        <v>3.0</v>
      </c>
      <c r="AZ104" s="158">
        <f> AY104 + MAX(AZ100:AZ103)</f>
        <v>3.0</v>
      </c>
      <c r="BA104" s="158">
        <f> AZ104 + MAX(BA100:BA103)</f>
        <v>3.0</v>
      </c>
      <c r="BB104" s="158">
        <f> BA104 + MAX(BB100:BB103)</f>
        <v>3.0</v>
      </c>
      <c r="BC104" s="158">
        <f> BB104 + MAX(BC100:BC103)</f>
        <v>3.0</v>
      </c>
      <c r="BD104" s="158">
        <f> BC104 + MAX(BD100:BD103)</f>
        <v>3.0</v>
      </c>
      <c r="BE104" s="158">
        <f> BD104 + MAX(BE100:BE103)</f>
        <v>3.0</v>
      </c>
      <c r="BF104" s="158">
        <f> BE104 + MAX(BF100:BF103)</f>
        <v>3.0</v>
      </c>
      <c r="BG104" s="158">
        <f> BF104 + MAX(BG100:BG103)</f>
        <v>3.0</v>
      </c>
      <c r="BH104" s="158">
        <f> BG104 + MAX(BH100:BH103)</f>
        <v>3.0</v>
      </c>
      <c r="BI104" s="158">
        <f> BH104 + MAX(BI100:BI103)</f>
        <v>3.0</v>
      </c>
      <c r="BJ104" s="158">
        <f> BI104 + MAX(BJ100:BJ103)</f>
        <v>3.0</v>
      </c>
      <c r="BK104" s="158">
        <f> BJ104 + MAX(BK100:BK103)</f>
        <v>3.0</v>
      </c>
      <c r="BL104" s="158">
        <f> BK104 + MAX(BL100:BL103)</f>
        <v>3.0</v>
      </c>
      <c r="BM104" s="158">
        <f> BL104 + MAX(BM100:BM103)</f>
        <v>3.0</v>
      </c>
      <c r="BN104" s="158">
        <f> BM104 + MAX(BN100:BN103)</f>
        <v>3.0</v>
      </c>
      <c r="BO104" s="158">
        <f> BN104 + MAX(BO100:BO103)</f>
        <v>3.0</v>
      </c>
      <c r="BP104" s="158">
        <f> BO104 + MAX(BP100:BP103)</f>
        <v>3.0</v>
      </c>
      <c r="BQ104" s="158">
        <f> BP104 + MAX(BQ100:BQ103)</f>
        <v>3.0</v>
      </c>
      <c r="BR104" s="158">
        <f> BQ104 + MAX(BR100:BR103)</f>
        <v>3.0</v>
      </c>
      <c r="BS104" s="158">
        <f> BR104 + MAX(BS100:BS103)</f>
        <v>3.0</v>
      </c>
      <c r="BT104" s="158">
        <f> BS104 + MAX(BT100:BT103)</f>
        <v>3.0</v>
      </c>
      <c r="BU104" s="158">
        <f> BT104 + MAX(BU100:BU103)</f>
        <v>3.0</v>
      </c>
      <c r="BV104" s="158">
        <f> BU104 + MAX(BV100:BV103)</f>
        <v>3.0</v>
      </c>
      <c r="BW104" s="158">
        <f> BV104 + MAX(BW100:BW103)</f>
        <v>3.0</v>
      </c>
      <c r="BX104" s="158">
        <f> BW104 + MAX(BX100:BX103)</f>
        <v>3.0</v>
      </c>
      <c r="BY104" s="158">
        <f> BX104 + MAX(BY100:BY103)</f>
        <v>3.0</v>
      </c>
      <c r="BZ104" s="158">
        <f> BY104 + MAX(BZ100:BZ103)</f>
        <v>3.0</v>
      </c>
      <c r="CA104" s="158">
        <f> BZ104 + MAX(CA100:CA103)</f>
        <v>3.0</v>
      </c>
      <c r="CB104" s="158">
        <f> CA104 + MAX(CB100:CB103)</f>
        <v>3.0</v>
      </c>
      <c r="CC104" s="158">
        <f> CB104 + MAX(CC100:CC103)</f>
        <v>3.0</v>
      </c>
      <c r="CD104" s="158">
        <f> CC104 + MAX(CD100:CD103)</f>
        <v>3.0</v>
      </c>
      <c r="CE104" s="158">
        <f> CD104 + MAX(CE100:CE103)</f>
        <v>3.0</v>
      </c>
      <c r="CF104" s="158">
        <f> CE104 + MAX(CF100:CF103)</f>
        <v>3.0</v>
      </c>
      <c r="CG104" s="158">
        <f> CF104 + MAX(CG100:CG103)</f>
        <v>3.0</v>
      </c>
      <c r="CH104" s="158">
        <f> CG104 + MAX(CH100:CH103)</f>
        <v>3.0</v>
      </c>
      <c r="CI104" s="158">
        <f> CH104 + MAX(CI100:CI103)</f>
        <v>3.0</v>
      </c>
      <c r="CJ104" s="158">
        <f> CI104 + MAX(CJ100:CJ103)</f>
        <v>3.0</v>
      </c>
      <c r="CK104" s="158">
        <f> CJ104 + MAX(CK100:CK103)</f>
        <v>3.0</v>
      </c>
      <c r="CL104" s="158">
        <f> CK104 + MAX(CL100:CL103)</f>
        <v>3.0</v>
      </c>
      <c r="CM104" s="158">
        <f> CL104 + MAX(CM100:CM103)</f>
        <v>3.0</v>
      </c>
      <c r="CN104" s="158">
        <f> CM104 + MAX(CN100:CN103)</f>
        <v>4.0</v>
      </c>
      <c r="CO104" s="158">
        <f> CN104 + MAX(CO100:CO103)</f>
        <v>4.0</v>
      </c>
    </row>
    <row r="105" ht="15" customFormat="1" customHeight="1" s="142">
      <c r="A105" s="163" t="n"/>
      <c r="B105" s="163" t="n"/>
      <c r="C105" s="172" t="n"/>
      <c r="D105" s="88" t="n"/>
      <c r="E105" s="169" t="n"/>
      <c r="F105" s="169" t="n"/>
      <c r="G105" s="169" t="n"/>
      <c r="H105" s="169" t="n"/>
      <c r="I105" s="169" t="n"/>
      <c r="J105" s="169" t="n"/>
      <c r="K105" s="169" t="n"/>
      <c r="L105" s="169" t="n"/>
      <c r="M105" s="169" t="n"/>
      <c r="N105" s="169" t="n"/>
      <c r="O105" s="169" t="n"/>
      <c r="P105" s="169" t="n"/>
      <c r="Q105" s="169" t="n"/>
      <c r="R105" s="35" t="n"/>
      <c r="S105" s="35" t="n"/>
      <c r="T105" s="35" t="n"/>
      <c r="U105" s="35" t="n"/>
      <c r="V105" s="35" t="n"/>
      <c r="W105" s="35" t="n"/>
      <c r="X105" s="35" t="n"/>
      <c r="Y105" s="35" t="n"/>
      <c r="Z105" s="35" t="n"/>
      <c r="AA105" s="35" t="n"/>
      <c r="AB105" s="35" t="n"/>
      <c r="AC105" s="35" t="n"/>
      <c r="AD105" s="35" t="n"/>
      <c r="AE105" s="35" t="n"/>
      <c r="AF105" s="35" t="n"/>
      <c r="AG105" s="35" t="n"/>
      <c r="AH105" s="35" t="n"/>
      <c r="AI105" s="35" t="n"/>
      <c r="AJ105" s="35" t="n"/>
      <c r="AK105" s="35" t="n"/>
      <c r="AL105" s="35" t="n"/>
      <c r="AM105" s="35" t="n"/>
      <c r="AN105" s="35" t="n"/>
      <c r="AO105" s="35" t="n"/>
      <c r="AP105" s="35" t="n"/>
      <c r="AQ105" s="35" t="n"/>
      <c r="AR105" s="35" t="n"/>
      <c r="AS105" s="35" t="n"/>
      <c r="AT105" s="35" t="n"/>
      <c r="AU105" s="35" t="n"/>
      <c r="AV105" s="35" t="n"/>
      <c r="AW105" s="35" t="n"/>
      <c r="AX105" s="35" t="n"/>
      <c r="AY105" s="35" t="n"/>
      <c r="AZ105" s="35" t="n"/>
      <c r="BA105" s="35" t="n"/>
      <c r="BB105" s="35" t="n"/>
      <c r="BC105" s="35" t="n"/>
      <c r="BD105" s="35" t="n"/>
      <c r="BE105" s="35" t="n"/>
      <c r="BF105" s="35" t="n"/>
      <c r="BG105" s="35" t="n"/>
      <c r="BH105" s="35" t="n"/>
      <c r="BI105" s="35" t="n"/>
      <c r="BJ105" s="35" t="n"/>
      <c r="BK105" s="35" t="n"/>
      <c r="BL105" s="35" t="n"/>
      <c r="BM105" s="35" t="n"/>
      <c r="BN105" s="35" t="n"/>
      <c r="BO105" s="35" t="n"/>
      <c r="BP105" s="35" t="n"/>
      <c r="BQ105" s="35" t="n"/>
      <c r="BR105" s="35" t="n"/>
      <c r="BS105" s="35" t="n"/>
      <c r="BT105" s="35" t="n"/>
      <c r="BU105" s="35" t="n"/>
      <c r="BV105" s="35" t="n"/>
      <c r="BW105" s="35" t="n"/>
      <c r="BX105" s="35" t="n"/>
      <c r="BY105" s="35" t="n"/>
      <c r="BZ105" s="35" t="n"/>
      <c r="CA105" s="35" t="n"/>
      <c r="CB105" s="35" t="n"/>
      <c r="CC105" s="35" t="n"/>
      <c r="CD105" s="35" t="n"/>
      <c r="CE105" s="35" t="n"/>
      <c r="CF105" s="35" t="n"/>
      <c r="CG105" s="35" t="n"/>
      <c r="CH105" s="35" t="n"/>
      <c r="CI105" s="35" t="n"/>
      <c r="CJ105" s="35" t="n"/>
      <c r="CK105" s="35" t="n"/>
      <c r="CL105" s="35" t="n"/>
      <c r="CM105" s="35" t="n"/>
      <c r="CN105" s="35" t="n"/>
      <c r="CO105" s="35" t="n"/>
    </row>
    <row r="106" customFormat="1" s="154">
      <c r="A106" s="163" t="n"/>
      <c r="B106" s="163" t="n"/>
      <c r="C106" s="172" t="n"/>
      <c r="D106" s="88" t="n"/>
      <c r="E106" s="117" t="str">
        <f> InpC!E$106</f>
        <v>Pre-forecast period</v>
      </c>
      <c r="F106" s="117" t="str">
        <f> InpC!F$106</f>
        <v>Pre-fcst</v>
      </c>
      <c r="G106" s="117" t="str">
        <f> InpC!G$106</f>
        <v>label</v>
      </c>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c r="AA106" s="61" t="n"/>
      <c r="AB106" s="61" t="n"/>
      <c r="AC106" s="61" t="n"/>
      <c r="AD106" s="61" t="n"/>
      <c r="AE106" s="61" t="n"/>
      <c r="AF106" s="61" t="n"/>
      <c r="AG106" s="61" t="n"/>
      <c r="AH106" s="61" t="n"/>
      <c r="AI106" s="61" t="n"/>
      <c r="AJ106" s="61" t="n"/>
      <c r="AK106" s="61" t="n"/>
      <c r="AL106" s="61" t="n"/>
      <c r="AM106" s="61" t="n"/>
      <c r="AN106" s="61" t="n"/>
      <c r="AO106" s="61" t="n"/>
      <c r="AP106" s="61" t="n"/>
      <c r="AQ106" s="61" t="n"/>
      <c r="AR106" s="61" t="n"/>
      <c r="AS106" s="61" t="n"/>
      <c r="AT106" s="61" t="n"/>
      <c r="AU106" s="61" t="n"/>
      <c r="AV106" s="61" t="n"/>
      <c r="AW106" s="61" t="n"/>
      <c r="AX106" s="61" t="n"/>
      <c r="AY106" s="61" t="n"/>
      <c r="AZ106" s="61" t="n"/>
      <c r="BA106" s="61" t="n"/>
      <c r="BB106" s="61" t="n"/>
      <c r="BC106" s="61" t="n"/>
      <c r="BD106" s="61" t="n"/>
      <c r="BE106" s="61" t="n"/>
      <c r="BF106" s="61" t="n"/>
      <c r="BG106" s="61" t="n"/>
      <c r="BH106" s="61" t="n"/>
      <c r="BI106" s="61" t="n"/>
      <c r="BJ106" s="61" t="n"/>
      <c r="BK106" s="61" t="n"/>
      <c r="BL106" s="61" t="n"/>
      <c r="BM106" s="61" t="n"/>
      <c r="BN106" s="61" t="n"/>
      <c r="BO106" s="61" t="n"/>
      <c r="BP106" s="61" t="n"/>
      <c r="BQ106" s="61" t="n"/>
      <c r="BR106" s="61" t="n"/>
      <c r="BS106" s="61" t="n"/>
      <c r="BT106" s="61" t="n"/>
      <c r="BU106" s="61" t="n"/>
      <c r="BV106" s="61" t="n"/>
      <c r="BW106" s="61" t="n"/>
      <c r="BX106" s="61" t="n"/>
      <c r="BY106" s="61" t="n"/>
      <c r="BZ106" s="61" t="n"/>
      <c r="CA106" s="61" t="n"/>
      <c r="CB106" s="61" t="n"/>
      <c r="CC106" s="61" t="n"/>
      <c r="CD106" s="61" t="n"/>
      <c r="CE106" s="61" t="n"/>
      <c r="CF106" s="61" t="n"/>
      <c r="CG106" s="61" t="n"/>
      <c r="CH106" s="61" t="n"/>
      <c r="CI106" s="61" t="n"/>
      <c r="CJ106" s="61" t="n"/>
      <c r="CK106" s="61" t="n"/>
      <c r="CL106" s="61" t="n"/>
      <c r="CM106" s="61" t="n"/>
      <c r="CN106" s="61" t="n"/>
      <c r="CO106" s="61" t="n"/>
    </row>
    <row r="107" customFormat="1" s="154">
      <c r="A107" s="163" t="n"/>
      <c r="B107" s="163" t="n"/>
      <c r="C107" s="172" t="n"/>
      <c r="D107" s="88" t="n"/>
      <c r="E107" s="117" t="str">
        <f> InpC!E$107</f>
        <v>Financial close</v>
      </c>
      <c r="F107" s="117" t="str">
        <f> InpC!F$107</f>
        <v>Fin close</v>
      </c>
      <c r="G107" s="117" t="str">
        <f> InpC!G$107</f>
        <v>label</v>
      </c>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c r="AA107" s="61" t="n"/>
      <c r="AB107" s="61" t="n"/>
      <c r="AC107" s="61" t="n"/>
      <c r="AD107" s="61" t="n"/>
      <c r="AE107" s="61" t="n"/>
      <c r="AF107" s="61" t="n"/>
      <c r="AG107" s="61" t="n"/>
      <c r="AH107" s="61" t="n"/>
      <c r="AI107" s="61" t="n"/>
      <c r="AJ107" s="61" t="n"/>
      <c r="AK107" s="61" t="n"/>
      <c r="AL107" s="61" t="n"/>
      <c r="AM107" s="61" t="n"/>
      <c r="AN107" s="61" t="n"/>
      <c r="AO107" s="61" t="n"/>
      <c r="AP107" s="61" t="n"/>
      <c r="AQ107" s="61" t="n"/>
      <c r="AR107" s="61" t="n"/>
      <c r="AS107" s="61" t="n"/>
      <c r="AT107" s="61" t="n"/>
      <c r="AU107" s="61" t="n"/>
      <c r="AV107" s="61" t="n"/>
      <c r="AW107" s="61" t="n"/>
      <c r="AX107" s="61" t="n"/>
      <c r="AY107" s="61" t="n"/>
      <c r="AZ107" s="61" t="n"/>
      <c r="BA107" s="61" t="n"/>
      <c r="BB107" s="61" t="n"/>
      <c r="BC107" s="61" t="n"/>
      <c r="BD107" s="61" t="n"/>
      <c r="BE107" s="61" t="n"/>
      <c r="BF107" s="61" t="n"/>
      <c r="BG107" s="61" t="n"/>
      <c r="BH107" s="61" t="n"/>
      <c r="BI107" s="61" t="n"/>
      <c r="BJ107" s="61" t="n"/>
      <c r="BK107" s="61" t="n"/>
      <c r="BL107" s="61" t="n"/>
      <c r="BM107" s="61" t="n"/>
      <c r="BN107" s="61" t="n"/>
      <c r="BO107" s="61" t="n"/>
      <c r="BP107" s="61" t="n"/>
      <c r="BQ107" s="61" t="n"/>
      <c r="BR107" s="61" t="n"/>
      <c r="BS107" s="61" t="n"/>
      <c r="BT107" s="61" t="n"/>
      <c r="BU107" s="61" t="n"/>
      <c r="BV107" s="61" t="n"/>
      <c r="BW107" s="61" t="n"/>
      <c r="BX107" s="61" t="n"/>
      <c r="BY107" s="61" t="n"/>
      <c r="BZ107" s="61" t="n"/>
      <c r="CA107" s="61" t="n"/>
      <c r="CB107" s="61" t="n"/>
      <c r="CC107" s="61" t="n"/>
      <c r="CD107" s="61" t="n"/>
      <c r="CE107" s="61" t="n"/>
      <c r="CF107" s="61" t="n"/>
      <c r="CG107" s="61" t="n"/>
      <c r="CH107" s="61" t="n"/>
      <c r="CI107" s="61" t="n"/>
      <c r="CJ107" s="61" t="n"/>
      <c r="CK107" s="61" t="n"/>
      <c r="CL107" s="61" t="n"/>
      <c r="CM107" s="61" t="n"/>
      <c r="CN107" s="61" t="n"/>
      <c r="CO107" s="61" t="n"/>
    </row>
    <row r="108" ht="15" customFormat="1" customHeight="1" s="142">
      <c r="A108" s="163" t="n"/>
      <c r="B108" s="163" t="n"/>
      <c r="C108" s="172" t="n"/>
      <c r="D108" s="88" t="n"/>
      <c r="E108" s="117" t="str">
        <f> InpC!E$108</f>
        <v>Forecast period</v>
      </c>
      <c r="F108" s="117" t="str">
        <f> InpC!F$108</f>
        <v>Forecast</v>
      </c>
      <c r="G108" s="117" t="str">
        <f> InpC!G$108</f>
        <v>label</v>
      </c>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c r="AA108" s="61" t="n"/>
      <c r="AB108" s="61" t="n"/>
      <c r="AC108" s="61" t="n"/>
      <c r="AD108" s="61" t="n"/>
      <c r="AE108" s="61" t="n"/>
      <c r="AF108" s="61" t="n"/>
      <c r="AG108" s="61" t="n"/>
      <c r="AH108" s="61" t="n"/>
      <c r="AI108" s="61" t="n"/>
      <c r="AJ108" s="61" t="n"/>
      <c r="AK108" s="61" t="n"/>
      <c r="AL108" s="61" t="n"/>
      <c r="AM108" s="61" t="n"/>
      <c r="AN108" s="61" t="n"/>
      <c r="AO108" s="61" t="n"/>
      <c r="AP108" s="61" t="n"/>
      <c r="AQ108" s="61" t="n"/>
      <c r="AR108" s="61" t="n"/>
      <c r="AS108" s="61" t="n"/>
      <c r="AT108" s="61" t="n"/>
      <c r="AU108" s="61" t="n"/>
      <c r="AV108" s="61" t="n"/>
      <c r="AW108" s="61" t="n"/>
      <c r="AX108" s="61" t="n"/>
      <c r="AY108" s="61" t="n"/>
      <c r="AZ108" s="61" t="n"/>
      <c r="BA108" s="61" t="n"/>
      <c r="BB108" s="61" t="n"/>
      <c r="BC108" s="61" t="n"/>
      <c r="BD108" s="61" t="n"/>
      <c r="BE108" s="61" t="n"/>
      <c r="BF108" s="61" t="n"/>
      <c r="BG108" s="61" t="n"/>
      <c r="BH108" s="61" t="n"/>
      <c r="BI108" s="61" t="n"/>
      <c r="BJ108" s="61" t="n"/>
      <c r="BK108" s="61" t="n"/>
      <c r="BL108" s="61" t="n"/>
      <c r="BM108" s="61" t="n"/>
      <c r="BN108" s="61" t="n"/>
      <c r="BO108" s="61" t="n"/>
      <c r="BP108" s="61" t="n"/>
      <c r="BQ108" s="61" t="n"/>
      <c r="BR108" s="61" t="n"/>
      <c r="BS108" s="61" t="n"/>
      <c r="BT108" s="61" t="n"/>
      <c r="BU108" s="61" t="n"/>
      <c r="BV108" s="61" t="n"/>
      <c r="BW108" s="61" t="n"/>
      <c r="BX108" s="61" t="n"/>
      <c r="BY108" s="61" t="n"/>
      <c r="BZ108" s="61" t="n"/>
      <c r="CA108" s="61" t="n"/>
      <c r="CB108" s="61" t="n"/>
      <c r="CC108" s="61" t="n"/>
      <c r="CD108" s="61" t="n"/>
      <c r="CE108" s="61" t="n"/>
      <c r="CF108" s="61" t="n"/>
      <c r="CG108" s="61" t="n"/>
      <c r="CH108" s="61" t="n"/>
      <c r="CI108" s="61" t="n"/>
      <c r="CJ108" s="61" t="n"/>
      <c r="CK108" s="61" t="n"/>
      <c r="CL108" s="61" t="n"/>
      <c r="CM108" s="61" t="n"/>
      <c r="CN108" s="61" t="n"/>
      <c r="CO108" s="61" t="n"/>
    </row>
    <row r="109" ht="15" customFormat="1" customHeight="1" s="142">
      <c r="A109" s="163" t="n"/>
      <c r="B109" s="163" t="n"/>
      <c r="C109" s="172" t="n"/>
      <c r="D109" s="88" t="n"/>
      <c r="E109" s="117" t="str">
        <f> InpC!E$109</f>
        <v>Post-operations period</v>
      </c>
      <c r="F109" s="117" t="str">
        <f> InpC!F$109</f>
        <v>Post-fcst</v>
      </c>
      <c r="G109" s="117" t="str">
        <f> InpC!G$109</f>
        <v>label</v>
      </c>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c r="AA109" s="61" t="n"/>
      <c r="AB109" s="61" t="n"/>
      <c r="AC109" s="61" t="n"/>
      <c r="AD109" s="61" t="n"/>
      <c r="AE109" s="61" t="n"/>
      <c r="AF109" s="61" t="n"/>
      <c r="AG109" s="61" t="n"/>
      <c r="AH109" s="61" t="n"/>
      <c r="AI109" s="61" t="n"/>
      <c r="AJ109" s="61" t="n"/>
      <c r="AK109" s="61" t="n"/>
      <c r="AL109" s="61" t="n"/>
      <c r="AM109" s="61" t="n"/>
      <c r="AN109" s="61" t="n"/>
      <c r="AO109" s="61" t="n"/>
      <c r="AP109" s="61" t="n"/>
      <c r="AQ109" s="61" t="n"/>
      <c r="AR109" s="61" t="n"/>
      <c r="AS109" s="61" t="n"/>
      <c r="AT109" s="61" t="n"/>
      <c r="AU109" s="61" t="n"/>
      <c r="AV109" s="61" t="n"/>
      <c r="AW109" s="61" t="n"/>
      <c r="AX109" s="61" t="n"/>
      <c r="AY109" s="61" t="n"/>
      <c r="AZ109" s="61" t="n"/>
      <c r="BA109" s="61" t="n"/>
      <c r="BB109" s="61" t="n"/>
      <c r="BC109" s="61" t="n"/>
      <c r="BD109" s="61" t="n"/>
      <c r="BE109" s="61" t="n"/>
      <c r="BF109" s="61" t="n"/>
      <c r="BG109" s="61" t="n"/>
      <c r="BH109" s="61" t="n"/>
      <c r="BI109" s="61" t="n"/>
      <c r="BJ109" s="61" t="n"/>
      <c r="BK109" s="61" t="n"/>
      <c r="BL109" s="61" t="n"/>
      <c r="BM109" s="61" t="n"/>
      <c r="BN109" s="61" t="n"/>
      <c r="BO109" s="61" t="n"/>
      <c r="BP109" s="61" t="n"/>
      <c r="BQ109" s="61" t="n"/>
      <c r="BR109" s="61" t="n"/>
      <c r="BS109" s="61" t="n"/>
      <c r="BT109" s="61" t="n"/>
      <c r="BU109" s="61" t="n"/>
      <c r="BV109" s="61" t="n"/>
      <c r="BW109" s="61" t="n"/>
      <c r="BX109" s="61" t="n"/>
      <c r="BY109" s="61" t="n"/>
      <c r="BZ109" s="61" t="n"/>
      <c r="CA109" s="61" t="n"/>
      <c r="CB109" s="61" t="n"/>
      <c r="CC109" s="61" t="n"/>
      <c r="CD109" s="61" t="n"/>
      <c r="CE109" s="61" t="n"/>
      <c r="CF109" s="61" t="n"/>
      <c r="CG109" s="61" t="n"/>
      <c r="CH109" s="61" t="n"/>
      <c r="CI109" s="61" t="n"/>
      <c r="CJ109" s="61" t="n"/>
      <c r="CK109" s="61" t="n"/>
      <c r="CL109" s="61" t="n"/>
      <c r="CM109" s="61" t="n"/>
      <c r="CN109" s="61" t="n"/>
      <c r="CO109" s="61" t="n"/>
    </row>
    <row r="110" customFormat="1" s="159">
      <c r="A110" s="155" t="n"/>
      <c r="B110" s="155" t="n"/>
      <c r="C110" s="156" t="n"/>
      <c r="D110" s="157" t="n"/>
      <c r="E110" s="158" t="str">
        <f> E$104</f>
        <v>Timeline label counter</v>
      </c>
      <c r="F110" s="158">
        <f> F$104</f>
        <v>0.0</v>
      </c>
      <c r="G110" s="158" t="str">
        <f> G$104</f>
        <v>counter</v>
      </c>
      <c r="H110" s="158">
        <f> H$104</f>
        <v>0.0</v>
      </c>
      <c r="I110" s="158">
        <f> I$104</f>
        <v>0.0</v>
      </c>
      <c r="J110" s="158">
        <f> J$104</f>
        <v>1.0</v>
      </c>
      <c r="K110" s="158">
        <f> K$104</f>
        <v>2.0</v>
      </c>
      <c r="L110" s="158">
        <f> L$104</f>
        <v>3.0</v>
      </c>
      <c r="M110" s="158">
        <f> M$104</f>
        <v>3.0</v>
      </c>
      <c r="N110" s="158">
        <f> N$104</f>
        <v>3.0</v>
      </c>
      <c r="O110" s="158">
        <f> O$104</f>
        <v>3.0</v>
      </c>
      <c r="P110" s="158">
        <f> P$104</f>
        <v>3.0</v>
      </c>
      <c r="Q110" s="158">
        <f> Q$104</f>
        <v>3.0</v>
      </c>
      <c r="R110" s="158">
        <f> R$104</f>
        <v>3.0</v>
      </c>
      <c r="S110" s="158">
        <f> S$104</f>
        <v>3.0</v>
      </c>
      <c r="T110" s="158">
        <f> T$104</f>
        <v>3.0</v>
      </c>
      <c r="U110" s="158">
        <f> U$104</f>
        <v>3.0</v>
      </c>
      <c r="V110" s="158">
        <f> V$104</f>
        <v>3.0</v>
      </c>
      <c r="W110" s="158">
        <f> W$104</f>
        <v>3.0</v>
      </c>
      <c r="X110" s="158">
        <f> X$104</f>
        <v>3.0</v>
      </c>
      <c r="Y110" s="158">
        <f> Y$104</f>
        <v>3.0</v>
      </c>
      <c r="Z110" s="158">
        <f> Z$104</f>
        <v>3.0</v>
      </c>
      <c r="AA110" s="158">
        <f> AA$104</f>
        <v>3.0</v>
      </c>
      <c r="AB110" s="158">
        <f> AB$104</f>
        <v>3.0</v>
      </c>
      <c r="AC110" s="158">
        <f> AC$104</f>
        <v>3.0</v>
      </c>
      <c r="AD110" s="158">
        <f> AD$104</f>
        <v>3.0</v>
      </c>
      <c r="AE110" s="158">
        <f> AE$104</f>
        <v>3.0</v>
      </c>
      <c r="AF110" s="158">
        <f> AF$104</f>
        <v>3.0</v>
      </c>
      <c r="AG110" s="158">
        <f> AG$104</f>
        <v>3.0</v>
      </c>
      <c r="AH110" s="158">
        <f> AH$104</f>
        <v>3.0</v>
      </c>
      <c r="AI110" s="158">
        <f> AI$104</f>
        <v>3.0</v>
      </c>
      <c r="AJ110" s="158">
        <f> AJ$104</f>
        <v>3.0</v>
      </c>
      <c r="AK110" s="158">
        <f> AK$104</f>
        <v>3.0</v>
      </c>
      <c r="AL110" s="158">
        <f> AL$104</f>
        <v>3.0</v>
      </c>
      <c r="AM110" s="158">
        <f> AM$104</f>
        <v>3.0</v>
      </c>
      <c r="AN110" s="158">
        <f> AN$104</f>
        <v>3.0</v>
      </c>
      <c r="AO110" s="158">
        <f> AO$104</f>
        <v>3.0</v>
      </c>
      <c r="AP110" s="158">
        <f> AP$104</f>
        <v>3.0</v>
      </c>
      <c r="AQ110" s="158">
        <f> AQ$104</f>
        <v>3.0</v>
      </c>
      <c r="AR110" s="158">
        <f> AR$104</f>
        <v>3.0</v>
      </c>
      <c r="AS110" s="158">
        <f> AS$104</f>
        <v>3.0</v>
      </c>
      <c r="AT110" s="158">
        <f> AT$104</f>
        <v>3.0</v>
      </c>
      <c r="AU110" s="158">
        <f> AU$104</f>
        <v>3.0</v>
      </c>
      <c r="AV110" s="158">
        <f> AV$104</f>
        <v>3.0</v>
      </c>
      <c r="AW110" s="158">
        <f> AW$104</f>
        <v>3.0</v>
      </c>
      <c r="AX110" s="158">
        <f> AX$104</f>
        <v>3.0</v>
      </c>
      <c r="AY110" s="158">
        <f> AY$104</f>
        <v>3.0</v>
      </c>
      <c r="AZ110" s="158">
        <f> AZ$104</f>
        <v>3.0</v>
      </c>
      <c r="BA110" s="158">
        <f> BA$104</f>
        <v>3.0</v>
      </c>
      <c r="BB110" s="158">
        <f> BB$104</f>
        <v>3.0</v>
      </c>
      <c r="BC110" s="158">
        <f> BC$104</f>
        <v>3.0</v>
      </c>
      <c r="BD110" s="158">
        <f> BD$104</f>
        <v>3.0</v>
      </c>
      <c r="BE110" s="158">
        <f> BE$104</f>
        <v>3.0</v>
      </c>
      <c r="BF110" s="158">
        <f> BF$104</f>
        <v>3.0</v>
      </c>
      <c r="BG110" s="158">
        <f> BG$104</f>
        <v>3.0</v>
      </c>
      <c r="BH110" s="158">
        <f> BH$104</f>
        <v>3.0</v>
      </c>
      <c r="BI110" s="158">
        <f> BI$104</f>
        <v>3.0</v>
      </c>
      <c r="BJ110" s="158">
        <f> BJ$104</f>
        <v>3.0</v>
      </c>
      <c r="BK110" s="158">
        <f> BK$104</f>
        <v>3.0</v>
      </c>
      <c r="BL110" s="158">
        <f> BL$104</f>
        <v>3.0</v>
      </c>
      <c r="BM110" s="158">
        <f> BM$104</f>
        <v>3.0</v>
      </c>
      <c r="BN110" s="158">
        <f> BN$104</f>
        <v>3.0</v>
      </c>
      <c r="BO110" s="158">
        <f> BO$104</f>
        <v>3.0</v>
      </c>
      <c r="BP110" s="158">
        <f> BP$104</f>
        <v>3.0</v>
      </c>
      <c r="BQ110" s="158">
        <f> BQ$104</f>
        <v>3.0</v>
      </c>
      <c r="BR110" s="158">
        <f> BR$104</f>
        <v>3.0</v>
      </c>
      <c r="BS110" s="158">
        <f> BS$104</f>
        <v>3.0</v>
      </c>
      <c r="BT110" s="158">
        <f> BT$104</f>
        <v>3.0</v>
      </c>
      <c r="BU110" s="158">
        <f> BU$104</f>
        <v>3.0</v>
      </c>
      <c r="BV110" s="158">
        <f> BV$104</f>
        <v>3.0</v>
      </c>
      <c r="BW110" s="158">
        <f> BW$104</f>
        <v>3.0</v>
      </c>
      <c r="BX110" s="158">
        <f> BX$104</f>
        <v>3.0</v>
      </c>
      <c r="BY110" s="158">
        <f> BY$104</f>
        <v>3.0</v>
      </c>
      <c r="BZ110" s="158">
        <f> BZ$104</f>
        <v>3.0</v>
      </c>
      <c r="CA110" s="158">
        <f> CA$104</f>
        <v>3.0</v>
      </c>
      <c r="CB110" s="158">
        <f> CB$104</f>
        <v>3.0</v>
      </c>
      <c r="CC110" s="158">
        <f> CC$104</f>
        <v>3.0</v>
      </c>
      <c r="CD110" s="158">
        <f> CD$104</f>
        <v>3.0</v>
      </c>
      <c r="CE110" s="158">
        <f> CE$104</f>
        <v>3.0</v>
      </c>
      <c r="CF110" s="158">
        <f> CF$104</f>
        <v>3.0</v>
      </c>
      <c r="CG110" s="158">
        <f> CG$104</f>
        <v>3.0</v>
      </c>
      <c r="CH110" s="158">
        <f> CH$104</f>
        <v>3.0</v>
      </c>
      <c r="CI110" s="158">
        <f> CI$104</f>
        <v>3.0</v>
      </c>
      <c r="CJ110" s="158">
        <f> CJ$104</f>
        <v>3.0</v>
      </c>
      <c r="CK110" s="158">
        <f> CK$104</f>
        <v>3.0</v>
      </c>
      <c r="CL110" s="158">
        <f> CL$104</f>
        <v>3.0</v>
      </c>
      <c r="CM110" s="158">
        <f> CM$104</f>
        <v>3.0</v>
      </c>
      <c r="CN110" s="158">
        <f> CN$104</f>
        <v>4.0</v>
      </c>
      <c r="CO110" s="158">
        <f> CO$104</f>
        <v>4.0</v>
      </c>
    </row>
    <row r="111" customFormat="1" s="357">
      <c r="A111" s="20" t="n"/>
      <c r="B111" s="20" t="n"/>
      <c r="C111" s="60" t="n"/>
      <c r="D111" s="244" t="n"/>
      <c r="E111" s="160" t="inlineStr">
        <is>
          <t>Timeline label</t>
        </is>
      </c>
      <c r="F111" s="160" t="n"/>
      <c r="G111" s="160" t="inlineStr">
        <is>
          <t>label</t>
        </is>
      </c>
      <c r="H111" s="244" t="n"/>
      <c r="I111" s="244" t="n"/>
      <c r="J111" s="244" t="str">
        <f> INDEX($F106:$F109, J110)</f>
        <v>Pre-fcst</v>
      </c>
      <c r="K111" s="244" t="str">
        <f> INDEX($F106:$F109, K110)</f>
        <v>Fin close</v>
      </c>
      <c r="L111" s="244" t="str">
        <f> INDEX($F106:$F109, L110)</f>
        <v>Forecast</v>
      </c>
      <c r="M111" s="244" t="str">
        <f> INDEX($F106:$F109, M110)</f>
        <v>Forecast</v>
      </c>
      <c r="N111" s="244" t="str">
        <f> INDEX($F106:$F109, N110)</f>
        <v>Forecast</v>
      </c>
      <c r="O111" s="244" t="str">
        <f> INDEX($F106:$F109, O110)</f>
        <v>Forecast</v>
      </c>
      <c r="P111" s="244" t="str">
        <f> INDEX($F106:$F109, P110)</f>
        <v>Forecast</v>
      </c>
      <c r="Q111" s="244" t="str">
        <f> INDEX($F106:$F109, Q110)</f>
        <v>Forecast</v>
      </c>
      <c r="R111" s="244" t="str">
        <f> INDEX($F106:$F109, R110)</f>
        <v>Forecast</v>
      </c>
      <c r="S111" s="244" t="str">
        <f> INDEX($F106:$F109, S110)</f>
        <v>Forecast</v>
      </c>
      <c r="T111" s="244" t="str">
        <f> INDEX($F106:$F109, T110)</f>
        <v>Forecast</v>
      </c>
      <c r="U111" s="244" t="str">
        <f> INDEX($F106:$F109, U110)</f>
        <v>Forecast</v>
      </c>
      <c r="V111" s="244" t="str">
        <f> INDEX($F106:$F109, V110)</f>
        <v>Forecast</v>
      </c>
      <c r="W111" s="244" t="str">
        <f> INDEX($F106:$F109, W110)</f>
        <v>Forecast</v>
      </c>
      <c r="X111" s="244" t="str">
        <f> INDEX($F106:$F109, X110)</f>
        <v>Forecast</v>
      </c>
      <c r="Y111" s="244" t="str">
        <f> INDEX($F106:$F109, Y110)</f>
        <v>Forecast</v>
      </c>
      <c r="Z111" s="244" t="str">
        <f> INDEX($F106:$F109, Z110)</f>
        <v>Forecast</v>
      </c>
      <c r="AA111" s="244" t="str">
        <f> INDEX($F106:$F109, AA110)</f>
        <v>Forecast</v>
      </c>
      <c r="AB111" s="244" t="str">
        <f> INDEX($F106:$F109, AB110)</f>
        <v>Forecast</v>
      </c>
      <c r="AC111" s="244" t="str">
        <f> INDEX($F106:$F109, AC110)</f>
        <v>Forecast</v>
      </c>
      <c r="AD111" s="244" t="str">
        <f> INDEX($F106:$F109, AD110)</f>
        <v>Forecast</v>
      </c>
      <c r="AE111" s="244" t="str">
        <f> INDEX($F106:$F109, AE110)</f>
        <v>Forecast</v>
      </c>
      <c r="AF111" s="244" t="str">
        <f> INDEX($F106:$F109, AF110)</f>
        <v>Forecast</v>
      </c>
      <c r="AG111" s="244" t="str">
        <f> INDEX($F106:$F109, AG110)</f>
        <v>Forecast</v>
      </c>
      <c r="AH111" s="244" t="str">
        <f> INDEX($F106:$F109, AH110)</f>
        <v>Forecast</v>
      </c>
      <c r="AI111" s="244" t="str">
        <f> INDEX($F106:$F109, AI110)</f>
        <v>Forecast</v>
      </c>
      <c r="AJ111" s="244" t="str">
        <f> INDEX($F106:$F109, AJ110)</f>
        <v>Forecast</v>
      </c>
      <c r="AK111" s="244" t="str">
        <f> INDEX($F106:$F109, AK110)</f>
        <v>Forecast</v>
      </c>
      <c r="AL111" s="244" t="str">
        <f> INDEX($F106:$F109, AL110)</f>
        <v>Forecast</v>
      </c>
      <c r="AM111" s="244" t="str">
        <f> INDEX($F106:$F109, AM110)</f>
        <v>Forecast</v>
      </c>
      <c r="AN111" s="244" t="str">
        <f> INDEX($F106:$F109, AN110)</f>
        <v>Forecast</v>
      </c>
      <c r="AO111" s="244" t="str">
        <f> INDEX($F106:$F109, AO110)</f>
        <v>Forecast</v>
      </c>
      <c r="AP111" s="244" t="str">
        <f> INDEX($F106:$F109, AP110)</f>
        <v>Forecast</v>
      </c>
      <c r="AQ111" s="244" t="str">
        <f> INDEX($F106:$F109, AQ110)</f>
        <v>Forecast</v>
      </c>
      <c r="AR111" s="244" t="str">
        <f> INDEX($F106:$F109, AR110)</f>
        <v>Forecast</v>
      </c>
      <c r="AS111" s="244" t="str">
        <f> INDEX($F106:$F109, AS110)</f>
        <v>Forecast</v>
      </c>
      <c r="AT111" s="244" t="str">
        <f> INDEX($F106:$F109, AT110)</f>
        <v>Forecast</v>
      </c>
      <c r="AU111" s="244" t="str">
        <f> INDEX($F106:$F109, AU110)</f>
        <v>Forecast</v>
      </c>
      <c r="AV111" s="244" t="str">
        <f> INDEX($F106:$F109, AV110)</f>
        <v>Forecast</v>
      </c>
      <c r="AW111" s="244" t="str">
        <f> INDEX($F106:$F109, AW110)</f>
        <v>Forecast</v>
      </c>
      <c r="AX111" s="244" t="str">
        <f> INDEX($F106:$F109, AX110)</f>
        <v>Forecast</v>
      </c>
      <c r="AY111" s="244" t="str">
        <f> INDEX($F106:$F109, AY110)</f>
        <v>Forecast</v>
      </c>
      <c r="AZ111" s="244" t="str">
        <f> INDEX($F106:$F109, AZ110)</f>
        <v>Forecast</v>
      </c>
      <c r="BA111" s="244" t="str">
        <f> INDEX($F106:$F109, BA110)</f>
        <v>Forecast</v>
      </c>
      <c r="BB111" s="244" t="str">
        <f> INDEX($F106:$F109, BB110)</f>
        <v>Forecast</v>
      </c>
      <c r="BC111" s="244" t="str">
        <f> INDEX($F106:$F109, BC110)</f>
        <v>Forecast</v>
      </c>
      <c r="BD111" s="244" t="str">
        <f> INDEX($F106:$F109, BD110)</f>
        <v>Forecast</v>
      </c>
      <c r="BE111" s="244" t="str">
        <f> INDEX($F106:$F109, BE110)</f>
        <v>Forecast</v>
      </c>
      <c r="BF111" s="244" t="str">
        <f> INDEX($F106:$F109, BF110)</f>
        <v>Forecast</v>
      </c>
      <c r="BG111" s="244" t="str">
        <f> INDEX($F106:$F109, BG110)</f>
        <v>Forecast</v>
      </c>
      <c r="BH111" s="244" t="str">
        <f> INDEX($F106:$F109, BH110)</f>
        <v>Forecast</v>
      </c>
      <c r="BI111" s="244" t="str">
        <f> INDEX($F106:$F109, BI110)</f>
        <v>Forecast</v>
      </c>
      <c r="BJ111" s="244" t="str">
        <f> INDEX($F106:$F109, BJ110)</f>
        <v>Forecast</v>
      </c>
      <c r="BK111" s="244" t="str">
        <f> INDEX($F106:$F109, BK110)</f>
        <v>Forecast</v>
      </c>
      <c r="BL111" s="244" t="str">
        <f> INDEX($F106:$F109, BL110)</f>
        <v>Forecast</v>
      </c>
      <c r="BM111" s="244" t="str">
        <f> INDEX($F106:$F109, BM110)</f>
        <v>Forecast</v>
      </c>
      <c r="BN111" s="244" t="str">
        <f> INDEX($F106:$F109, BN110)</f>
        <v>Forecast</v>
      </c>
      <c r="BO111" s="244" t="str">
        <f> INDEX($F106:$F109, BO110)</f>
        <v>Forecast</v>
      </c>
      <c r="BP111" s="244" t="str">
        <f> INDEX($F106:$F109, BP110)</f>
        <v>Forecast</v>
      </c>
      <c r="BQ111" s="244" t="str">
        <f> INDEX($F106:$F109, BQ110)</f>
        <v>Forecast</v>
      </c>
      <c r="BR111" s="244" t="str">
        <f> INDEX($F106:$F109, BR110)</f>
        <v>Forecast</v>
      </c>
      <c r="BS111" s="244" t="str">
        <f> INDEX($F106:$F109, BS110)</f>
        <v>Forecast</v>
      </c>
      <c r="BT111" s="244" t="str">
        <f> INDEX($F106:$F109, BT110)</f>
        <v>Forecast</v>
      </c>
      <c r="BU111" s="244" t="str">
        <f> INDEX($F106:$F109, BU110)</f>
        <v>Forecast</v>
      </c>
      <c r="BV111" s="244" t="str">
        <f> INDEX($F106:$F109, BV110)</f>
        <v>Forecast</v>
      </c>
      <c r="BW111" s="244" t="str">
        <f> INDEX($F106:$F109, BW110)</f>
        <v>Forecast</v>
      </c>
      <c r="BX111" s="244" t="str">
        <f> INDEX($F106:$F109, BX110)</f>
        <v>Forecast</v>
      </c>
      <c r="BY111" s="244" t="str">
        <f> INDEX($F106:$F109, BY110)</f>
        <v>Forecast</v>
      </c>
      <c r="BZ111" s="244" t="str">
        <f> INDEX($F106:$F109, BZ110)</f>
        <v>Forecast</v>
      </c>
      <c r="CA111" s="244" t="str">
        <f> INDEX($F106:$F109, CA110)</f>
        <v>Forecast</v>
      </c>
      <c r="CB111" s="244" t="str">
        <f> INDEX($F106:$F109, CB110)</f>
        <v>Forecast</v>
      </c>
      <c r="CC111" s="244" t="str">
        <f> INDEX($F106:$F109, CC110)</f>
        <v>Forecast</v>
      </c>
      <c r="CD111" s="244" t="str">
        <f> INDEX($F106:$F109, CD110)</f>
        <v>Forecast</v>
      </c>
      <c r="CE111" s="244" t="str">
        <f> INDEX($F106:$F109, CE110)</f>
        <v>Forecast</v>
      </c>
      <c r="CF111" s="244" t="str">
        <f> INDEX($F106:$F109, CF110)</f>
        <v>Forecast</v>
      </c>
      <c r="CG111" s="244" t="str">
        <f> INDEX($F106:$F109, CG110)</f>
        <v>Forecast</v>
      </c>
      <c r="CH111" s="244" t="str">
        <f> INDEX($F106:$F109, CH110)</f>
        <v>Forecast</v>
      </c>
      <c r="CI111" s="244" t="str">
        <f> INDEX($F106:$F109, CI110)</f>
        <v>Forecast</v>
      </c>
      <c r="CJ111" s="244" t="str">
        <f> INDEX($F106:$F109, CJ110)</f>
        <v>Forecast</v>
      </c>
      <c r="CK111" s="244" t="str">
        <f> INDEX($F106:$F109, CK110)</f>
        <v>Forecast</v>
      </c>
      <c r="CL111" s="244" t="str">
        <f> INDEX($F106:$F109, CL110)</f>
        <v>Forecast</v>
      </c>
      <c r="CM111" s="244" t="str">
        <f> INDEX($F106:$F109, CM110)</f>
        <v>Forecast</v>
      </c>
      <c r="CN111" s="244" t="str">
        <f> INDEX($F106:$F109, CN110)</f>
        <v>Post-fcst</v>
      </c>
      <c r="CO111" s="244" t="str">
        <f> INDEX($F106:$F109, CO110)</f>
        <v>Post-fcst</v>
      </c>
    </row>
    <row r="114" customFormat="1" s="146">
      <c r="A114" s="163" t="inlineStr">
        <is>
          <t>MODELLING PERIOD CHECK</t>
        </is>
      </c>
      <c r="B114" s="163" t="n"/>
      <c r="C114" s="172" t="n"/>
      <c r="D114" s="88" t="n"/>
      <c r="E114" s="169" t="n"/>
      <c r="F114" s="169" t="n"/>
      <c r="G114" s="169" t="n"/>
      <c r="H114" s="169" t="n"/>
      <c r="I114" s="169" t="n"/>
      <c r="J114" s="169" t="n"/>
      <c r="K114" s="169" t="n"/>
      <c r="L114" s="169" t="n"/>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row>
    <row r="115" customFormat="1" s="146">
      <c r="A115" s="163" t="n"/>
      <c r="B115" s="163" t="n"/>
      <c r="C115" s="172" t="n"/>
      <c r="D115" s="88" t="n"/>
      <c r="E115" s="169" t="n"/>
      <c r="F115" s="169" t="n"/>
      <c r="G115" s="169" t="n"/>
      <c r="H115" s="169" t="n"/>
      <c r="I115" s="169" t="n"/>
      <c r="J115" s="169" t="n"/>
      <c r="K115" s="169" t="n"/>
      <c r="L115" s="169" t="n"/>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row>
    <row r="116" customFormat="1" s="146">
      <c r="A116" s="163" t="n"/>
      <c r="B116" s="163" t="n"/>
      <c r="C116" s="172" t="n"/>
      <c r="D116" s="88" t="n"/>
      <c r="E116" s="169" t="str">
        <f> E$11</f>
        <v>Model column total</v>
      </c>
      <c r="F116" s="169">
        <f> F$11</f>
        <v>84.0</v>
      </c>
      <c r="G116" s="169" t="str">
        <f> G$11</f>
        <v>columns</v>
      </c>
      <c r="H116" s="169" t="n"/>
      <c r="I116" s="169" t="n"/>
      <c r="J116" s="169" t="n"/>
      <c r="K116" s="169" t="n"/>
      <c r="L116" s="169" t="n"/>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row>
    <row r="117" customFormat="1" s="146">
      <c r="A117" s="163" t="n"/>
      <c r="B117" s="163" t="n"/>
      <c r="C117" s="172" t="n"/>
      <c r="D117" s="88" t="inlineStr">
        <is>
          <t>less</t>
        </is>
      </c>
      <c r="E117" s="169" t="str">
        <f> E$59</f>
        <v>Pre-forecast period total</v>
      </c>
      <c r="F117" s="169">
        <f> F$59</f>
        <v>2.0</v>
      </c>
      <c r="G117" s="169" t="str">
        <f> G$59</f>
        <v>columns</v>
      </c>
      <c r="H117" s="169" t="n"/>
      <c r="I117" s="169" t="n"/>
      <c r="J117" s="169" t="n"/>
      <c r="K117" s="169" t="n"/>
      <c r="L117" s="169" t="n"/>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row>
    <row r="118" customFormat="1" s="146">
      <c r="A118" s="163" t="n"/>
      <c r="B118" s="163" t="n"/>
      <c r="C118" s="172" t="n"/>
      <c r="D118" s="88" t="inlineStr">
        <is>
          <t>less</t>
        </is>
      </c>
      <c r="E118" s="162" t="str">
        <f> E$70</f>
        <v>Forecast period total</v>
      </c>
      <c r="F118" s="162">
        <f> F$70</f>
        <v>80.0</v>
      </c>
      <c r="G118" s="162" t="str">
        <f> G$70</f>
        <v>columns</v>
      </c>
      <c r="H118" s="169" t="n"/>
      <c r="I118" s="169" t="n"/>
      <c r="J118" s="169" t="n"/>
      <c r="K118" s="169" t="n"/>
      <c r="L118" s="169" t="n"/>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row>
    <row r="119" customFormat="1" s="146">
      <c r="A119" s="163" t="n"/>
      <c r="B119" s="163" t="n"/>
      <c r="C119" s="172" t="n"/>
      <c r="D119" s="88" t="inlineStr">
        <is>
          <t>less</t>
        </is>
      </c>
      <c r="E119" s="162" t="str">
        <f> E$84</f>
        <v>Post forecast period total</v>
      </c>
      <c r="F119" s="162">
        <f> F$84</f>
        <v>2.0</v>
      </c>
      <c r="G119" s="162" t="str">
        <f> G$84</f>
        <v>columns</v>
      </c>
      <c r="H119" s="169" t="n"/>
      <c r="I119" s="169" t="n"/>
      <c r="J119" s="169" t="n"/>
      <c r="K119" s="169" t="n"/>
      <c r="L119" s="169" t="n"/>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row>
    <row r="120" customFormat="1" s="146">
      <c r="A120" s="163" t="n"/>
      <c r="B120" s="163" t="n"/>
      <c r="C120" s="172" t="n"/>
      <c r="D120" s="88" t="n"/>
      <c r="E120" s="169" t="inlineStr">
        <is>
          <t>Modelling period check</t>
        </is>
      </c>
      <c r="F120" s="164">
        <f> IF(F116 - SUM(F117:F119) &lt;&gt; 0, 1, 0)</f>
        <v>0.0</v>
      </c>
      <c r="G120" s="169" t="inlineStr">
        <is>
          <t>check</t>
        </is>
      </c>
      <c r="H120" s="169" t="n"/>
      <c r="I120" s="169" t="n"/>
      <c r="J120" s="169" t="n"/>
      <c r="K120" s="169" t="n"/>
      <c r="L120" s="169" t="n"/>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row>
    <row r="121" customFormat="1" s="146">
      <c r="A121" s="163" t="n"/>
      <c r="B121" s="163" t="n"/>
      <c r="C121" s="172" t="n"/>
      <c r="D121" s="88" t="n"/>
      <c r="E121" s="169" t="n"/>
      <c r="F121" s="169" t="n"/>
      <c r="G121" s="169" t="n"/>
      <c r="H121" s="169" t="n"/>
      <c r="I121" s="169" t="n"/>
      <c r="J121" s="169" t="n"/>
      <c r="K121" s="169" t="n"/>
      <c r="L121" s="169" t="n"/>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row>
  </sheetData>
  <conditionalFormatting sqref="A95:XFD95">
    <cfRule type="containsText" priority="1" operator="containsText" dxfId="36" text="Doctor">
      <formula>NOT(ISERROR(SEARCH("Doctor",A95)))</formula>
    </cfRule>
  </conditionalFormatting>
  <conditionalFormatting sqref="F120">
    <cfRule type="cellIs" priority="14" operator="notEqual" dxfId="10" stopIfTrue="1">
      <formula>0</formula>
    </cfRule>
    <cfRule type="cellIs" priority="15" operator="equal" dxfId="10" stopIfTrue="1">
      <formula>""</formula>
    </cfRule>
  </conditionalFormatting>
  <conditionalFormatting sqref="J3:CO3">
    <cfRule type="cellIs" priority="16" operator="equal" dxfId="1" stopIfTrue="1">
      <formula>"Pre-fcst"</formula>
    </cfRule>
    <cfRule type="cellIs" priority="17"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6.xml><?xml version="1.0" encoding="utf-8"?>
<worksheet xmlns="http://schemas.openxmlformats.org/spreadsheetml/2006/main">
  <sheetPr>
    <tabColor rgb="001C7293"/>
    <outlinePr summaryBelow="0" summaryRight="0"/>
    <pageSetUpPr/>
  </sheetPr>
  <dimension ref="A1:CO38"/>
  <sheetViews>
    <sheetView showGridLines="0" defaultGridColor="0" colorId="22" zoomScaleNormal="100" workbookViewId="0">
      <pane xSplit="9" ySplit="5" topLeftCell="J6" activePane="bottomRight" state="frozen"/>
      <selection activeCell="I34" sqref="I34"/>
      <selection pane="topRight" activeCell="I34" sqref="I34"/>
      <selection pane="bottomLeft" activeCell="I34" sqref="I34"/>
      <selection pane="bottomRight" activeCell="E16" sqref="A16:XFD16"/>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ESCALATION</t>
        </is>
      </c>
    </row>
    <row r="9">
      <c r="C9" s="212" t="inlineStr">
        <is>
          <t>CPI inflation rate</t>
        </is>
      </c>
    </row>
    <row r="10">
      <c r="E10" s="339" t="str">
        <f> InpC!E$16</f>
        <v>Start of the inflation year</v>
      </c>
      <c r="F10" s="339" t="str">
        <f> InpC!F$16</f>
        <v>% p.a</v>
      </c>
      <c r="G10" s="325">
        <f> InpC!G$16</f>
        <v>0.0</v>
      </c>
    </row>
    <row r="11">
      <c r="E11" s="338">
        <f> InpC!E$17</f>
        <v>44256.0</v>
      </c>
      <c r="F11" s="336">
        <f> InpC!F$17</f>
        <v>0.07</v>
      </c>
      <c r="G11" s="325" t="str">
        <f> InpC!G$17</f>
        <v>% p.a</v>
      </c>
    </row>
    <row r="12">
      <c r="E12" s="338">
        <f> InpC!E$18</f>
        <v>44621.0</v>
      </c>
      <c r="F12" s="336">
        <f> InpC!F$18</f>
        <v>0.06</v>
      </c>
      <c r="G12" s="325" t="str">
        <f> InpC!G$18</f>
        <v>% p.a</v>
      </c>
    </row>
    <row r="13">
      <c r="E13" s="338">
        <f> InpC!E$19</f>
        <v>44986.0</v>
      </c>
      <c r="F13" s="336">
        <f> InpC!F$19</f>
        <v>0.05</v>
      </c>
      <c r="G13" s="325" t="str">
        <f> InpC!G$19</f>
        <v>% p.a</v>
      </c>
    </row>
    <row r="14">
      <c r="E14" s="338">
        <f> InpC!E$20</f>
        <v>45352.0</v>
      </c>
      <c r="F14" s="336">
        <f> InpC!F$20</f>
        <v>0.04</v>
      </c>
      <c r="G14" s="325" t="str">
        <f> InpC!G$20</f>
        <v>% p.a</v>
      </c>
    </row>
    <row r="15">
      <c r="E15" s="338">
        <f> InpC!E$21</f>
        <v>45717.0</v>
      </c>
      <c r="F15" s="336">
        <f> InpC!F$21</f>
        <v>0.03</v>
      </c>
      <c r="G15" s="325" t="str">
        <f> InpC!G$21</f>
        <v>% p.a</v>
      </c>
    </row>
    <row r="16" customFormat="1" s="340">
      <c r="C16" s="341" t="n"/>
      <c r="D16" s="342" t="n"/>
      <c r="E16" s="343" t="str">
        <f> Time!E$25</f>
        <v>Model period ending </v>
      </c>
      <c r="F16" s="343">
        <f> Time!F$25</f>
        <v>0.0</v>
      </c>
      <c r="G16" s="343" t="str">
        <f> Time!G$25</f>
        <v>date</v>
      </c>
      <c r="H16" s="343">
        <f> Time!H$25</f>
        <v>0.0</v>
      </c>
      <c r="I16" s="343">
        <f> Time!I$25</f>
        <v>0.0</v>
      </c>
      <c r="J16" s="343">
        <f> Time!J$25</f>
        <v>44469.0</v>
      </c>
      <c r="K16" s="340">
        <f> Time!K$25</f>
        <v>44561.0</v>
      </c>
      <c r="L16" s="340">
        <f> Time!L$25</f>
        <v>44651.0</v>
      </c>
      <c r="M16" s="340">
        <f> Time!M$25</f>
        <v>44742.0</v>
      </c>
      <c r="N16" s="340">
        <f> Time!N$25</f>
        <v>44834.0</v>
      </c>
      <c r="O16" s="340">
        <f> Time!O$25</f>
        <v>44926.0</v>
      </c>
      <c r="P16" s="340">
        <f> Time!P$25</f>
        <v>45016.0</v>
      </c>
      <c r="Q16" s="340">
        <f> Time!Q$25</f>
        <v>45107.0</v>
      </c>
      <c r="R16" s="340">
        <f> Time!R$25</f>
        <v>45199.0</v>
      </c>
      <c r="S16" s="340">
        <f> Time!S$25</f>
        <v>45291.0</v>
      </c>
      <c r="T16" s="340">
        <f> Time!T$25</f>
        <v>45382.0</v>
      </c>
      <c r="U16" s="340">
        <f> Time!U$25</f>
        <v>45473.0</v>
      </c>
      <c r="V16" s="340">
        <f> Time!V$25</f>
        <v>45565.0</v>
      </c>
      <c r="W16" s="340">
        <f> Time!W$25</f>
        <v>45657.0</v>
      </c>
      <c r="X16" s="340">
        <f> Time!X$25</f>
        <v>45747.0</v>
      </c>
      <c r="Y16" s="340">
        <f> Time!Y$25</f>
        <v>45838.0</v>
      </c>
      <c r="Z16" s="340">
        <f> Time!Z$25</f>
        <v>45930.0</v>
      </c>
      <c r="AA16" s="340">
        <f> Time!AA$25</f>
        <v>46022.0</v>
      </c>
      <c r="AB16" s="340">
        <f> Time!AB$25</f>
        <v>46112.0</v>
      </c>
      <c r="AC16" s="340">
        <f> Time!AC$25</f>
        <v>46203.0</v>
      </c>
      <c r="AD16" s="340">
        <f> Time!AD$25</f>
        <v>46295.0</v>
      </c>
      <c r="AE16" s="340">
        <f> Time!AE$25</f>
        <v>46387.0</v>
      </c>
      <c r="AF16" s="340">
        <f> Time!AF$25</f>
        <v>46477.0</v>
      </c>
      <c r="AG16" s="340">
        <f> Time!AG$25</f>
        <v>46568.0</v>
      </c>
      <c r="AH16" s="340">
        <f> Time!AH$25</f>
        <v>46660.0</v>
      </c>
      <c r="AI16" s="340">
        <f> Time!AI$25</f>
        <v>46752.0</v>
      </c>
      <c r="AJ16" s="340">
        <f> Time!AJ$25</f>
        <v>46843.0</v>
      </c>
      <c r="AK16" s="340">
        <f> Time!AK$25</f>
        <v>46934.0</v>
      </c>
      <c r="AL16" s="340">
        <f> Time!AL$25</f>
        <v>47026.0</v>
      </c>
      <c r="AM16" s="340">
        <f> Time!AM$25</f>
        <v>47118.0</v>
      </c>
      <c r="AN16" s="340">
        <f> Time!AN$25</f>
        <v>47208.0</v>
      </c>
      <c r="AO16" s="340">
        <f> Time!AO$25</f>
        <v>47299.0</v>
      </c>
      <c r="AP16" s="340">
        <f> Time!AP$25</f>
        <v>47391.0</v>
      </c>
      <c r="AQ16" s="340">
        <f> Time!AQ$25</f>
        <v>47483.0</v>
      </c>
      <c r="AR16" s="340">
        <f> Time!AR$25</f>
        <v>47573.0</v>
      </c>
      <c r="AS16" s="340">
        <f> Time!AS$25</f>
        <v>47664.0</v>
      </c>
      <c r="AT16" s="340">
        <f> Time!AT$25</f>
        <v>47756.0</v>
      </c>
      <c r="AU16" s="340">
        <f> Time!AU$25</f>
        <v>47848.0</v>
      </c>
      <c r="AV16" s="340">
        <f> Time!AV$25</f>
        <v>47938.0</v>
      </c>
      <c r="AW16" s="340">
        <f> Time!AW$25</f>
        <v>48029.0</v>
      </c>
      <c r="AX16" s="340">
        <f> Time!AX$25</f>
        <v>48121.0</v>
      </c>
      <c r="AY16" s="340">
        <f> Time!AY$25</f>
        <v>48213.0</v>
      </c>
      <c r="AZ16" s="340">
        <f> Time!AZ$25</f>
        <v>48304.0</v>
      </c>
      <c r="BA16" s="340">
        <f> Time!BA$25</f>
        <v>48395.0</v>
      </c>
      <c r="BB16" s="340">
        <f> Time!BB$25</f>
        <v>48487.0</v>
      </c>
      <c r="BC16" s="340">
        <f> Time!BC$25</f>
        <v>48579.0</v>
      </c>
      <c r="BD16" s="340">
        <f> Time!BD$25</f>
        <v>48669.0</v>
      </c>
      <c r="BE16" s="340">
        <f> Time!BE$25</f>
        <v>48760.0</v>
      </c>
      <c r="BF16" s="340">
        <f> Time!BF$25</f>
        <v>48852.0</v>
      </c>
      <c r="BG16" s="340">
        <f> Time!BG$25</f>
        <v>48944.0</v>
      </c>
      <c r="BH16" s="340">
        <f> Time!BH$25</f>
        <v>49034.0</v>
      </c>
      <c r="BI16" s="340">
        <f> Time!BI$25</f>
        <v>49125.0</v>
      </c>
      <c r="BJ16" s="340">
        <f> Time!BJ$25</f>
        <v>49217.0</v>
      </c>
      <c r="BK16" s="340">
        <f> Time!BK$25</f>
        <v>49309.0</v>
      </c>
      <c r="BL16" s="340">
        <f> Time!BL$25</f>
        <v>49399.0</v>
      </c>
      <c r="BM16" s="340">
        <f> Time!BM$25</f>
        <v>49490.0</v>
      </c>
      <c r="BN16" s="340">
        <f> Time!BN$25</f>
        <v>49582.0</v>
      </c>
      <c r="BO16" s="340">
        <f> Time!BO$25</f>
        <v>49674.0</v>
      </c>
      <c r="BP16" s="340">
        <f> Time!BP$25</f>
        <v>49765.0</v>
      </c>
      <c r="BQ16" s="340">
        <f> Time!BQ$25</f>
        <v>49856.0</v>
      </c>
      <c r="BR16" s="340">
        <f> Time!BR$25</f>
        <v>49948.0</v>
      </c>
      <c r="BS16" s="340">
        <f> Time!BS$25</f>
        <v>50040.0</v>
      </c>
      <c r="BT16" s="340">
        <f> Time!BT$25</f>
        <v>50130.0</v>
      </c>
      <c r="BU16" s="340">
        <f> Time!BU$25</f>
        <v>50221.0</v>
      </c>
      <c r="BV16" s="340">
        <f> Time!BV$25</f>
        <v>50313.0</v>
      </c>
      <c r="BW16" s="340">
        <f> Time!BW$25</f>
        <v>50405.0</v>
      </c>
      <c r="BX16" s="340">
        <f> Time!BX$25</f>
        <v>50495.0</v>
      </c>
      <c r="BY16" s="340">
        <f> Time!BY$25</f>
        <v>50586.0</v>
      </c>
      <c r="BZ16" s="340">
        <f> Time!BZ$25</f>
        <v>50678.0</v>
      </c>
      <c r="CA16" s="340">
        <f> Time!CA$25</f>
        <v>50770.0</v>
      </c>
      <c r="CB16" s="340">
        <f> Time!CB$25</f>
        <v>50860.0</v>
      </c>
      <c r="CC16" s="340">
        <f> Time!CC$25</f>
        <v>50951.0</v>
      </c>
      <c r="CD16" s="340">
        <f> Time!CD$25</f>
        <v>51043.0</v>
      </c>
      <c r="CE16" s="340">
        <f> Time!CE$25</f>
        <v>51135.0</v>
      </c>
      <c r="CF16" s="340">
        <f> Time!CF$25</f>
        <v>51226.0</v>
      </c>
      <c r="CG16" s="340">
        <f> Time!CG$25</f>
        <v>51317.0</v>
      </c>
      <c r="CH16" s="340">
        <f> Time!CH$25</f>
        <v>51409.0</v>
      </c>
      <c r="CI16" s="340">
        <f> Time!CI$25</f>
        <v>51501.0</v>
      </c>
      <c r="CJ16" s="340">
        <f> Time!CJ$25</f>
        <v>51591.0</v>
      </c>
      <c r="CK16" s="340">
        <f> Time!CK$25</f>
        <v>51682.0</v>
      </c>
      <c r="CL16" s="340">
        <f> Time!CL$25</f>
        <v>51774.0</v>
      </c>
      <c r="CM16" s="340">
        <f> Time!CM$25</f>
        <v>51866.0</v>
      </c>
      <c r="CN16" s="340">
        <f> Time!CN$25</f>
        <v>51956.0</v>
      </c>
      <c r="CO16" s="340">
        <f> Time!CO$25</f>
        <v>52047.0</v>
      </c>
    </row>
    <row r="17">
      <c r="E17" s="61" t="inlineStr">
        <is>
          <t>CPI inflation rate p.a</t>
        </is>
      </c>
      <c r="G17" s="61" t="inlineStr">
        <is>
          <t>% pa.</t>
        </is>
      </c>
      <c r="J17" s="271">
        <f> VLOOKUP(J16, $E11:$F15,2,TRUE)</f>
        <v>0.07</v>
      </c>
      <c r="K17" s="271">
        <f> VLOOKUP(K16, $E11:$F15,2,TRUE)</f>
        <v>0.07</v>
      </c>
      <c r="L17" s="271">
        <f> VLOOKUP(L16, $E11:$F15,2,TRUE)</f>
        <v>0.06</v>
      </c>
      <c r="M17" s="271">
        <f> VLOOKUP(M16, $E11:$F15,2,TRUE)</f>
        <v>0.06</v>
      </c>
      <c r="N17" s="271">
        <f> VLOOKUP(N16, $E11:$F15,2,TRUE)</f>
        <v>0.06</v>
      </c>
      <c r="O17" s="271">
        <f> VLOOKUP(O16, $E11:$F15,2,TRUE)</f>
        <v>0.06</v>
      </c>
      <c r="P17" s="271">
        <f> VLOOKUP(P16, $E11:$F15,2,TRUE)</f>
        <v>0.05</v>
      </c>
      <c r="Q17" s="271">
        <f> VLOOKUP(Q16, $E11:$F15,2,TRUE)</f>
        <v>0.05</v>
      </c>
      <c r="R17" s="271">
        <f> VLOOKUP(R16, $E11:$F15,2,TRUE)</f>
        <v>0.05</v>
      </c>
      <c r="S17" s="271">
        <f> VLOOKUP(S16, $E11:$F15,2,TRUE)</f>
        <v>0.05</v>
      </c>
      <c r="T17" s="271">
        <f> VLOOKUP(T16, $E11:$F15,2,TRUE)</f>
        <v>0.04</v>
      </c>
      <c r="U17" s="271">
        <f> VLOOKUP(U16, $E11:$F15,2,TRUE)</f>
        <v>0.04</v>
      </c>
      <c r="V17" s="271">
        <f> VLOOKUP(V16, $E11:$F15,2,TRUE)</f>
        <v>0.04</v>
      </c>
      <c r="W17" s="271">
        <f> VLOOKUP(W16, $E11:$F15,2,TRUE)</f>
        <v>0.04</v>
      </c>
      <c r="X17" s="271">
        <f> VLOOKUP(X16, $E11:$F15,2,TRUE)</f>
        <v>0.03</v>
      </c>
      <c r="Y17" s="271">
        <f> VLOOKUP(Y16, $E11:$F15,2,TRUE)</f>
        <v>0.03</v>
      </c>
      <c r="Z17" s="271">
        <f> VLOOKUP(Z16, $E11:$F15,2,TRUE)</f>
        <v>0.03</v>
      </c>
      <c r="AA17" s="271">
        <f> VLOOKUP(AA16, $E11:$F15,2,TRUE)</f>
        <v>0.03</v>
      </c>
      <c r="AB17" s="271">
        <f> VLOOKUP(AB16, $E11:$F15,2,TRUE)</f>
        <v>0.03</v>
      </c>
      <c r="AC17" s="271">
        <f> VLOOKUP(AC16, $E11:$F15,2,TRUE)</f>
        <v>0.03</v>
      </c>
      <c r="AD17" s="271">
        <f> VLOOKUP(AD16, $E11:$F15,2,TRUE)</f>
        <v>0.03</v>
      </c>
      <c r="AE17" s="271">
        <f> VLOOKUP(AE16, $E11:$F15,2,TRUE)</f>
        <v>0.03</v>
      </c>
      <c r="AF17" s="271">
        <f> VLOOKUP(AF16, $E11:$F15,2,TRUE)</f>
        <v>0.03</v>
      </c>
      <c r="AG17" s="271">
        <f> VLOOKUP(AG16, $E11:$F15,2,TRUE)</f>
        <v>0.03</v>
      </c>
      <c r="AH17" s="271">
        <f> VLOOKUP(AH16, $E11:$F15,2,TRUE)</f>
        <v>0.03</v>
      </c>
      <c r="AI17" s="271">
        <f> VLOOKUP(AI16, $E11:$F15,2,TRUE)</f>
        <v>0.03</v>
      </c>
      <c r="AJ17" s="271">
        <f> VLOOKUP(AJ16, $E11:$F15,2,TRUE)</f>
        <v>0.03</v>
      </c>
      <c r="AK17" s="271">
        <f> VLOOKUP(AK16, $E11:$F15,2,TRUE)</f>
        <v>0.03</v>
      </c>
      <c r="AL17" s="271">
        <f> VLOOKUP(AL16, $E11:$F15,2,TRUE)</f>
        <v>0.03</v>
      </c>
      <c r="AM17" s="271">
        <f> VLOOKUP(AM16, $E11:$F15,2,TRUE)</f>
        <v>0.03</v>
      </c>
      <c r="AN17" s="271">
        <f> VLOOKUP(AN16, $E11:$F15,2,TRUE)</f>
        <v>0.03</v>
      </c>
      <c r="AO17" s="271">
        <f> VLOOKUP(AO16, $E11:$F15,2,TRUE)</f>
        <v>0.03</v>
      </c>
      <c r="AP17" s="271">
        <f> VLOOKUP(AP16, $E11:$F15,2,TRUE)</f>
        <v>0.03</v>
      </c>
      <c r="AQ17" s="271">
        <f> VLOOKUP(AQ16, $E11:$F15,2,TRUE)</f>
        <v>0.03</v>
      </c>
      <c r="AR17" s="271">
        <f> VLOOKUP(AR16, $E11:$F15,2,TRUE)</f>
        <v>0.03</v>
      </c>
      <c r="AS17" s="271">
        <f> VLOOKUP(AS16, $E11:$F15,2,TRUE)</f>
        <v>0.03</v>
      </c>
      <c r="AT17" s="271">
        <f> VLOOKUP(AT16, $E11:$F15,2,TRUE)</f>
        <v>0.03</v>
      </c>
      <c r="AU17" s="271">
        <f> VLOOKUP(AU16, $E11:$F15,2,TRUE)</f>
        <v>0.03</v>
      </c>
      <c r="AV17" s="271">
        <f> VLOOKUP(AV16, $E11:$F15,2,TRUE)</f>
        <v>0.03</v>
      </c>
      <c r="AW17" s="271">
        <f> VLOOKUP(AW16, $E11:$F15,2,TRUE)</f>
        <v>0.03</v>
      </c>
      <c r="AX17" s="271">
        <f> VLOOKUP(AX16, $E11:$F15,2,TRUE)</f>
        <v>0.03</v>
      </c>
      <c r="AY17" s="271">
        <f> VLOOKUP(AY16, $E11:$F15,2,TRUE)</f>
        <v>0.03</v>
      </c>
      <c r="AZ17" s="271">
        <f> VLOOKUP(AZ16, $E11:$F15,2,TRUE)</f>
        <v>0.03</v>
      </c>
      <c r="BA17" s="271">
        <f> VLOOKUP(BA16, $E11:$F15,2,TRUE)</f>
        <v>0.03</v>
      </c>
      <c r="BB17" s="271">
        <f> VLOOKUP(BB16, $E11:$F15,2,TRUE)</f>
        <v>0.03</v>
      </c>
      <c r="BC17" s="271">
        <f> VLOOKUP(BC16, $E11:$F15,2,TRUE)</f>
        <v>0.03</v>
      </c>
      <c r="BD17" s="271">
        <f> VLOOKUP(BD16, $E11:$F15,2,TRUE)</f>
        <v>0.03</v>
      </c>
      <c r="BE17" s="271">
        <f> VLOOKUP(BE16, $E11:$F15,2,TRUE)</f>
        <v>0.03</v>
      </c>
      <c r="BF17" s="271">
        <f> VLOOKUP(BF16, $E11:$F15,2,TRUE)</f>
        <v>0.03</v>
      </c>
      <c r="BG17" s="271">
        <f> VLOOKUP(BG16, $E11:$F15,2,TRUE)</f>
        <v>0.03</v>
      </c>
      <c r="BH17" s="271">
        <f> VLOOKUP(BH16, $E11:$F15,2,TRUE)</f>
        <v>0.03</v>
      </c>
      <c r="BI17" s="271">
        <f> VLOOKUP(BI16, $E11:$F15,2,TRUE)</f>
        <v>0.03</v>
      </c>
      <c r="BJ17" s="271">
        <f> VLOOKUP(BJ16, $E11:$F15,2,TRUE)</f>
        <v>0.03</v>
      </c>
      <c r="BK17" s="271">
        <f> VLOOKUP(BK16, $E11:$F15,2,TRUE)</f>
        <v>0.03</v>
      </c>
      <c r="BL17" s="271">
        <f> VLOOKUP(BL16, $E11:$F15,2,TRUE)</f>
        <v>0.03</v>
      </c>
      <c r="BM17" s="271">
        <f> VLOOKUP(BM16, $E11:$F15,2,TRUE)</f>
        <v>0.03</v>
      </c>
      <c r="BN17" s="271">
        <f> VLOOKUP(BN16, $E11:$F15,2,TRUE)</f>
        <v>0.03</v>
      </c>
      <c r="BO17" s="271">
        <f> VLOOKUP(BO16, $E11:$F15,2,TRUE)</f>
        <v>0.03</v>
      </c>
      <c r="BP17" s="271">
        <f> VLOOKUP(BP16, $E11:$F15,2,TRUE)</f>
        <v>0.03</v>
      </c>
      <c r="BQ17" s="271">
        <f> VLOOKUP(BQ16, $E11:$F15,2,TRUE)</f>
        <v>0.03</v>
      </c>
      <c r="BR17" s="271">
        <f> VLOOKUP(BR16, $E11:$F15,2,TRUE)</f>
        <v>0.03</v>
      </c>
      <c r="BS17" s="271">
        <f> VLOOKUP(BS16, $E11:$F15,2,TRUE)</f>
        <v>0.03</v>
      </c>
      <c r="BT17" s="271">
        <f> VLOOKUP(BT16, $E11:$F15,2,TRUE)</f>
        <v>0.03</v>
      </c>
      <c r="BU17" s="271">
        <f> VLOOKUP(BU16, $E11:$F15,2,TRUE)</f>
        <v>0.03</v>
      </c>
      <c r="BV17" s="271">
        <f> VLOOKUP(BV16, $E11:$F15,2,TRUE)</f>
        <v>0.03</v>
      </c>
      <c r="BW17" s="271">
        <f> VLOOKUP(BW16, $E11:$F15,2,TRUE)</f>
        <v>0.03</v>
      </c>
      <c r="BX17" s="271">
        <f> VLOOKUP(BX16, $E11:$F15,2,TRUE)</f>
        <v>0.03</v>
      </c>
      <c r="BY17" s="271">
        <f> VLOOKUP(BY16, $E11:$F15,2,TRUE)</f>
        <v>0.03</v>
      </c>
      <c r="BZ17" s="271">
        <f> VLOOKUP(BZ16, $E11:$F15,2,TRUE)</f>
        <v>0.03</v>
      </c>
      <c r="CA17" s="271">
        <f> VLOOKUP(CA16, $E11:$F15,2,TRUE)</f>
        <v>0.03</v>
      </c>
      <c r="CB17" s="271">
        <f> VLOOKUP(CB16, $E11:$F15,2,TRUE)</f>
        <v>0.03</v>
      </c>
      <c r="CC17" s="271">
        <f> VLOOKUP(CC16, $E11:$F15,2,TRUE)</f>
        <v>0.03</v>
      </c>
      <c r="CD17" s="271">
        <f> VLOOKUP(CD16, $E11:$F15,2,TRUE)</f>
        <v>0.03</v>
      </c>
      <c r="CE17" s="271">
        <f> VLOOKUP(CE16, $E11:$F15,2,TRUE)</f>
        <v>0.03</v>
      </c>
      <c r="CF17" s="271">
        <f> VLOOKUP(CF16, $E11:$F15,2,TRUE)</f>
        <v>0.03</v>
      </c>
      <c r="CG17" s="271">
        <f> VLOOKUP(CG16, $E11:$F15,2,TRUE)</f>
        <v>0.03</v>
      </c>
      <c r="CH17" s="271">
        <f> VLOOKUP(CH16, $E11:$F15,2,TRUE)</f>
        <v>0.03</v>
      </c>
      <c r="CI17" s="271">
        <f> VLOOKUP(CI16, $E11:$F15,2,TRUE)</f>
        <v>0.03</v>
      </c>
      <c r="CJ17" s="271">
        <f> VLOOKUP(CJ16, $E11:$F15,2,TRUE)</f>
        <v>0.03</v>
      </c>
      <c r="CK17" s="271">
        <f> VLOOKUP(CK16, $E11:$F15,2,TRUE)</f>
        <v>0.03</v>
      </c>
      <c r="CL17" s="271">
        <f> VLOOKUP(CL16, $E11:$F15,2,TRUE)</f>
        <v>0.03</v>
      </c>
      <c r="CM17" s="271">
        <f> VLOOKUP(CM16, $E11:$F15,2,TRUE)</f>
        <v>0.03</v>
      </c>
      <c r="CN17" s="271">
        <f> VLOOKUP(CN16, $E11:$F15,2,TRUE)</f>
        <v>0.03</v>
      </c>
      <c r="CO17" s="271">
        <f> VLOOKUP(CO16, $E11:$F15,2,TRUE)</f>
        <v>0.03</v>
      </c>
    </row>
    <row r="19">
      <c r="E19" s="325" t="str">
        <f> InpC!E$99</f>
        <v>No of periods in a year</v>
      </c>
      <c r="F19" s="325">
        <f> InpC!F$99</f>
        <v>4.0</v>
      </c>
      <c r="G19" s="325" t="str">
        <f> InpC!G$99</f>
        <v>periods</v>
      </c>
    </row>
    <row r="20">
      <c r="E20" s="271" t="str">
        <f> E$17</f>
        <v>CPI inflation rate p.a</v>
      </c>
      <c r="F20" s="271">
        <f> F$17</f>
        <v>0.0</v>
      </c>
      <c r="G20" s="271" t="str">
        <f> G$17</f>
        <v>% pa.</v>
      </c>
      <c r="H20" s="271">
        <f> H$17</f>
        <v>0.0</v>
      </c>
      <c r="I20" s="271">
        <f> I$17</f>
        <v>0.0</v>
      </c>
      <c r="J20" s="271">
        <f> J$17</f>
        <v>0.07</v>
      </c>
      <c r="K20" s="271">
        <f> K$17</f>
        <v>0.07</v>
      </c>
      <c r="L20" s="271">
        <f> L$17</f>
        <v>0.06</v>
      </c>
      <c r="M20" s="271">
        <f> M$17</f>
        <v>0.06</v>
      </c>
      <c r="N20" s="271">
        <f> N$17</f>
        <v>0.06</v>
      </c>
      <c r="O20" s="271">
        <f> O$17</f>
        <v>0.06</v>
      </c>
      <c r="P20" s="271">
        <f> P$17</f>
        <v>0.05</v>
      </c>
      <c r="Q20" s="271">
        <f> Q$17</f>
        <v>0.05</v>
      </c>
      <c r="R20" s="271">
        <f> R$17</f>
        <v>0.05</v>
      </c>
      <c r="S20" s="271">
        <f> S$17</f>
        <v>0.05</v>
      </c>
      <c r="T20" s="271">
        <f> T$17</f>
        <v>0.04</v>
      </c>
      <c r="U20" s="271">
        <f> U$17</f>
        <v>0.04</v>
      </c>
      <c r="V20" s="271">
        <f> V$17</f>
        <v>0.04</v>
      </c>
      <c r="W20" s="271">
        <f> W$17</f>
        <v>0.04</v>
      </c>
      <c r="X20" s="271">
        <f> X$17</f>
        <v>0.03</v>
      </c>
      <c r="Y20" s="271">
        <f> Y$17</f>
        <v>0.03</v>
      </c>
      <c r="Z20" s="271">
        <f> Z$17</f>
        <v>0.03</v>
      </c>
      <c r="AA20" s="271">
        <f> AA$17</f>
        <v>0.03</v>
      </c>
      <c r="AB20" s="271">
        <f> AB$17</f>
        <v>0.03</v>
      </c>
      <c r="AC20" s="271">
        <f> AC$17</f>
        <v>0.03</v>
      </c>
      <c r="AD20" s="271">
        <f> AD$17</f>
        <v>0.03</v>
      </c>
      <c r="AE20" s="271">
        <f> AE$17</f>
        <v>0.03</v>
      </c>
      <c r="AF20" s="271">
        <f> AF$17</f>
        <v>0.03</v>
      </c>
      <c r="AG20" s="271">
        <f> AG$17</f>
        <v>0.03</v>
      </c>
      <c r="AH20" s="271">
        <f> AH$17</f>
        <v>0.03</v>
      </c>
      <c r="AI20" s="271">
        <f> AI$17</f>
        <v>0.03</v>
      </c>
      <c r="AJ20" s="271">
        <f> AJ$17</f>
        <v>0.03</v>
      </c>
      <c r="AK20" s="271">
        <f> AK$17</f>
        <v>0.03</v>
      </c>
      <c r="AL20" s="271">
        <f> AL$17</f>
        <v>0.03</v>
      </c>
      <c r="AM20" s="271">
        <f> AM$17</f>
        <v>0.03</v>
      </c>
      <c r="AN20" s="271">
        <f> AN$17</f>
        <v>0.03</v>
      </c>
      <c r="AO20" s="271">
        <f> AO$17</f>
        <v>0.03</v>
      </c>
      <c r="AP20" s="271">
        <f> AP$17</f>
        <v>0.03</v>
      </c>
      <c r="AQ20" s="271">
        <f> AQ$17</f>
        <v>0.03</v>
      </c>
      <c r="AR20" s="271">
        <f> AR$17</f>
        <v>0.03</v>
      </c>
      <c r="AS20" s="271">
        <f> AS$17</f>
        <v>0.03</v>
      </c>
      <c r="AT20" s="271">
        <f> AT$17</f>
        <v>0.03</v>
      </c>
      <c r="AU20" s="271">
        <f> AU$17</f>
        <v>0.03</v>
      </c>
      <c r="AV20" s="271">
        <f> AV$17</f>
        <v>0.03</v>
      </c>
      <c r="AW20" s="271">
        <f> AW$17</f>
        <v>0.03</v>
      </c>
      <c r="AX20" s="271">
        <f> AX$17</f>
        <v>0.03</v>
      </c>
      <c r="AY20" s="271">
        <f> AY$17</f>
        <v>0.03</v>
      </c>
      <c r="AZ20" s="271">
        <f> AZ$17</f>
        <v>0.03</v>
      </c>
      <c r="BA20" s="271">
        <f> BA$17</f>
        <v>0.03</v>
      </c>
      <c r="BB20" s="271">
        <f> BB$17</f>
        <v>0.03</v>
      </c>
      <c r="BC20" s="271">
        <f> BC$17</f>
        <v>0.03</v>
      </c>
      <c r="BD20" s="271">
        <f> BD$17</f>
        <v>0.03</v>
      </c>
      <c r="BE20" s="271">
        <f> BE$17</f>
        <v>0.03</v>
      </c>
      <c r="BF20" s="271">
        <f> BF$17</f>
        <v>0.03</v>
      </c>
      <c r="BG20" s="271">
        <f> BG$17</f>
        <v>0.03</v>
      </c>
      <c r="BH20" s="271">
        <f> BH$17</f>
        <v>0.03</v>
      </c>
      <c r="BI20" s="271">
        <f> BI$17</f>
        <v>0.03</v>
      </c>
      <c r="BJ20" s="271">
        <f> BJ$17</f>
        <v>0.03</v>
      </c>
      <c r="BK20" s="271">
        <f> BK$17</f>
        <v>0.03</v>
      </c>
      <c r="BL20" s="271">
        <f> BL$17</f>
        <v>0.03</v>
      </c>
      <c r="BM20" s="271">
        <f> BM$17</f>
        <v>0.03</v>
      </c>
      <c r="BN20" s="271">
        <f> BN$17</f>
        <v>0.03</v>
      </c>
      <c r="BO20" s="271">
        <f> BO$17</f>
        <v>0.03</v>
      </c>
      <c r="BP20" s="271">
        <f> BP$17</f>
        <v>0.03</v>
      </c>
      <c r="BQ20" s="271">
        <f> BQ$17</f>
        <v>0.03</v>
      </c>
      <c r="BR20" s="271">
        <f> BR$17</f>
        <v>0.03</v>
      </c>
      <c r="BS20" s="271">
        <f> BS$17</f>
        <v>0.03</v>
      </c>
      <c r="BT20" s="271">
        <f> BT$17</f>
        <v>0.03</v>
      </c>
      <c r="BU20" s="271">
        <f> BU$17</f>
        <v>0.03</v>
      </c>
      <c r="BV20" s="271">
        <f> BV$17</f>
        <v>0.03</v>
      </c>
      <c r="BW20" s="271">
        <f> BW$17</f>
        <v>0.03</v>
      </c>
      <c r="BX20" s="271">
        <f> BX$17</f>
        <v>0.03</v>
      </c>
      <c r="BY20" s="271">
        <f> BY$17</f>
        <v>0.03</v>
      </c>
      <c r="BZ20" s="271">
        <f> BZ$17</f>
        <v>0.03</v>
      </c>
      <c r="CA20" s="271">
        <f> CA$17</f>
        <v>0.03</v>
      </c>
      <c r="CB20" s="271">
        <f> CB$17</f>
        <v>0.03</v>
      </c>
      <c r="CC20" s="271">
        <f> CC$17</f>
        <v>0.03</v>
      </c>
      <c r="CD20" s="271">
        <f> CD$17</f>
        <v>0.03</v>
      </c>
      <c r="CE20" s="271">
        <f> CE$17</f>
        <v>0.03</v>
      </c>
      <c r="CF20" s="271">
        <f> CF$17</f>
        <v>0.03</v>
      </c>
      <c r="CG20" s="271">
        <f> CG$17</f>
        <v>0.03</v>
      </c>
      <c r="CH20" s="271">
        <f> CH$17</f>
        <v>0.03</v>
      </c>
      <c r="CI20" s="271">
        <f> CI$17</f>
        <v>0.03</v>
      </c>
      <c r="CJ20" s="271">
        <f> CJ$17</f>
        <v>0.03</v>
      </c>
      <c r="CK20" s="271">
        <f> CK$17</f>
        <v>0.03</v>
      </c>
      <c r="CL20" s="271">
        <f> CL$17</f>
        <v>0.03</v>
      </c>
      <c r="CM20" s="271">
        <f> CM$17</f>
        <v>0.03</v>
      </c>
      <c r="CN20" s="271">
        <f> CN$17</f>
        <v>0.03</v>
      </c>
      <c r="CO20" s="271">
        <f> CO$17</f>
        <v>0.03</v>
      </c>
    </row>
    <row r="21">
      <c r="E21" s="61" t="inlineStr">
        <is>
          <t>Periodic CPI inflation rate</t>
        </is>
      </c>
      <c r="G21" s="61" t="inlineStr">
        <is>
          <t>%pq</t>
        </is>
      </c>
      <c r="J21" s="271">
        <f> (1 + J20) ^ (1 / $F19) -1</f>
        <v>0.017058525001811375</v>
      </c>
      <c r="K21" s="271">
        <f> (1 + K20) ^ (1 / $F19) -1</f>
        <v>0.017058525001811375</v>
      </c>
      <c r="L21" s="271">
        <f> (1 + L20) ^ (1 / $F19) -1</f>
        <v>0.0146738461686593</v>
      </c>
      <c r="M21" s="271">
        <f> (1 + M20) ^ (1 / $F19) -1</f>
        <v>0.0146738461686593</v>
      </c>
      <c r="N21" s="271">
        <f> (1 + N20) ^ (1 / $F19) -1</f>
        <v>0.0146738461686593</v>
      </c>
      <c r="O21" s="271">
        <f> (1 + O20) ^ (1 / $F19) -1</f>
        <v>0.0146738461686593</v>
      </c>
      <c r="P21" s="271">
        <f> (1 + P20) ^ (1 / $F19) -1</f>
        <v>0.012272234429039353</v>
      </c>
      <c r="Q21" s="271">
        <f> (1 + Q20) ^ (1 / $F19) -1</f>
        <v>0.012272234429039353</v>
      </c>
      <c r="R21" s="271">
        <f> (1 + R20) ^ (1 / $F19) -1</f>
        <v>0.012272234429039353</v>
      </c>
      <c r="S21" s="271">
        <f> (1 + S20) ^ (1 / $F19) -1</f>
        <v>0.012272234429039353</v>
      </c>
      <c r="T21" s="271">
        <f> (1 + T20) ^ (1 / $F19) -1</f>
        <v>0.009853406548968824</v>
      </c>
      <c r="U21" s="271">
        <f> (1 + U20) ^ (1 / $F19) -1</f>
        <v>0.009853406548968824</v>
      </c>
      <c r="V21" s="271">
        <f> (1 + V20) ^ (1 / $F19) -1</f>
        <v>0.009853406548968824</v>
      </c>
      <c r="W21" s="271">
        <f> (1 + W20) ^ (1 / $F19) -1</f>
        <v>0.009853406548968824</v>
      </c>
      <c r="X21" s="271">
        <f> (1 + X20) ^ (1 / $F19) -1</f>
        <v>0.007417071777732875</v>
      </c>
      <c r="Y21" s="271">
        <f> (1 + Y20) ^ (1 / $F19) -1</f>
        <v>0.007417071777732875</v>
      </c>
      <c r="Z21" s="271">
        <f> (1 + Z20) ^ (1 / $F19) -1</f>
        <v>0.007417071777732875</v>
      </c>
      <c r="AA21" s="271">
        <f> (1 + AA20) ^ (1 / $F19) -1</f>
        <v>0.007417071777732875</v>
      </c>
      <c r="AB21" s="271">
        <f> (1 + AB20) ^ (1 / $F19) -1</f>
        <v>0.007417071777732875</v>
      </c>
      <c r="AC21" s="271">
        <f> (1 + AC20) ^ (1 / $F19) -1</f>
        <v>0.007417071777732875</v>
      </c>
      <c r="AD21" s="271">
        <f> (1 + AD20) ^ (1 / $F19) -1</f>
        <v>0.007417071777732875</v>
      </c>
      <c r="AE21" s="271">
        <f> (1 + AE20) ^ (1 / $F19) -1</f>
        <v>0.007417071777732875</v>
      </c>
      <c r="AF21" s="271">
        <f> (1 + AF20) ^ (1 / $F19) -1</f>
        <v>0.007417071777732875</v>
      </c>
      <c r="AG21" s="271">
        <f> (1 + AG20) ^ (1 / $F19) -1</f>
        <v>0.007417071777732875</v>
      </c>
      <c r="AH21" s="271">
        <f> (1 + AH20) ^ (1 / $F19) -1</f>
        <v>0.007417071777732875</v>
      </c>
      <c r="AI21" s="271">
        <f> (1 + AI20) ^ (1 / $F19) -1</f>
        <v>0.007417071777732875</v>
      </c>
      <c r="AJ21" s="271">
        <f> (1 + AJ20) ^ (1 / $F19) -1</f>
        <v>0.007417071777732875</v>
      </c>
      <c r="AK21" s="271">
        <f> (1 + AK20) ^ (1 / $F19) -1</f>
        <v>0.007417071777732875</v>
      </c>
      <c r="AL21" s="271">
        <f> (1 + AL20) ^ (1 / $F19) -1</f>
        <v>0.007417071777732875</v>
      </c>
      <c r="AM21" s="271">
        <f> (1 + AM20) ^ (1 / $F19) -1</f>
        <v>0.007417071777732875</v>
      </c>
      <c r="AN21" s="271">
        <f> (1 + AN20) ^ (1 / $F19) -1</f>
        <v>0.007417071777732875</v>
      </c>
      <c r="AO21" s="271">
        <f> (1 + AO20) ^ (1 / $F19) -1</f>
        <v>0.007417071777732875</v>
      </c>
      <c r="AP21" s="271">
        <f> (1 + AP20) ^ (1 / $F19) -1</f>
        <v>0.007417071777732875</v>
      </c>
      <c r="AQ21" s="271">
        <f> (1 + AQ20) ^ (1 / $F19) -1</f>
        <v>0.007417071777732875</v>
      </c>
      <c r="AR21" s="271">
        <f> (1 + AR20) ^ (1 / $F19) -1</f>
        <v>0.007417071777732875</v>
      </c>
      <c r="AS21" s="271">
        <f> (1 + AS20) ^ (1 / $F19) -1</f>
        <v>0.007417071777732875</v>
      </c>
      <c r="AT21" s="271">
        <f> (1 + AT20) ^ (1 / $F19) -1</f>
        <v>0.007417071777732875</v>
      </c>
      <c r="AU21" s="271">
        <f> (1 + AU20) ^ (1 / $F19) -1</f>
        <v>0.007417071777732875</v>
      </c>
      <c r="AV21" s="271">
        <f> (1 + AV20) ^ (1 / $F19) -1</f>
        <v>0.007417071777732875</v>
      </c>
      <c r="AW21" s="271">
        <f> (1 + AW20) ^ (1 / $F19) -1</f>
        <v>0.007417071777732875</v>
      </c>
      <c r="AX21" s="271">
        <f> (1 + AX20) ^ (1 / $F19) -1</f>
        <v>0.007417071777732875</v>
      </c>
      <c r="AY21" s="271">
        <f> (1 + AY20) ^ (1 / $F19) -1</f>
        <v>0.007417071777732875</v>
      </c>
      <c r="AZ21" s="271">
        <f> (1 + AZ20) ^ (1 / $F19) -1</f>
        <v>0.007417071777732875</v>
      </c>
      <c r="BA21" s="271">
        <f> (1 + BA20) ^ (1 / $F19) -1</f>
        <v>0.007417071777732875</v>
      </c>
      <c r="BB21" s="271">
        <f> (1 + BB20) ^ (1 / $F19) -1</f>
        <v>0.007417071777732875</v>
      </c>
      <c r="BC21" s="271">
        <f> (1 + BC20) ^ (1 / $F19) -1</f>
        <v>0.007417071777732875</v>
      </c>
      <c r="BD21" s="271">
        <f> (1 + BD20) ^ (1 / $F19) -1</f>
        <v>0.007417071777732875</v>
      </c>
      <c r="BE21" s="271">
        <f> (1 + BE20) ^ (1 / $F19) -1</f>
        <v>0.007417071777732875</v>
      </c>
      <c r="BF21" s="271">
        <f> (1 + BF20) ^ (1 / $F19) -1</f>
        <v>0.007417071777732875</v>
      </c>
      <c r="BG21" s="271">
        <f> (1 + BG20) ^ (1 / $F19) -1</f>
        <v>0.007417071777732875</v>
      </c>
      <c r="BH21" s="271">
        <f> (1 + BH20) ^ (1 / $F19) -1</f>
        <v>0.007417071777732875</v>
      </c>
      <c r="BI21" s="271">
        <f> (1 + BI20) ^ (1 / $F19) -1</f>
        <v>0.007417071777732875</v>
      </c>
      <c r="BJ21" s="271">
        <f> (1 + BJ20) ^ (1 / $F19) -1</f>
        <v>0.007417071777732875</v>
      </c>
      <c r="BK21" s="271">
        <f> (1 + BK20) ^ (1 / $F19) -1</f>
        <v>0.007417071777732875</v>
      </c>
      <c r="BL21" s="271">
        <f> (1 + BL20) ^ (1 / $F19) -1</f>
        <v>0.007417071777732875</v>
      </c>
      <c r="BM21" s="271">
        <f> (1 + BM20) ^ (1 / $F19) -1</f>
        <v>0.007417071777732875</v>
      </c>
      <c r="BN21" s="271">
        <f> (1 + BN20) ^ (1 / $F19) -1</f>
        <v>0.007417071777732875</v>
      </c>
      <c r="BO21" s="271">
        <f> (1 + BO20) ^ (1 / $F19) -1</f>
        <v>0.007417071777732875</v>
      </c>
      <c r="BP21" s="271">
        <f> (1 + BP20) ^ (1 / $F19) -1</f>
        <v>0.007417071777732875</v>
      </c>
      <c r="BQ21" s="271">
        <f> (1 + BQ20) ^ (1 / $F19) -1</f>
        <v>0.007417071777732875</v>
      </c>
      <c r="BR21" s="271">
        <f> (1 + BR20) ^ (1 / $F19) -1</f>
        <v>0.007417071777732875</v>
      </c>
      <c r="BS21" s="271">
        <f> (1 + BS20) ^ (1 / $F19) -1</f>
        <v>0.007417071777732875</v>
      </c>
      <c r="BT21" s="271">
        <f> (1 + BT20) ^ (1 / $F19) -1</f>
        <v>0.007417071777732875</v>
      </c>
      <c r="BU21" s="271">
        <f> (1 + BU20) ^ (1 / $F19) -1</f>
        <v>0.007417071777732875</v>
      </c>
      <c r="BV21" s="271">
        <f> (1 + BV20) ^ (1 / $F19) -1</f>
        <v>0.007417071777732875</v>
      </c>
      <c r="BW21" s="271">
        <f> (1 + BW20) ^ (1 / $F19) -1</f>
        <v>0.007417071777732875</v>
      </c>
      <c r="BX21" s="271">
        <f> (1 + BX20) ^ (1 / $F19) -1</f>
        <v>0.007417071777732875</v>
      </c>
      <c r="BY21" s="271">
        <f> (1 + BY20) ^ (1 / $F19) -1</f>
        <v>0.007417071777732875</v>
      </c>
      <c r="BZ21" s="271">
        <f> (1 + BZ20) ^ (1 / $F19) -1</f>
        <v>0.007417071777732875</v>
      </c>
      <c r="CA21" s="271">
        <f> (1 + CA20) ^ (1 / $F19) -1</f>
        <v>0.007417071777732875</v>
      </c>
      <c r="CB21" s="271">
        <f> (1 + CB20) ^ (1 / $F19) -1</f>
        <v>0.007417071777732875</v>
      </c>
      <c r="CC21" s="271">
        <f> (1 + CC20) ^ (1 / $F19) -1</f>
        <v>0.007417071777732875</v>
      </c>
      <c r="CD21" s="271">
        <f> (1 + CD20) ^ (1 / $F19) -1</f>
        <v>0.007417071777732875</v>
      </c>
      <c r="CE21" s="271">
        <f> (1 + CE20) ^ (1 / $F19) -1</f>
        <v>0.007417071777732875</v>
      </c>
      <c r="CF21" s="271">
        <f> (1 + CF20) ^ (1 / $F19) -1</f>
        <v>0.007417071777732875</v>
      </c>
      <c r="CG21" s="271">
        <f> (1 + CG20) ^ (1 / $F19) -1</f>
        <v>0.007417071777732875</v>
      </c>
      <c r="CH21" s="271">
        <f> (1 + CH20) ^ (1 / $F19) -1</f>
        <v>0.007417071777732875</v>
      </c>
      <c r="CI21" s="271">
        <f> (1 + CI20) ^ (1 / $F19) -1</f>
        <v>0.007417071777732875</v>
      </c>
      <c r="CJ21" s="271">
        <f> (1 + CJ20) ^ (1 / $F19) -1</f>
        <v>0.007417071777732875</v>
      </c>
      <c r="CK21" s="271">
        <f> (1 + CK20) ^ (1 / $F19) -1</f>
        <v>0.007417071777732875</v>
      </c>
      <c r="CL21" s="271">
        <f> (1 + CL20) ^ (1 / $F19) -1</f>
        <v>0.007417071777732875</v>
      </c>
      <c r="CM21" s="271">
        <f> (1 + CM20) ^ (1 / $F19) -1</f>
        <v>0.007417071777732875</v>
      </c>
      <c r="CN21" s="271">
        <f> (1 + CN20) ^ (1 / $F19) -1</f>
        <v>0.007417071777732875</v>
      </c>
      <c r="CO21" s="271">
        <f> (1 + CO20) ^ (1 / $F19) -1</f>
        <v>0.007417071777732875</v>
      </c>
    </row>
    <row r="23">
      <c r="B23" s="294" t="inlineStr">
        <is>
          <t>CPI escalation factor</t>
        </is>
      </c>
    </row>
    <row r="24">
      <c r="E24" s="271" t="str">
        <f> E$21</f>
        <v>Periodic CPI inflation rate</v>
      </c>
      <c r="F24" s="271">
        <f> F$21</f>
        <v>0.0</v>
      </c>
      <c r="G24" s="271" t="str">
        <f> G$21</f>
        <v>%pq</v>
      </c>
      <c r="H24" s="271">
        <f> H$21</f>
        <v>0.0</v>
      </c>
      <c r="I24" s="271">
        <f> I$21</f>
        <v>0.0</v>
      </c>
      <c r="J24" s="271">
        <f> J$21</f>
        <v>0.017058525001811375</v>
      </c>
      <c r="K24" s="271">
        <f> K$21</f>
        <v>0.017058525001811375</v>
      </c>
      <c r="L24" s="271">
        <f> L$21</f>
        <v>0.0146738461686593</v>
      </c>
      <c r="M24" s="271">
        <f> M$21</f>
        <v>0.0146738461686593</v>
      </c>
      <c r="N24" s="271">
        <f> N$21</f>
        <v>0.0146738461686593</v>
      </c>
      <c r="O24" s="271">
        <f> O$21</f>
        <v>0.0146738461686593</v>
      </c>
      <c r="P24" s="271">
        <f> P$21</f>
        <v>0.012272234429039353</v>
      </c>
      <c r="Q24" s="271">
        <f> Q$21</f>
        <v>0.012272234429039353</v>
      </c>
      <c r="R24" s="271">
        <f> R$21</f>
        <v>0.012272234429039353</v>
      </c>
      <c r="S24" s="271">
        <f> S$21</f>
        <v>0.012272234429039353</v>
      </c>
      <c r="T24" s="271">
        <f> T$21</f>
        <v>0.009853406548968824</v>
      </c>
      <c r="U24" s="271">
        <f> U$21</f>
        <v>0.009853406548968824</v>
      </c>
      <c r="V24" s="271">
        <f> V$21</f>
        <v>0.009853406548968824</v>
      </c>
      <c r="W24" s="271">
        <f> W$21</f>
        <v>0.009853406548968824</v>
      </c>
      <c r="X24" s="271">
        <f> X$21</f>
        <v>0.007417071777732875</v>
      </c>
      <c r="Y24" s="271">
        <f> Y$21</f>
        <v>0.007417071777732875</v>
      </c>
      <c r="Z24" s="271">
        <f> Z$21</f>
        <v>0.007417071777732875</v>
      </c>
      <c r="AA24" s="271">
        <f> AA$21</f>
        <v>0.007417071777732875</v>
      </c>
      <c r="AB24" s="271">
        <f> AB$21</f>
        <v>0.007417071777732875</v>
      </c>
      <c r="AC24" s="271">
        <f> AC$21</f>
        <v>0.007417071777732875</v>
      </c>
      <c r="AD24" s="271">
        <f> AD$21</f>
        <v>0.007417071777732875</v>
      </c>
      <c r="AE24" s="271">
        <f> AE$21</f>
        <v>0.007417071777732875</v>
      </c>
      <c r="AF24" s="271">
        <f> AF$21</f>
        <v>0.007417071777732875</v>
      </c>
      <c r="AG24" s="271">
        <f> AG$21</f>
        <v>0.007417071777732875</v>
      </c>
      <c r="AH24" s="271">
        <f> AH$21</f>
        <v>0.007417071777732875</v>
      </c>
      <c r="AI24" s="271">
        <f> AI$21</f>
        <v>0.007417071777732875</v>
      </c>
      <c r="AJ24" s="271">
        <f> AJ$21</f>
        <v>0.007417071777732875</v>
      </c>
      <c r="AK24" s="271">
        <f> AK$21</f>
        <v>0.007417071777732875</v>
      </c>
      <c r="AL24" s="271">
        <f> AL$21</f>
        <v>0.007417071777732875</v>
      </c>
      <c r="AM24" s="271">
        <f> AM$21</f>
        <v>0.007417071777732875</v>
      </c>
      <c r="AN24" s="271">
        <f> AN$21</f>
        <v>0.007417071777732875</v>
      </c>
      <c r="AO24" s="271">
        <f> AO$21</f>
        <v>0.007417071777732875</v>
      </c>
      <c r="AP24" s="271">
        <f> AP$21</f>
        <v>0.007417071777732875</v>
      </c>
      <c r="AQ24" s="271">
        <f> AQ$21</f>
        <v>0.007417071777732875</v>
      </c>
      <c r="AR24" s="271">
        <f> AR$21</f>
        <v>0.007417071777732875</v>
      </c>
      <c r="AS24" s="271">
        <f> AS$21</f>
        <v>0.007417071777732875</v>
      </c>
      <c r="AT24" s="271">
        <f> AT$21</f>
        <v>0.007417071777732875</v>
      </c>
      <c r="AU24" s="271">
        <f> AU$21</f>
        <v>0.007417071777732875</v>
      </c>
      <c r="AV24" s="271">
        <f> AV$21</f>
        <v>0.007417071777732875</v>
      </c>
      <c r="AW24" s="271">
        <f> AW$21</f>
        <v>0.007417071777732875</v>
      </c>
      <c r="AX24" s="271">
        <f> AX$21</f>
        <v>0.007417071777732875</v>
      </c>
      <c r="AY24" s="271">
        <f> AY$21</f>
        <v>0.007417071777732875</v>
      </c>
      <c r="AZ24" s="271">
        <f> AZ$21</f>
        <v>0.007417071777732875</v>
      </c>
      <c r="BA24" s="271">
        <f> BA$21</f>
        <v>0.007417071777732875</v>
      </c>
      <c r="BB24" s="271">
        <f> BB$21</f>
        <v>0.007417071777732875</v>
      </c>
      <c r="BC24" s="271">
        <f> BC$21</f>
        <v>0.007417071777732875</v>
      </c>
      <c r="BD24" s="271">
        <f> BD$21</f>
        <v>0.007417071777732875</v>
      </c>
      <c r="BE24" s="271">
        <f> BE$21</f>
        <v>0.007417071777732875</v>
      </c>
      <c r="BF24" s="271">
        <f> BF$21</f>
        <v>0.007417071777732875</v>
      </c>
      <c r="BG24" s="271">
        <f> BG$21</f>
        <v>0.007417071777732875</v>
      </c>
      <c r="BH24" s="271">
        <f> BH$21</f>
        <v>0.007417071777732875</v>
      </c>
      <c r="BI24" s="271">
        <f> BI$21</f>
        <v>0.007417071777732875</v>
      </c>
      <c r="BJ24" s="271">
        <f> BJ$21</f>
        <v>0.007417071777732875</v>
      </c>
      <c r="BK24" s="271">
        <f> BK$21</f>
        <v>0.007417071777732875</v>
      </c>
      <c r="BL24" s="271">
        <f> BL$21</f>
        <v>0.007417071777732875</v>
      </c>
      <c r="BM24" s="271">
        <f> BM$21</f>
        <v>0.007417071777732875</v>
      </c>
      <c r="BN24" s="271">
        <f> BN$21</f>
        <v>0.007417071777732875</v>
      </c>
      <c r="BO24" s="271">
        <f> BO$21</f>
        <v>0.007417071777732875</v>
      </c>
      <c r="BP24" s="271">
        <f> BP$21</f>
        <v>0.007417071777732875</v>
      </c>
      <c r="BQ24" s="271">
        <f> BQ$21</f>
        <v>0.007417071777732875</v>
      </c>
      <c r="BR24" s="271">
        <f> BR$21</f>
        <v>0.007417071777732875</v>
      </c>
      <c r="BS24" s="271">
        <f> BS$21</f>
        <v>0.007417071777732875</v>
      </c>
      <c r="BT24" s="271">
        <f> BT$21</f>
        <v>0.007417071777732875</v>
      </c>
      <c r="BU24" s="271">
        <f> BU$21</f>
        <v>0.007417071777732875</v>
      </c>
      <c r="BV24" s="271">
        <f> BV$21</f>
        <v>0.007417071777732875</v>
      </c>
      <c r="BW24" s="271">
        <f> BW$21</f>
        <v>0.007417071777732875</v>
      </c>
      <c r="BX24" s="271">
        <f> BX$21</f>
        <v>0.007417071777732875</v>
      </c>
      <c r="BY24" s="271">
        <f> BY$21</f>
        <v>0.007417071777732875</v>
      </c>
      <c r="BZ24" s="271">
        <f> BZ$21</f>
        <v>0.007417071777732875</v>
      </c>
      <c r="CA24" s="271">
        <f> CA$21</f>
        <v>0.007417071777732875</v>
      </c>
      <c r="CB24" s="271">
        <f> CB$21</f>
        <v>0.007417071777732875</v>
      </c>
      <c r="CC24" s="271">
        <f> CC$21</f>
        <v>0.007417071777732875</v>
      </c>
      <c r="CD24" s="271">
        <f> CD$21</f>
        <v>0.007417071777732875</v>
      </c>
      <c r="CE24" s="271">
        <f> CE$21</f>
        <v>0.007417071777732875</v>
      </c>
      <c r="CF24" s="271">
        <f> CF$21</f>
        <v>0.007417071777732875</v>
      </c>
      <c r="CG24" s="271">
        <f> CG$21</f>
        <v>0.007417071777732875</v>
      </c>
      <c r="CH24" s="271">
        <f> CH$21</f>
        <v>0.007417071777732875</v>
      </c>
      <c r="CI24" s="271">
        <f> CI$21</f>
        <v>0.007417071777732875</v>
      </c>
      <c r="CJ24" s="271">
        <f> CJ$21</f>
        <v>0.007417071777732875</v>
      </c>
      <c r="CK24" s="271">
        <f> CK$21</f>
        <v>0.007417071777732875</v>
      </c>
      <c r="CL24" s="271">
        <f> CL$21</f>
        <v>0.007417071777732875</v>
      </c>
      <c r="CM24" s="271">
        <f> CM$21</f>
        <v>0.007417071777732875</v>
      </c>
      <c r="CN24" s="271">
        <f> CN$21</f>
        <v>0.007417071777732875</v>
      </c>
      <c r="CO24" s="271">
        <f> CO$21</f>
        <v>0.007417071777732875</v>
      </c>
    </row>
    <row r="25">
      <c r="E25" s="325" t="str">
        <f> Time!E$45</f>
        <v>Acquisition / initial balance date flag</v>
      </c>
      <c r="F25" s="325">
        <f> Time!F$45</f>
        <v>0.0</v>
      </c>
      <c r="G25" s="325" t="str">
        <f> Time!G$45</f>
        <v>flag</v>
      </c>
      <c r="H25" s="325">
        <f> Time!H$45</f>
        <v>1.0</v>
      </c>
      <c r="I25" s="325">
        <f> Time!I$45</f>
        <v>0.0</v>
      </c>
      <c r="J25" s="325">
        <f> Time!J$45</f>
        <v>0.0</v>
      </c>
      <c r="K25" s="325">
        <f> Time!K$45</f>
        <v>1.0</v>
      </c>
      <c r="L25" s="325">
        <f> Time!L$45</f>
        <v>0.0</v>
      </c>
      <c r="M25" s="325">
        <f> Time!M$45</f>
        <v>0.0</v>
      </c>
      <c r="N25" s="325">
        <f> Time!N$45</f>
        <v>0.0</v>
      </c>
      <c r="O25" s="325">
        <f> Time!O$45</f>
        <v>0.0</v>
      </c>
      <c r="P25" s="325">
        <f> Time!P$45</f>
        <v>0.0</v>
      </c>
      <c r="Q25" s="325">
        <f> Time!Q$45</f>
        <v>0.0</v>
      </c>
      <c r="R25" s="325">
        <f> Time!R$45</f>
        <v>0.0</v>
      </c>
      <c r="S25" s="325">
        <f> Time!S$45</f>
        <v>0.0</v>
      </c>
      <c r="T25" s="325">
        <f> Time!T$45</f>
        <v>0.0</v>
      </c>
      <c r="U25" s="325">
        <f> Time!U$45</f>
        <v>0.0</v>
      </c>
      <c r="V25" s="325">
        <f> Time!V$45</f>
        <v>0.0</v>
      </c>
      <c r="W25" s="325">
        <f> Time!W$45</f>
        <v>0.0</v>
      </c>
      <c r="X25" s="325">
        <f> Time!X$45</f>
        <v>0.0</v>
      </c>
      <c r="Y25" s="325">
        <f> Time!Y$45</f>
        <v>0.0</v>
      </c>
      <c r="Z25" s="325">
        <f> Time!Z$45</f>
        <v>0.0</v>
      </c>
      <c r="AA25" s="325">
        <f> Time!AA$45</f>
        <v>0.0</v>
      </c>
      <c r="AB25" s="325">
        <f> Time!AB$45</f>
        <v>0.0</v>
      </c>
      <c r="AC25" s="325">
        <f> Time!AC$45</f>
        <v>0.0</v>
      </c>
      <c r="AD25" s="325">
        <f> Time!AD$45</f>
        <v>0.0</v>
      </c>
      <c r="AE25" s="325">
        <f> Time!AE$45</f>
        <v>0.0</v>
      </c>
      <c r="AF25" s="325">
        <f> Time!AF$45</f>
        <v>0.0</v>
      </c>
      <c r="AG25" s="325">
        <f> Time!AG$45</f>
        <v>0.0</v>
      </c>
      <c r="AH25" s="325">
        <f> Time!AH$45</f>
        <v>0.0</v>
      </c>
      <c r="AI25" s="325">
        <f> Time!AI$45</f>
        <v>0.0</v>
      </c>
      <c r="AJ25" s="325">
        <f> Time!AJ$45</f>
        <v>0.0</v>
      </c>
      <c r="AK25" s="325">
        <f> Time!AK$45</f>
        <v>0.0</v>
      </c>
      <c r="AL25" s="325">
        <f> Time!AL$45</f>
        <v>0.0</v>
      </c>
      <c r="AM25" s="325">
        <f> Time!AM$45</f>
        <v>0.0</v>
      </c>
      <c r="AN25" s="325">
        <f> Time!AN$45</f>
        <v>0.0</v>
      </c>
      <c r="AO25" s="325">
        <f> Time!AO$45</f>
        <v>0.0</v>
      </c>
      <c r="AP25" s="325">
        <f> Time!AP$45</f>
        <v>0.0</v>
      </c>
      <c r="AQ25" s="325">
        <f> Time!AQ$45</f>
        <v>0.0</v>
      </c>
      <c r="AR25" s="325">
        <f> Time!AR$45</f>
        <v>0.0</v>
      </c>
      <c r="AS25" s="325">
        <f> Time!AS$45</f>
        <v>0.0</v>
      </c>
      <c r="AT25" s="325">
        <f> Time!AT$45</f>
        <v>0.0</v>
      </c>
      <c r="AU25" s="325">
        <f> Time!AU$45</f>
        <v>0.0</v>
      </c>
      <c r="AV25" s="325">
        <f> Time!AV$45</f>
        <v>0.0</v>
      </c>
      <c r="AW25" s="325">
        <f> Time!AW$45</f>
        <v>0.0</v>
      </c>
      <c r="AX25" s="325">
        <f> Time!AX$45</f>
        <v>0.0</v>
      </c>
      <c r="AY25" s="325">
        <f> Time!AY$45</f>
        <v>0.0</v>
      </c>
      <c r="AZ25" s="325">
        <f> Time!AZ$45</f>
        <v>0.0</v>
      </c>
      <c r="BA25" s="325">
        <f> Time!BA$45</f>
        <v>0.0</v>
      </c>
      <c r="BB25" s="325">
        <f> Time!BB$45</f>
        <v>0.0</v>
      </c>
      <c r="BC25" s="325">
        <f> Time!BC$45</f>
        <v>0.0</v>
      </c>
      <c r="BD25" s="325">
        <f> Time!BD$45</f>
        <v>0.0</v>
      </c>
      <c r="BE25" s="325">
        <f> Time!BE$45</f>
        <v>0.0</v>
      </c>
      <c r="BF25" s="325">
        <f> Time!BF$45</f>
        <v>0.0</v>
      </c>
      <c r="BG25" s="325">
        <f> Time!BG$45</f>
        <v>0.0</v>
      </c>
      <c r="BH25" s="325">
        <f> Time!BH$45</f>
        <v>0.0</v>
      </c>
      <c r="BI25" s="325">
        <f> Time!BI$45</f>
        <v>0.0</v>
      </c>
      <c r="BJ25" s="325">
        <f> Time!BJ$45</f>
        <v>0.0</v>
      </c>
      <c r="BK25" s="325">
        <f> Time!BK$45</f>
        <v>0.0</v>
      </c>
      <c r="BL25" s="325">
        <f> Time!BL$45</f>
        <v>0.0</v>
      </c>
      <c r="BM25" s="325">
        <f> Time!BM$45</f>
        <v>0.0</v>
      </c>
      <c r="BN25" s="325">
        <f> Time!BN$45</f>
        <v>0.0</v>
      </c>
      <c r="BO25" s="325">
        <f> Time!BO$45</f>
        <v>0.0</v>
      </c>
      <c r="BP25" s="325">
        <f> Time!BP$45</f>
        <v>0.0</v>
      </c>
      <c r="BQ25" s="325">
        <f> Time!BQ$45</f>
        <v>0.0</v>
      </c>
      <c r="BR25" s="325">
        <f> Time!BR$45</f>
        <v>0.0</v>
      </c>
      <c r="BS25" s="325">
        <f> Time!BS$45</f>
        <v>0.0</v>
      </c>
      <c r="BT25" s="325">
        <f> Time!BT$45</f>
        <v>0.0</v>
      </c>
      <c r="BU25" s="325">
        <f> Time!BU$45</f>
        <v>0.0</v>
      </c>
      <c r="BV25" s="325">
        <f> Time!BV$45</f>
        <v>0.0</v>
      </c>
      <c r="BW25" s="325">
        <f> Time!BW$45</f>
        <v>0.0</v>
      </c>
      <c r="BX25" s="325">
        <f> Time!BX$45</f>
        <v>0.0</v>
      </c>
      <c r="BY25" s="325">
        <f> Time!BY$45</f>
        <v>0.0</v>
      </c>
      <c r="BZ25" s="325">
        <f> Time!BZ$45</f>
        <v>0.0</v>
      </c>
      <c r="CA25" s="325">
        <f> Time!CA$45</f>
        <v>0.0</v>
      </c>
      <c r="CB25" s="325">
        <f> Time!CB$45</f>
        <v>0.0</v>
      </c>
      <c r="CC25" s="325">
        <f> Time!CC$45</f>
        <v>0.0</v>
      </c>
      <c r="CD25" s="325">
        <f> Time!CD$45</f>
        <v>0.0</v>
      </c>
      <c r="CE25" s="325">
        <f> Time!CE$45</f>
        <v>0.0</v>
      </c>
      <c r="CF25" s="325">
        <f> Time!CF$45</f>
        <v>0.0</v>
      </c>
      <c r="CG25" s="325">
        <f> Time!CG$45</f>
        <v>0.0</v>
      </c>
      <c r="CH25" s="325">
        <f> Time!CH$45</f>
        <v>0.0</v>
      </c>
      <c r="CI25" s="325">
        <f> Time!CI$45</f>
        <v>0.0</v>
      </c>
      <c r="CJ25" s="325">
        <f> Time!CJ$45</f>
        <v>0.0</v>
      </c>
      <c r="CK25" s="325">
        <f> Time!CK$45</f>
        <v>0.0</v>
      </c>
      <c r="CL25" s="325">
        <f> Time!CL$45</f>
        <v>0.0</v>
      </c>
      <c r="CM25" s="325">
        <f> Time!CM$45</f>
        <v>0.0</v>
      </c>
      <c r="CN25" s="325">
        <f> Time!CN$45</f>
        <v>0.0</v>
      </c>
      <c r="CO25" s="325">
        <f> Time!CO$45</f>
        <v>0.0</v>
      </c>
    </row>
    <row r="26" customFormat="1" s="345">
      <c r="A26" s="326" t="n"/>
      <c r="B26" s="326" t="n"/>
      <c r="C26" s="327" t="n"/>
      <c r="D26" s="328" t="n"/>
      <c r="E26" s="345" t="inlineStr">
        <is>
          <t>CPI escalation factor</t>
        </is>
      </c>
      <c r="G26" s="345" t="inlineStr">
        <is>
          <t>factor</t>
        </is>
      </c>
      <c r="I26" s="330" t="n"/>
      <c r="J26" s="346">
        <f> IF(J25 = 1, 1, I26 * ( 1 + J24))</f>
        <v>0.0</v>
      </c>
      <c r="K26" s="346">
        <f> IF(K25 = 1, 1, J26 * ( 1 + K24))</f>
        <v>1.0</v>
      </c>
      <c r="L26" s="346">
        <f> IF(L25 = 1, 1, K26 * ( 1 + L24))</f>
        <v>1.0146738461686593</v>
      </c>
      <c r="M26" s="346">
        <f> IF(M25 = 1, 1, L26 * ( 1 + M24))</f>
        <v>1.0295630140987</v>
      </c>
      <c r="N26" s="346">
        <f> IF(N25 = 1, 1, M26 * ( 1 + N24))</f>
        <v>1.0446706633885254</v>
      </c>
      <c r="O26" s="346">
        <f> IF(O25 = 1, 1, N26 * ( 1 + O24))</f>
        <v>1.0599999999999998</v>
      </c>
      <c r="P26" s="346">
        <f> IF(P25 = 1, 1, O26 * ( 1 + P24))</f>
        <v>1.0730085684947814</v>
      </c>
      <c r="Q26" s="346">
        <f> IF(Q25 = 1, 1, P26 * ( 1 + Q24))</f>
        <v>1.0861767811917173</v>
      </c>
      <c r="R26" s="346">
        <f> IF(R25 = 1, 1, Q26 * ( 1 + R24))</f>
        <v>1.0995065972818814</v>
      </c>
      <c r="S26" s="346">
        <f> IF(S25 = 1, 1, R26 * ( 1 + S24))</f>
        <v>1.113</v>
      </c>
      <c r="T26" s="346">
        <f> IF(T25 = 1, 1, S26 * ( 1 + T24))</f>
        <v>1.1239668414890023</v>
      </c>
      <c r="U26" s="346">
        <f> IF(U25 = 1, 1, T26 * ( 1 + U24))</f>
        <v>1.1350417437257538</v>
      </c>
      <c r="V26" s="346">
        <f> IF(V25 = 1, 1, U26 * ( 1 + V24))</f>
        <v>1.146225771476734</v>
      </c>
      <c r="W26" s="346">
        <f> IF(W25 = 1, 1, V26 * ( 1 + W24))</f>
        <v>1.1575199999999999</v>
      </c>
      <c r="X26" s="346">
        <f> IF(X25 = 1, 1, W26 * ( 1 + X24))</f>
        <v>1.1661054089241611</v>
      </c>
      <c r="Y26" s="346">
        <f> IF(Y25 = 1, 1, X26 * ( 1 + Y24))</f>
        <v>1.1747544964425543</v>
      </c>
      <c r="Z26" s="346">
        <f> IF(Z25 = 1, 1, Y26 * ( 1 + Z24))</f>
        <v>1.1834677348638831</v>
      </c>
      <c r="AA26" s="346">
        <f> IF(AA25 = 1, 1, Z26 * ( 1 + AA24))</f>
        <v>1.1922455999999995</v>
      </c>
      <c r="AB26" s="346">
        <f> IF(AB25 = 1, 1, AA26 * ( 1 + AB24))</f>
        <v>1.2010885711918857</v>
      </c>
      <c r="AC26" s="346">
        <f> IF(AC25 = 1, 1, AB26 * ( 1 + AC24))</f>
        <v>1.2099971313358306</v>
      </c>
      <c r="AD26" s="346">
        <f> IF(AD25 = 1, 1, AC26 * ( 1 + AD24))</f>
        <v>1.2189717669097995</v>
      </c>
      <c r="AE26" s="346">
        <f> IF(AE25 = 1, 1, AD26 * ( 1 + AE24))</f>
        <v>1.2280129679999994</v>
      </c>
      <c r="AF26" s="346">
        <f> IF(AF25 = 1, 1, AE26 * ( 1 + AF24))</f>
        <v>1.237121228327642</v>
      </c>
      <c r="AG26" s="346">
        <f> IF(AG25 = 1, 1, AF26 * ( 1 + AG24))</f>
        <v>1.2462970452759052</v>
      </c>
      <c r="AH26" s="346">
        <f> IF(AH25 = 1, 1, AG26 * ( 1 + AH24))</f>
        <v>1.255540919917093</v>
      </c>
      <c r="AI26" s="346">
        <f> IF(AI25 = 1, 1, AH26 * ( 1 + AI24))</f>
        <v>1.264853357039999</v>
      </c>
      <c r="AJ26" s="346">
        <f> IF(AJ25 = 1, 1, AI26 * ( 1 + AJ24))</f>
        <v>1.2742348651774709</v>
      </c>
      <c r="AK26" s="346">
        <f> IF(AK25 = 1, 1, AJ26 * ( 1 + AK24))</f>
        <v>1.2836859566341818</v>
      </c>
      <c r="AL26" s="346">
        <f> IF(AL25 = 1, 1, AK26 * ( 1 + AL24))</f>
        <v>1.2932071475146052</v>
      </c>
      <c r="AM26" s="346">
        <f> IF(AM25 = 1, 1, AL26 * ( 1 + AM24))</f>
        <v>1.3027989577511982</v>
      </c>
      <c r="AN26" s="346">
        <f> IF(AN25 = 1, 1, AM26 * ( 1 + AN24))</f>
        <v>1.3124619111327944</v>
      </c>
      <c r="AO26" s="346">
        <f> IF(AO25 = 1, 1, AN26 * ( 1 + AO24))</f>
        <v>1.3221965353332068</v>
      </c>
      <c r="AP26" s="346">
        <f> IF(AP25 = 1, 1, AO26 * ( 1 + AP24))</f>
        <v>1.3320033619400429</v>
      </c>
      <c r="AQ26" s="346">
        <f> IF(AQ25 = 1, 1, AP26 * ( 1 + AQ24))</f>
        <v>1.3418829264837338</v>
      </c>
      <c r="AR26" s="346">
        <f> IF(AR25 = 1, 1, AQ26 * ( 1 + AR24))</f>
        <v>1.3518357684667779</v>
      </c>
      <c r="AS26" s="346">
        <f> IF(AS25 = 1, 1, AR26 * ( 1 + AS24))</f>
        <v>1.3618624313932026</v>
      </c>
      <c r="AT26" s="346">
        <f> IF(AT25 = 1, 1, AS26 * ( 1 + AT24))</f>
        <v>1.3719634627982438</v>
      </c>
      <c r="AU26" s="346">
        <f> IF(AU25 = 1, 1, AT26 * ( 1 + AU24))</f>
        <v>1.3821394142782453</v>
      </c>
      <c r="AV26" s="346">
        <f> IF(AV25 = 1, 1, AU26 * ( 1 + AV24))</f>
        <v>1.3923908415207806</v>
      </c>
      <c r="AW26" s="346">
        <f> IF(AW25 = 1, 1, AV26 * ( 1 + AW24))</f>
        <v>1.4027183043349982</v>
      </c>
      <c r="AX26" s="346">
        <f> IF(AX25 = 1, 1, AW26 * ( 1 + AX24))</f>
        <v>1.4131223666821906</v>
      </c>
      <c r="AY26" s="346">
        <f> IF(AY25 = 1, 1, AX26 * ( 1 + AY24))</f>
        <v>1.423603596706592</v>
      </c>
      <c r="AZ26" s="346">
        <f> IF(AZ25 = 1, 1, AY26 * ( 1 + AZ24))</f>
        <v>1.4341625667664035</v>
      </c>
      <c r="BA26" s="346">
        <f> IF(BA25 = 1, 1, AZ26 * ( 1 + BA24))</f>
        <v>1.4447998534650475</v>
      </c>
      <c r="BB26" s="346">
        <f> IF(BB25 = 1, 1, BA26 * ( 1 + BB24))</f>
        <v>1.4555160376826557</v>
      </c>
      <c r="BC26" s="346">
        <f> IF(BC25 = 1, 1, BB26 * ( 1 + BC24))</f>
        <v>1.4663117046077894</v>
      </c>
      <c r="BD26" s="346">
        <f> IF(BD25 = 1, 1, BC26 * ( 1 + BD24))</f>
        <v>1.4771874437693953</v>
      </c>
      <c r="BE26" s="346">
        <f> IF(BE25 = 1, 1, BD26 * ( 1 + BE24))</f>
        <v>1.4881438490689987</v>
      </c>
      <c r="BF26" s="346">
        <f> IF(BF25 = 1, 1, BE26 * ( 1 + BF24))</f>
        <v>1.499181518813135</v>
      </c>
      <c r="BG26" s="346">
        <f> IF(BG25 = 1, 1, BF26 * ( 1 + BG24))</f>
        <v>1.5103010557460226</v>
      </c>
      <c r="BH26" s="346">
        <f> IF(BH25 = 1, 1, BG26 * ( 1 + BH24))</f>
        <v>1.5215030670824765</v>
      </c>
      <c r="BI26" s="346">
        <f> IF(BI25 = 1, 1, BH26 * ( 1 + BI24))</f>
        <v>1.532788164541068</v>
      </c>
      <c r="BJ26" s="346">
        <f> IF(BJ25 = 1, 1, BI26 * ( 1 + BJ24))</f>
        <v>1.5441569643775284</v>
      </c>
      <c r="BK26" s="346">
        <f> IF(BK25 = 1, 1, BJ26 * ( 1 + BK24))</f>
        <v>1.5556100874184027</v>
      </c>
      <c r="BL26" s="346">
        <f> IF(BL25 = 1, 1, BK26 * ( 1 + BL24))</f>
        <v>1.5671481590949503</v>
      </c>
      <c r="BM26" s="346">
        <f> IF(BM25 = 1, 1, BL26 * ( 1 + BM24))</f>
        <v>1.5787718094772996</v>
      </c>
      <c r="BN26" s="346">
        <f> IF(BN25 = 1, 1, BM26 * ( 1 + BN24))</f>
        <v>1.5904816733088538</v>
      </c>
      <c r="BO26" s="346">
        <f> IF(BO25 = 1, 1, BN26 * ( 1 + BO24))</f>
        <v>1.6022783900409543</v>
      </c>
      <c r="BP26" s="346">
        <f> IF(BP25 = 1, 1, BO26 * ( 1 + BP24))</f>
        <v>1.6141626038677983</v>
      </c>
      <c r="BQ26" s="346">
        <f> IF(BQ25 = 1, 1, BP26 * ( 1 + BQ24))</f>
        <v>1.626134963761618</v>
      </c>
      <c r="BR26" s="346">
        <f> IF(BR25 = 1, 1, BQ26 * ( 1 + BR24))</f>
        <v>1.638196123508119</v>
      </c>
      <c r="BS26" s="346">
        <f> IF(BS25 = 1, 1, BR26 * ( 1 + BS24))</f>
        <v>1.6503467417421824</v>
      </c>
      <c r="BT26" s="346">
        <f> IF(BT25 = 1, 1, BS26 * ( 1 + BT24))</f>
        <v>1.6625874819838318</v>
      </c>
      <c r="BU26" s="346">
        <f> IF(BU25 = 1, 1, BT26 * ( 1 + BU24))</f>
        <v>1.674919012674466</v>
      </c>
      <c r="BV26" s="346">
        <f> IF(BV25 = 1, 1, BU26 * ( 1 + BV24))</f>
        <v>1.687342007213362</v>
      </c>
      <c r="BW26" s="346">
        <f> IF(BW25 = 1, 1, BV26 * ( 1 + BW24))</f>
        <v>1.6998571439944474</v>
      </c>
      <c r="BX26" s="346">
        <f> IF(BX25 = 1, 1, BW26 * ( 1 + BX24))</f>
        <v>1.7124651064433463</v>
      </c>
      <c r="BY26" s="346">
        <f> IF(BY25 = 1, 1, BX26 * ( 1 + BY24))</f>
        <v>1.7251665830546996</v>
      </c>
      <c r="BZ26" s="346">
        <f> IF(BZ25 = 1, 1, BY26 * ( 1 + BZ24))</f>
        <v>1.7379622674297626</v>
      </c>
      <c r="CA26" s="346">
        <f> IF(CA25 = 1, 1, BZ26 * ( 1 + CA24))</f>
        <v>1.7508528583142804</v>
      </c>
      <c r="CB26" s="346">
        <f> IF(CB25 = 1, 1, CA26 * ( 1 + CB24))</f>
        <v>1.7638390596366462</v>
      </c>
      <c r="CC26" s="346">
        <f> IF(CC25 = 1, 1, CB26 * ( 1 + CC24))</f>
        <v>1.77692158054634</v>
      </c>
      <c r="CD26" s="346">
        <f> IF(CD25 = 1, 1, CC26 * ( 1 + CD24))</f>
        <v>1.7901011354526548</v>
      </c>
      <c r="CE26" s="346">
        <f> IF(CE25 = 1, 1, CD26 * ( 1 + CE24))</f>
        <v>1.8033784440637082</v>
      </c>
      <c r="CF26" s="346">
        <f> IF(CF25 = 1, 1, CE26 * ( 1 + CF24))</f>
        <v>1.816754231425745</v>
      </c>
      <c r="CG26" s="346">
        <f> IF(CG25 = 1, 1, CF26 * ( 1 + CG24))</f>
        <v>1.8302292279627297</v>
      </c>
      <c r="CH26" s="346">
        <f> IF(CH25 = 1, 1, CG26 * ( 1 + CH24))</f>
        <v>1.843804169516234</v>
      </c>
      <c r="CI26" s="346">
        <f> IF(CI25 = 1, 1, CH26 * ( 1 + CI24))</f>
        <v>1.857479797385619</v>
      </c>
      <c r="CJ26" s="346">
        <f> IF(CJ25 = 1, 1, CI26 * ( 1 + CJ24))</f>
        <v>1.8712568583685167</v>
      </c>
      <c r="CK26" s="346">
        <f> IF(CK25 = 1, 1, CJ26 * ( 1 + CK24))</f>
        <v>1.8851361048016109</v>
      </c>
      <c r="CL26" s="346">
        <f> IF(CL25 = 1, 1, CK26 * ( 1 + CL24))</f>
        <v>1.8991182946017202</v>
      </c>
      <c r="CM26" s="346">
        <f> IF(CM25 = 1, 1, CL26 * ( 1 + CM24))</f>
        <v>1.9132041913071869</v>
      </c>
      <c r="CN26" s="346">
        <f> IF(CN25 = 1, 1, CM26 * ( 1 + CN24))</f>
        <v>1.9273945641195718</v>
      </c>
      <c r="CO26" s="346">
        <f> IF(CO25 = 1, 1, CN26 * ( 1 + CO24))</f>
        <v>1.9416901879456587</v>
      </c>
    </row>
    <row r="28">
      <c r="B28" s="294" t="inlineStr">
        <is>
          <t>Handling escalation factor</t>
        </is>
      </c>
    </row>
    <row r="29">
      <c r="E29" s="325" t="str">
        <f> InpC!E$23</f>
        <v>CPI index at acquisition date</v>
      </c>
      <c r="F29" s="325">
        <f> InpC!F$23</f>
        <v>145.0</v>
      </c>
      <c r="G29" s="325" t="str">
        <f> InpC!G$23</f>
        <v>index</v>
      </c>
    </row>
    <row r="30">
      <c r="E30" s="325" t="str">
        <f> InpC!E$25</f>
        <v>CPI index at handling signature date</v>
      </c>
      <c r="F30" s="325">
        <f> InpC!F$25</f>
        <v>120.0</v>
      </c>
      <c r="G30" s="325" t="str">
        <f> InpC!G$25</f>
        <v>index</v>
      </c>
    </row>
    <row r="31">
      <c r="E31" s="277" t="str">
        <f> E$26</f>
        <v>CPI escalation factor</v>
      </c>
      <c r="F31" s="277">
        <f> F$26</f>
        <v>0.0</v>
      </c>
      <c r="G31" s="277" t="str">
        <f> G$26</f>
        <v>factor</v>
      </c>
      <c r="H31" s="277">
        <f> H$26</f>
        <v>0.0</v>
      </c>
      <c r="I31" s="277">
        <f> I$26</f>
        <v>0.0</v>
      </c>
      <c r="J31" s="277">
        <f> J$26</f>
        <v>0.0</v>
      </c>
      <c r="K31" s="277">
        <f> K$26</f>
        <v>1.0</v>
      </c>
      <c r="L31" s="277">
        <f> L$26</f>
        <v>1.0146738461686593</v>
      </c>
      <c r="M31" s="277">
        <f> M$26</f>
        <v>1.0295630140987</v>
      </c>
      <c r="N31" s="277">
        <f> N$26</f>
        <v>1.0446706633885254</v>
      </c>
      <c r="O31" s="277">
        <f> O$26</f>
        <v>1.0599999999999998</v>
      </c>
      <c r="P31" s="277">
        <f> P$26</f>
        <v>1.0730085684947814</v>
      </c>
      <c r="Q31" s="277">
        <f> Q$26</f>
        <v>1.0861767811917173</v>
      </c>
      <c r="R31" s="277">
        <f> R$26</f>
        <v>1.0995065972818814</v>
      </c>
      <c r="S31" s="277">
        <f> S$26</f>
        <v>1.113</v>
      </c>
      <c r="T31" s="277">
        <f> T$26</f>
        <v>1.1239668414890023</v>
      </c>
      <c r="U31" s="277">
        <f> U$26</f>
        <v>1.1350417437257538</v>
      </c>
      <c r="V31" s="277">
        <f> V$26</f>
        <v>1.146225771476734</v>
      </c>
      <c r="W31" s="277">
        <f> W$26</f>
        <v>1.1575199999999999</v>
      </c>
      <c r="X31" s="277">
        <f> X$26</f>
        <v>1.1661054089241611</v>
      </c>
      <c r="Y31" s="277">
        <f> Y$26</f>
        <v>1.1747544964425543</v>
      </c>
      <c r="Z31" s="277">
        <f> Z$26</f>
        <v>1.1834677348638831</v>
      </c>
      <c r="AA31" s="277">
        <f> AA$26</f>
        <v>1.1922455999999995</v>
      </c>
      <c r="AB31" s="277">
        <f> AB$26</f>
        <v>1.2010885711918857</v>
      </c>
      <c r="AC31" s="277">
        <f> AC$26</f>
        <v>1.2099971313358306</v>
      </c>
      <c r="AD31" s="277">
        <f> AD$26</f>
        <v>1.2189717669097995</v>
      </c>
      <c r="AE31" s="277">
        <f> AE$26</f>
        <v>1.2280129679999994</v>
      </c>
      <c r="AF31" s="277">
        <f> AF$26</f>
        <v>1.237121228327642</v>
      </c>
      <c r="AG31" s="277">
        <f> AG$26</f>
        <v>1.2462970452759052</v>
      </c>
      <c r="AH31" s="277">
        <f> AH$26</f>
        <v>1.255540919917093</v>
      </c>
      <c r="AI31" s="277">
        <f> AI$26</f>
        <v>1.264853357039999</v>
      </c>
      <c r="AJ31" s="277">
        <f> AJ$26</f>
        <v>1.2742348651774709</v>
      </c>
      <c r="AK31" s="277">
        <f> AK$26</f>
        <v>1.2836859566341818</v>
      </c>
      <c r="AL31" s="277">
        <f> AL$26</f>
        <v>1.2932071475146052</v>
      </c>
      <c r="AM31" s="277">
        <f> AM$26</f>
        <v>1.3027989577511982</v>
      </c>
      <c r="AN31" s="277">
        <f> AN$26</f>
        <v>1.3124619111327944</v>
      </c>
      <c r="AO31" s="277">
        <f> AO$26</f>
        <v>1.3221965353332068</v>
      </c>
      <c r="AP31" s="277">
        <f> AP$26</f>
        <v>1.3320033619400429</v>
      </c>
      <c r="AQ31" s="277">
        <f> AQ$26</f>
        <v>1.3418829264837338</v>
      </c>
      <c r="AR31" s="277">
        <f> AR$26</f>
        <v>1.3518357684667779</v>
      </c>
      <c r="AS31" s="277">
        <f> AS$26</f>
        <v>1.3618624313932026</v>
      </c>
      <c r="AT31" s="277">
        <f> AT$26</f>
        <v>1.3719634627982438</v>
      </c>
      <c r="AU31" s="277">
        <f> AU$26</f>
        <v>1.3821394142782453</v>
      </c>
      <c r="AV31" s="277">
        <f> AV$26</f>
        <v>1.3923908415207806</v>
      </c>
      <c r="AW31" s="277">
        <f> AW$26</f>
        <v>1.4027183043349982</v>
      </c>
      <c r="AX31" s="277">
        <f> AX$26</f>
        <v>1.4131223666821906</v>
      </c>
      <c r="AY31" s="277">
        <f> AY$26</f>
        <v>1.423603596706592</v>
      </c>
      <c r="AZ31" s="277">
        <f> AZ$26</f>
        <v>1.4341625667664035</v>
      </c>
      <c r="BA31" s="277">
        <f> BA$26</f>
        <v>1.4447998534650475</v>
      </c>
      <c r="BB31" s="277">
        <f> BB$26</f>
        <v>1.4555160376826557</v>
      </c>
      <c r="BC31" s="277">
        <f> BC$26</f>
        <v>1.4663117046077894</v>
      </c>
      <c r="BD31" s="277">
        <f> BD$26</f>
        <v>1.4771874437693953</v>
      </c>
      <c r="BE31" s="277">
        <f> BE$26</f>
        <v>1.4881438490689987</v>
      </c>
      <c r="BF31" s="277">
        <f> BF$26</f>
        <v>1.499181518813135</v>
      </c>
      <c r="BG31" s="277">
        <f> BG$26</f>
        <v>1.5103010557460226</v>
      </c>
      <c r="BH31" s="277">
        <f> BH$26</f>
        <v>1.5215030670824765</v>
      </c>
      <c r="BI31" s="277">
        <f> BI$26</f>
        <v>1.532788164541068</v>
      </c>
      <c r="BJ31" s="277">
        <f> BJ$26</f>
        <v>1.5441569643775284</v>
      </c>
      <c r="BK31" s="277">
        <f> BK$26</f>
        <v>1.5556100874184027</v>
      </c>
      <c r="BL31" s="277">
        <f> BL$26</f>
        <v>1.5671481590949503</v>
      </c>
      <c r="BM31" s="277">
        <f> BM$26</f>
        <v>1.5787718094772996</v>
      </c>
      <c r="BN31" s="277">
        <f> BN$26</f>
        <v>1.5904816733088538</v>
      </c>
      <c r="BO31" s="277">
        <f> BO$26</f>
        <v>1.6022783900409543</v>
      </c>
      <c r="BP31" s="277">
        <f> BP$26</f>
        <v>1.6141626038677983</v>
      </c>
      <c r="BQ31" s="277">
        <f> BQ$26</f>
        <v>1.626134963761618</v>
      </c>
      <c r="BR31" s="277">
        <f> BR$26</f>
        <v>1.638196123508119</v>
      </c>
      <c r="BS31" s="277">
        <f> BS$26</f>
        <v>1.6503467417421824</v>
      </c>
      <c r="BT31" s="277">
        <f> BT$26</f>
        <v>1.6625874819838318</v>
      </c>
      <c r="BU31" s="277">
        <f> BU$26</f>
        <v>1.674919012674466</v>
      </c>
      <c r="BV31" s="277">
        <f> BV$26</f>
        <v>1.687342007213362</v>
      </c>
      <c r="BW31" s="277">
        <f> BW$26</f>
        <v>1.6998571439944474</v>
      </c>
      <c r="BX31" s="277">
        <f> BX$26</f>
        <v>1.7124651064433463</v>
      </c>
      <c r="BY31" s="277">
        <f> BY$26</f>
        <v>1.7251665830546996</v>
      </c>
      <c r="BZ31" s="277">
        <f> BZ$26</f>
        <v>1.7379622674297626</v>
      </c>
      <c r="CA31" s="277">
        <f> CA$26</f>
        <v>1.7508528583142804</v>
      </c>
      <c r="CB31" s="277">
        <f> CB$26</f>
        <v>1.7638390596366462</v>
      </c>
      <c r="CC31" s="277">
        <f> CC$26</f>
        <v>1.77692158054634</v>
      </c>
      <c r="CD31" s="277">
        <f> CD$26</f>
        <v>1.7901011354526548</v>
      </c>
      <c r="CE31" s="277">
        <f> CE$26</f>
        <v>1.8033784440637082</v>
      </c>
      <c r="CF31" s="277">
        <f> CF$26</f>
        <v>1.816754231425745</v>
      </c>
      <c r="CG31" s="277">
        <f> CG$26</f>
        <v>1.8302292279627297</v>
      </c>
      <c r="CH31" s="277">
        <f> CH$26</f>
        <v>1.843804169516234</v>
      </c>
      <c r="CI31" s="277">
        <f> CI$26</f>
        <v>1.857479797385619</v>
      </c>
      <c r="CJ31" s="277">
        <f> CJ$26</f>
        <v>1.8712568583685167</v>
      </c>
      <c r="CK31" s="277">
        <f> CK$26</f>
        <v>1.8851361048016109</v>
      </c>
      <c r="CL31" s="277">
        <f> CL$26</f>
        <v>1.8991182946017202</v>
      </c>
      <c r="CM31" s="277">
        <f> CM$26</f>
        <v>1.9132041913071869</v>
      </c>
      <c r="CN31" s="277">
        <f> CN$26</f>
        <v>1.9273945641195718</v>
      </c>
      <c r="CO31" s="277">
        <f> CO$26</f>
        <v>1.9416901879456587</v>
      </c>
    </row>
    <row r="32" customFormat="1" s="345">
      <c r="A32" s="326" t="n"/>
      <c r="B32" s="326" t="n"/>
      <c r="C32" s="327" t="n"/>
      <c r="D32" s="328" t="n"/>
      <c r="E32" s="345" t="inlineStr">
        <is>
          <t>Handling escalation factor</t>
        </is>
      </c>
      <c r="G32" s="345" t="inlineStr">
        <is>
          <t>factor</t>
        </is>
      </c>
      <c r="J32" s="346">
        <f> $F29 / $F30 * J31</f>
        <v>0.0</v>
      </c>
      <c r="K32" s="346">
        <f> $F29 / $F30 * K31</f>
        <v>1.2083333333333333</v>
      </c>
      <c r="L32" s="346">
        <f> $F29 / $F30 * L31</f>
        <v>1.22606423078713</v>
      </c>
      <c r="M32" s="346">
        <f> $F29 / $F30 * M31</f>
        <v>1.2440553087025958</v>
      </c>
      <c r="N32" s="346">
        <f> $F29 / $F30 * N31</f>
        <v>1.2623103849278015</v>
      </c>
      <c r="O32" s="346">
        <f> $F29 / $F30 * O31</f>
        <v>1.280833333333333</v>
      </c>
      <c r="P32" s="346">
        <f> $F29 / $F30 * P31</f>
        <v>1.2965520202645275</v>
      </c>
      <c r="Q32" s="346">
        <f> $F29 / $F30 * Q31</f>
        <v>1.3124636106066583</v>
      </c>
      <c r="R32" s="346">
        <f> $F29 / $F30 * R31</f>
        <v>1.3285704717156066</v>
      </c>
      <c r="S32" s="346">
        <f> $F29 / $F30 * S31</f>
        <v>1.3448749999999998</v>
      </c>
      <c r="T32" s="346">
        <f> $F29 / $F30 * T31</f>
        <v>1.3581266001325443</v>
      </c>
      <c r="U32" s="346">
        <f> $F29 / $F30 * U31</f>
        <v>1.3715087736686191</v>
      </c>
      <c r="V32" s="346">
        <f> $F29 / $F30 * V31</f>
        <v>1.3850228072010535</v>
      </c>
      <c r="W32" s="346">
        <f> $F29 / $F30 * W31</f>
        <v>1.3986699999999999</v>
      </c>
      <c r="X32" s="346">
        <f> $F29 / $F30 * X31</f>
        <v>1.4090440357833613</v>
      </c>
      <c r="Y32" s="346">
        <f> $F29 / $F30 * Y31</f>
        <v>1.419495016534753</v>
      </c>
      <c r="Z32" s="346">
        <f> $F29 / $F30 * Z31</f>
        <v>1.4300235129605254</v>
      </c>
      <c r="AA32" s="346">
        <f> $F29 / $F30 * AA31</f>
        <v>1.4406300999999992</v>
      </c>
      <c r="AB32" s="346">
        <f> $F29 / $F30 * AB31</f>
        <v>1.4513153568568617</v>
      </c>
      <c r="AC32" s="346">
        <f> $F29 / $F30 * AC31</f>
        <v>1.4620798670307953</v>
      </c>
      <c r="AD32" s="346">
        <f> $F29 / $F30 * AD31</f>
        <v>1.472924218349341</v>
      </c>
      <c r="AE32" s="346">
        <f> $F29 / $F30 * AE31</f>
        <v>1.4838490029999991</v>
      </c>
      <c r="AF32" s="346">
        <f> $F29 / $F30 * AF31</f>
        <v>1.4948548175625673</v>
      </c>
      <c r="AG32" s="346">
        <f> $F29 / $F30 * AG31</f>
        <v>1.5059422630417187</v>
      </c>
      <c r="AH32" s="346">
        <f> $F29 / $F30 * AH31</f>
        <v>1.5171119448998207</v>
      </c>
      <c r="AI32" s="346">
        <f> $F29 / $F30 * AI31</f>
        <v>1.5283644730899986</v>
      </c>
      <c r="AJ32" s="346">
        <f> $F29 / $F30 * AJ31</f>
        <v>1.5397004620894439</v>
      </c>
      <c r="AK32" s="346">
        <f> $F29 / $F30 * AK31</f>
        <v>1.5511205309329696</v>
      </c>
      <c r="AL32" s="346">
        <f> $F29 / $F30 * AL31</f>
        <v>1.5626253032468145</v>
      </c>
      <c r="AM32" s="346">
        <f> $F29 / $F30 * AM31</f>
        <v>1.5742154072826977</v>
      </c>
      <c r="AN32" s="346">
        <f> $F29 / $F30 * AN31</f>
        <v>1.5858914759521265</v>
      </c>
      <c r="AO32" s="346">
        <f> $F29 / $F30 * AO31</f>
        <v>1.5976541468609582</v>
      </c>
      <c r="AP32" s="346">
        <f> $F29 / $F30 * AP31</f>
        <v>1.6095040623442183</v>
      </c>
      <c r="AQ32" s="346">
        <f> $F29 / $F30 * AQ31</f>
        <v>1.621441869501178</v>
      </c>
      <c r="AR32" s="346">
        <f> $F29 / $F30 * AR31</f>
        <v>1.6334682202306898</v>
      </c>
      <c r="AS32" s="346">
        <f> $F29 / $F30 * AS31</f>
        <v>1.6455837712667865</v>
      </c>
      <c r="AT32" s="346">
        <f> $F29 / $F30 * AT31</f>
        <v>1.6577891842145445</v>
      </c>
      <c r="AU32" s="346">
        <f> $F29 / $F30 * AU31</f>
        <v>1.670085125586213</v>
      </c>
      <c r="AV32" s="346">
        <f> $F29 / $F30 * AV31</f>
        <v>1.6824722668376098</v>
      </c>
      <c r="AW32" s="346">
        <f> $F29 / $F30 * AW31</f>
        <v>1.6949512844047894</v>
      </c>
      <c r="AX32" s="346">
        <f> $F29 / $F30 * AX31</f>
        <v>1.7075228597409802</v>
      </c>
      <c r="AY32" s="346">
        <f> $F29 / $F30 * AY31</f>
        <v>1.7201876793537987</v>
      </c>
      <c r="AZ32" s="346">
        <f> $F29 / $F30 * AZ31</f>
        <v>1.7329464348427375</v>
      </c>
      <c r="BA32" s="346">
        <f> $F29 / $F30 * BA31</f>
        <v>1.7457998229369323</v>
      </c>
      <c r="BB32" s="346">
        <f> $F29 / $F30 * BB31</f>
        <v>1.7587485455332088</v>
      </c>
      <c r="BC32" s="346">
        <f> $F29 / $F30 * BC31</f>
        <v>1.771793309734412</v>
      </c>
      <c r="BD32" s="346">
        <f> $F29 / $F30 * BD31</f>
        <v>1.7849348278880193</v>
      </c>
      <c r="BE32" s="346">
        <f> $F29 / $F30 * BE31</f>
        <v>1.79817381762504</v>
      </c>
      <c r="BF32" s="346">
        <f> $F29 / $F30 * BF31</f>
        <v>1.8115110018992047</v>
      </c>
      <c r="BG32" s="346">
        <f> $F29 / $F30 * BG31</f>
        <v>1.8249471090264437</v>
      </c>
      <c r="BH32" s="346">
        <f> $F29 / $F30 * BH31</f>
        <v>1.838482872724659</v>
      </c>
      <c r="BI32" s="346">
        <f> $F29 / $F30 * BI31</f>
        <v>1.8521190321537904</v>
      </c>
      <c r="BJ32" s="346">
        <f> $F29 / $F30 * BJ31</f>
        <v>1.86585633195618</v>
      </c>
      <c r="BK32" s="346">
        <f> $F29 / $F30 * BK31</f>
        <v>1.8796955222972365</v>
      </c>
      <c r="BL32" s="346">
        <f> $F29 / $F30 * BL31</f>
        <v>1.8936373589063982</v>
      </c>
      <c r="BM32" s="346">
        <f> $F29 / $F30 * BM31</f>
        <v>1.9076826031184035</v>
      </c>
      <c r="BN32" s="346">
        <f> $F29 / $F30 * BN31</f>
        <v>1.921832021914865</v>
      </c>
      <c r="BO32" s="346">
        <f> $F29 / $F30 * BO31</f>
        <v>1.936086387966153</v>
      </c>
      <c r="BP32" s="346">
        <f> $F29 / $F30 * BP31</f>
        <v>1.9504464796735894</v>
      </c>
      <c r="BQ32" s="346">
        <f> $F29 / $F30 * BQ31</f>
        <v>1.964913081211955</v>
      </c>
      <c r="BR32" s="346">
        <f> $F29 / $F30 * BR31</f>
        <v>1.9794869825723105</v>
      </c>
      <c r="BS32" s="346">
        <f> $F29 / $F30 * BS31</f>
        <v>1.994168979605137</v>
      </c>
      <c r="BT32" s="346">
        <f> $F29 / $F30 * BT31</f>
        <v>2.0089598740637964</v>
      </c>
      <c r="BU32" s="346">
        <f> $F29 / $F30 * BU31</f>
        <v>2.023860473648313</v>
      </c>
      <c r="BV32" s="346">
        <f> $F29 / $F30 * BV31</f>
        <v>2.038871592049479</v>
      </c>
      <c r="BW32" s="346">
        <f> $F29 / $F30 * BW31</f>
        <v>2.0539940489932906</v>
      </c>
      <c r="BX32" s="346">
        <f> $F29 / $F30 * BX31</f>
        <v>2.06922867028571</v>
      </c>
      <c r="BY32" s="346">
        <f> $F29 / $F30 * BY31</f>
        <v>2.084576287857762</v>
      </c>
      <c r="BZ32" s="346">
        <f> $F29 / $F30 * BZ31</f>
        <v>2.100037739810963</v>
      </c>
      <c r="CA32" s="346">
        <f> $F29 / $F30 * CA31</f>
        <v>2.1156138704630885</v>
      </c>
      <c r="CB32" s="346">
        <f> $F29 / $F30 * CB31</f>
        <v>2.1313055303942807</v>
      </c>
      <c r="CC32" s="346">
        <f> $F29 / $F30 * CC31</f>
        <v>2.1471135764934943</v>
      </c>
      <c r="CD32" s="346">
        <f> $F29 / $F30 * CD31</f>
        <v>2.163038872005291</v>
      </c>
      <c r="CE32" s="346">
        <f> $F29 / $F30 * CE31</f>
        <v>2.1790822865769806</v>
      </c>
      <c r="CF32" s="346">
        <f> $F29 / $F30 * CF31</f>
        <v>2.1952446963061085</v>
      </c>
      <c r="CG32" s="346">
        <f> $F29 / $F30 * CG31</f>
        <v>2.211526983788298</v>
      </c>
      <c r="CH32" s="346">
        <f> $F29 / $F30 * CH31</f>
        <v>2.227930038165449</v>
      </c>
      <c r="CI32" s="346">
        <f> $F29 / $F30 * CI31</f>
        <v>2.2444547551742895</v>
      </c>
      <c r="CJ32" s="346">
        <f> $F29 / $F30 * CJ31</f>
        <v>2.261102037195291</v>
      </c>
      <c r="CK32" s="346">
        <f> $F29 / $F30 * CK31</f>
        <v>2.2778727933019463</v>
      </c>
      <c r="CL32" s="346">
        <f> $F29 / $F30 * CL31</f>
        <v>2.294767939310412</v>
      </c>
      <c r="CM32" s="346">
        <f> $F29 / $F30 * CM31</f>
        <v>2.3117883978295173</v>
      </c>
      <c r="CN32" s="346">
        <f> $F29 / $F30 * CN31</f>
        <v>2.328935098311149</v>
      </c>
      <c r="CO32" s="346">
        <f> $F29 / $F30 * CO31</f>
        <v>2.346208977101004</v>
      </c>
    </row>
    <row r="34">
      <c r="B34" s="294" t="inlineStr">
        <is>
          <t>O&amp;M escalation factor</t>
        </is>
      </c>
    </row>
    <row r="35">
      <c r="E35" s="325" t="str">
        <f> InpC!E$23</f>
        <v>CPI index at acquisition date</v>
      </c>
      <c r="F35" s="325">
        <f> InpC!F$23</f>
        <v>145.0</v>
      </c>
      <c r="G35" s="325" t="str">
        <f> InpC!G$23</f>
        <v>index</v>
      </c>
    </row>
    <row r="36">
      <c r="E36" s="325" t="str">
        <f> InpC!E$27</f>
        <v>CPI index at O&amp;M signature date</v>
      </c>
      <c r="F36" s="325">
        <f> InpC!F$27</f>
        <v>132.0</v>
      </c>
      <c r="G36" s="325" t="str">
        <f> InpC!G$27</f>
        <v>index</v>
      </c>
    </row>
    <row r="37">
      <c r="E37" s="277" t="str">
        <f> E$26</f>
        <v>CPI escalation factor</v>
      </c>
      <c r="F37" s="277">
        <f> F$26</f>
        <v>0.0</v>
      </c>
      <c r="G37" s="277" t="str">
        <f> G$26</f>
        <v>factor</v>
      </c>
      <c r="H37" s="277">
        <f> H$26</f>
        <v>0.0</v>
      </c>
      <c r="I37" s="277">
        <f> I$26</f>
        <v>0.0</v>
      </c>
      <c r="J37" s="277">
        <f> J$26</f>
        <v>0.0</v>
      </c>
      <c r="K37" s="277">
        <f> K$26</f>
        <v>1.0</v>
      </c>
      <c r="L37" s="277">
        <f> L$26</f>
        <v>1.0146738461686593</v>
      </c>
      <c r="M37" s="277">
        <f> M$26</f>
        <v>1.0295630140987</v>
      </c>
      <c r="N37" s="277">
        <f> N$26</f>
        <v>1.0446706633885254</v>
      </c>
      <c r="O37" s="277">
        <f> O$26</f>
        <v>1.0599999999999998</v>
      </c>
      <c r="P37" s="277">
        <f> P$26</f>
        <v>1.0730085684947814</v>
      </c>
      <c r="Q37" s="277">
        <f> Q$26</f>
        <v>1.0861767811917173</v>
      </c>
      <c r="R37" s="277">
        <f> R$26</f>
        <v>1.0995065972818814</v>
      </c>
      <c r="S37" s="277">
        <f> S$26</f>
        <v>1.113</v>
      </c>
      <c r="T37" s="277">
        <f> T$26</f>
        <v>1.1239668414890023</v>
      </c>
      <c r="U37" s="277">
        <f> U$26</f>
        <v>1.1350417437257538</v>
      </c>
      <c r="V37" s="277">
        <f> V$26</f>
        <v>1.146225771476734</v>
      </c>
      <c r="W37" s="277">
        <f> W$26</f>
        <v>1.1575199999999999</v>
      </c>
      <c r="X37" s="277">
        <f> X$26</f>
        <v>1.1661054089241611</v>
      </c>
      <c r="Y37" s="277">
        <f> Y$26</f>
        <v>1.1747544964425543</v>
      </c>
      <c r="Z37" s="277">
        <f> Z$26</f>
        <v>1.1834677348638831</v>
      </c>
      <c r="AA37" s="277">
        <f> AA$26</f>
        <v>1.1922455999999995</v>
      </c>
      <c r="AB37" s="277">
        <f> AB$26</f>
        <v>1.2010885711918857</v>
      </c>
      <c r="AC37" s="277">
        <f> AC$26</f>
        <v>1.2099971313358306</v>
      </c>
      <c r="AD37" s="277">
        <f> AD$26</f>
        <v>1.2189717669097995</v>
      </c>
      <c r="AE37" s="277">
        <f> AE$26</f>
        <v>1.2280129679999994</v>
      </c>
      <c r="AF37" s="277">
        <f> AF$26</f>
        <v>1.237121228327642</v>
      </c>
      <c r="AG37" s="277">
        <f> AG$26</f>
        <v>1.2462970452759052</v>
      </c>
      <c r="AH37" s="277">
        <f> AH$26</f>
        <v>1.255540919917093</v>
      </c>
      <c r="AI37" s="277">
        <f> AI$26</f>
        <v>1.264853357039999</v>
      </c>
      <c r="AJ37" s="277">
        <f> AJ$26</f>
        <v>1.2742348651774709</v>
      </c>
      <c r="AK37" s="277">
        <f> AK$26</f>
        <v>1.2836859566341818</v>
      </c>
      <c r="AL37" s="277">
        <f> AL$26</f>
        <v>1.2932071475146052</v>
      </c>
      <c r="AM37" s="277">
        <f> AM$26</f>
        <v>1.3027989577511982</v>
      </c>
      <c r="AN37" s="277">
        <f> AN$26</f>
        <v>1.3124619111327944</v>
      </c>
      <c r="AO37" s="277">
        <f> AO$26</f>
        <v>1.3221965353332068</v>
      </c>
      <c r="AP37" s="277">
        <f> AP$26</f>
        <v>1.3320033619400429</v>
      </c>
      <c r="AQ37" s="277">
        <f> AQ$26</f>
        <v>1.3418829264837338</v>
      </c>
      <c r="AR37" s="277">
        <f> AR$26</f>
        <v>1.3518357684667779</v>
      </c>
      <c r="AS37" s="277">
        <f> AS$26</f>
        <v>1.3618624313932026</v>
      </c>
      <c r="AT37" s="277">
        <f> AT$26</f>
        <v>1.3719634627982438</v>
      </c>
      <c r="AU37" s="277">
        <f> AU$26</f>
        <v>1.3821394142782453</v>
      </c>
      <c r="AV37" s="277">
        <f> AV$26</f>
        <v>1.3923908415207806</v>
      </c>
      <c r="AW37" s="277">
        <f> AW$26</f>
        <v>1.4027183043349982</v>
      </c>
      <c r="AX37" s="277">
        <f> AX$26</f>
        <v>1.4131223666821906</v>
      </c>
      <c r="AY37" s="277">
        <f> AY$26</f>
        <v>1.423603596706592</v>
      </c>
      <c r="AZ37" s="277">
        <f> AZ$26</f>
        <v>1.4341625667664035</v>
      </c>
      <c r="BA37" s="277">
        <f> BA$26</f>
        <v>1.4447998534650475</v>
      </c>
      <c r="BB37" s="277">
        <f> BB$26</f>
        <v>1.4555160376826557</v>
      </c>
      <c r="BC37" s="277">
        <f> BC$26</f>
        <v>1.4663117046077894</v>
      </c>
      <c r="BD37" s="277">
        <f> BD$26</f>
        <v>1.4771874437693953</v>
      </c>
      <c r="BE37" s="277">
        <f> BE$26</f>
        <v>1.4881438490689987</v>
      </c>
      <c r="BF37" s="277">
        <f> BF$26</f>
        <v>1.499181518813135</v>
      </c>
      <c r="BG37" s="277">
        <f> BG$26</f>
        <v>1.5103010557460226</v>
      </c>
      <c r="BH37" s="277">
        <f> BH$26</f>
        <v>1.5215030670824765</v>
      </c>
      <c r="BI37" s="277">
        <f> BI$26</f>
        <v>1.532788164541068</v>
      </c>
      <c r="BJ37" s="277">
        <f> BJ$26</f>
        <v>1.5441569643775284</v>
      </c>
      <c r="BK37" s="277">
        <f> BK$26</f>
        <v>1.5556100874184027</v>
      </c>
      <c r="BL37" s="277">
        <f> BL$26</f>
        <v>1.5671481590949503</v>
      </c>
      <c r="BM37" s="277">
        <f> BM$26</f>
        <v>1.5787718094772996</v>
      </c>
      <c r="BN37" s="277">
        <f> BN$26</f>
        <v>1.5904816733088538</v>
      </c>
      <c r="BO37" s="277">
        <f> BO$26</f>
        <v>1.6022783900409543</v>
      </c>
      <c r="BP37" s="277">
        <f> BP$26</f>
        <v>1.6141626038677983</v>
      </c>
      <c r="BQ37" s="277">
        <f> BQ$26</f>
        <v>1.626134963761618</v>
      </c>
      <c r="BR37" s="277">
        <f> BR$26</f>
        <v>1.638196123508119</v>
      </c>
      <c r="BS37" s="277">
        <f> BS$26</f>
        <v>1.6503467417421824</v>
      </c>
      <c r="BT37" s="277">
        <f> BT$26</f>
        <v>1.6625874819838318</v>
      </c>
      <c r="BU37" s="277">
        <f> BU$26</f>
        <v>1.674919012674466</v>
      </c>
      <c r="BV37" s="277">
        <f> BV$26</f>
        <v>1.687342007213362</v>
      </c>
      <c r="BW37" s="277">
        <f> BW$26</f>
        <v>1.6998571439944474</v>
      </c>
      <c r="BX37" s="277">
        <f> BX$26</f>
        <v>1.7124651064433463</v>
      </c>
      <c r="BY37" s="277">
        <f> BY$26</f>
        <v>1.7251665830546996</v>
      </c>
      <c r="BZ37" s="277">
        <f> BZ$26</f>
        <v>1.7379622674297626</v>
      </c>
      <c r="CA37" s="277">
        <f> CA$26</f>
        <v>1.7508528583142804</v>
      </c>
      <c r="CB37" s="277">
        <f> CB$26</f>
        <v>1.7638390596366462</v>
      </c>
      <c r="CC37" s="277">
        <f> CC$26</f>
        <v>1.77692158054634</v>
      </c>
      <c r="CD37" s="277">
        <f> CD$26</f>
        <v>1.7901011354526548</v>
      </c>
      <c r="CE37" s="277">
        <f> CE$26</f>
        <v>1.8033784440637082</v>
      </c>
      <c r="CF37" s="277">
        <f> CF$26</f>
        <v>1.816754231425745</v>
      </c>
      <c r="CG37" s="277">
        <f> CG$26</f>
        <v>1.8302292279627297</v>
      </c>
      <c r="CH37" s="277">
        <f> CH$26</f>
        <v>1.843804169516234</v>
      </c>
      <c r="CI37" s="277">
        <f> CI$26</f>
        <v>1.857479797385619</v>
      </c>
      <c r="CJ37" s="277">
        <f> CJ$26</f>
        <v>1.8712568583685167</v>
      </c>
      <c r="CK37" s="277">
        <f> CK$26</f>
        <v>1.8851361048016109</v>
      </c>
      <c r="CL37" s="277">
        <f> CL$26</f>
        <v>1.8991182946017202</v>
      </c>
      <c r="CM37" s="277">
        <f> CM$26</f>
        <v>1.9132041913071869</v>
      </c>
      <c r="CN37" s="277">
        <f> CN$26</f>
        <v>1.9273945641195718</v>
      </c>
      <c r="CO37" s="277">
        <f> CO$26</f>
        <v>1.9416901879456587</v>
      </c>
    </row>
    <row r="38" customFormat="1" s="345">
      <c r="A38" s="326" t="n"/>
      <c r="B38" s="326" t="n"/>
      <c r="C38" s="327" t="n"/>
      <c r="D38" s="328" t="n"/>
      <c r="E38" s="345" t="inlineStr">
        <is>
          <t>O&amp;M escalation factor</t>
        </is>
      </c>
      <c r="G38" s="345" t="inlineStr">
        <is>
          <t>factor</t>
        </is>
      </c>
      <c r="J38" s="346">
        <f> $F35 / $F36 * J37</f>
        <v>0.0</v>
      </c>
      <c r="K38" s="346">
        <f> $F35 / $F36 * K37</f>
        <v>1.0984848484848484</v>
      </c>
      <c r="L38" s="346">
        <f> $F35 / $F36 * L37</f>
        <v>1.114603846170118</v>
      </c>
      <c r="M38" s="346">
        <f> $F35 / $F36 * M37</f>
        <v>1.1309593715478143</v>
      </c>
      <c r="N38" s="346">
        <f> $F35 / $F36 * N37</f>
        <v>1.1475548953889103</v>
      </c>
      <c r="O38" s="346">
        <f> $F35 / $F36 * O37</f>
        <v>1.164393939393939</v>
      </c>
      <c r="P38" s="346">
        <f> $F35 / $F36 * P37</f>
        <v>1.178683654785934</v>
      </c>
      <c r="Q38" s="346">
        <f> $F35 / $F36 * Q37</f>
        <v>1.193148736915144</v>
      </c>
      <c r="R38" s="346">
        <f> $F35 / $F36 * R37</f>
        <v>1.2077913379232788</v>
      </c>
      <c r="S38" s="346">
        <f> $F35 / $F36 * S37</f>
        <v>1.2226136363636362</v>
      </c>
      <c r="T38" s="346">
        <f> $F35 / $F36 * T37</f>
        <v>1.2346605455750403</v>
      </c>
      <c r="U38" s="346">
        <f> $F35 / $F36 * U37</f>
        <v>1.2468261578805628</v>
      </c>
      <c r="V38" s="346">
        <f> $F35 / $F36 * V37</f>
        <v>1.2591116429100486</v>
      </c>
      <c r="W38" s="346">
        <f> $F35 / $F36 * W37</f>
        <v>1.2715181818181815</v>
      </c>
      <c r="X38" s="346">
        <f> $F35 / $F36 * X37</f>
        <v>1.2809491234394192</v>
      </c>
      <c r="Y38" s="346">
        <f> $F35 / $F36 * Y37</f>
        <v>1.2904500150315936</v>
      </c>
      <c r="Z38" s="346">
        <f> $F35 / $F36 * Z37</f>
        <v>1.3000213754186594</v>
      </c>
      <c r="AA38" s="346">
        <f> $F35 / $F36 * AA37</f>
        <v>1.3096637272727265</v>
      </c>
      <c r="AB38" s="346">
        <f> $F35 / $F36 * AB37</f>
        <v>1.3193775971426016</v>
      </c>
      <c r="AC38" s="346">
        <f> $F35 / $F36 * AC37</f>
        <v>1.3291635154825412</v>
      </c>
      <c r="AD38" s="346">
        <f> $F35 / $F36 * AD37</f>
        <v>1.339022016681219</v>
      </c>
      <c r="AE38" s="346">
        <f> $F35 / $F36 * AE37</f>
        <v>1.3489536390909083</v>
      </c>
      <c r="AF38" s="346">
        <f> $F35 / $F36 * AF37</f>
        <v>1.3589589250568794</v>
      </c>
      <c r="AG38" s="346">
        <f> $F35 / $F36 * AG37</f>
        <v>1.369038420947017</v>
      </c>
      <c r="AH38" s="346">
        <f> $F35 / $F36 * AH37</f>
        <v>1.3791926771816552</v>
      </c>
      <c r="AI38" s="346">
        <f> $F35 / $F36 * AI37</f>
        <v>1.3894222482636351</v>
      </c>
      <c r="AJ38" s="346">
        <f> $F35 / $F36 * AJ37</f>
        <v>1.3997276928085853</v>
      </c>
      <c r="AK38" s="346">
        <f> $F35 / $F36 * AK37</f>
        <v>1.410109573575427</v>
      </c>
      <c r="AL38" s="346">
        <f> $F35 / $F36 * AL37</f>
        <v>1.420568457497104</v>
      </c>
      <c r="AM38" s="346">
        <f> $F35 / $F36 * AM37</f>
        <v>1.4311049157115434</v>
      </c>
      <c r="AN38" s="346">
        <f> $F35 / $F36 * AN37</f>
        <v>1.4417195235928422</v>
      </c>
      <c r="AO38" s="346">
        <f> $F35 / $F36 * AO37</f>
        <v>1.4524128607826892</v>
      </c>
      <c r="AP38" s="346">
        <f> $F35 / $F36 * AP37</f>
        <v>1.4631855112220167</v>
      </c>
      <c r="AQ38" s="346">
        <f> $F35 / $F36 * AQ37</f>
        <v>1.4740380631828893</v>
      </c>
      <c r="AR38" s="346">
        <f> $F35 / $F36 * AR37</f>
        <v>1.484971109300627</v>
      </c>
      <c r="AS38" s="346">
        <f> $F35 / $F36 * AS37</f>
        <v>1.4959852466061694</v>
      </c>
      <c r="AT38" s="346">
        <f> $F35 / $F36 * AT37</f>
        <v>1.5070810765586768</v>
      </c>
      <c r="AU38" s="346">
        <f> $F35 / $F36 * AU37</f>
        <v>1.5182592050783754</v>
      </c>
      <c r="AV38" s="346">
        <f> $F35 / $F36 * AV37</f>
        <v>1.5295202425796453</v>
      </c>
      <c r="AW38" s="346">
        <f> $F35 / $F36 * AW37</f>
        <v>1.540864804004354</v>
      </c>
      <c r="AX38" s="346">
        <f> $F35 / $F36 * AX37</f>
        <v>1.5522935088554366</v>
      </c>
      <c r="AY38" s="346">
        <f> $F35 / $F36 * AY37</f>
        <v>1.563806981230726</v>
      </c>
      <c r="AZ38" s="346">
        <f> $F35 / $F36 * AZ37</f>
        <v>1.575405849857034</v>
      </c>
      <c r="BA38" s="346">
        <f> $F35 / $F36 * BA37</f>
        <v>1.5870907481244838</v>
      </c>
      <c r="BB38" s="346">
        <f> $F35 / $F36 * BB37</f>
        <v>1.598862314121099</v>
      </c>
      <c r="BC38" s="346">
        <f> $F35 / $F36 * BC37</f>
        <v>1.6107211906676473</v>
      </c>
      <c r="BD38" s="346">
        <f> $F35 / $F36 * BD37</f>
        <v>1.6226680253527446</v>
      </c>
      <c r="BE38" s="346">
        <f> $F35 / $F36 * BE37</f>
        <v>1.6347034705682182</v>
      </c>
      <c r="BF38" s="346">
        <f> $F35 / $F36 * BF37</f>
        <v>1.6468281835447316</v>
      </c>
      <c r="BG38" s="346">
        <f> $F35 / $F36 * BG37</f>
        <v>1.6590428263876762</v>
      </c>
      <c r="BH38" s="346">
        <f> $F35 / $F36 * BH37</f>
        <v>1.6713480661133264</v>
      </c>
      <c r="BI38" s="346">
        <f> $F35 / $F36 * BI37</f>
        <v>1.683744574685264</v>
      </c>
      <c r="BJ38" s="346">
        <f> $F35 / $F36 * BJ37</f>
        <v>1.6962330290510728</v>
      </c>
      <c r="BK38" s="346">
        <f> $F35 / $F36 * BK37</f>
        <v>1.7088141111793058</v>
      </c>
      <c r="BL38" s="346">
        <f> $F35 / $F36 * BL37</f>
        <v>1.7214885080967255</v>
      </c>
      <c r="BM38" s="346">
        <f> $F35 / $F36 * BM37</f>
        <v>1.7342569119258213</v>
      </c>
      <c r="BN38" s="346">
        <f> $F35 / $F36 * BN37</f>
        <v>1.7471200199226045</v>
      </c>
      <c r="BO38" s="346">
        <f> $F35 / $F36 * BO37</f>
        <v>1.7600785345146845</v>
      </c>
      <c r="BP38" s="346">
        <f> $F35 / $F36 * BP37</f>
        <v>1.7731331633396268</v>
      </c>
      <c r="BQ38" s="346">
        <f> $F35 / $F36 * BQ37</f>
        <v>1.7862846192835955</v>
      </c>
      <c r="BR38" s="346">
        <f> $F35 / $F36 * BR37</f>
        <v>1.799533620520282</v>
      </c>
      <c r="BS38" s="346">
        <f> $F35 / $F36 * BS37</f>
        <v>1.8128808905501246</v>
      </c>
      <c r="BT38" s="346">
        <f> $F35 / $F36 * BT37</f>
        <v>1.826327158239815</v>
      </c>
      <c r="BU38" s="346">
        <f> $F35 / $F36 * BU37</f>
        <v>1.8398731578621026</v>
      </c>
      <c r="BV38" s="346">
        <f> $F35 / $F36 * BV37</f>
        <v>1.85351962913589</v>
      </c>
      <c r="BW38" s="346">
        <f> $F35 / $F36 * BW37</f>
        <v>1.8672673172666276</v>
      </c>
      <c r="BX38" s="346">
        <f> $F35 / $F36 * BX37</f>
        <v>1.881116972987009</v>
      </c>
      <c r="BY38" s="346">
        <f> $F35 / $F36 * BY37</f>
        <v>1.8950693525979654</v>
      </c>
      <c r="BZ38" s="346">
        <f> $F35 / $F36 * BZ37</f>
        <v>1.9091252180099663</v>
      </c>
      <c r="CA38" s="346">
        <f> $F35 / $F36 * CA37</f>
        <v>1.923285336784626</v>
      </c>
      <c r="CB38" s="346">
        <f> $F35 / $F36 * CB37</f>
        <v>1.9375504821766187</v>
      </c>
      <c r="CC38" s="346">
        <f> $F35 / $F36 * CC37</f>
        <v>1.9519214331759038</v>
      </c>
      <c r="CD38" s="346">
        <f> $F35 / $F36 * CD37</f>
        <v>1.9663989745502646</v>
      </c>
      <c r="CE38" s="346">
        <f> $F35 / $F36 * CE37</f>
        <v>1.9809838968881641</v>
      </c>
      <c r="CF38" s="346">
        <f> $F35 / $F36 * CF37</f>
        <v>1.9956769966419168</v>
      </c>
      <c r="CG38" s="346">
        <f> $F35 / $F36 * CG37</f>
        <v>2.01047907617118</v>
      </c>
      <c r="CH38" s="346">
        <f> $F35 / $F36 * CH37</f>
        <v>2.025390943786772</v>
      </c>
      <c r="CI38" s="346">
        <f> $F35 / $F36 * CI37</f>
        <v>2.0404134137948087</v>
      </c>
      <c r="CJ38" s="346">
        <f> $F35 / $F36 * CJ37</f>
        <v>2.0555473065411736</v>
      </c>
      <c r="CK38" s="346">
        <f> $F35 / $F36 * CK37</f>
        <v>2.070793448456315</v>
      </c>
      <c r="CL38" s="346">
        <f> $F35 / $F36 * CL37</f>
        <v>2.0861526721003743</v>
      </c>
      <c r="CM38" s="346">
        <f> $F35 / $F36 * CM37</f>
        <v>2.101625816208652</v>
      </c>
      <c r="CN38" s="346">
        <f> $F35 / $F36 * CN37</f>
        <v>2.1172137257374084</v>
      </c>
      <c r="CO38" s="346">
        <f> $F35 / $F36 * CO37</f>
        <v>2.132917251910004</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7.xml><?xml version="1.0" encoding="utf-8"?>
<worksheet xmlns="http://schemas.openxmlformats.org/spreadsheetml/2006/main">
  <sheetPr>
    <tabColor rgb="000B5E82"/>
    <outlinePr summaryBelow="1" summaryRight="1"/>
    <pageSetUpPr/>
  </sheetPr>
  <dimension ref="A1:CO55"/>
  <sheetViews>
    <sheetView showGridLines="0" zoomScale="100"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1.1640625" customWidth="1" style="396" min="1" max="2"/>
    <col width="1.1640625" customWidth="1" style="396" min="3" max="3"/>
    <col width="1.1640625" customWidth="1" style="396" min="4" max="4"/>
    <col width="40.83203125" customWidth="1" style="396" min="5" max="5"/>
    <col width="12.83203125" customWidth="1" style="396" min="6" max="6"/>
    <col width="11.6640625" customWidth="1" style="396" min="7" max="8"/>
    <col width="2.6640625" customWidth="1" style="396" min="9" max="9"/>
    <col width="11.6640625" customWidth="1" style="396" min="10" max="93"/>
  </cols>
  <sheetData>
    <row r="1">
      <c r="A1" s="1">
        <f> RIGHT(CELL("filename", A1), LEN(CELL("filename", A1)) - SEARCH("]", CELL("filename", A1)))</f>
        <v/>
      </c>
      <c r="B1" s="294" t="n"/>
      <c r="C1" s="212" t="n"/>
      <c r="D1" s="244" t="n"/>
    </row>
    <row r="2">
      <c r="C2" s="237" t="n"/>
      <c r="D2" s="18" t="n"/>
      <c r="E2" s="205" t="inlineStr">
        <is>
          <t>Construction period ending</t>
        </is>
      </c>
      <c r="F2" s="0" t="n"/>
      <c r="G2" s="0" t="n"/>
      <c r="H2" s="170" t="n"/>
      <c r="J2" s="496">
        <f>J13</f>
        <v>43921.0</v>
      </c>
      <c r="K2" s="496">
        <f>K13</f>
        <v>44012.0</v>
      </c>
      <c r="L2" s="496">
        <f>L13</f>
        <v>44104.0</v>
      </c>
      <c r="M2" s="496">
        <f>M13</f>
        <v>44196.0</v>
      </c>
      <c r="N2" s="496">
        <f>N13</f>
        <v>44286.0</v>
      </c>
      <c r="O2" s="496">
        <f>O13</f>
        <v>44377.0</v>
      </c>
      <c r="P2" s="496">
        <f>P13</f>
        <v>44469.0</v>
      </c>
      <c r="Q2" s="496">
        <f>Q13</f>
        <v>44561.0</v>
      </c>
      <c r="R2" s="167" t="n"/>
      <c r="S2" s="167" t="n"/>
      <c r="T2" s="167" t="n"/>
      <c r="U2" s="167" t="n"/>
      <c r="V2" s="167" t="n"/>
      <c r="W2" s="167" t="n"/>
      <c r="X2" s="167" t="n"/>
      <c r="Y2" s="167" t="n"/>
      <c r="Z2" s="167" t="n"/>
      <c r="AA2" s="167" t="n"/>
      <c r="AB2" s="167" t="n"/>
      <c r="AC2" s="167" t="n"/>
      <c r="AD2" s="167" t="n"/>
      <c r="AE2" s="167" t="n"/>
      <c r="AF2" s="167" t="n"/>
      <c r="AG2" s="167" t="n"/>
      <c r="AH2" s="167" t="n"/>
      <c r="AI2" s="167" t="n"/>
      <c r="AJ2" s="167" t="n"/>
      <c r="AK2" s="167" t="n"/>
      <c r="AL2" s="167" t="n"/>
      <c r="AM2" s="167" t="n"/>
      <c r="AN2" s="167" t="n"/>
      <c r="AO2" s="167" t="n"/>
      <c r="AP2" s="167" t="n"/>
      <c r="AQ2" s="167" t="n"/>
      <c r="AR2" s="167" t="n"/>
      <c r="AS2" s="167" t="n"/>
      <c r="AT2" s="167" t="n"/>
      <c r="AU2" s="167" t="n"/>
      <c r="AV2" s="167" t="n"/>
      <c r="AW2" s="167" t="n"/>
      <c r="AX2" s="167" t="n"/>
      <c r="AY2" s="167" t="n"/>
      <c r="AZ2" s="167" t="n"/>
      <c r="BA2" s="167" t="n"/>
      <c r="BB2" s="167" t="n"/>
      <c r="BC2" s="167" t="n"/>
      <c r="BD2" s="167" t="n"/>
      <c r="BE2" s="167" t="n"/>
      <c r="BF2" s="167" t="n"/>
      <c r="BG2" s="167" t="n"/>
      <c r="BH2" s="167" t="n"/>
      <c r="BI2" s="167" t="n"/>
      <c r="BJ2" s="167" t="n"/>
      <c r="BK2" s="167" t="n"/>
      <c r="BL2" s="167" t="n"/>
      <c r="BM2" s="167" t="n"/>
      <c r="BN2" s="167" t="n"/>
      <c r="BO2" s="167" t="n"/>
      <c r="BP2" s="167" t="n"/>
      <c r="BQ2" s="167" t="n"/>
      <c r="BR2" s="167" t="n"/>
      <c r="BS2" s="167" t="n"/>
      <c r="BT2" s="167" t="n"/>
      <c r="BU2" s="167" t="n"/>
      <c r="BV2" s="167" t="n"/>
      <c r="BW2" s="167" t="n"/>
      <c r="BX2" s="167" t="n"/>
      <c r="BY2" s="167" t="n"/>
      <c r="BZ2" s="167" t="n"/>
      <c r="CA2" s="167" t="n"/>
      <c r="CB2" s="167" t="n"/>
      <c r="CC2" s="167" t="n"/>
      <c r="CD2" s="167" t="n"/>
      <c r="CE2" s="167" t="n"/>
      <c r="CF2" s="167" t="n"/>
      <c r="CG2" s="167" t="n"/>
      <c r="CH2" s="167" t="n"/>
      <c r="CI2" s="167" t="n"/>
      <c r="CJ2" s="167" t="n"/>
      <c r="CK2" s="167" t="n"/>
      <c r="CL2" s="167" t="n"/>
      <c r="CM2" s="167" t="n"/>
      <c r="CN2" s="167" t="n"/>
      <c r="CO2" s="167" t="n"/>
    </row>
    <row r="3">
      <c r="C3" s="237" t="n"/>
      <c r="D3" s="18" t="n"/>
      <c r="E3" s="205" t="inlineStr">
        <is>
          <t>Phase</t>
        </is>
      </c>
      <c r="F3" s="0" t="n"/>
      <c r="G3" s="0" t="n"/>
      <c r="H3" s="170" t="n"/>
      <c r="J3" s="81" t="inlineStr">
        <is>
          <t>Construction</t>
        </is>
      </c>
      <c r="K3" s="81" t="inlineStr">
        <is>
          <t>Construction</t>
        </is>
      </c>
      <c r="L3" s="81" t="inlineStr">
        <is>
          <t>Construction</t>
        </is>
      </c>
      <c r="M3" s="81" t="inlineStr">
        <is>
          <t>Construction</t>
        </is>
      </c>
      <c r="N3" s="81" t="inlineStr">
        <is>
          <t>Construction</t>
        </is>
      </c>
      <c r="O3" s="81" t="inlineStr">
        <is>
          <t>Construction</t>
        </is>
      </c>
      <c r="P3" s="81" t="inlineStr">
        <is>
          <t>Construction</t>
        </is>
      </c>
      <c r="Q3" s="81" t="inlineStr">
        <is>
          <t>Construction</t>
        </is>
      </c>
      <c r="R3" s="81" t="n"/>
      <c r="S3" s="81" t="n"/>
      <c r="T3" s="81" t="n"/>
      <c r="U3" s="81" t="n"/>
      <c r="V3" s="81" t="n"/>
      <c r="W3" s="81" t="n"/>
      <c r="X3" s="81" t="n"/>
      <c r="Y3" s="81" t="n"/>
      <c r="Z3" s="81" t="n"/>
      <c r="AA3" s="81" t="n"/>
      <c r="AB3" s="81" t="n"/>
      <c r="AC3" s="81" t="n"/>
      <c r="AD3" s="81" t="n"/>
      <c r="AE3" s="81" t="n"/>
      <c r="AF3" s="81" t="n"/>
      <c r="AG3" s="81" t="n"/>
      <c r="AH3" s="81" t="n"/>
      <c r="AI3" s="81" t="n"/>
      <c r="AJ3" s="81" t="n"/>
      <c r="AK3" s="81" t="n"/>
      <c r="AL3" s="81" t="n"/>
      <c r="AM3" s="81" t="n"/>
      <c r="AN3" s="81" t="n"/>
      <c r="AO3" s="81" t="n"/>
      <c r="AP3" s="81" t="n"/>
      <c r="AQ3" s="81" t="n"/>
      <c r="AR3" s="81" t="n"/>
      <c r="AS3" s="81" t="n"/>
      <c r="AT3" s="81" t="n"/>
      <c r="AU3" s="81" t="n"/>
      <c r="AV3" s="81" t="n"/>
      <c r="AW3" s="81" t="n"/>
      <c r="AX3" s="81" t="n"/>
      <c r="AY3" s="81" t="n"/>
      <c r="AZ3" s="81" t="n"/>
      <c r="BA3" s="81" t="n"/>
      <c r="BB3" s="81" t="n"/>
      <c r="BC3" s="81" t="n"/>
      <c r="BD3" s="81" t="n"/>
      <c r="BE3" s="81" t="n"/>
      <c r="BF3" s="81" t="n"/>
      <c r="BG3" s="81" t="n"/>
      <c r="BH3" s="81" t="n"/>
      <c r="BI3" s="81" t="n"/>
      <c r="BJ3" s="81" t="n"/>
      <c r="BK3" s="81" t="n"/>
      <c r="BL3" s="81" t="n"/>
      <c r="BM3" s="81" t="n"/>
      <c r="BN3" s="81" t="n"/>
      <c r="BO3" s="81" t="n"/>
      <c r="BP3" s="81" t="n"/>
      <c r="BQ3" s="81" t="n"/>
      <c r="BR3" s="81" t="n"/>
      <c r="BS3" s="81" t="n"/>
      <c r="BT3" s="81" t="n"/>
      <c r="BU3" s="81" t="n"/>
      <c r="BV3" s="81" t="n"/>
      <c r="BW3" s="81" t="n"/>
      <c r="BX3" s="81" t="n"/>
      <c r="BY3" s="81" t="n"/>
      <c r="BZ3" s="81" t="n"/>
      <c r="CA3" s="81" t="n"/>
      <c r="CB3" s="81" t="n"/>
      <c r="CC3" s="81" t="n"/>
      <c r="CD3" s="81" t="n"/>
      <c r="CE3" s="81" t="n"/>
      <c r="CF3" s="81" t="n"/>
      <c r="CG3" s="81" t="n"/>
      <c r="CH3" s="81" t="n"/>
      <c r="CI3" s="81" t="n"/>
      <c r="CJ3" s="81" t="n"/>
      <c r="CK3" s="81" t="n"/>
      <c r="CL3" s="81" t="n"/>
      <c r="CM3" s="81" t="n"/>
      <c r="CN3" s="81" t="n"/>
      <c r="CO3" s="81" t="n"/>
    </row>
    <row r="4">
      <c r="A4" s="82" t="n"/>
      <c r="B4" s="82" t="n"/>
      <c r="C4" s="83" t="n"/>
      <c r="D4" s="84" t="n"/>
      <c r="E4" s="205" t="inlineStr">
        <is>
          <t>Financial year</t>
        </is>
      </c>
      <c r="F4" s="0" t="n"/>
      <c r="G4" s="0" t="n"/>
      <c r="J4" s="86">
        <f>YEAR(J13)</f>
        <v>2020.0</v>
      </c>
      <c r="K4" s="86">
        <f>YEAR(K13)</f>
        <v>2020.0</v>
      </c>
      <c r="L4" s="86">
        <f>YEAR(L13)</f>
        <v>2020.0</v>
      </c>
      <c r="M4" s="86">
        <f>YEAR(M13)</f>
        <v>2020.0</v>
      </c>
      <c r="N4" s="86">
        <f>YEAR(N13)</f>
        <v>2021.0</v>
      </c>
      <c r="O4" s="86">
        <f>YEAR(O13)</f>
        <v>2021.0</v>
      </c>
      <c r="P4" s="86">
        <f>YEAR(P13)</f>
        <v>2021.0</v>
      </c>
      <c r="Q4" s="86">
        <f>YEAR(Q13)</f>
        <v>2021.0</v>
      </c>
      <c r="R4" s="86" t="n"/>
      <c r="S4" s="86" t="n"/>
      <c r="T4" s="86" t="n"/>
      <c r="U4" s="86" t="n"/>
      <c r="V4" s="86" t="n"/>
      <c r="W4" s="86" t="n"/>
      <c r="X4" s="86" t="n"/>
      <c r="Y4" s="86" t="n"/>
      <c r="Z4" s="86" t="n"/>
      <c r="AA4" s="86" t="n"/>
      <c r="AB4" s="86" t="n"/>
      <c r="AC4" s="86" t="n"/>
      <c r="AD4" s="86" t="n"/>
      <c r="AE4" s="86" t="n"/>
      <c r="AF4" s="86" t="n"/>
      <c r="AG4" s="86" t="n"/>
      <c r="AH4" s="86" t="n"/>
      <c r="AI4" s="86" t="n"/>
      <c r="AJ4" s="86" t="n"/>
      <c r="AK4" s="86" t="n"/>
      <c r="AL4" s="86" t="n"/>
      <c r="AM4" s="86" t="n"/>
      <c r="AN4" s="86" t="n"/>
      <c r="AO4" s="86" t="n"/>
      <c r="AP4" s="86" t="n"/>
      <c r="AQ4" s="86" t="n"/>
      <c r="AR4" s="86" t="n"/>
      <c r="AS4" s="86" t="n"/>
      <c r="AT4" s="86" t="n"/>
      <c r="AU4" s="86" t="n"/>
      <c r="AV4" s="86" t="n"/>
      <c r="AW4" s="86" t="n"/>
      <c r="AX4" s="86" t="n"/>
      <c r="AY4" s="86" t="n"/>
      <c r="AZ4" s="86" t="n"/>
      <c r="BA4" s="86" t="n"/>
      <c r="BB4" s="86" t="n"/>
      <c r="BC4" s="86" t="n"/>
      <c r="BD4" s="86" t="n"/>
      <c r="BE4" s="86" t="n"/>
      <c r="BF4" s="86" t="n"/>
      <c r="BG4" s="86" t="n"/>
      <c r="BH4" s="86" t="n"/>
      <c r="BI4" s="86" t="n"/>
      <c r="BJ4" s="86" t="n"/>
      <c r="BK4" s="86" t="n"/>
      <c r="BL4" s="86" t="n"/>
      <c r="BM4" s="86" t="n"/>
      <c r="BN4" s="86" t="n"/>
      <c r="BO4" s="86" t="n"/>
      <c r="BP4" s="86" t="n"/>
      <c r="BQ4" s="86" t="n"/>
      <c r="BR4" s="86" t="n"/>
      <c r="BS4" s="86" t="n"/>
      <c r="BT4" s="86" t="n"/>
      <c r="BU4" s="86" t="n"/>
      <c r="BV4" s="86" t="n"/>
      <c r="BW4" s="86" t="n"/>
      <c r="BX4" s="86" t="n"/>
      <c r="BY4" s="86" t="n"/>
      <c r="BZ4" s="86" t="n"/>
      <c r="CA4" s="86" t="n"/>
      <c r="CB4" s="86" t="n"/>
      <c r="CC4" s="86" t="n"/>
      <c r="CD4" s="86" t="n"/>
      <c r="CE4" s="86" t="n"/>
      <c r="CF4" s="86" t="n"/>
      <c r="CG4" s="86" t="n"/>
      <c r="CH4" s="86" t="n"/>
      <c r="CI4" s="86" t="n"/>
      <c r="CJ4" s="86" t="n"/>
      <c r="CK4" s="86" t="n"/>
      <c r="CL4" s="86" t="n"/>
      <c r="CM4" s="86" t="n"/>
      <c r="CN4" s="86" t="n"/>
      <c r="CO4" s="86" t="n"/>
    </row>
    <row r="5">
      <c r="A5" s="294" t="n"/>
      <c r="B5" s="294" t="n"/>
      <c r="C5" s="212" t="n"/>
      <c r="D5" s="244" t="n"/>
      <c r="E5" s="205" t="inlineStr">
        <is>
          <t>Construction quarter counter</t>
        </is>
      </c>
      <c r="F5" s="20" t="inlineStr">
        <is>
          <t>Constant</t>
        </is>
      </c>
      <c r="G5" s="294" t="inlineStr">
        <is>
          <t>Unit</t>
        </is>
      </c>
      <c r="H5" s="20" t="inlineStr">
        <is>
          <t>Total</t>
        </is>
      </c>
      <c r="J5" s="61" t="n">
        <v>1</v>
      </c>
      <c r="K5" s="61">
        <f>J5+1</f>
        <v>2.0</v>
      </c>
      <c r="L5" s="61">
        <f>K5+1</f>
        <v>3.0</v>
      </c>
      <c r="M5" s="61">
        <f>L5+1</f>
        <v>4.0</v>
      </c>
      <c r="N5" s="61">
        <f>M5+1</f>
        <v>5.0</v>
      </c>
      <c r="O5" s="61">
        <f>N5+1</f>
        <v>6.0</v>
      </c>
      <c r="P5" s="61">
        <f>O5+1</f>
        <v>7.0</v>
      </c>
      <c r="Q5" s="61">
        <f>P5+1</f>
        <v>8.0</v>
      </c>
      <c r="R5" s="61" t="n"/>
      <c r="S5" s="61" t="n"/>
      <c r="T5" s="61" t="n"/>
      <c r="U5" s="61" t="n"/>
      <c r="V5" s="61" t="n"/>
      <c r="W5" s="61" t="n"/>
      <c r="X5" s="61" t="n"/>
      <c r="Y5" s="61" t="n"/>
      <c r="Z5" s="61" t="n"/>
      <c r="AA5" s="61" t="n"/>
      <c r="AB5" s="61" t="n"/>
      <c r="AC5" s="61" t="n"/>
      <c r="AD5" s="61" t="n"/>
      <c r="AE5" s="61" t="n"/>
      <c r="AF5" s="61" t="n"/>
      <c r="AG5" s="61" t="n"/>
      <c r="AH5" s="61" t="n"/>
      <c r="AI5" s="61" t="n"/>
      <c r="AJ5" s="61" t="n"/>
      <c r="AK5" s="61" t="n"/>
      <c r="AL5" s="61" t="n"/>
      <c r="AM5" s="61" t="n"/>
      <c r="AN5" s="61" t="n"/>
      <c r="AO5" s="61" t="n"/>
      <c r="AP5" s="61" t="n"/>
      <c r="AQ5" s="61" t="n"/>
      <c r="AR5" s="61" t="n"/>
      <c r="AS5" s="61" t="n"/>
      <c r="AT5" s="61" t="n"/>
      <c r="AU5" s="61" t="n"/>
      <c r="AV5" s="61" t="n"/>
      <c r="AW5" s="61" t="n"/>
      <c r="AX5" s="61" t="n"/>
      <c r="AY5" s="61" t="n"/>
      <c r="AZ5" s="61" t="n"/>
      <c r="BA5" s="61" t="n"/>
      <c r="BB5" s="61" t="n"/>
      <c r="BC5" s="61" t="n"/>
      <c r="BD5" s="61" t="n"/>
      <c r="BE5" s="61" t="n"/>
      <c r="BF5" s="61" t="n"/>
      <c r="BG5" s="61" t="n"/>
      <c r="BH5" s="61" t="n"/>
      <c r="BI5" s="61" t="n"/>
      <c r="BJ5" s="61" t="n"/>
      <c r="BK5" s="61" t="n"/>
      <c r="BL5" s="61" t="n"/>
      <c r="BM5" s="61" t="n"/>
      <c r="BN5" s="61" t="n"/>
      <c r="BO5" s="61" t="n"/>
      <c r="BP5" s="61" t="n"/>
      <c r="BQ5" s="61" t="n"/>
      <c r="BR5" s="61" t="n"/>
      <c r="BS5" s="61" t="n"/>
      <c r="BT5" s="61" t="n"/>
      <c r="BU5" s="61" t="n"/>
      <c r="BV5" s="61" t="n"/>
      <c r="BW5" s="61" t="n"/>
      <c r="BX5" s="61" t="n"/>
      <c r="BY5" s="61" t="n"/>
      <c r="BZ5" s="61" t="n"/>
      <c r="CA5" s="61" t="n"/>
      <c r="CB5" s="61" t="n"/>
      <c r="CC5" s="61" t="n"/>
      <c r="CD5" s="61" t="n"/>
      <c r="CE5" s="61" t="n"/>
      <c r="CF5" s="61" t="n"/>
      <c r="CG5" s="61" t="n"/>
      <c r="CH5" s="61" t="n"/>
      <c r="CI5" s="61" t="n"/>
      <c r="CJ5" s="61" t="n"/>
      <c r="CK5" s="61" t="n"/>
      <c r="CL5" s="61" t="n"/>
      <c r="CM5" s="61" t="n"/>
      <c r="CN5" s="61" t="n"/>
      <c r="CO5" s="61" t="n"/>
    </row>
    <row r="7">
      <c r="A7" s="294" t="inlineStr">
        <is>
          <t>CONSTRUCTION TIMELINE</t>
        </is>
      </c>
    </row>
    <row r="9">
      <c r="E9" s="344" t="str">
        <f>InpC!E$10</f>
        <v>Acquisition / initial balance date</v>
      </c>
      <c r="F9" s="497">
        <f>InpC!F$10</f>
        <v>44561.0</v>
      </c>
      <c r="G9" s="344" t="str">
        <f>InpC!G$10</f>
        <v>date</v>
      </c>
      <c r="H9" s="484" t="n"/>
      <c r="I9" s="484" t="n"/>
      <c r="J9" s="484" t="n"/>
      <c r="K9" s="484" t="n"/>
      <c r="L9" s="484" t="n"/>
      <c r="M9" s="484" t="n"/>
      <c r="N9" s="484" t="n"/>
      <c r="O9" s="484" t="n"/>
      <c r="P9" s="484" t="n"/>
      <c r="Q9" s="484" t="n"/>
    </row>
    <row r="10">
      <c r="E10" s="344" t="str">
        <f>InpC!E$12</f>
        <v>Months per model period</v>
      </c>
      <c r="F10" s="498">
        <f>InpC!F$12</f>
        <v>3.0</v>
      </c>
      <c r="G10" s="344" t="str">
        <f>InpC!G$12</f>
        <v>months</v>
      </c>
      <c r="H10" s="484" t="n"/>
      <c r="I10" s="484" t="n"/>
      <c r="J10" s="484" t="n"/>
      <c r="K10" s="484" t="n"/>
      <c r="L10" s="484" t="n"/>
      <c r="M10" s="484" t="n"/>
      <c r="N10" s="484" t="n"/>
      <c r="O10" s="484" t="n"/>
      <c r="P10" s="484" t="n"/>
      <c r="Q10" s="484" t="n"/>
    </row>
    <row r="11">
      <c r="E11" s="344" t="str">
        <f>InpC!E$113</f>
        <v>Construction period</v>
      </c>
      <c r="F11" s="498">
        <f>InpC!F$113</f>
        <v>8.0</v>
      </c>
      <c r="G11" s="344" t="str">
        <f>InpC!G$113</f>
        <v>quarters</v>
      </c>
      <c r="H11" s="484" t="n"/>
      <c r="I11" s="484" t="n"/>
      <c r="J11" s="484" t="n"/>
      <c r="K11" s="484" t="n"/>
      <c r="L11" s="484" t="n"/>
      <c r="M11" s="484" t="n"/>
      <c r="N11" s="484" t="n"/>
      <c r="O11" s="484" t="n"/>
      <c r="P11" s="484" t="n"/>
      <c r="Q11" s="484" t="n"/>
    </row>
    <row r="13">
      <c r="A13" s="358" t="n"/>
      <c r="B13" s="358" t="n"/>
      <c r="C13" s="359" t="n"/>
      <c r="D13" s="360" t="n"/>
      <c r="E13" s="390" t="inlineStr">
        <is>
          <t>Construction period ending</t>
        </is>
      </c>
      <c r="F13" s="499" t="n"/>
      <c r="G13" s="390" t="inlineStr">
        <is>
          <t>date</t>
        </is>
      </c>
      <c r="H13" s="499" t="n"/>
      <c r="I13" s="500" t="n"/>
      <c r="J13" s="499">
        <f>EOMONTH($F$9,-$F$10*($F$11-J$5))</f>
        <v>43921.0</v>
      </c>
      <c r="K13" s="499">
        <f>EOMONTH($F$9,-$F$10*($F$11-K$5))</f>
        <v>44012.0</v>
      </c>
      <c r="L13" s="499">
        <f>EOMONTH($F$9,-$F$10*($F$11-L$5))</f>
        <v>44104.0</v>
      </c>
      <c r="M13" s="499">
        <f>EOMONTH($F$9,-$F$10*($F$11-M$5))</f>
        <v>44196.0</v>
      </c>
      <c r="N13" s="499">
        <f>EOMONTH($F$9,-$F$10*($F$11-N$5))</f>
        <v>44286.0</v>
      </c>
      <c r="O13" s="499">
        <f>EOMONTH($F$9,-$F$10*($F$11-O$5))</f>
        <v>44377.0</v>
      </c>
      <c r="P13" s="499">
        <f>EOMONTH($F$9,-$F$10*($F$11-P$5))</f>
        <v>44469.0</v>
      </c>
      <c r="Q13" s="499">
        <f>EOMONTH($F$9,-$F$10*($F$11-Q$5))</f>
        <v>44561.0</v>
      </c>
      <c r="R13" s="390" t="n"/>
      <c r="S13" s="390" t="n"/>
      <c r="T13" s="390" t="n"/>
      <c r="U13" s="390" t="n"/>
      <c r="V13" s="390" t="n"/>
      <c r="W13" s="390" t="n"/>
      <c r="X13" s="390" t="n"/>
      <c r="Y13" s="390" t="n"/>
      <c r="Z13" s="390" t="n"/>
      <c r="AA13" s="390" t="n"/>
      <c r="AB13" s="390" t="n"/>
      <c r="AC13" s="390" t="n"/>
      <c r="AD13" s="390" t="n"/>
      <c r="AE13" s="390" t="n"/>
      <c r="AF13" s="390" t="n"/>
      <c r="AG13" s="390" t="n"/>
      <c r="AH13" s="390" t="n"/>
      <c r="AI13" s="390" t="n"/>
      <c r="AJ13" s="390" t="n"/>
      <c r="AK13" s="390" t="n"/>
      <c r="AL13" s="390" t="n"/>
      <c r="AM13" s="390" t="n"/>
      <c r="AN13" s="390" t="n"/>
      <c r="AO13" s="390" t="n"/>
      <c r="AP13" s="390" t="n"/>
      <c r="AQ13" s="390" t="n"/>
      <c r="AR13" s="390" t="n"/>
      <c r="AS13" s="390" t="n"/>
      <c r="AT13" s="390" t="n"/>
      <c r="AU13" s="390" t="n"/>
      <c r="AV13" s="390" t="n"/>
      <c r="AW13" s="390" t="n"/>
      <c r="AX13" s="390" t="n"/>
      <c r="AY13" s="390" t="n"/>
      <c r="AZ13" s="390" t="n"/>
      <c r="BA13" s="390" t="n"/>
      <c r="BB13" s="390" t="n"/>
      <c r="BC13" s="390" t="n"/>
      <c r="BD13" s="390" t="n"/>
      <c r="BE13" s="390" t="n"/>
      <c r="BF13" s="390" t="n"/>
      <c r="BG13" s="390" t="n"/>
      <c r="BH13" s="390" t="n"/>
      <c r="BI13" s="390" t="n"/>
      <c r="BJ13" s="390" t="n"/>
      <c r="BK13" s="390" t="n"/>
      <c r="BL13" s="390" t="n"/>
      <c r="BM13" s="390" t="n"/>
      <c r="BN13" s="390" t="n"/>
      <c r="BO13" s="390" t="n"/>
      <c r="BP13" s="390" t="n"/>
      <c r="BQ13" s="390" t="n"/>
      <c r="BR13" s="390" t="n"/>
      <c r="BS13" s="390" t="n"/>
      <c r="BT13" s="390" t="n"/>
      <c r="BU13" s="390" t="n"/>
      <c r="BV13" s="390" t="n"/>
      <c r="BW13" s="390" t="n"/>
      <c r="BX13" s="390" t="n"/>
      <c r="BY13" s="390" t="n"/>
      <c r="BZ13" s="390" t="n"/>
      <c r="CA13" s="390" t="n"/>
      <c r="CB13" s="390" t="n"/>
      <c r="CC13" s="390" t="n"/>
      <c r="CD13" s="390" t="n"/>
      <c r="CE13" s="390" t="n"/>
      <c r="CF13" s="390" t="n"/>
      <c r="CG13" s="390" t="n"/>
      <c r="CH13" s="390" t="n"/>
      <c r="CI13" s="390" t="n"/>
      <c r="CJ13" s="390" t="n"/>
      <c r="CK13" s="390" t="n"/>
      <c r="CL13" s="390" t="n"/>
      <c r="CM13" s="390" t="n"/>
      <c r="CN13" s="390" t="n"/>
      <c r="CO13" s="390" t="n"/>
    </row>
    <row r="14">
      <c r="E14" s="61" t="inlineStr">
        <is>
          <t>Days in construction period</t>
        </is>
      </c>
      <c r="F14" s="501" t="n"/>
      <c r="G14" s="61" t="inlineStr">
        <is>
          <t>days</t>
        </is>
      </c>
      <c r="H14" s="85">
        <f>SUM(J14:Q14)</f>
        <v>731.0</v>
      </c>
      <c r="I14" s="501" t="n"/>
      <c r="J14" s="85">
        <f>J13-EOMONTH(J13,-$F$10)</f>
        <v>91.0</v>
      </c>
      <c r="K14" s="85">
        <f>K13-EOMONTH(K13,-$F$10)</f>
        <v>91.0</v>
      </c>
      <c r="L14" s="85">
        <f>L13-EOMONTH(L13,-$F$10)</f>
        <v>92.0</v>
      </c>
      <c r="M14" s="85">
        <f>M13-EOMONTH(M13,-$F$10)</f>
        <v>92.0</v>
      </c>
      <c r="N14" s="85">
        <f>N13-EOMONTH(N13,-$F$10)</f>
        <v>90.0</v>
      </c>
      <c r="O14" s="85">
        <f>O13-EOMONTH(O13,-$F$10)</f>
        <v>91.0</v>
      </c>
      <c r="P14" s="85">
        <f>P13-EOMONTH(P13,-$F$10)</f>
        <v>92.0</v>
      </c>
      <c r="Q14" s="85">
        <f>Q13-EOMONTH(Q13,-$F$10)</f>
        <v>92.0</v>
      </c>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1" t="n"/>
      <c r="BZ14" s="61" t="n"/>
      <c r="CA14" s="61" t="n"/>
      <c r="CB14" s="61" t="n"/>
      <c r="CC14" s="61" t="n"/>
      <c r="CD14" s="61" t="n"/>
      <c r="CE14" s="61" t="n"/>
      <c r="CF14" s="61" t="n"/>
      <c r="CG14" s="61" t="n"/>
      <c r="CH14" s="61" t="n"/>
      <c r="CI14" s="61" t="n"/>
      <c r="CJ14" s="61" t="n"/>
      <c r="CK14" s="61" t="n"/>
      <c r="CL14" s="61" t="n"/>
      <c r="CM14" s="61" t="n"/>
      <c r="CN14" s="61" t="n"/>
      <c r="CO14" s="61" t="n"/>
    </row>
    <row r="16">
      <c r="A16" s="294" t="inlineStr">
        <is>
          <t>CONSTRUCTION COST</t>
        </is>
      </c>
    </row>
    <row r="17">
      <c r="E17" s="344" t="str">
        <f>InpC!E$115</f>
        <v>Total construction cost (hard cost)</v>
      </c>
      <c r="F17" s="498">
        <f>InpC!F$115</f>
        <v>94850.0</v>
      </c>
      <c r="G17" s="344" t="str">
        <f>InpC!G$115</f>
        <v>$ 000s</v>
      </c>
      <c r="H17" s="484" t="n"/>
      <c r="I17" s="484" t="n"/>
      <c r="J17" s="484" t="n"/>
      <c r="K17" s="484" t="n"/>
      <c r="L17" s="484" t="n"/>
      <c r="M17" s="484" t="n"/>
      <c r="N17" s="484" t="n"/>
      <c r="O17" s="484" t="n"/>
      <c r="P17" s="484" t="n"/>
      <c r="Q17" s="484" t="n"/>
    </row>
    <row r="18">
      <c r="E18" s="61" t="inlineStr">
        <is>
          <t>Spend profile</t>
        </is>
      </c>
      <c r="F18" s="502" t="n"/>
      <c r="G18" s="61" t="inlineStr">
        <is>
          <t>%</t>
        </is>
      </c>
      <c r="H18" s="503">
        <f>SUM(J18:Q18)</f>
        <v>1.0</v>
      </c>
      <c r="I18" s="502" t="n"/>
      <c r="J18" s="503">
        <f>INDEX(InpC!$F$118:$F$125,J$5)</f>
        <v>0.05</v>
      </c>
      <c r="K18" s="503">
        <f>INDEX(InpC!$F$118:$F$125,K$5)</f>
        <v>0.1</v>
      </c>
      <c r="L18" s="503">
        <f>INDEX(InpC!$F$118:$F$125,L$5)</f>
        <v>0.15</v>
      </c>
      <c r="M18" s="503">
        <f>INDEX(InpC!$F$118:$F$125,M$5)</f>
        <v>0.2</v>
      </c>
      <c r="N18" s="503">
        <f>INDEX(InpC!$F$118:$F$125,N$5)</f>
        <v>0.2</v>
      </c>
      <c r="O18" s="503">
        <f>INDEX(InpC!$F$118:$F$125,O$5)</f>
        <v>0.15</v>
      </c>
      <c r="P18" s="503">
        <f>INDEX(InpC!$F$118:$F$125,P$5)</f>
        <v>0.1</v>
      </c>
      <c r="Q18" s="503">
        <f>INDEX(InpC!$F$118:$F$125,Q$5)</f>
        <v>0.05</v>
      </c>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1" t="n"/>
      <c r="BZ18" s="61" t="n"/>
      <c r="CA18" s="61" t="n"/>
      <c r="CB18" s="61" t="n"/>
      <c r="CC18" s="61" t="n"/>
      <c r="CD18" s="61" t="n"/>
      <c r="CE18" s="61" t="n"/>
      <c r="CF18" s="61" t="n"/>
      <c r="CG18" s="61" t="n"/>
      <c r="CH18" s="61" t="n"/>
      <c r="CI18" s="61" t="n"/>
      <c r="CJ18" s="61" t="n"/>
      <c r="CK18" s="61" t="n"/>
      <c r="CL18" s="61" t="n"/>
      <c r="CM18" s="61" t="n"/>
      <c r="CN18" s="61" t="n"/>
      <c r="CO18" s="61" t="n"/>
    </row>
    <row r="19">
      <c r="E19" s="61" t="inlineStr">
        <is>
          <t>Construction cost spend</t>
        </is>
      </c>
      <c r="F19" s="484" t="n"/>
      <c r="G19" s="61" t="inlineStr">
        <is>
          <t>$ 000s</t>
        </is>
      </c>
      <c r="H19" s="490">
        <f>SUM(J19:Q19)</f>
        <v>94850.0</v>
      </c>
      <c r="I19" s="484" t="n"/>
      <c r="J19" s="490">
        <f>$F$17*J18</f>
        <v>4742.5</v>
      </c>
      <c r="K19" s="490">
        <f>$F$17*K18</f>
        <v>9485.0</v>
      </c>
      <c r="L19" s="490">
        <f>$F$17*L18</f>
        <v>14227.5</v>
      </c>
      <c r="M19" s="490">
        <f>$F$17*M18</f>
        <v>18970.0</v>
      </c>
      <c r="N19" s="490">
        <f>$F$17*N18</f>
        <v>18970.0</v>
      </c>
      <c r="O19" s="490">
        <f>$F$17*O18</f>
        <v>14227.5</v>
      </c>
      <c r="P19" s="490">
        <f>$F$17*P18</f>
        <v>9485.0</v>
      </c>
      <c r="Q19" s="490">
        <f>$F$17*Q18</f>
        <v>4742.5</v>
      </c>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1" t="n"/>
      <c r="BZ19" s="61" t="n"/>
      <c r="CA19" s="61" t="n"/>
      <c r="CB19" s="61" t="n"/>
      <c r="CC19" s="61" t="n"/>
      <c r="CD19" s="61" t="n"/>
      <c r="CE19" s="61" t="n"/>
      <c r="CF19" s="61" t="n"/>
      <c r="CG19" s="61" t="n"/>
      <c r="CH19" s="61" t="n"/>
      <c r="CI19" s="61" t="n"/>
      <c r="CJ19" s="61" t="n"/>
      <c r="CK19" s="61" t="n"/>
      <c r="CL19" s="61" t="n"/>
      <c r="CM19" s="61" t="n"/>
      <c r="CN19" s="61" t="n"/>
      <c r="CO19" s="61" t="n"/>
    </row>
    <row r="21">
      <c r="A21" s="294" t="inlineStr">
        <is>
          <t>FEES</t>
        </is>
      </c>
    </row>
    <row r="22">
      <c r="E22" s="344" t="str">
        <f>InpC!E$127</f>
        <v>Upfront fee (% of facility)</v>
      </c>
      <c r="F22" s="498">
        <f>InpC!F$127</f>
        <v>0.02</v>
      </c>
      <c r="G22" s="344" t="str">
        <f>InpC!G$127</f>
        <v>%</v>
      </c>
      <c r="H22" s="484" t="n"/>
      <c r="I22" s="484" t="n"/>
      <c r="J22" s="484" t="n"/>
      <c r="K22" s="484" t="n"/>
      <c r="L22" s="484" t="n"/>
      <c r="M22" s="484" t="n"/>
      <c r="N22" s="484" t="n"/>
      <c r="O22" s="484" t="n"/>
      <c r="P22" s="484" t="n"/>
      <c r="Q22" s="484" t="n"/>
    </row>
    <row r="23">
      <c r="E23" s="344" t="str">
        <f>InpC!E$131</f>
        <v>Senior debt facility (commitment)</v>
      </c>
      <c r="F23" s="498">
        <f>InpC!F$131</f>
        <v>72155.0</v>
      </c>
      <c r="G23" s="344" t="str">
        <f>InpC!G$131</f>
        <v>$ 000s</v>
      </c>
      <c r="H23" s="484" t="n"/>
      <c r="I23" s="484" t="n"/>
      <c r="J23" s="484" t="n"/>
      <c r="K23" s="484" t="n"/>
      <c r="L23" s="484" t="n"/>
      <c r="M23" s="484" t="n"/>
      <c r="N23" s="484" t="n"/>
      <c r="O23" s="484" t="n"/>
      <c r="P23" s="484" t="n"/>
      <c r="Q23" s="484" t="n"/>
    </row>
    <row r="24">
      <c r="E24" s="344" t="str">
        <f>InpC!E$129</f>
        <v>Commitment fee (% p.a. on undrawn facility)</v>
      </c>
      <c r="F24" s="498">
        <f>InpC!F$129</f>
        <v>0.0075</v>
      </c>
      <c r="G24" s="344" t="str">
        <f>InpC!G$129</f>
        <v>% p.a</v>
      </c>
      <c r="H24" s="484" t="n"/>
      <c r="I24" s="484" t="n"/>
      <c r="J24" s="484" t="n"/>
      <c r="K24" s="484" t="n"/>
      <c r="L24" s="484" t="n"/>
      <c r="M24" s="484" t="n"/>
      <c r="N24" s="484" t="n"/>
      <c r="O24" s="484" t="n"/>
      <c r="P24" s="484" t="n"/>
      <c r="Q24" s="484" t="n"/>
    </row>
    <row r="25">
      <c r="E25" s="61" t="inlineStr">
        <is>
          <t>Upfront fee</t>
        </is>
      </c>
      <c r="F25" s="484" t="n"/>
      <c r="G25" s="61" t="inlineStr">
        <is>
          <t>$ 000s</t>
        </is>
      </c>
      <c r="H25" s="490">
        <f>SUM(J25:Q25)</f>
        <v>1443.1000000000001</v>
      </c>
      <c r="I25" s="484" t="n"/>
      <c r="J25" s="490">
        <f>IF(J$5=1,$F$22*$F$23,0)</f>
        <v>1443.1000000000001</v>
      </c>
      <c r="K25" s="490">
        <f>IF(K$5=1,$F$22*$F$23,0)</f>
        <v>0.0</v>
      </c>
      <c r="L25" s="490">
        <f>IF(L$5=1,$F$22*$F$23,0)</f>
        <v>0.0</v>
      </c>
      <c r="M25" s="490">
        <f>IF(M$5=1,$F$22*$F$23,0)</f>
        <v>0.0</v>
      </c>
      <c r="N25" s="490">
        <f>IF(N$5=1,$F$22*$F$23,0)</f>
        <v>0.0</v>
      </c>
      <c r="O25" s="490">
        <f>IF(O$5=1,$F$22*$F$23,0)</f>
        <v>0.0</v>
      </c>
      <c r="P25" s="490">
        <f>IF(P$5=1,$F$22*$F$23,0)</f>
        <v>0.0</v>
      </c>
      <c r="Q25" s="490">
        <f>IF(Q$5=1,$F$22*$F$23,0)</f>
        <v>0.0</v>
      </c>
      <c r="R25" s="61" t="n"/>
      <c r="S25" s="61" t="n"/>
      <c r="T25" s="61" t="n"/>
      <c r="U25" s="61" t="n"/>
      <c r="V25" s="61" t="n"/>
      <c r="W25" s="61" t="n"/>
      <c r="X25" s="61" t="n"/>
      <c r="Y25" s="61" t="n"/>
      <c r="Z25" s="61" t="n"/>
      <c r="AA25" s="61" t="n"/>
      <c r="AB25" s="61" t="n"/>
      <c r="AC25" s="61" t="n"/>
      <c r="AD25" s="61" t="n"/>
      <c r="AE25" s="61" t="n"/>
      <c r="AF25" s="61" t="n"/>
      <c r="AG25" s="61" t="n"/>
      <c r="AH25" s="61" t="n"/>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1" t="n"/>
      <c r="BZ25" s="61" t="n"/>
      <c r="CA25" s="61" t="n"/>
      <c r="CB25" s="61" t="n"/>
      <c r="CC25" s="61" t="n"/>
      <c r="CD25" s="61" t="n"/>
      <c r="CE25" s="61" t="n"/>
      <c r="CF25" s="61" t="n"/>
      <c r="CG25" s="61" t="n"/>
      <c r="CH25" s="61" t="n"/>
      <c r="CI25" s="61" t="n"/>
      <c r="CJ25" s="61" t="n"/>
      <c r="CK25" s="61" t="n"/>
      <c r="CL25" s="61" t="n"/>
      <c r="CM25" s="61" t="n"/>
      <c r="CN25" s="61" t="n"/>
      <c r="CO25" s="61" t="n"/>
    </row>
    <row r="27">
      <c r="A27" s="294" t="inlineStr">
        <is>
          <t>INTEREST AND COMMITMENT FEE DURING CONSTRUCTION</t>
        </is>
      </c>
    </row>
    <row r="28">
      <c r="E28" s="344" t="str">
        <f>InpC!E$77</f>
        <v>All in annual senior debt interest rate </v>
      </c>
      <c r="F28" s="498">
        <f>InpC!F$77</f>
        <v>0.065</v>
      </c>
      <c r="G28" s="344" t="str">
        <f>InpC!G$77</f>
        <v>%</v>
      </c>
      <c r="H28" s="484" t="n"/>
      <c r="I28" s="484" t="n"/>
      <c r="J28" s="484" t="n"/>
      <c r="K28" s="484" t="n"/>
      <c r="L28" s="484" t="n"/>
      <c r="M28" s="484" t="n"/>
      <c r="N28" s="484" t="n"/>
      <c r="O28" s="484" t="n"/>
      <c r="P28" s="484" t="n"/>
      <c r="Q28" s="484" t="n"/>
    </row>
    <row r="29">
      <c r="E29" s="344" t="str">
        <f>InpC!E$79</f>
        <v>Day count convention </v>
      </c>
      <c r="F29" s="498">
        <f>InpC!F$79</f>
        <v>360.0</v>
      </c>
      <c r="G29" s="344" t="str">
        <f>InpC!G$79</f>
        <v>days</v>
      </c>
      <c r="H29" s="484" t="n"/>
      <c r="I29" s="484" t="n"/>
      <c r="J29" s="484" t="n"/>
      <c r="K29" s="484" t="n"/>
      <c r="L29" s="484" t="n"/>
      <c r="M29" s="484" t="n"/>
      <c r="N29" s="484" t="n"/>
      <c r="O29" s="484" t="n"/>
      <c r="P29" s="484" t="n"/>
      <c r="Q29" s="484" t="n"/>
    </row>
    <row r="30">
      <c r="E30" s="61" t="inlineStr">
        <is>
          <t>Senior debt balance BEG</t>
        </is>
      </c>
      <c r="F30" s="484" t="n"/>
      <c r="G30" s="61" t="inlineStr">
        <is>
          <t>$ 000s</t>
        </is>
      </c>
      <c r="H30" s="490" t="n"/>
      <c r="I30" s="484" t="n"/>
      <c r="J30" s="490">
        <f>I49</f>
        <v>0.0</v>
      </c>
      <c r="K30" s="490">
        <f>J49</f>
        <v>4513.677260155075</v>
      </c>
      <c r="L30" s="490">
        <f>K49</f>
        <v>11429.695643477175</v>
      </c>
      <c r="M30" s="490">
        <f>L49</f>
        <v>21805.616361780525</v>
      </c>
      <c r="N30" s="490">
        <f>M49</f>
        <v>35676.14814406645</v>
      </c>
      <c r="O30" s="490">
        <f>N49</f>
        <v>49681.90815011956</v>
      </c>
      <c r="P30" s="490">
        <f>O49</f>
        <v>60452.38084244231</v>
      </c>
      <c r="Q30" s="490">
        <f>P49</f>
        <v>67956.82009347857</v>
      </c>
      <c r="R30" s="61" t="n"/>
      <c r="S30" s="61" t="n"/>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1" t="n"/>
      <c r="AZ30" s="61" t="n"/>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1" t="n"/>
      <c r="BZ30" s="61" t="n"/>
      <c r="CA30" s="61" t="n"/>
      <c r="CB30" s="61" t="n"/>
      <c r="CC30" s="61" t="n"/>
      <c r="CD30" s="61" t="n"/>
      <c r="CE30" s="61" t="n"/>
      <c r="CF30" s="61" t="n"/>
      <c r="CG30" s="61" t="n"/>
      <c r="CH30" s="61" t="n"/>
      <c r="CI30" s="61" t="n"/>
      <c r="CJ30" s="61" t="n"/>
      <c r="CK30" s="61" t="n"/>
      <c r="CL30" s="61" t="n"/>
      <c r="CM30" s="61" t="n"/>
      <c r="CN30" s="61" t="n"/>
      <c r="CO30" s="61" t="n"/>
    </row>
    <row r="31">
      <c r="E31" s="61" t="inlineStr">
        <is>
          <t>Interest during construction (IDC)</t>
        </is>
      </c>
      <c r="F31" s="484" t="n"/>
      <c r="G31" s="61" t="inlineStr">
        <is>
          <t>$ 000s</t>
        </is>
      </c>
      <c r="H31" s="490">
        <f>SUM(J31:Q31)</f>
        <v>4155.295949257809</v>
      </c>
      <c r="I31" s="484" t="n"/>
      <c r="J31" s="490">
        <f>J30*$F$28/$F$29*J14</f>
        <v>0.0</v>
      </c>
      <c r="K31" s="490">
        <f>K30*$F$28/$F$29*K14</f>
        <v>74.16222498282575</v>
      </c>
      <c r="L31" s="490">
        <f>L30*$F$28/$F$29*L14</f>
        <v>189.85994429998198</v>
      </c>
      <c r="M31" s="490">
        <f>M30*$F$28/$F$29*M14</f>
        <v>362.2155162317987</v>
      </c>
      <c r="N31" s="490">
        <f>N30*$F$28/$F$29*N14</f>
        <v>579.7374073410798</v>
      </c>
      <c r="O31" s="490">
        <f>O30*$F$28/$F$29*O14</f>
        <v>816.3013519665479</v>
      </c>
      <c r="P31" s="490">
        <f>P30*$F$28/$F$29*P14</f>
        <v>1004.181215105014</v>
      </c>
      <c r="Q31" s="490">
        <f>Q30*$F$28/$F$29*Q14</f>
        <v>1128.8382893305609</v>
      </c>
      <c r="R31" s="61" t="n"/>
      <c r="S31" s="61" t="n"/>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1" t="n"/>
      <c r="AZ31" s="61" t="n"/>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1" t="n"/>
      <c r="BZ31" s="61" t="n"/>
      <c r="CA31" s="61" t="n"/>
      <c r="CB31" s="61" t="n"/>
      <c r="CC31" s="61" t="n"/>
      <c r="CD31" s="61" t="n"/>
      <c r="CE31" s="61" t="n"/>
      <c r="CF31" s="61" t="n"/>
      <c r="CG31" s="61" t="n"/>
      <c r="CH31" s="61" t="n"/>
      <c r="CI31" s="61" t="n"/>
      <c r="CJ31" s="61" t="n"/>
      <c r="CK31" s="61" t="n"/>
      <c r="CL31" s="61" t="n"/>
      <c r="CM31" s="61" t="n"/>
      <c r="CN31" s="61" t="n"/>
      <c r="CO31" s="61" t="n"/>
    </row>
    <row r="32">
      <c r="E32" s="61" t="inlineStr">
        <is>
          <t>Commitment fee</t>
        </is>
      </c>
      <c r="F32" s="484" t="n"/>
      <c r="G32" s="61" t="inlineStr">
        <is>
          <t>$ 000s</t>
        </is>
      </c>
      <c r="H32" s="490">
        <f>SUM(J32:Q32)</f>
        <v>619.4032959189708</v>
      </c>
      <c r="I32" s="484" t="n"/>
      <c r="J32" s="490">
        <f>($F$23-J30)*$F$24/$F$29*J14</f>
        <v>136.79385416666668</v>
      </c>
      <c r="K32" s="490">
        <f>($F$23-K30)*$F$24/$F$29*K14</f>
        <v>128.236674360956</v>
      </c>
      <c r="L32" s="490">
        <f>($F$23-L30)*$F$24/$F$29*L14</f>
        <v>116.39016668333544</v>
      </c>
      <c r="M32" s="490">
        <f>($F$23-M30)*$F$24/$F$29*M14</f>
        <v>96.50298530658732</v>
      </c>
      <c r="N32" s="490">
        <f>($F$23-N30)*$F$24/$F$29*N14</f>
        <v>68.39784722987541</v>
      </c>
      <c r="O32" s="490">
        <f>($F$23-O30)*$F$24/$F$29*O14</f>
        <v>42.605236632065</v>
      </c>
      <c r="P32" s="490">
        <f>($F$23-P30)*$F$24/$F$29*P14</f>
        <v>22.430020051985572</v>
      </c>
      <c r="Q32" s="490">
        <f>($F$23-Q30)*$F$24/$F$29*Q14</f>
        <v>8.046511487499405</v>
      </c>
      <c r="R32" s="61" t="n"/>
      <c r="S32" s="61" t="n"/>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1" t="n"/>
      <c r="BZ32" s="61" t="n"/>
      <c r="CA32" s="61" t="n"/>
      <c r="CB32" s="61" t="n"/>
      <c r="CC32" s="61" t="n"/>
      <c r="CD32" s="61" t="n"/>
      <c r="CE32" s="61" t="n"/>
      <c r="CF32" s="61" t="n"/>
      <c r="CG32" s="61" t="n"/>
      <c r="CH32" s="61" t="n"/>
      <c r="CI32" s="61" t="n"/>
      <c r="CJ32" s="61" t="n"/>
      <c r="CK32" s="61" t="n"/>
      <c r="CL32" s="61" t="n"/>
      <c r="CM32" s="61" t="n"/>
      <c r="CN32" s="61" t="n"/>
      <c r="CO32" s="61" t="n"/>
    </row>
    <row r="34">
      <c r="A34" s="294" t="inlineStr">
        <is>
          <t>USES OF FUNDS</t>
        </is>
      </c>
    </row>
    <row r="35">
      <c r="E35" s="61" t="str">
        <f>E$19</f>
        <v>Construction cost spend</v>
      </c>
      <c r="F35" s="484" t="n"/>
      <c r="G35" s="61" t="inlineStr">
        <is>
          <t>$ 000s</t>
        </is>
      </c>
      <c r="H35" s="490">
        <f>SUM(J35:Q35)</f>
        <v>94850.0</v>
      </c>
      <c r="I35" s="484" t="n"/>
      <c r="J35" s="490">
        <f>J19</f>
        <v>4742.5</v>
      </c>
      <c r="K35" s="490">
        <f>K19</f>
        <v>9485.0</v>
      </c>
      <c r="L35" s="490">
        <f>L19</f>
        <v>14227.5</v>
      </c>
      <c r="M35" s="490">
        <f>M19</f>
        <v>18970.0</v>
      </c>
      <c r="N35" s="490">
        <f>N19</f>
        <v>18970.0</v>
      </c>
      <c r="O35" s="490">
        <f>O19</f>
        <v>14227.5</v>
      </c>
      <c r="P35" s="490">
        <f>P19</f>
        <v>9485.0</v>
      </c>
      <c r="Q35" s="490">
        <f>Q19</f>
        <v>4742.5</v>
      </c>
      <c r="R35" s="61" t="n"/>
      <c r="S35" s="61" t="n"/>
      <c r="T35" s="61" t="n"/>
      <c r="U35" s="61" t="n"/>
      <c r="V35" s="61" t="n"/>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1" t="n"/>
      <c r="AZ35" s="61" t="n"/>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1" t="n"/>
      <c r="BZ35" s="61" t="n"/>
      <c r="CA35" s="61" t="n"/>
      <c r="CB35" s="61" t="n"/>
      <c r="CC35" s="61" t="n"/>
      <c r="CD35" s="61" t="n"/>
      <c r="CE35" s="61" t="n"/>
      <c r="CF35" s="61" t="n"/>
      <c r="CG35" s="61" t="n"/>
      <c r="CH35" s="61" t="n"/>
      <c r="CI35" s="61" t="n"/>
      <c r="CJ35" s="61" t="n"/>
      <c r="CK35" s="61" t="n"/>
      <c r="CL35" s="61" t="n"/>
      <c r="CM35" s="61" t="n"/>
      <c r="CN35" s="61" t="n"/>
      <c r="CO35" s="61" t="n"/>
    </row>
    <row r="36">
      <c r="E36" s="61" t="str">
        <f>E$25</f>
        <v>Upfront fee</v>
      </c>
      <c r="F36" s="484" t="n"/>
      <c r="G36" s="61" t="inlineStr">
        <is>
          <t>$ 000s</t>
        </is>
      </c>
      <c r="H36" s="490">
        <f>SUM(J36:Q36)</f>
        <v>1443.1000000000001</v>
      </c>
      <c r="I36" s="484" t="n"/>
      <c r="J36" s="490">
        <f>J25</f>
        <v>1443.1000000000001</v>
      </c>
      <c r="K36" s="490">
        <f>K25</f>
        <v>0.0</v>
      </c>
      <c r="L36" s="490">
        <f>L25</f>
        <v>0.0</v>
      </c>
      <c r="M36" s="490">
        <f>M25</f>
        <v>0.0</v>
      </c>
      <c r="N36" s="490">
        <f>N25</f>
        <v>0.0</v>
      </c>
      <c r="O36" s="490">
        <f>O25</f>
        <v>0.0</v>
      </c>
      <c r="P36" s="490">
        <f>P25</f>
        <v>0.0</v>
      </c>
      <c r="Q36" s="490">
        <f>Q25</f>
        <v>0.0</v>
      </c>
      <c r="R36" s="61" t="n"/>
      <c r="S36" s="61" t="n"/>
      <c r="T36" s="61" t="n"/>
      <c r="U36" s="61" t="n"/>
      <c r="V36" s="61" t="n"/>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1" t="n"/>
      <c r="AZ36" s="61" t="n"/>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1" t="n"/>
      <c r="BZ36" s="61" t="n"/>
      <c r="CA36" s="61" t="n"/>
      <c r="CB36" s="61" t="n"/>
      <c r="CC36" s="61" t="n"/>
      <c r="CD36" s="61" t="n"/>
      <c r="CE36" s="61" t="n"/>
      <c r="CF36" s="61" t="n"/>
      <c r="CG36" s="61" t="n"/>
      <c r="CH36" s="61" t="n"/>
      <c r="CI36" s="61" t="n"/>
      <c r="CJ36" s="61" t="n"/>
      <c r="CK36" s="61" t="n"/>
      <c r="CL36" s="61" t="n"/>
      <c r="CM36" s="61" t="n"/>
      <c r="CN36" s="61" t="n"/>
      <c r="CO36" s="61" t="n"/>
    </row>
    <row r="37">
      <c r="E37" s="61" t="str">
        <f>E$31</f>
        <v>Interest during construction (IDC)</v>
      </c>
      <c r="F37" s="484" t="n"/>
      <c r="G37" s="61" t="inlineStr">
        <is>
          <t>$ 000s</t>
        </is>
      </c>
      <c r="H37" s="490">
        <f>SUM(J37:Q37)</f>
        <v>4155.295949257809</v>
      </c>
      <c r="I37" s="484" t="n"/>
      <c r="J37" s="490">
        <f>J31</f>
        <v>0.0</v>
      </c>
      <c r="K37" s="490">
        <f>K31</f>
        <v>74.16222498282575</v>
      </c>
      <c r="L37" s="490">
        <f>L31</f>
        <v>189.85994429998198</v>
      </c>
      <c r="M37" s="490">
        <f>M31</f>
        <v>362.2155162317987</v>
      </c>
      <c r="N37" s="490">
        <f>N31</f>
        <v>579.7374073410798</v>
      </c>
      <c r="O37" s="490">
        <f>O31</f>
        <v>816.3013519665479</v>
      </c>
      <c r="P37" s="490">
        <f>P31</f>
        <v>1004.181215105014</v>
      </c>
      <c r="Q37" s="490">
        <f>Q31</f>
        <v>1128.8382893305609</v>
      </c>
      <c r="R37" s="61" t="n"/>
      <c r="S37" s="61" t="n"/>
      <c r="T37" s="61" t="n"/>
      <c r="U37" s="61" t="n"/>
      <c r="V37" s="61" t="n"/>
      <c r="W37" s="61" t="n"/>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1" t="n"/>
      <c r="AX37" s="61" t="n"/>
      <c r="AY37" s="61" t="n"/>
      <c r="AZ37" s="61" t="n"/>
      <c r="BA37" s="61" t="n"/>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1" t="n"/>
      <c r="BZ37" s="61" t="n"/>
      <c r="CA37" s="61" t="n"/>
      <c r="CB37" s="61" t="n"/>
      <c r="CC37" s="61" t="n"/>
      <c r="CD37" s="61" t="n"/>
      <c r="CE37" s="61" t="n"/>
      <c r="CF37" s="61" t="n"/>
      <c r="CG37" s="61" t="n"/>
      <c r="CH37" s="61" t="n"/>
      <c r="CI37" s="61" t="n"/>
      <c r="CJ37" s="61" t="n"/>
      <c r="CK37" s="61" t="n"/>
      <c r="CL37" s="61" t="n"/>
      <c r="CM37" s="61" t="n"/>
      <c r="CN37" s="61" t="n"/>
      <c r="CO37" s="61" t="n"/>
    </row>
    <row r="38">
      <c r="E38" s="61" t="str">
        <f>E$32</f>
        <v>Commitment fee</v>
      </c>
      <c r="F38" s="484" t="n"/>
      <c r="G38" s="61" t="inlineStr">
        <is>
          <t>$ 000s</t>
        </is>
      </c>
      <c r="H38" s="490">
        <f>SUM(J38:Q38)</f>
        <v>619.4032959189708</v>
      </c>
      <c r="I38" s="484" t="n"/>
      <c r="J38" s="490">
        <f>J32</f>
        <v>136.79385416666668</v>
      </c>
      <c r="K38" s="490">
        <f>K32</f>
        <v>128.236674360956</v>
      </c>
      <c r="L38" s="490">
        <f>L32</f>
        <v>116.39016668333544</v>
      </c>
      <c r="M38" s="490">
        <f>M32</f>
        <v>96.50298530658732</v>
      </c>
      <c r="N38" s="490">
        <f>N32</f>
        <v>68.39784722987541</v>
      </c>
      <c r="O38" s="490">
        <f>O32</f>
        <v>42.605236632065</v>
      </c>
      <c r="P38" s="490">
        <f>P32</f>
        <v>22.430020051985572</v>
      </c>
      <c r="Q38" s="490">
        <f>Q32</f>
        <v>8.046511487499405</v>
      </c>
      <c r="R38" s="61" t="n"/>
      <c r="S38" s="61" t="n"/>
      <c r="T38" s="61" t="n"/>
      <c r="U38" s="61" t="n"/>
      <c r="V38" s="61" t="n"/>
      <c r="W38" s="61" t="n"/>
      <c r="X38" s="61" t="n"/>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1" t="n"/>
      <c r="BZ38" s="61" t="n"/>
      <c r="CA38" s="61" t="n"/>
      <c r="CB38" s="61" t="n"/>
      <c r="CC38" s="61" t="n"/>
      <c r="CD38" s="61" t="n"/>
      <c r="CE38" s="61" t="n"/>
      <c r="CF38" s="61" t="n"/>
      <c r="CG38" s="61" t="n"/>
      <c r="CH38" s="61" t="n"/>
      <c r="CI38" s="61" t="n"/>
      <c r="CJ38" s="61" t="n"/>
      <c r="CK38" s="61" t="n"/>
      <c r="CL38" s="61" t="n"/>
      <c r="CM38" s="61" t="n"/>
      <c r="CN38" s="61" t="n"/>
      <c r="CO38" s="61" t="n"/>
    </row>
    <row r="39">
      <c r="A39" s="358" t="n"/>
      <c r="B39" s="358" t="n"/>
      <c r="C39" s="359" t="n"/>
      <c r="D39" s="360" t="n"/>
      <c r="E39" s="390" t="inlineStr">
        <is>
          <t>Total uses of funds</t>
        </is>
      </c>
      <c r="F39" s="504" t="n"/>
      <c r="G39" s="390" t="inlineStr">
        <is>
          <t>$ 000s</t>
        </is>
      </c>
      <c r="H39" s="504">
        <f>SUM(J39:Q39)</f>
        <v>101067.79924517678</v>
      </c>
      <c r="I39" s="484" t="n"/>
      <c r="J39" s="504">
        <f>SUM(J35:J38)</f>
        <v>6322.393854166667</v>
      </c>
      <c r="K39" s="504">
        <f>SUM(K35:K38)</f>
        <v>9687.398899343782</v>
      </c>
      <c r="L39" s="504">
        <f>SUM(L35:L38)</f>
        <v>14533.750110983317</v>
      </c>
      <c r="M39" s="504">
        <f>SUM(M35:M38)</f>
        <v>19428.718501538384</v>
      </c>
      <c r="N39" s="504">
        <f>SUM(N35:N38)</f>
        <v>19618.135254570956</v>
      </c>
      <c r="O39" s="504">
        <f>SUM(O35:O38)</f>
        <v>15086.406588598613</v>
      </c>
      <c r="P39" s="504">
        <f>SUM(P35:P38)</f>
        <v>10511.611235157</v>
      </c>
      <c r="Q39" s="504">
        <f>SUM(Q35:Q38)</f>
        <v>5879.38480081806</v>
      </c>
      <c r="R39" s="390" t="n"/>
      <c r="S39" s="390" t="n"/>
      <c r="T39" s="390" t="n"/>
      <c r="U39" s="390" t="n"/>
      <c r="V39" s="390" t="n"/>
      <c r="W39" s="390" t="n"/>
      <c r="X39" s="390" t="n"/>
      <c r="Y39" s="390" t="n"/>
      <c r="Z39" s="390" t="n"/>
      <c r="AA39" s="390" t="n"/>
      <c r="AB39" s="390" t="n"/>
      <c r="AC39" s="390" t="n"/>
      <c r="AD39" s="390" t="n"/>
      <c r="AE39" s="390" t="n"/>
      <c r="AF39" s="390" t="n"/>
      <c r="AG39" s="390" t="n"/>
      <c r="AH39" s="390" t="n"/>
      <c r="AI39" s="390" t="n"/>
      <c r="AJ39" s="390" t="n"/>
      <c r="AK39" s="390" t="n"/>
      <c r="AL39" s="390" t="n"/>
      <c r="AM39" s="390" t="n"/>
      <c r="AN39" s="390" t="n"/>
      <c r="AO39" s="390" t="n"/>
      <c r="AP39" s="390" t="n"/>
      <c r="AQ39" s="390" t="n"/>
      <c r="AR39" s="390" t="n"/>
      <c r="AS39" s="390" t="n"/>
      <c r="AT39" s="390" t="n"/>
      <c r="AU39" s="390" t="n"/>
      <c r="AV39" s="390" t="n"/>
      <c r="AW39" s="390" t="n"/>
      <c r="AX39" s="390" t="n"/>
      <c r="AY39" s="390" t="n"/>
      <c r="AZ39" s="390" t="n"/>
      <c r="BA39" s="390" t="n"/>
      <c r="BB39" s="390" t="n"/>
      <c r="BC39" s="390" t="n"/>
      <c r="BD39" s="390" t="n"/>
      <c r="BE39" s="390" t="n"/>
      <c r="BF39" s="390" t="n"/>
      <c r="BG39" s="390" t="n"/>
      <c r="BH39" s="390" t="n"/>
      <c r="BI39" s="390" t="n"/>
      <c r="BJ39" s="390" t="n"/>
      <c r="BK39" s="390" t="n"/>
      <c r="BL39" s="390" t="n"/>
      <c r="BM39" s="390" t="n"/>
      <c r="BN39" s="390" t="n"/>
      <c r="BO39" s="390" t="n"/>
      <c r="BP39" s="390" t="n"/>
      <c r="BQ39" s="390" t="n"/>
      <c r="BR39" s="390" t="n"/>
      <c r="BS39" s="390" t="n"/>
      <c r="BT39" s="390" t="n"/>
      <c r="BU39" s="390" t="n"/>
      <c r="BV39" s="390" t="n"/>
      <c r="BW39" s="390" t="n"/>
      <c r="BX39" s="390" t="n"/>
      <c r="BY39" s="390" t="n"/>
      <c r="BZ39" s="390" t="n"/>
      <c r="CA39" s="390" t="n"/>
      <c r="CB39" s="390" t="n"/>
      <c r="CC39" s="390" t="n"/>
      <c r="CD39" s="390" t="n"/>
      <c r="CE39" s="390" t="n"/>
      <c r="CF39" s="390" t="n"/>
      <c r="CG39" s="390" t="n"/>
      <c r="CH39" s="390" t="n"/>
      <c r="CI39" s="390" t="n"/>
      <c r="CJ39" s="390" t="n"/>
      <c r="CK39" s="390" t="n"/>
      <c r="CL39" s="390" t="n"/>
      <c r="CM39" s="390" t="n"/>
      <c r="CN39" s="390" t="n"/>
      <c r="CO39" s="390" t="n"/>
    </row>
    <row r="41">
      <c r="A41" s="294" t="inlineStr">
        <is>
          <t>SOURCES OF FUNDS</t>
        </is>
      </c>
    </row>
    <row r="42">
      <c r="E42" s="344" t="str">
        <f>InpC!E$72</f>
        <v>% of NCA financed with debt</v>
      </c>
      <c r="F42" s="498">
        <f>InpC!F$72</f>
        <v>0.713919025652034</v>
      </c>
      <c r="G42" s="344" t="str">
        <f>InpC!G$72</f>
        <v>%</v>
      </c>
      <c r="H42" s="484" t="n"/>
      <c r="I42" s="484" t="n"/>
      <c r="J42" s="484" t="n"/>
      <c r="K42" s="484" t="n"/>
      <c r="L42" s="484" t="n"/>
      <c r="M42" s="484" t="n"/>
      <c r="N42" s="484" t="n"/>
      <c r="O42" s="484" t="n"/>
      <c r="P42" s="484" t="n"/>
      <c r="Q42" s="484" t="n"/>
    </row>
    <row r="43">
      <c r="E43" s="344" t="str">
        <f>InpC!E$133</f>
        <v>Drawdown method (1 pro-rata, 2 equity first)</v>
      </c>
      <c r="F43" s="498">
        <f>InpC!F$133</f>
        <v>1.0</v>
      </c>
      <c r="G43" s="344" t="str">
        <f>InpC!G$133</f>
        <v>switch</v>
      </c>
      <c r="H43" s="484" t="n"/>
      <c r="I43" s="484" t="n"/>
      <c r="J43" s="484" t="n"/>
      <c r="K43" s="484" t="n"/>
      <c r="L43" s="484" t="n"/>
      <c r="M43" s="484" t="n"/>
      <c r="N43" s="484" t="n"/>
      <c r="O43" s="484" t="n"/>
      <c r="P43" s="484" t="n"/>
      <c r="Q43" s="484" t="n"/>
    </row>
    <row r="44">
      <c r="E44" s="344" t="str">
        <f>InpC!E$135</f>
        <v>Equity commitment (used by method 2)</v>
      </c>
      <c r="F44" s="498">
        <f>InpC!F$135</f>
        <v>40000.0</v>
      </c>
      <c r="G44" s="344" t="str">
        <f>InpC!G$135</f>
        <v>$ 000s</v>
      </c>
      <c r="H44" s="484" t="n"/>
      <c r="I44" s="484" t="n"/>
      <c r="J44" s="484" t="n"/>
      <c r="K44" s="484" t="n"/>
      <c r="L44" s="484" t="n"/>
      <c r="M44" s="484" t="n"/>
      <c r="N44" s="484" t="n"/>
      <c r="O44" s="484" t="n"/>
      <c r="P44" s="484" t="n"/>
      <c r="Q44" s="484" t="n"/>
    </row>
    <row r="45">
      <c r="A45" s="358" t="n"/>
      <c r="B45" s="358" t="n"/>
      <c r="C45" s="359" t="n"/>
      <c r="D45" s="360" t="n"/>
      <c r="E45" s="390" t="inlineStr">
        <is>
          <t>Equity drawdown</t>
        </is>
      </c>
      <c r="F45" s="504" t="n"/>
      <c r="G45" s="390" t="inlineStr">
        <is>
          <t>$ 000s</t>
        </is>
      </c>
      <c r="H45" s="504">
        <f>SUM(J45:Q45)</f>
        <v>28913.57448326479</v>
      </c>
      <c r="I45" s="484" t="n"/>
      <c r="J45" s="504">
        <f>IF($F$43=1,J39*(1-$F$42),MIN(J39,$F$44-SUM($I45:I45)))</f>
        <v>1808.716594011592</v>
      </c>
      <c r="K45" s="504">
        <f>IF($F$43=1,K39*(1-$F$42),MIN(K39,$F$44-SUM($I45:J45)))</f>
        <v>2771.380516021682</v>
      </c>
      <c r="L45" s="504">
        <f>IF($F$43=1,L39*(1-$F$42),MIN(L39,$F$44-SUM($I45:K45)))</f>
        <v>4157.829392679966</v>
      </c>
      <c r="M45" s="504">
        <f>IF($F$43=1,M39*(1-$F$42),MIN(M39,$F$44-SUM($I45:L45)))</f>
        <v>5558.186719252454</v>
      </c>
      <c r="N45" s="504">
        <f>IF($F$43=1,N39*(1-$F$42),MIN(N39,$F$44-SUM($I45:M45)))</f>
        <v>5612.375248517841</v>
      </c>
      <c r="O45" s="504">
        <f>IF($F$43=1,O39*(1-$F$42),MIN(O39,$F$44-SUM($I45:N45)))</f>
        <v>4315.933896275865</v>
      </c>
      <c r="P45" s="504">
        <f>IF($F$43=1,P39*(1-$F$42),MIN(P39,$F$44-SUM($I45:O45)))</f>
        <v>3007.1719841207405</v>
      </c>
      <c r="Q45" s="504">
        <f>IF($F$43=1,Q39*(1-$F$42),MIN(Q39,$F$44-SUM($I45:P45)))</f>
        <v>1681.9801323846525</v>
      </c>
      <c r="R45" s="390" t="n"/>
      <c r="S45" s="390" t="n"/>
      <c r="T45" s="390" t="n"/>
      <c r="U45" s="390" t="n"/>
      <c r="V45" s="390" t="n"/>
      <c r="W45" s="390" t="n"/>
      <c r="X45" s="390" t="n"/>
      <c r="Y45" s="390" t="n"/>
      <c r="Z45" s="390" t="n"/>
      <c r="AA45" s="390" t="n"/>
      <c r="AB45" s="390" t="n"/>
      <c r="AC45" s="390" t="n"/>
      <c r="AD45" s="390" t="n"/>
      <c r="AE45" s="390" t="n"/>
      <c r="AF45" s="390" t="n"/>
      <c r="AG45" s="390" t="n"/>
      <c r="AH45" s="390" t="n"/>
      <c r="AI45" s="390" t="n"/>
      <c r="AJ45" s="390" t="n"/>
      <c r="AK45" s="390" t="n"/>
      <c r="AL45" s="390" t="n"/>
      <c r="AM45" s="390" t="n"/>
      <c r="AN45" s="390" t="n"/>
      <c r="AO45" s="390" t="n"/>
      <c r="AP45" s="390" t="n"/>
      <c r="AQ45" s="390" t="n"/>
      <c r="AR45" s="390" t="n"/>
      <c r="AS45" s="390" t="n"/>
      <c r="AT45" s="390" t="n"/>
      <c r="AU45" s="390" t="n"/>
      <c r="AV45" s="390" t="n"/>
      <c r="AW45" s="390" t="n"/>
      <c r="AX45" s="390" t="n"/>
      <c r="AY45" s="390" t="n"/>
      <c r="AZ45" s="390" t="n"/>
      <c r="BA45" s="390" t="n"/>
      <c r="BB45" s="390" t="n"/>
      <c r="BC45" s="390" t="n"/>
      <c r="BD45" s="390" t="n"/>
      <c r="BE45" s="390" t="n"/>
      <c r="BF45" s="390" t="n"/>
      <c r="BG45" s="390" t="n"/>
      <c r="BH45" s="390" t="n"/>
      <c r="BI45" s="390" t="n"/>
      <c r="BJ45" s="390" t="n"/>
      <c r="BK45" s="390" t="n"/>
      <c r="BL45" s="390" t="n"/>
      <c r="BM45" s="390" t="n"/>
      <c r="BN45" s="390" t="n"/>
      <c r="BO45" s="390" t="n"/>
      <c r="BP45" s="390" t="n"/>
      <c r="BQ45" s="390" t="n"/>
      <c r="BR45" s="390" t="n"/>
      <c r="BS45" s="390" t="n"/>
      <c r="BT45" s="390" t="n"/>
      <c r="BU45" s="390" t="n"/>
      <c r="BV45" s="390" t="n"/>
      <c r="BW45" s="390" t="n"/>
      <c r="BX45" s="390" t="n"/>
      <c r="BY45" s="390" t="n"/>
      <c r="BZ45" s="390" t="n"/>
      <c r="CA45" s="390" t="n"/>
      <c r="CB45" s="390" t="n"/>
      <c r="CC45" s="390" t="n"/>
      <c r="CD45" s="390" t="n"/>
      <c r="CE45" s="390" t="n"/>
      <c r="CF45" s="390" t="n"/>
      <c r="CG45" s="390" t="n"/>
      <c r="CH45" s="390" t="n"/>
      <c r="CI45" s="390" t="n"/>
      <c r="CJ45" s="390" t="n"/>
      <c r="CK45" s="390" t="n"/>
      <c r="CL45" s="390" t="n"/>
      <c r="CM45" s="390" t="n"/>
      <c r="CN45" s="390" t="n"/>
      <c r="CO45" s="390" t="n"/>
    </row>
    <row r="46">
      <c r="A46" s="358" t="n"/>
      <c r="B46" s="358" t="n"/>
      <c r="C46" s="359" t="n"/>
      <c r="D46" s="360" t="n"/>
      <c r="E46" s="390" t="inlineStr">
        <is>
          <t>Senior debt drawdown</t>
        </is>
      </c>
      <c r="F46" s="504" t="n"/>
      <c r="G46" s="390" t="inlineStr">
        <is>
          <t>$ 000s</t>
        </is>
      </c>
      <c r="H46" s="504">
        <f>SUM(J46:Q46)</f>
        <v>72154.22476191197</v>
      </c>
      <c r="I46" s="484" t="n"/>
      <c r="J46" s="504">
        <f>J39-J45</f>
        <v>4513.677260155075</v>
      </c>
      <c r="K46" s="504">
        <f>K39-K45</f>
        <v>6916.0183833221</v>
      </c>
      <c r="L46" s="504">
        <f>L39-L45</f>
        <v>10375.92071830335</v>
      </c>
      <c r="M46" s="504">
        <f>M39-M45</f>
        <v>13870.531782285929</v>
      </c>
      <c r="N46" s="504">
        <f>N39-N45</f>
        <v>14005.760006053115</v>
      </c>
      <c r="O46" s="504">
        <f>O39-O45</f>
        <v>10770.472692322748</v>
      </c>
      <c r="P46" s="504">
        <f>P39-P45</f>
        <v>7504.439251036259</v>
      </c>
      <c r="Q46" s="504">
        <f>Q39-Q45</f>
        <v>4197.404668433408</v>
      </c>
      <c r="R46" s="390" t="n"/>
      <c r="S46" s="390" t="n"/>
      <c r="T46" s="390" t="n"/>
      <c r="U46" s="390" t="n"/>
      <c r="V46" s="390" t="n"/>
      <c r="W46" s="390" t="n"/>
      <c r="X46" s="390" t="n"/>
      <c r="Y46" s="390" t="n"/>
      <c r="Z46" s="390" t="n"/>
      <c r="AA46" s="390" t="n"/>
      <c r="AB46" s="390" t="n"/>
      <c r="AC46" s="390" t="n"/>
      <c r="AD46" s="390" t="n"/>
      <c r="AE46" s="390" t="n"/>
      <c r="AF46" s="390" t="n"/>
      <c r="AG46" s="390" t="n"/>
      <c r="AH46" s="390" t="n"/>
      <c r="AI46" s="390" t="n"/>
      <c r="AJ46" s="390" t="n"/>
      <c r="AK46" s="390" t="n"/>
      <c r="AL46" s="390" t="n"/>
      <c r="AM46" s="390" t="n"/>
      <c r="AN46" s="390" t="n"/>
      <c r="AO46" s="390" t="n"/>
      <c r="AP46" s="390" t="n"/>
      <c r="AQ46" s="390" t="n"/>
      <c r="AR46" s="390" t="n"/>
      <c r="AS46" s="390" t="n"/>
      <c r="AT46" s="390" t="n"/>
      <c r="AU46" s="390" t="n"/>
      <c r="AV46" s="390" t="n"/>
      <c r="AW46" s="390" t="n"/>
      <c r="AX46" s="390" t="n"/>
      <c r="AY46" s="390" t="n"/>
      <c r="AZ46" s="390" t="n"/>
      <c r="BA46" s="390" t="n"/>
      <c r="BB46" s="390" t="n"/>
      <c r="BC46" s="390" t="n"/>
      <c r="BD46" s="390" t="n"/>
      <c r="BE46" s="390" t="n"/>
      <c r="BF46" s="390" t="n"/>
      <c r="BG46" s="390" t="n"/>
      <c r="BH46" s="390" t="n"/>
      <c r="BI46" s="390" t="n"/>
      <c r="BJ46" s="390" t="n"/>
      <c r="BK46" s="390" t="n"/>
      <c r="BL46" s="390" t="n"/>
      <c r="BM46" s="390" t="n"/>
      <c r="BN46" s="390" t="n"/>
      <c r="BO46" s="390" t="n"/>
      <c r="BP46" s="390" t="n"/>
      <c r="BQ46" s="390" t="n"/>
      <c r="BR46" s="390" t="n"/>
      <c r="BS46" s="390" t="n"/>
      <c r="BT46" s="390" t="n"/>
      <c r="BU46" s="390" t="n"/>
      <c r="BV46" s="390" t="n"/>
      <c r="BW46" s="390" t="n"/>
      <c r="BX46" s="390" t="n"/>
      <c r="BY46" s="390" t="n"/>
      <c r="BZ46" s="390" t="n"/>
      <c r="CA46" s="390" t="n"/>
      <c r="CB46" s="390" t="n"/>
      <c r="CC46" s="390" t="n"/>
      <c r="CD46" s="390" t="n"/>
      <c r="CE46" s="390" t="n"/>
      <c r="CF46" s="390" t="n"/>
      <c r="CG46" s="390" t="n"/>
      <c r="CH46" s="390" t="n"/>
      <c r="CI46" s="390" t="n"/>
      <c r="CJ46" s="390" t="n"/>
      <c r="CK46" s="390" t="n"/>
      <c r="CL46" s="390" t="n"/>
      <c r="CM46" s="390" t="n"/>
      <c r="CN46" s="390" t="n"/>
      <c r="CO46" s="390" t="n"/>
    </row>
    <row r="47">
      <c r="E47" s="61" t="inlineStr">
        <is>
          <t>Total sources of funds</t>
        </is>
      </c>
      <c r="F47" s="484" t="n"/>
      <c r="G47" s="61" t="inlineStr">
        <is>
          <t>$ 000s</t>
        </is>
      </c>
      <c r="H47" s="490">
        <f>SUM(J47:Q47)</f>
        <v>101067.79924517678</v>
      </c>
      <c r="I47" s="484" t="n"/>
      <c r="J47" s="490">
        <f>J45+J46</f>
        <v>6322.393854166667</v>
      </c>
      <c r="K47" s="490">
        <f>K45+K46</f>
        <v>9687.398899343782</v>
      </c>
      <c r="L47" s="490">
        <f>L45+L46</f>
        <v>14533.750110983317</v>
      </c>
      <c r="M47" s="490">
        <f>M45+M46</f>
        <v>19428.718501538384</v>
      </c>
      <c r="N47" s="490">
        <f>N45+N46</f>
        <v>19618.135254570956</v>
      </c>
      <c r="O47" s="490">
        <f>O45+O46</f>
        <v>15086.406588598613</v>
      </c>
      <c r="P47" s="490">
        <f>P45+P46</f>
        <v>10511.611235157</v>
      </c>
      <c r="Q47" s="490">
        <f>Q45+Q46</f>
        <v>5879.38480081806</v>
      </c>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1" t="n"/>
      <c r="BZ47" s="61" t="n"/>
      <c r="CA47" s="61" t="n"/>
      <c r="CB47" s="61" t="n"/>
      <c r="CC47" s="61" t="n"/>
      <c r="CD47" s="61" t="n"/>
      <c r="CE47" s="61" t="n"/>
      <c r="CF47" s="61" t="n"/>
      <c r="CG47" s="61" t="n"/>
      <c r="CH47" s="61" t="n"/>
      <c r="CI47" s="61" t="n"/>
      <c r="CJ47" s="61" t="n"/>
      <c r="CK47" s="61" t="n"/>
      <c r="CL47" s="61" t="n"/>
      <c r="CM47" s="61" t="n"/>
      <c r="CN47" s="61" t="n"/>
      <c r="CO47" s="61" t="n"/>
    </row>
    <row r="48">
      <c r="E48" s="61" t="inlineStr">
        <is>
          <t>Sources less uses (check)</t>
        </is>
      </c>
      <c r="F48" s="505" t="n"/>
      <c r="G48" s="61" t="inlineStr">
        <is>
          <t>check</t>
        </is>
      </c>
      <c r="H48" s="506">
        <f>SUM(J48:Q48)</f>
        <v>0.0</v>
      </c>
      <c r="I48" s="505" t="n"/>
      <c r="J48" s="506">
        <f>J47-J39</f>
        <v>0.0</v>
      </c>
      <c r="K48" s="506">
        <f>K47-K39</f>
        <v>0.0</v>
      </c>
      <c r="L48" s="506">
        <f>L47-L39</f>
        <v>0.0</v>
      </c>
      <c r="M48" s="506">
        <f>M47-M39</f>
        <v>0.0</v>
      </c>
      <c r="N48" s="506">
        <f>N47-N39</f>
        <v>0.0</v>
      </c>
      <c r="O48" s="506">
        <f>O47-O39</f>
        <v>0.0</v>
      </c>
      <c r="P48" s="506">
        <f>P47-P39</f>
        <v>0.0</v>
      </c>
      <c r="Q48" s="506">
        <f>Q47-Q39</f>
        <v>0.0</v>
      </c>
      <c r="R48" s="61" t="n"/>
      <c r="S48" s="61" t="n"/>
      <c r="T48" s="61" t="n"/>
      <c r="U48" s="61" t="n"/>
      <c r="V48" s="61" t="n"/>
      <c r="W48" s="61" t="n"/>
      <c r="X48" s="61" t="n"/>
      <c r="Y48" s="61" t="n"/>
      <c r="Z48" s="61" t="n"/>
      <c r="AA48" s="61" t="n"/>
      <c r="AB48" s="61" t="n"/>
      <c r="AC48" s="61" t="n"/>
      <c r="AD48" s="61" t="n"/>
      <c r="AE48" s="61" t="n"/>
      <c r="AF48" s="61" t="n"/>
      <c r="AG48" s="61" t="n"/>
      <c r="AH48" s="61" t="n"/>
      <c r="AI48" s="61" t="n"/>
      <c r="AJ48" s="61" t="n"/>
      <c r="AK48" s="61" t="n"/>
      <c r="AL48" s="61" t="n"/>
      <c r="AM48" s="61" t="n"/>
      <c r="AN48" s="61" t="n"/>
      <c r="AO48" s="61" t="n"/>
      <c r="AP48" s="61" t="n"/>
      <c r="AQ48" s="61" t="n"/>
      <c r="AR48" s="61" t="n"/>
      <c r="AS48" s="61" t="n"/>
      <c r="AT48" s="61" t="n"/>
      <c r="AU48" s="61" t="n"/>
      <c r="AV48" s="61" t="n"/>
      <c r="AW48" s="61" t="n"/>
      <c r="AX48" s="61" t="n"/>
      <c r="AY48" s="61" t="n"/>
      <c r="AZ48" s="61" t="n"/>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1" t="n"/>
      <c r="BZ48" s="61" t="n"/>
      <c r="CA48" s="61" t="n"/>
      <c r="CB48" s="61" t="n"/>
      <c r="CC48" s="61" t="n"/>
      <c r="CD48" s="61" t="n"/>
      <c r="CE48" s="61" t="n"/>
      <c r="CF48" s="61" t="n"/>
      <c r="CG48" s="61" t="n"/>
      <c r="CH48" s="61" t="n"/>
      <c r="CI48" s="61" t="n"/>
      <c r="CJ48" s="61" t="n"/>
      <c r="CK48" s="61" t="n"/>
      <c r="CL48" s="61" t="n"/>
      <c r="CM48" s="61" t="n"/>
      <c r="CN48" s="61" t="n"/>
      <c r="CO48" s="61" t="n"/>
    </row>
    <row r="49">
      <c r="E49" s="61" t="inlineStr">
        <is>
          <t>Senior debt balance END</t>
        </is>
      </c>
      <c r="F49" s="484" t="n"/>
      <c r="G49" s="61" t="inlineStr">
        <is>
          <t>$ 000s</t>
        </is>
      </c>
      <c r="H49" s="490" t="n"/>
      <c r="I49" s="484" t="n"/>
      <c r="J49" s="490">
        <f>J30+J46</f>
        <v>4513.677260155075</v>
      </c>
      <c r="K49" s="490">
        <f>K30+K46</f>
        <v>11429.695643477175</v>
      </c>
      <c r="L49" s="490">
        <f>L30+L46</f>
        <v>21805.616361780525</v>
      </c>
      <c r="M49" s="490">
        <f>M30+M46</f>
        <v>35676.14814406645</v>
      </c>
      <c r="N49" s="490">
        <f>N30+N46</f>
        <v>49681.90815011956</v>
      </c>
      <c r="O49" s="490">
        <f>O30+O46</f>
        <v>60452.38084244231</v>
      </c>
      <c r="P49" s="490">
        <f>P30+P46</f>
        <v>67956.82009347857</v>
      </c>
      <c r="Q49" s="490">
        <f>Q30+Q46</f>
        <v>72154.22476191197</v>
      </c>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1" t="n"/>
      <c r="BZ49" s="61" t="n"/>
      <c r="CA49" s="61" t="n"/>
      <c r="CB49" s="61" t="n"/>
      <c r="CC49" s="61" t="n"/>
      <c r="CD49" s="61" t="n"/>
      <c r="CE49" s="61" t="n"/>
      <c r="CF49" s="61" t="n"/>
      <c r="CG49" s="61" t="n"/>
      <c r="CH49" s="61" t="n"/>
      <c r="CI49" s="61" t="n"/>
      <c r="CJ49" s="61" t="n"/>
      <c r="CK49" s="61" t="n"/>
      <c r="CL49" s="61" t="n"/>
      <c r="CM49" s="61" t="n"/>
      <c r="CN49" s="61" t="n"/>
      <c r="CO49" s="61" t="n"/>
    </row>
    <row r="51">
      <c r="A51" s="294" t="inlineStr">
        <is>
          <t>OPENING BALANCES AT COD (financial close)</t>
        </is>
      </c>
    </row>
    <row r="52">
      <c r="A52" s="358" t="n"/>
      <c r="B52" s="358" t="n"/>
      <c r="C52" s="359" t="n"/>
      <c r="D52" s="360" t="n"/>
      <c r="E52" s="390" t="inlineStr">
        <is>
          <t>Capitalised project cost at COD</t>
        </is>
      </c>
      <c r="F52" s="504">
        <f>H39</f>
        <v>101067.79924517678</v>
      </c>
      <c r="G52" s="390" t="inlineStr">
        <is>
          <t>$ 000s</t>
        </is>
      </c>
      <c r="H52" s="504" t="n"/>
      <c r="I52" s="484" t="n"/>
      <c r="J52" s="504" t="n"/>
      <c r="K52" s="504" t="n"/>
      <c r="L52" s="504" t="n"/>
      <c r="M52" s="504" t="n"/>
      <c r="N52" s="504" t="n"/>
      <c r="O52" s="504" t="n"/>
      <c r="P52" s="504" t="n"/>
      <c r="Q52" s="504" t="n"/>
      <c r="R52" s="390" t="n"/>
      <c r="S52" s="390" t="n"/>
      <c r="T52" s="390" t="n"/>
      <c r="U52" s="390" t="n"/>
      <c r="V52" s="390" t="n"/>
      <c r="W52" s="390" t="n"/>
      <c r="X52" s="390" t="n"/>
      <c r="Y52" s="390" t="n"/>
      <c r="Z52" s="390" t="n"/>
      <c r="AA52" s="390" t="n"/>
      <c r="AB52" s="390" t="n"/>
      <c r="AC52" s="390" t="n"/>
      <c r="AD52" s="390" t="n"/>
      <c r="AE52" s="390" t="n"/>
      <c r="AF52" s="390" t="n"/>
      <c r="AG52" s="390" t="n"/>
      <c r="AH52" s="390" t="n"/>
      <c r="AI52" s="390" t="n"/>
      <c r="AJ52" s="390" t="n"/>
      <c r="AK52" s="390" t="n"/>
      <c r="AL52" s="390" t="n"/>
      <c r="AM52" s="390" t="n"/>
      <c r="AN52" s="390" t="n"/>
      <c r="AO52" s="390" t="n"/>
      <c r="AP52" s="390" t="n"/>
      <c r="AQ52" s="390" t="n"/>
      <c r="AR52" s="390" t="n"/>
      <c r="AS52" s="390" t="n"/>
      <c r="AT52" s="390" t="n"/>
      <c r="AU52" s="390" t="n"/>
      <c r="AV52" s="390" t="n"/>
      <c r="AW52" s="390" t="n"/>
      <c r="AX52" s="390" t="n"/>
      <c r="AY52" s="390" t="n"/>
      <c r="AZ52" s="390" t="n"/>
      <c r="BA52" s="390" t="n"/>
      <c r="BB52" s="390" t="n"/>
      <c r="BC52" s="390" t="n"/>
      <c r="BD52" s="390" t="n"/>
      <c r="BE52" s="390" t="n"/>
      <c r="BF52" s="390" t="n"/>
      <c r="BG52" s="390" t="n"/>
      <c r="BH52" s="390" t="n"/>
      <c r="BI52" s="390" t="n"/>
      <c r="BJ52" s="390" t="n"/>
      <c r="BK52" s="390" t="n"/>
      <c r="BL52" s="390" t="n"/>
      <c r="BM52" s="390" t="n"/>
      <c r="BN52" s="390" t="n"/>
      <c r="BO52" s="390" t="n"/>
      <c r="BP52" s="390" t="n"/>
      <c r="BQ52" s="390" t="n"/>
      <c r="BR52" s="390" t="n"/>
      <c r="BS52" s="390" t="n"/>
      <c r="BT52" s="390" t="n"/>
      <c r="BU52" s="390" t="n"/>
      <c r="BV52" s="390" t="n"/>
      <c r="BW52" s="390" t="n"/>
      <c r="BX52" s="390" t="n"/>
      <c r="BY52" s="390" t="n"/>
      <c r="BZ52" s="390" t="n"/>
      <c r="CA52" s="390" t="n"/>
      <c r="CB52" s="390" t="n"/>
      <c r="CC52" s="390" t="n"/>
      <c r="CD52" s="390" t="n"/>
      <c r="CE52" s="390" t="n"/>
      <c r="CF52" s="390" t="n"/>
      <c r="CG52" s="390" t="n"/>
      <c r="CH52" s="390" t="n"/>
      <c r="CI52" s="390" t="n"/>
      <c r="CJ52" s="390" t="n"/>
      <c r="CK52" s="390" t="n"/>
      <c r="CL52" s="390" t="n"/>
      <c r="CM52" s="390" t="n"/>
      <c r="CN52" s="390" t="n"/>
      <c r="CO52" s="390" t="n"/>
    </row>
    <row r="53">
      <c r="A53" s="358" t="n"/>
      <c r="B53" s="358" t="n"/>
      <c r="C53" s="359" t="n"/>
      <c r="D53" s="360" t="n"/>
      <c r="E53" s="390" t="inlineStr">
        <is>
          <t>Senior debt at COD</t>
        </is>
      </c>
      <c r="F53" s="504">
        <f>Q49</f>
        <v>72154.22476191197</v>
      </c>
      <c r="G53" s="390" t="inlineStr">
        <is>
          <t>$ 000s</t>
        </is>
      </c>
      <c r="H53" s="504" t="n"/>
      <c r="I53" s="484" t="n"/>
      <c r="J53" s="504" t="n"/>
      <c r="K53" s="504" t="n"/>
      <c r="L53" s="504" t="n"/>
      <c r="M53" s="504" t="n"/>
      <c r="N53" s="504" t="n"/>
      <c r="O53" s="504" t="n"/>
      <c r="P53" s="504" t="n"/>
      <c r="Q53" s="504" t="n"/>
      <c r="R53" s="390" t="n"/>
      <c r="S53" s="390" t="n"/>
      <c r="T53" s="390" t="n"/>
      <c r="U53" s="390" t="n"/>
      <c r="V53" s="390" t="n"/>
      <c r="W53" s="390" t="n"/>
      <c r="X53" s="390" t="n"/>
      <c r="Y53" s="390" t="n"/>
      <c r="Z53" s="390" t="n"/>
      <c r="AA53" s="390" t="n"/>
      <c r="AB53" s="390" t="n"/>
      <c r="AC53" s="390" t="n"/>
      <c r="AD53" s="390" t="n"/>
      <c r="AE53" s="390" t="n"/>
      <c r="AF53" s="390" t="n"/>
      <c r="AG53" s="390" t="n"/>
      <c r="AH53" s="390" t="n"/>
      <c r="AI53" s="390" t="n"/>
      <c r="AJ53" s="390" t="n"/>
      <c r="AK53" s="390" t="n"/>
      <c r="AL53" s="390" t="n"/>
      <c r="AM53" s="390" t="n"/>
      <c r="AN53" s="390" t="n"/>
      <c r="AO53" s="390" t="n"/>
      <c r="AP53" s="390" t="n"/>
      <c r="AQ53" s="390" t="n"/>
      <c r="AR53" s="390" t="n"/>
      <c r="AS53" s="390" t="n"/>
      <c r="AT53" s="390" t="n"/>
      <c r="AU53" s="390" t="n"/>
      <c r="AV53" s="390" t="n"/>
      <c r="AW53" s="390" t="n"/>
      <c r="AX53" s="390" t="n"/>
      <c r="AY53" s="390" t="n"/>
      <c r="AZ53" s="390" t="n"/>
      <c r="BA53" s="390" t="n"/>
      <c r="BB53" s="390" t="n"/>
      <c r="BC53" s="390" t="n"/>
      <c r="BD53" s="390" t="n"/>
      <c r="BE53" s="390" t="n"/>
      <c r="BF53" s="390" t="n"/>
      <c r="BG53" s="390" t="n"/>
      <c r="BH53" s="390" t="n"/>
      <c r="BI53" s="390" t="n"/>
      <c r="BJ53" s="390" t="n"/>
      <c r="BK53" s="390" t="n"/>
      <c r="BL53" s="390" t="n"/>
      <c r="BM53" s="390" t="n"/>
      <c r="BN53" s="390" t="n"/>
      <c r="BO53" s="390" t="n"/>
      <c r="BP53" s="390" t="n"/>
      <c r="BQ53" s="390" t="n"/>
      <c r="BR53" s="390" t="n"/>
      <c r="BS53" s="390" t="n"/>
      <c r="BT53" s="390" t="n"/>
      <c r="BU53" s="390" t="n"/>
      <c r="BV53" s="390" t="n"/>
      <c r="BW53" s="390" t="n"/>
      <c r="BX53" s="390" t="n"/>
      <c r="BY53" s="390" t="n"/>
      <c r="BZ53" s="390" t="n"/>
      <c r="CA53" s="390" t="n"/>
      <c r="CB53" s="390" t="n"/>
      <c r="CC53" s="390" t="n"/>
      <c r="CD53" s="390" t="n"/>
      <c r="CE53" s="390" t="n"/>
      <c r="CF53" s="390" t="n"/>
      <c r="CG53" s="390" t="n"/>
      <c r="CH53" s="390" t="n"/>
      <c r="CI53" s="390" t="n"/>
      <c r="CJ53" s="390" t="n"/>
      <c r="CK53" s="390" t="n"/>
      <c r="CL53" s="390" t="n"/>
      <c r="CM53" s="390" t="n"/>
      <c r="CN53" s="390" t="n"/>
      <c r="CO53" s="390" t="n"/>
    </row>
    <row r="54">
      <c r="A54" s="358" t="n"/>
      <c r="B54" s="358" t="n"/>
      <c r="C54" s="359" t="n"/>
      <c r="D54" s="360" t="n"/>
      <c r="E54" s="390" t="inlineStr">
        <is>
          <t>Sponsor funding at COD (equity)</t>
        </is>
      </c>
      <c r="F54" s="504">
        <f>H45</f>
        <v>28913.57448326479</v>
      </c>
      <c r="G54" s="390" t="inlineStr">
        <is>
          <t>$ 000s</t>
        </is>
      </c>
      <c r="H54" s="504" t="n"/>
      <c r="I54" s="484" t="n"/>
      <c r="J54" s="504" t="n"/>
      <c r="K54" s="504" t="n"/>
      <c r="L54" s="504" t="n"/>
      <c r="M54" s="504" t="n"/>
      <c r="N54" s="504" t="n"/>
      <c r="O54" s="504" t="n"/>
      <c r="P54" s="504" t="n"/>
      <c r="Q54" s="504" t="n"/>
      <c r="R54" s="390" t="n"/>
      <c r="S54" s="390" t="n"/>
      <c r="T54" s="390" t="n"/>
      <c r="U54" s="390" t="n"/>
      <c r="V54" s="390" t="n"/>
      <c r="W54" s="390" t="n"/>
      <c r="X54" s="390" t="n"/>
      <c r="Y54" s="390" t="n"/>
      <c r="Z54" s="390" t="n"/>
      <c r="AA54" s="390" t="n"/>
      <c r="AB54" s="390" t="n"/>
      <c r="AC54" s="390" t="n"/>
      <c r="AD54" s="390" t="n"/>
      <c r="AE54" s="390" t="n"/>
      <c r="AF54" s="390" t="n"/>
      <c r="AG54" s="390" t="n"/>
      <c r="AH54" s="390" t="n"/>
      <c r="AI54" s="390" t="n"/>
      <c r="AJ54" s="390" t="n"/>
      <c r="AK54" s="390" t="n"/>
      <c r="AL54" s="390" t="n"/>
      <c r="AM54" s="390" t="n"/>
      <c r="AN54" s="390" t="n"/>
      <c r="AO54" s="390" t="n"/>
      <c r="AP54" s="390" t="n"/>
      <c r="AQ54" s="390" t="n"/>
      <c r="AR54" s="390" t="n"/>
      <c r="AS54" s="390" t="n"/>
      <c r="AT54" s="390" t="n"/>
      <c r="AU54" s="390" t="n"/>
      <c r="AV54" s="390" t="n"/>
      <c r="AW54" s="390" t="n"/>
      <c r="AX54" s="390" t="n"/>
      <c r="AY54" s="390" t="n"/>
      <c r="AZ54" s="390" t="n"/>
      <c r="BA54" s="390" t="n"/>
      <c r="BB54" s="390" t="n"/>
      <c r="BC54" s="390" t="n"/>
      <c r="BD54" s="390" t="n"/>
      <c r="BE54" s="390" t="n"/>
      <c r="BF54" s="390" t="n"/>
      <c r="BG54" s="390" t="n"/>
      <c r="BH54" s="390" t="n"/>
      <c r="BI54" s="390" t="n"/>
      <c r="BJ54" s="390" t="n"/>
      <c r="BK54" s="390" t="n"/>
      <c r="BL54" s="390" t="n"/>
      <c r="BM54" s="390" t="n"/>
      <c r="BN54" s="390" t="n"/>
      <c r="BO54" s="390" t="n"/>
      <c r="BP54" s="390" t="n"/>
      <c r="BQ54" s="390" t="n"/>
      <c r="BR54" s="390" t="n"/>
      <c r="BS54" s="390" t="n"/>
      <c r="BT54" s="390" t="n"/>
      <c r="BU54" s="390" t="n"/>
      <c r="BV54" s="390" t="n"/>
      <c r="BW54" s="390" t="n"/>
      <c r="BX54" s="390" t="n"/>
      <c r="BY54" s="390" t="n"/>
      <c r="BZ54" s="390" t="n"/>
      <c r="CA54" s="390" t="n"/>
      <c r="CB54" s="390" t="n"/>
      <c r="CC54" s="390" t="n"/>
      <c r="CD54" s="390" t="n"/>
      <c r="CE54" s="390" t="n"/>
      <c r="CF54" s="390" t="n"/>
      <c r="CG54" s="390" t="n"/>
      <c r="CH54" s="390" t="n"/>
      <c r="CI54" s="390" t="n"/>
      <c r="CJ54" s="390" t="n"/>
      <c r="CK54" s="390" t="n"/>
      <c r="CL54" s="390" t="n"/>
      <c r="CM54" s="390" t="n"/>
      <c r="CN54" s="390" t="n"/>
      <c r="CO54" s="390" t="n"/>
    </row>
    <row r="55">
      <c r="E55" s="61" t="inlineStr">
        <is>
          <t>Check: cost less debt less equity</t>
        </is>
      </c>
      <c r="F55" s="505">
        <f>F52-F53-F54</f>
        <v>1.4551915228366852e-11</v>
      </c>
      <c r="G55" s="61" t="inlineStr">
        <is>
          <t>check</t>
        </is>
      </c>
      <c r="H55" s="506" t="n"/>
      <c r="I55" s="505" t="n"/>
      <c r="J55" s="506" t="n"/>
      <c r="K55" s="506" t="n"/>
      <c r="L55" s="506" t="n"/>
      <c r="M55" s="506" t="n"/>
      <c r="N55" s="506" t="n"/>
      <c r="O55" s="506" t="n"/>
      <c r="P55" s="506" t="n"/>
      <c r="Q55" s="506" t="n"/>
      <c r="R55" s="61" t="n"/>
      <c r="S55" s="61" t="n"/>
      <c r="T55" s="61" t="n"/>
      <c r="U55" s="61" t="n"/>
      <c r="V55" s="61" t="n"/>
      <c r="W55" s="61" t="n"/>
      <c r="X55" s="61" t="n"/>
      <c r="Y55" s="61" t="n"/>
      <c r="Z55" s="61" t="n"/>
      <c r="AA55" s="61" t="n"/>
      <c r="AB55" s="61" t="n"/>
      <c r="AC55" s="61" t="n"/>
      <c r="AD55" s="61" t="n"/>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1" t="n"/>
      <c r="AZ55" s="61" t="n"/>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1" t="n"/>
      <c r="BZ55" s="61" t="n"/>
      <c r="CA55" s="61" t="n"/>
      <c r="CB55" s="61" t="n"/>
      <c r="CC55" s="61" t="n"/>
      <c r="CD55" s="61" t="n"/>
      <c r="CE55" s="61" t="n"/>
      <c r="CF55" s="61" t="n"/>
      <c r="CG55" s="61" t="n"/>
      <c r="CH55" s="61" t="n"/>
      <c r="CI55" s="61" t="n"/>
      <c r="CJ55" s="61" t="n"/>
      <c r="CK55" s="61" t="n"/>
      <c r="CL55" s="61" t="n"/>
      <c r="CM55" s="61" t="n"/>
      <c r="CN55" s="61" t="n"/>
      <c r="CO55" s="61" t="n"/>
    </row>
  </sheetData>
  <pageMargins left="0.75" right="0.75" top="1" bottom="1" header="0.5" footer="0.5"/>
</worksheet>
</file>

<file path=xl/worksheets/sheet8.xml><?xml version="1.0" encoding="utf-8"?>
<worksheet xmlns="http://schemas.openxmlformats.org/spreadsheetml/2006/main">
  <sheetPr>
    <tabColor rgb="000B5E82"/>
    <outlinePr summaryBelow="0" summaryRight="0"/>
    <pageSetUpPr/>
  </sheetPr>
  <dimension ref="A1:CO65"/>
  <sheetViews>
    <sheetView showGridLines="0" defaultGridColor="0" colorId="22" zoomScaleNormal="100" workbookViewId="0">
      <pane xSplit="9" ySplit="5" topLeftCell="J48" activePane="bottomRight" state="frozen"/>
      <selection activeCell="I34" sqref="I34"/>
      <selection pane="topRight" activeCell="I34" sqref="I34"/>
      <selection pane="bottomLeft" activeCell="I34" sqref="I34"/>
      <selection pane="bottomRight" activeCell="B45" sqref="A45:XFD65"/>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OPERATING REVENUE</t>
        </is>
      </c>
    </row>
    <row r="9">
      <c r="B9" s="294" t="inlineStr">
        <is>
          <t>DEMAND FORECAST</t>
        </is>
      </c>
    </row>
    <row r="11">
      <c r="E11" s="324" t="str">
        <f> InpS!E$8</f>
        <v>Trains - domestic </v>
      </c>
      <c r="F11" s="324">
        <f> InpS!F$8</f>
        <v>0.0</v>
      </c>
      <c r="G11" s="324" t="str">
        <f> InpS!G$8</f>
        <v>trains</v>
      </c>
      <c r="H11" s="324">
        <f> InpS!H$8</f>
        <v>2520.0</v>
      </c>
      <c r="I11" s="324">
        <f> InpS!I$8</f>
        <v>0.0</v>
      </c>
      <c r="J11" s="324">
        <f> InpS!J$8</f>
        <v>30.0</v>
      </c>
      <c r="K11" s="324">
        <f> InpS!K$8</f>
        <v>30.0</v>
      </c>
      <c r="L11" s="324">
        <f> InpS!L$8</f>
        <v>30.0</v>
      </c>
      <c r="M11" s="324">
        <f> InpS!M$8</f>
        <v>30.0</v>
      </c>
      <c r="N11" s="324">
        <f> InpS!N$8</f>
        <v>30.0</v>
      </c>
      <c r="O11" s="324">
        <f> InpS!O$8</f>
        <v>30.0</v>
      </c>
      <c r="P11" s="324">
        <f> InpS!P$8</f>
        <v>30.0</v>
      </c>
      <c r="Q11" s="324">
        <f> InpS!Q$8</f>
        <v>30.0</v>
      </c>
      <c r="R11" s="324">
        <f> InpS!R$8</f>
        <v>30.0</v>
      </c>
      <c r="S11" s="324">
        <f> InpS!S$8</f>
        <v>30.0</v>
      </c>
      <c r="T11" s="324">
        <f> InpS!T$8</f>
        <v>30.0</v>
      </c>
      <c r="U11" s="324">
        <f> InpS!U$8</f>
        <v>30.0</v>
      </c>
      <c r="V11" s="324">
        <f> InpS!V$8</f>
        <v>30.0</v>
      </c>
      <c r="W11" s="324">
        <f> InpS!W$8</f>
        <v>30.0</v>
      </c>
      <c r="X11" s="324">
        <f> InpS!X$8</f>
        <v>30.0</v>
      </c>
      <c r="Y11" s="324">
        <f> InpS!Y$8</f>
        <v>30.0</v>
      </c>
      <c r="Z11" s="324">
        <f> InpS!Z$8</f>
        <v>30.0</v>
      </c>
      <c r="AA11" s="324">
        <f> InpS!AA$8</f>
        <v>30.0</v>
      </c>
      <c r="AB11" s="324">
        <f> InpS!AB$8</f>
        <v>30.0</v>
      </c>
      <c r="AC11" s="324">
        <f> InpS!AC$8</f>
        <v>30.0</v>
      </c>
      <c r="AD11" s="324">
        <f> InpS!AD$8</f>
        <v>30.0</v>
      </c>
      <c r="AE11" s="324">
        <f> InpS!AE$8</f>
        <v>30.0</v>
      </c>
      <c r="AF11" s="324">
        <f> InpS!AF$8</f>
        <v>30.0</v>
      </c>
      <c r="AG11" s="324">
        <f> InpS!AG$8</f>
        <v>30.0</v>
      </c>
      <c r="AH11" s="324">
        <f> InpS!AH$8</f>
        <v>30.0</v>
      </c>
      <c r="AI11" s="324">
        <f> InpS!AI$8</f>
        <v>30.0</v>
      </c>
      <c r="AJ11" s="324">
        <f> InpS!AJ$8</f>
        <v>30.0</v>
      </c>
      <c r="AK11" s="324">
        <f> InpS!AK$8</f>
        <v>30.0</v>
      </c>
      <c r="AL11" s="324">
        <f> InpS!AL$8</f>
        <v>30.0</v>
      </c>
      <c r="AM11" s="324">
        <f> InpS!AM$8</f>
        <v>30.0</v>
      </c>
      <c r="AN11" s="324">
        <f> InpS!AN$8</f>
        <v>30.0</v>
      </c>
      <c r="AO11" s="324">
        <f> InpS!AO$8</f>
        <v>30.0</v>
      </c>
      <c r="AP11" s="324">
        <f> InpS!AP$8</f>
        <v>30.0</v>
      </c>
      <c r="AQ11" s="324">
        <f> InpS!AQ$8</f>
        <v>30.0</v>
      </c>
      <c r="AR11" s="324">
        <f> InpS!AR$8</f>
        <v>30.0</v>
      </c>
      <c r="AS11" s="324">
        <f> InpS!AS$8</f>
        <v>30.0</v>
      </c>
      <c r="AT11" s="324">
        <f> InpS!AT$8</f>
        <v>30.0</v>
      </c>
      <c r="AU11" s="324">
        <f> InpS!AU$8</f>
        <v>30.0</v>
      </c>
      <c r="AV11" s="324">
        <f> InpS!AV$8</f>
        <v>30.0</v>
      </c>
      <c r="AW11" s="324">
        <f> InpS!AW$8</f>
        <v>30.0</v>
      </c>
      <c r="AX11" s="324">
        <f> InpS!AX$8</f>
        <v>30.0</v>
      </c>
      <c r="AY11" s="324">
        <f> InpS!AY$8</f>
        <v>30.0</v>
      </c>
      <c r="AZ11" s="324">
        <f> InpS!AZ$8</f>
        <v>30.0</v>
      </c>
      <c r="BA11" s="324">
        <f> InpS!BA$8</f>
        <v>30.0</v>
      </c>
      <c r="BB11" s="324">
        <f> InpS!BB$8</f>
        <v>30.0</v>
      </c>
      <c r="BC11" s="324">
        <f> InpS!BC$8</f>
        <v>30.0</v>
      </c>
      <c r="BD11" s="324">
        <f> InpS!BD$8</f>
        <v>30.0</v>
      </c>
      <c r="BE11" s="324">
        <f> InpS!BE$8</f>
        <v>30.0</v>
      </c>
      <c r="BF11" s="324">
        <f> InpS!BF$8</f>
        <v>30.0</v>
      </c>
      <c r="BG11" s="324">
        <f> InpS!BG$8</f>
        <v>30.0</v>
      </c>
      <c r="BH11" s="324">
        <f> InpS!BH$8</f>
        <v>30.0</v>
      </c>
      <c r="BI11" s="324">
        <f> InpS!BI$8</f>
        <v>30.0</v>
      </c>
      <c r="BJ11" s="324">
        <f> InpS!BJ$8</f>
        <v>30.0</v>
      </c>
      <c r="BK11" s="324">
        <f> InpS!BK$8</f>
        <v>30.0</v>
      </c>
      <c r="BL11" s="324">
        <f> InpS!BL$8</f>
        <v>30.0</v>
      </c>
      <c r="BM11" s="324">
        <f> InpS!BM$8</f>
        <v>30.0</v>
      </c>
      <c r="BN11" s="324">
        <f> InpS!BN$8</f>
        <v>30.0</v>
      </c>
      <c r="BO11" s="324">
        <f> InpS!BO$8</f>
        <v>30.0</v>
      </c>
      <c r="BP11" s="324">
        <f> InpS!BP$8</f>
        <v>30.0</v>
      </c>
      <c r="BQ11" s="324">
        <f> InpS!BQ$8</f>
        <v>30.0</v>
      </c>
      <c r="BR11" s="324">
        <f> InpS!BR$8</f>
        <v>30.0</v>
      </c>
      <c r="BS11" s="324">
        <f> InpS!BS$8</f>
        <v>30.0</v>
      </c>
      <c r="BT11" s="324">
        <f> InpS!BT$8</f>
        <v>30.0</v>
      </c>
      <c r="BU11" s="324">
        <f> InpS!BU$8</f>
        <v>30.0</v>
      </c>
      <c r="BV11" s="324">
        <f> InpS!BV$8</f>
        <v>30.0</v>
      </c>
      <c r="BW11" s="324">
        <f> InpS!BW$8</f>
        <v>30.0</v>
      </c>
      <c r="BX11" s="324">
        <f> InpS!BX$8</f>
        <v>30.0</v>
      </c>
      <c r="BY11" s="324">
        <f> InpS!BY$8</f>
        <v>30.0</v>
      </c>
      <c r="BZ11" s="324">
        <f> InpS!BZ$8</f>
        <v>30.0</v>
      </c>
      <c r="CA11" s="324">
        <f> InpS!CA$8</f>
        <v>30.0</v>
      </c>
      <c r="CB11" s="324">
        <f> InpS!CB$8</f>
        <v>30.0</v>
      </c>
      <c r="CC11" s="324">
        <f> InpS!CC$8</f>
        <v>30.0</v>
      </c>
      <c r="CD11" s="324">
        <f> InpS!CD$8</f>
        <v>30.0</v>
      </c>
      <c r="CE11" s="324">
        <f> InpS!CE$8</f>
        <v>30.0</v>
      </c>
      <c r="CF11" s="324">
        <f> InpS!CF$8</f>
        <v>30.0</v>
      </c>
      <c r="CG11" s="324">
        <f> InpS!CG$8</f>
        <v>30.0</v>
      </c>
      <c r="CH11" s="324">
        <f> InpS!CH$8</f>
        <v>30.0</v>
      </c>
      <c r="CI11" s="324">
        <f> InpS!CI$8</f>
        <v>30.0</v>
      </c>
      <c r="CJ11" s="324">
        <f> InpS!CJ$8</f>
        <v>30.0</v>
      </c>
      <c r="CK11" s="324">
        <f> InpS!CK$8</f>
        <v>30.0</v>
      </c>
      <c r="CL11" s="324">
        <f> InpS!CL$8</f>
        <v>30.0</v>
      </c>
      <c r="CM11" s="324">
        <f> InpS!CM$8</f>
        <v>30.0</v>
      </c>
      <c r="CN11" s="324">
        <f> InpS!CN$8</f>
        <v>30.0</v>
      </c>
      <c r="CO11" s="324">
        <f> InpS!CO$8</f>
        <v>30.0</v>
      </c>
    </row>
    <row r="12">
      <c r="E12" s="324" t="str">
        <f> InpS!E$9</f>
        <v>Trains - international </v>
      </c>
      <c r="F12" s="324">
        <f> InpS!F$9</f>
        <v>0.0</v>
      </c>
      <c r="G12" s="324" t="str">
        <f> InpS!G$9</f>
        <v>trains</v>
      </c>
      <c r="H12" s="324">
        <f> InpS!H$9</f>
        <v>1326.0</v>
      </c>
      <c r="I12" s="324">
        <f> InpS!I$9</f>
        <v>0.0</v>
      </c>
      <c r="J12" s="324">
        <f> InpS!J$9</f>
        <v>10.0</v>
      </c>
      <c r="K12" s="324">
        <f> InpS!K$9</f>
        <v>12.0</v>
      </c>
      <c r="L12" s="324">
        <f> InpS!L$9</f>
        <v>12.0</v>
      </c>
      <c r="M12" s="324">
        <f> InpS!M$9</f>
        <v>14.0</v>
      </c>
      <c r="N12" s="324">
        <f> InpS!N$9</f>
        <v>14.0</v>
      </c>
      <c r="O12" s="324">
        <f> InpS!O$9</f>
        <v>16.0</v>
      </c>
      <c r="P12" s="324">
        <f> InpS!P$9</f>
        <v>16.0</v>
      </c>
      <c r="Q12" s="324">
        <f> InpS!Q$9</f>
        <v>16.0</v>
      </c>
      <c r="R12" s="324">
        <f> InpS!R$9</f>
        <v>16.0</v>
      </c>
      <c r="S12" s="324">
        <f> InpS!S$9</f>
        <v>16.0</v>
      </c>
      <c r="T12" s="324">
        <f> InpS!T$9</f>
        <v>16.0</v>
      </c>
      <c r="U12" s="324">
        <f> InpS!U$9</f>
        <v>16.0</v>
      </c>
      <c r="V12" s="324">
        <f> InpS!V$9</f>
        <v>16.0</v>
      </c>
      <c r="W12" s="324">
        <f> InpS!W$9</f>
        <v>16.0</v>
      </c>
      <c r="X12" s="324">
        <f> InpS!X$9</f>
        <v>16.0</v>
      </c>
      <c r="Y12" s="324">
        <f> InpS!Y$9</f>
        <v>16.0</v>
      </c>
      <c r="Z12" s="324">
        <f> InpS!Z$9</f>
        <v>16.0</v>
      </c>
      <c r="AA12" s="324">
        <f> InpS!AA$9</f>
        <v>16.0</v>
      </c>
      <c r="AB12" s="324">
        <f> InpS!AB$9</f>
        <v>16.0</v>
      </c>
      <c r="AC12" s="324">
        <f> InpS!AC$9</f>
        <v>16.0</v>
      </c>
      <c r="AD12" s="324">
        <f> InpS!AD$9</f>
        <v>16.0</v>
      </c>
      <c r="AE12" s="324">
        <f> InpS!AE$9</f>
        <v>16.0</v>
      </c>
      <c r="AF12" s="324">
        <f> InpS!AF$9</f>
        <v>16.0</v>
      </c>
      <c r="AG12" s="324">
        <f> InpS!AG$9</f>
        <v>16.0</v>
      </c>
      <c r="AH12" s="324">
        <f> InpS!AH$9</f>
        <v>16.0</v>
      </c>
      <c r="AI12" s="324">
        <f> InpS!AI$9</f>
        <v>16.0</v>
      </c>
      <c r="AJ12" s="324">
        <f> InpS!AJ$9</f>
        <v>16.0</v>
      </c>
      <c r="AK12" s="324">
        <f> InpS!AK$9</f>
        <v>16.0</v>
      </c>
      <c r="AL12" s="324">
        <f> InpS!AL$9</f>
        <v>16.0</v>
      </c>
      <c r="AM12" s="324">
        <f> InpS!AM$9</f>
        <v>16.0</v>
      </c>
      <c r="AN12" s="324">
        <f> InpS!AN$9</f>
        <v>16.0</v>
      </c>
      <c r="AO12" s="324">
        <f> InpS!AO$9</f>
        <v>16.0</v>
      </c>
      <c r="AP12" s="324">
        <f> InpS!AP$9</f>
        <v>16.0</v>
      </c>
      <c r="AQ12" s="324">
        <f> InpS!AQ$9</f>
        <v>16.0</v>
      </c>
      <c r="AR12" s="324">
        <f> InpS!AR$9</f>
        <v>16.0</v>
      </c>
      <c r="AS12" s="324">
        <f> InpS!AS$9</f>
        <v>16.0</v>
      </c>
      <c r="AT12" s="324">
        <f> InpS!AT$9</f>
        <v>16.0</v>
      </c>
      <c r="AU12" s="324">
        <f> InpS!AU$9</f>
        <v>16.0</v>
      </c>
      <c r="AV12" s="324">
        <f> InpS!AV$9</f>
        <v>16.0</v>
      </c>
      <c r="AW12" s="324">
        <f> InpS!AW$9</f>
        <v>16.0</v>
      </c>
      <c r="AX12" s="324">
        <f> InpS!AX$9</f>
        <v>16.0</v>
      </c>
      <c r="AY12" s="324">
        <f> InpS!AY$9</f>
        <v>16.0</v>
      </c>
      <c r="AZ12" s="324">
        <f> InpS!AZ$9</f>
        <v>16.0</v>
      </c>
      <c r="BA12" s="324">
        <f> InpS!BA$9</f>
        <v>16.0</v>
      </c>
      <c r="BB12" s="324">
        <f> InpS!BB$9</f>
        <v>16.0</v>
      </c>
      <c r="BC12" s="324">
        <f> InpS!BC$9</f>
        <v>16.0</v>
      </c>
      <c r="BD12" s="324">
        <f> InpS!BD$9</f>
        <v>16.0</v>
      </c>
      <c r="BE12" s="324">
        <f> InpS!BE$9</f>
        <v>16.0</v>
      </c>
      <c r="BF12" s="324">
        <f> InpS!BF$9</f>
        <v>16.0</v>
      </c>
      <c r="BG12" s="324">
        <f> InpS!BG$9</f>
        <v>16.0</v>
      </c>
      <c r="BH12" s="324">
        <f> InpS!BH$9</f>
        <v>16.0</v>
      </c>
      <c r="BI12" s="324">
        <f> InpS!BI$9</f>
        <v>16.0</v>
      </c>
      <c r="BJ12" s="324">
        <f> InpS!BJ$9</f>
        <v>16.0</v>
      </c>
      <c r="BK12" s="324">
        <f> InpS!BK$9</f>
        <v>16.0</v>
      </c>
      <c r="BL12" s="324">
        <f> InpS!BL$9</f>
        <v>16.0</v>
      </c>
      <c r="BM12" s="324">
        <f> InpS!BM$9</f>
        <v>16.0</v>
      </c>
      <c r="BN12" s="324">
        <f> InpS!BN$9</f>
        <v>16.0</v>
      </c>
      <c r="BO12" s="324">
        <f> InpS!BO$9</f>
        <v>16.0</v>
      </c>
      <c r="BP12" s="324">
        <f> InpS!BP$9</f>
        <v>16.0</v>
      </c>
      <c r="BQ12" s="324">
        <f> InpS!BQ$9</f>
        <v>16.0</v>
      </c>
      <c r="BR12" s="324">
        <f> InpS!BR$9</f>
        <v>16.0</v>
      </c>
      <c r="BS12" s="324">
        <f> InpS!BS$9</f>
        <v>16.0</v>
      </c>
      <c r="BT12" s="324">
        <f> InpS!BT$9</f>
        <v>16.0</v>
      </c>
      <c r="BU12" s="324">
        <f> InpS!BU$9</f>
        <v>16.0</v>
      </c>
      <c r="BV12" s="324">
        <f> InpS!BV$9</f>
        <v>16.0</v>
      </c>
      <c r="BW12" s="324">
        <f> InpS!BW$9</f>
        <v>16.0</v>
      </c>
      <c r="BX12" s="324">
        <f> InpS!BX$9</f>
        <v>16.0</v>
      </c>
      <c r="BY12" s="324">
        <f> InpS!BY$9</f>
        <v>16.0</v>
      </c>
      <c r="BZ12" s="324">
        <f> InpS!BZ$9</f>
        <v>16.0</v>
      </c>
      <c r="CA12" s="324">
        <f> InpS!CA$9</f>
        <v>16.0</v>
      </c>
      <c r="CB12" s="324">
        <f> InpS!CB$9</f>
        <v>16.0</v>
      </c>
      <c r="CC12" s="324">
        <f> InpS!CC$9</f>
        <v>16.0</v>
      </c>
      <c r="CD12" s="324">
        <f> InpS!CD$9</f>
        <v>16.0</v>
      </c>
      <c r="CE12" s="324">
        <f> InpS!CE$9</f>
        <v>16.0</v>
      </c>
      <c r="CF12" s="324">
        <f> InpS!CF$9</f>
        <v>16.0</v>
      </c>
      <c r="CG12" s="324">
        <f> InpS!CG$9</f>
        <v>16.0</v>
      </c>
      <c r="CH12" s="324">
        <f> InpS!CH$9</f>
        <v>16.0</v>
      </c>
      <c r="CI12" s="324">
        <f> InpS!CI$9</f>
        <v>16.0</v>
      </c>
      <c r="CJ12" s="324">
        <f> InpS!CJ$9</f>
        <v>16.0</v>
      </c>
      <c r="CK12" s="324">
        <f> InpS!CK$9</f>
        <v>16.0</v>
      </c>
      <c r="CL12" s="324">
        <f> InpS!CL$9</f>
        <v>16.0</v>
      </c>
      <c r="CM12" s="324">
        <f> InpS!CM$9</f>
        <v>16.0</v>
      </c>
      <c r="CN12" s="324">
        <f> InpS!CN$9</f>
        <v>16.0</v>
      </c>
      <c r="CO12" s="324">
        <f> InpS!CO$9</f>
        <v>16.0</v>
      </c>
    </row>
    <row r="13">
      <c r="E13" s="325" t="n"/>
      <c r="F13" s="325" t="n"/>
      <c r="G13" s="325" t="n"/>
      <c r="H13" s="325" t="n"/>
      <c r="I13" s="325" t="n"/>
      <c r="J13" s="325" t="n"/>
      <c r="K13" s="325" t="n"/>
      <c r="L13" s="325" t="n"/>
      <c r="M13" s="325" t="n"/>
      <c r="N13" s="325" t="n"/>
      <c r="O13" s="325" t="n"/>
      <c r="P13" s="325" t="n"/>
      <c r="Q13" s="325" t="n"/>
      <c r="R13" s="325" t="n"/>
      <c r="S13" s="325" t="n"/>
      <c r="T13" s="325" t="n"/>
      <c r="U13" s="325" t="n"/>
      <c r="V13" s="325" t="n"/>
      <c r="W13" s="325" t="n"/>
      <c r="X13" s="325" t="n"/>
      <c r="Y13" s="325" t="n"/>
      <c r="Z13" s="325" t="n"/>
      <c r="AA13" s="325" t="n"/>
      <c r="AB13" s="325" t="n"/>
      <c r="AC13" s="325" t="n"/>
      <c r="AD13" s="325" t="n"/>
      <c r="AE13" s="325" t="n"/>
      <c r="AF13" s="325" t="n"/>
      <c r="AG13" s="325" t="n"/>
      <c r="AH13" s="325" t="n"/>
      <c r="AI13" s="325" t="n"/>
      <c r="AJ13" s="325" t="n"/>
      <c r="AK13" s="325" t="n"/>
      <c r="AL13" s="325" t="n"/>
      <c r="AM13" s="325" t="n"/>
      <c r="AN13" s="325" t="n"/>
      <c r="AO13" s="325" t="n"/>
      <c r="AP13" s="325" t="n"/>
      <c r="AQ13" s="325" t="n"/>
      <c r="AR13" s="325" t="n"/>
      <c r="AS13" s="325" t="n"/>
      <c r="AT13" s="325" t="n"/>
      <c r="AU13" s="325" t="n"/>
      <c r="AV13" s="325" t="n"/>
      <c r="AW13" s="325" t="n"/>
      <c r="AX13" s="325" t="n"/>
      <c r="AY13" s="325" t="n"/>
      <c r="AZ13" s="325" t="n"/>
      <c r="BA13" s="325" t="n"/>
      <c r="BB13" s="325" t="n"/>
      <c r="BC13" s="325" t="n"/>
      <c r="BD13" s="325" t="n"/>
      <c r="BE13" s="325" t="n"/>
      <c r="BF13" s="325" t="n"/>
      <c r="BG13" s="325" t="n"/>
      <c r="BH13" s="325" t="n"/>
      <c r="BI13" s="325" t="n"/>
      <c r="BJ13" s="325" t="n"/>
      <c r="BK13" s="325" t="n"/>
      <c r="BL13" s="325" t="n"/>
      <c r="BM13" s="325" t="n"/>
      <c r="BN13" s="325" t="n"/>
      <c r="BO13" s="325" t="n"/>
      <c r="BP13" s="325" t="n"/>
      <c r="BQ13" s="325" t="n"/>
      <c r="BR13" s="325" t="n"/>
      <c r="BS13" s="325" t="n"/>
      <c r="BT13" s="325" t="n"/>
      <c r="BU13" s="325" t="n"/>
      <c r="BV13" s="325" t="n"/>
      <c r="BW13" s="325" t="n"/>
      <c r="BX13" s="325" t="n"/>
      <c r="BY13" s="325" t="n"/>
      <c r="BZ13" s="325" t="n"/>
      <c r="CA13" s="325" t="n"/>
      <c r="CB13" s="325" t="n"/>
      <c r="CC13" s="325" t="n"/>
      <c r="CD13" s="325" t="n"/>
      <c r="CE13" s="325" t="n"/>
      <c r="CF13" s="325" t="n"/>
      <c r="CG13" s="325" t="n"/>
      <c r="CH13" s="325" t="n"/>
      <c r="CI13" s="325" t="n"/>
      <c r="CJ13" s="325" t="n"/>
      <c r="CK13" s="325" t="n"/>
      <c r="CL13" s="325" t="n"/>
      <c r="CM13" s="325" t="n"/>
      <c r="CN13" s="325" t="n"/>
      <c r="CO13" s="325" t="n"/>
    </row>
    <row r="14">
      <c r="E14" s="324" t="str">
        <f> InpS!E$11</f>
        <v>Arrivals per train - domestic </v>
      </c>
      <c r="F14" s="324">
        <f> InpS!F$11</f>
        <v>0.0</v>
      </c>
      <c r="G14" s="324" t="str">
        <f> InpS!G$11</f>
        <v>arrivals / train</v>
      </c>
      <c r="H14" s="324">
        <f> InpS!H$11</f>
        <v>0.0</v>
      </c>
      <c r="I14" s="324">
        <f> InpS!I$11</f>
        <v>0.0</v>
      </c>
      <c r="J14" s="324">
        <f> InpS!J$11</f>
        <v>370.0</v>
      </c>
      <c r="K14" s="324">
        <f> InpS!K$11</f>
        <v>350.0</v>
      </c>
      <c r="L14" s="324">
        <f> InpS!L$11</f>
        <v>370.0</v>
      </c>
      <c r="M14" s="324">
        <f> InpS!M$11</f>
        <v>350.0</v>
      </c>
      <c r="N14" s="324">
        <f> InpS!N$11</f>
        <v>370.0</v>
      </c>
      <c r="O14" s="324">
        <f> InpS!O$11</f>
        <v>350.0</v>
      </c>
      <c r="P14" s="324">
        <f> InpS!P$11</f>
        <v>370.0</v>
      </c>
      <c r="Q14" s="324">
        <f> InpS!Q$11</f>
        <v>350.0</v>
      </c>
      <c r="R14" s="324">
        <f> InpS!R$11</f>
        <v>370.0</v>
      </c>
      <c r="S14" s="324">
        <f> InpS!S$11</f>
        <v>350.0</v>
      </c>
      <c r="T14" s="324">
        <f> InpS!T$11</f>
        <v>370.0</v>
      </c>
      <c r="U14" s="324">
        <f> InpS!U$11</f>
        <v>350.0</v>
      </c>
      <c r="V14" s="324">
        <f> InpS!V$11</f>
        <v>370.0</v>
      </c>
      <c r="W14" s="324">
        <f> InpS!W$11</f>
        <v>350.0</v>
      </c>
      <c r="X14" s="324">
        <f> InpS!X$11</f>
        <v>370.0</v>
      </c>
      <c r="Y14" s="324">
        <f> InpS!Y$11</f>
        <v>350.0</v>
      </c>
      <c r="Z14" s="324">
        <f> InpS!Z$11</f>
        <v>370.0</v>
      </c>
      <c r="AA14" s="324">
        <f> InpS!AA$11</f>
        <v>350.0</v>
      </c>
      <c r="AB14" s="324">
        <f> InpS!AB$11</f>
        <v>370.0</v>
      </c>
      <c r="AC14" s="324">
        <f> InpS!AC$11</f>
        <v>350.0</v>
      </c>
      <c r="AD14" s="324">
        <f> InpS!AD$11</f>
        <v>370.0</v>
      </c>
      <c r="AE14" s="324">
        <f> InpS!AE$11</f>
        <v>350.0</v>
      </c>
      <c r="AF14" s="324">
        <f> InpS!AF$11</f>
        <v>370.0</v>
      </c>
      <c r="AG14" s="324">
        <f> InpS!AG$11</f>
        <v>350.0</v>
      </c>
      <c r="AH14" s="324">
        <f> InpS!AH$11</f>
        <v>370.0</v>
      </c>
      <c r="AI14" s="324">
        <f> InpS!AI$11</f>
        <v>350.0</v>
      </c>
      <c r="AJ14" s="324">
        <f> InpS!AJ$11</f>
        <v>370.0</v>
      </c>
      <c r="AK14" s="324">
        <f> InpS!AK$11</f>
        <v>350.0</v>
      </c>
      <c r="AL14" s="324">
        <f> InpS!AL$11</f>
        <v>370.0</v>
      </c>
      <c r="AM14" s="324">
        <f> InpS!AM$11</f>
        <v>350.0</v>
      </c>
      <c r="AN14" s="324">
        <f> InpS!AN$11</f>
        <v>370.0</v>
      </c>
      <c r="AO14" s="324">
        <f> InpS!AO$11</f>
        <v>350.0</v>
      </c>
      <c r="AP14" s="324">
        <f> InpS!AP$11</f>
        <v>370.0</v>
      </c>
      <c r="AQ14" s="324">
        <f> InpS!AQ$11</f>
        <v>350.0</v>
      </c>
      <c r="AR14" s="324">
        <f> InpS!AR$11</f>
        <v>370.0</v>
      </c>
      <c r="AS14" s="324">
        <f> InpS!AS$11</f>
        <v>350.0</v>
      </c>
      <c r="AT14" s="324">
        <f> InpS!AT$11</f>
        <v>370.0</v>
      </c>
      <c r="AU14" s="324">
        <f> InpS!AU$11</f>
        <v>350.0</v>
      </c>
      <c r="AV14" s="324">
        <f> InpS!AV$11</f>
        <v>370.0</v>
      </c>
      <c r="AW14" s="324">
        <f> InpS!AW$11</f>
        <v>350.0</v>
      </c>
      <c r="AX14" s="324">
        <f> InpS!AX$11</f>
        <v>370.0</v>
      </c>
      <c r="AY14" s="324">
        <f> InpS!AY$11</f>
        <v>350.0</v>
      </c>
      <c r="AZ14" s="324">
        <f> InpS!AZ$11</f>
        <v>370.0</v>
      </c>
      <c r="BA14" s="324">
        <f> InpS!BA$11</f>
        <v>350.0</v>
      </c>
      <c r="BB14" s="324">
        <f> InpS!BB$11</f>
        <v>370.0</v>
      </c>
      <c r="BC14" s="324">
        <f> InpS!BC$11</f>
        <v>350.0</v>
      </c>
      <c r="BD14" s="324">
        <f> InpS!BD$11</f>
        <v>370.0</v>
      </c>
      <c r="BE14" s="324">
        <f> InpS!BE$11</f>
        <v>350.0</v>
      </c>
      <c r="BF14" s="324">
        <f> InpS!BF$11</f>
        <v>370.0</v>
      </c>
      <c r="BG14" s="324">
        <f> InpS!BG$11</f>
        <v>350.0</v>
      </c>
      <c r="BH14" s="324">
        <f> InpS!BH$11</f>
        <v>350.0</v>
      </c>
      <c r="BI14" s="324">
        <f> InpS!BI$11</f>
        <v>370.0</v>
      </c>
      <c r="BJ14" s="324">
        <f> InpS!BJ$11</f>
        <v>350.0</v>
      </c>
      <c r="BK14" s="324">
        <f> InpS!BK$11</f>
        <v>370.0</v>
      </c>
      <c r="BL14" s="324">
        <f> InpS!BL$11</f>
        <v>350.0</v>
      </c>
      <c r="BM14" s="324">
        <f> InpS!BM$11</f>
        <v>370.0</v>
      </c>
      <c r="BN14" s="324">
        <f> InpS!BN$11</f>
        <v>350.0</v>
      </c>
      <c r="BO14" s="324">
        <f> InpS!BO$11</f>
        <v>370.0</v>
      </c>
      <c r="BP14" s="324">
        <f> InpS!BP$11</f>
        <v>350.0</v>
      </c>
      <c r="BQ14" s="324">
        <f> InpS!BQ$11</f>
        <v>350.0</v>
      </c>
      <c r="BR14" s="324">
        <f> InpS!BR$11</f>
        <v>370.0</v>
      </c>
      <c r="BS14" s="324">
        <f> InpS!BS$11</f>
        <v>350.0</v>
      </c>
      <c r="BT14" s="324">
        <f> InpS!BT$11</f>
        <v>370.0</v>
      </c>
      <c r="BU14" s="324">
        <f> InpS!BU$11</f>
        <v>350.0</v>
      </c>
      <c r="BV14" s="324">
        <f> InpS!BV$11</f>
        <v>370.0</v>
      </c>
      <c r="BW14" s="324">
        <f> InpS!BW$11</f>
        <v>370.0</v>
      </c>
      <c r="BX14" s="324">
        <f> InpS!BX$11</f>
        <v>370.0</v>
      </c>
      <c r="BY14" s="324">
        <f> InpS!BY$11</f>
        <v>370.0</v>
      </c>
      <c r="BZ14" s="324">
        <f> InpS!BZ$11</f>
        <v>370.0</v>
      </c>
      <c r="CA14" s="324">
        <f> InpS!CA$11</f>
        <v>370.0</v>
      </c>
      <c r="CB14" s="324">
        <f> InpS!CB$11</f>
        <v>370.0</v>
      </c>
      <c r="CC14" s="324">
        <f> InpS!CC$11</f>
        <v>370.0</v>
      </c>
      <c r="CD14" s="324">
        <f> InpS!CD$11</f>
        <v>370.0</v>
      </c>
      <c r="CE14" s="324">
        <f> InpS!CE$11</f>
        <v>370.0</v>
      </c>
      <c r="CF14" s="324">
        <f> InpS!CF$11</f>
        <v>370.0</v>
      </c>
      <c r="CG14" s="324">
        <f> InpS!CG$11</f>
        <v>370.0</v>
      </c>
      <c r="CH14" s="324">
        <f> InpS!CH$11</f>
        <v>370.0</v>
      </c>
      <c r="CI14" s="324">
        <f> InpS!CI$11</f>
        <v>370.0</v>
      </c>
      <c r="CJ14" s="324">
        <f> InpS!CJ$11</f>
        <v>370.0</v>
      </c>
      <c r="CK14" s="324">
        <f> InpS!CK$11</f>
        <v>370.0</v>
      </c>
      <c r="CL14" s="324">
        <f> InpS!CL$11</f>
        <v>370.0</v>
      </c>
      <c r="CM14" s="324">
        <f> InpS!CM$11</f>
        <v>370.0</v>
      </c>
      <c r="CN14" s="324">
        <f> InpS!CN$11</f>
        <v>370.0</v>
      </c>
      <c r="CO14" s="324">
        <f> InpS!CO$11</f>
        <v>370.0</v>
      </c>
    </row>
    <row r="15">
      <c r="E15" s="324" t="str">
        <f> InpS!E$12</f>
        <v>Arrivals per train - international </v>
      </c>
      <c r="F15" s="324">
        <f> InpS!F$12</f>
        <v>0.0</v>
      </c>
      <c r="G15" s="324" t="str">
        <f> InpS!G$12</f>
        <v>arrivals / train</v>
      </c>
      <c r="H15" s="324">
        <f> InpS!H$12</f>
        <v>0.0</v>
      </c>
      <c r="I15" s="324">
        <f> InpS!I$12</f>
        <v>0.0</v>
      </c>
      <c r="J15" s="324">
        <f> InpS!J$12</f>
        <v>34.0</v>
      </c>
      <c r="K15" s="324">
        <f> InpS!K$12</f>
        <v>34.0</v>
      </c>
      <c r="L15" s="324">
        <f> InpS!L$12</f>
        <v>34.0</v>
      </c>
      <c r="M15" s="324">
        <f> InpS!M$12</f>
        <v>44.0</v>
      </c>
      <c r="N15" s="324">
        <f> InpS!N$12</f>
        <v>44.0</v>
      </c>
      <c r="O15" s="324">
        <f> InpS!O$12</f>
        <v>44.0</v>
      </c>
      <c r="P15" s="324">
        <f> InpS!P$12</f>
        <v>44.0</v>
      </c>
      <c r="Q15" s="324">
        <f> InpS!Q$12</f>
        <v>44.0</v>
      </c>
      <c r="R15" s="324">
        <f> InpS!R$12</f>
        <v>44.0</v>
      </c>
      <c r="S15" s="324">
        <f> InpS!S$12</f>
        <v>44.0</v>
      </c>
      <c r="T15" s="324">
        <f> InpS!T$12</f>
        <v>44.0</v>
      </c>
      <c r="U15" s="324">
        <f> InpS!U$12</f>
        <v>44.0</v>
      </c>
      <c r="V15" s="324">
        <f> InpS!V$12</f>
        <v>44.0</v>
      </c>
      <c r="W15" s="324">
        <f> InpS!W$12</f>
        <v>44.0</v>
      </c>
      <c r="X15" s="324">
        <f> InpS!X$12</f>
        <v>44.0</v>
      </c>
      <c r="Y15" s="324">
        <f> InpS!Y$12</f>
        <v>44.0</v>
      </c>
      <c r="Z15" s="324">
        <f> InpS!Z$12</f>
        <v>44.0</v>
      </c>
      <c r="AA15" s="324">
        <f> InpS!AA$12</f>
        <v>44.0</v>
      </c>
      <c r="AB15" s="324">
        <f> InpS!AB$12</f>
        <v>44.0</v>
      </c>
      <c r="AC15" s="324">
        <f> InpS!AC$12</f>
        <v>44.0</v>
      </c>
      <c r="AD15" s="324">
        <f> InpS!AD$12</f>
        <v>44.0</v>
      </c>
      <c r="AE15" s="324">
        <f> InpS!AE$12</f>
        <v>44.0</v>
      </c>
      <c r="AF15" s="324">
        <f> InpS!AF$12</f>
        <v>44.0</v>
      </c>
      <c r="AG15" s="324">
        <f> InpS!AG$12</f>
        <v>44.0</v>
      </c>
      <c r="AH15" s="324">
        <f> InpS!AH$12</f>
        <v>44.0</v>
      </c>
      <c r="AI15" s="324">
        <f> InpS!AI$12</f>
        <v>44.0</v>
      </c>
      <c r="AJ15" s="324">
        <f> InpS!AJ$12</f>
        <v>44.0</v>
      </c>
      <c r="AK15" s="324">
        <f> InpS!AK$12</f>
        <v>44.0</v>
      </c>
      <c r="AL15" s="324">
        <f> InpS!AL$12</f>
        <v>44.0</v>
      </c>
      <c r="AM15" s="324">
        <f> InpS!AM$12</f>
        <v>44.0</v>
      </c>
      <c r="AN15" s="324">
        <f> InpS!AN$12</f>
        <v>44.0</v>
      </c>
      <c r="AO15" s="324">
        <f> InpS!AO$12</f>
        <v>44.0</v>
      </c>
      <c r="AP15" s="324">
        <f> InpS!AP$12</f>
        <v>44.0</v>
      </c>
      <c r="AQ15" s="324">
        <f> InpS!AQ$12</f>
        <v>44.0</v>
      </c>
      <c r="AR15" s="324">
        <f> InpS!AR$12</f>
        <v>44.0</v>
      </c>
      <c r="AS15" s="324">
        <f> InpS!AS$12</f>
        <v>44.0</v>
      </c>
      <c r="AT15" s="324">
        <f> InpS!AT$12</f>
        <v>44.0</v>
      </c>
      <c r="AU15" s="324">
        <f> InpS!AU$12</f>
        <v>44.0</v>
      </c>
      <c r="AV15" s="324">
        <f> InpS!AV$12</f>
        <v>44.0</v>
      </c>
      <c r="AW15" s="324">
        <f> InpS!AW$12</f>
        <v>44.0</v>
      </c>
      <c r="AX15" s="324">
        <f> InpS!AX$12</f>
        <v>44.0</v>
      </c>
      <c r="AY15" s="324">
        <f> InpS!AY$12</f>
        <v>44.0</v>
      </c>
      <c r="AZ15" s="324">
        <f> InpS!AZ$12</f>
        <v>44.0</v>
      </c>
      <c r="BA15" s="324">
        <f> InpS!BA$12</f>
        <v>44.0</v>
      </c>
      <c r="BB15" s="324">
        <f> InpS!BB$12</f>
        <v>44.0</v>
      </c>
      <c r="BC15" s="324">
        <f> InpS!BC$12</f>
        <v>44.0</v>
      </c>
      <c r="BD15" s="324">
        <f> InpS!BD$12</f>
        <v>44.0</v>
      </c>
      <c r="BE15" s="324">
        <f> InpS!BE$12</f>
        <v>44.0</v>
      </c>
      <c r="BF15" s="324">
        <f> InpS!BF$12</f>
        <v>44.0</v>
      </c>
      <c r="BG15" s="324">
        <f> InpS!BG$12</f>
        <v>44.0</v>
      </c>
      <c r="BH15" s="324">
        <f> InpS!BH$12</f>
        <v>44.0</v>
      </c>
      <c r="BI15" s="324">
        <f> InpS!BI$12</f>
        <v>44.0</v>
      </c>
      <c r="BJ15" s="324">
        <f> InpS!BJ$12</f>
        <v>44.0</v>
      </c>
      <c r="BK15" s="324">
        <f> InpS!BK$12</f>
        <v>44.0</v>
      </c>
      <c r="BL15" s="324">
        <f> InpS!BL$12</f>
        <v>44.0</v>
      </c>
      <c r="BM15" s="324">
        <f> InpS!BM$12</f>
        <v>44.0</v>
      </c>
      <c r="BN15" s="324">
        <f> InpS!BN$12</f>
        <v>44.0</v>
      </c>
      <c r="BO15" s="324">
        <f> InpS!BO$12</f>
        <v>44.0</v>
      </c>
      <c r="BP15" s="324">
        <f> InpS!BP$12</f>
        <v>44.0</v>
      </c>
      <c r="BQ15" s="324">
        <f> InpS!BQ$12</f>
        <v>44.0</v>
      </c>
      <c r="BR15" s="324">
        <f> InpS!BR$12</f>
        <v>44.0</v>
      </c>
      <c r="BS15" s="324">
        <f> InpS!BS$12</f>
        <v>44.0</v>
      </c>
      <c r="BT15" s="324">
        <f> InpS!BT$12</f>
        <v>44.0</v>
      </c>
      <c r="BU15" s="324">
        <f> InpS!BU$12</f>
        <v>44.0</v>
      </c>
      <c r="BV15" s="324">
        <f> InpS!BV$12</f>
        <v>44.0</v>
      </c>
      <c r="BW15" s="324">
        <f> InpS!BW$12</f>
        <v>44.0</v>
      </c>
      <c r="BX15" s="324">
        <f> InpS!BX$12</f>
        <v>44.0</v>
      </c>
      <c r="BY15" s="324">
        <f> InpS!BY$12</f>
        <v>44.0</v>
      </c>
      <c r="BZ15" s="324">
        <f> InpS!BZ$12</f>
        <v>44.0</v>
      </c>
      <c r="CA15" s="324">
        <f> InpS!CA$12</f>
        <v>44.0</v>
      </c>
      <c r="CB15" s="324">
        <f> InpS!CB$12</f>
        <v>44.0</v>
      </c>
      <c r="CC15" s="324">
        <f> InpS!CC$12</f>
        <v>44.0</v>
      </c>
      <c r="CD15" s="324">
        <f> InpS!CD$12</f>
        <v>44.0</v>
      </c>
      <c r="CE15" s="324">
        <f> InpS!CE$12</f>
        <v>44.0</v>
      </c>
      <c r="CF15" s="324">
        <f> InpS!CF$12</f>
        <v>44.0</v>
      </c>
      <c r="CG15" s="324">
        <f> InpS!CG$12</f>
        <v>44.0</v>
      </c>
      <c r="CH15" s="324">
        <f> InpS!CH$12</f>
        <v>44.0</v>
      </c>
      <c r="CI15" s="324">
        <f> InpS!CI$12</f>
        <v>44.0</v>
      </c>
      <c r="CJ15" s="324">
        <f> InpS!CJ$12</f>
        <v>44.0</v>
      </c>
      <c r="CK15" s="324">
        <f> InpS!CK$12</f>
        <v>44.0</v>
      </c>
      <c r="CL15" s="324">
        <f> InpS!CL$12</f>
        <v>44.0</v>
      </c>
      <c r="CM15" s="324">
        <f> InpS!CM$12</f>
        <v>44.0</v>
      </c>
      <c r="CN15" s="324">
        <f> InpS!CN$12</f>
        <v>44.0</v>
      </c>
      <c r="CO15" s="324">
        <f> InpS!CO$12</f>
        <v>44.0</v>
      </c>
    </row>
    <row r="16">
      <c r="E16" s="325" t="n"/>
      <c r="F16" s="325" t="n"/>
      <c r="G16" s="325" t="n"/>
      <c r="H16" s="325" t="n"/>
      <c r="I16" s="325" t="n"/>
      <c r="J16" s="325" t="n"/>
      <c r="K16" s="325" t="n"/>
      <c r="L16" s="325" t="n"/>
      <c r="M16" s="325" t="n"/>
      <c r="N16" s="325" t="n"/>
      <c r="O16" s="325" t="n"/>
      <c r="P16" s="325" t="n"/>
      <c r="Q16" s="325" t="n"/>
      <c r="R16" s="325" t="n"/>
      <c r="S16" s="325" t="n"/>
      <c r="T16" s="325" t="n"/>
      <c r="U16" s="325" t="n"/>
      <c r="V16" s="325" t="n"/>
      <c r="W16" s="325" t="n"/>
      <c r="X16" s="325" t="n"/>
      <c r="Y16" s="325" t="n"/>
      <c r="Z16" s="325" t="n"/>
      <c r="AA16" s="325" t="n"/>
      <c r="AB16" s="325" t="n"/>
      <c r="AC16" s="325" t="n"/>
      <c r="AD16" s="325" t="n"/>
      <c r="AE16" s="325" t="n"/>
      <c r="AF16" s="325" t="n"/>
      <c r="AG16" s="325" t="n"/>
      <c r="AH16" s="325" t="n"/>
      <c r="AI16" s="325" t="n"/>
      <c r="AJ16" s="325" t="n"/>
      <c r="AK16" s="325" t="n"/>
      <c r="AL16" s="325" t="n"/>
      <c r="AM16" s="325" t="n"/>
      <c r="AN16" s="325" t="n"/>
      <c r="AO16" s="325" t="n"/>
      <c r="AP16" s="325" t="n"/>
      <c r="AQ16" s="325" t="n"/>
      <c r="AR16" s="325" t="n"/>
      <c r="AS16" s="325" t="n"/>
      <c r="AT16" s="325" t="n"/>
      <c r="AU16" s="325" t="n"/>
      <c r="AV16" s="325" t="n"/>
      <c r="AW16" s="325" t="n"/>
      <c r="AX16" s="325" t="n"/>
      <c r="AY16" s="325" t="n"/>
      <c r="AZ16" s="325" t="n"/>
      <c r="BA16" s="325" t="n"/>
      <c r="BB16" s="325" t="n"/>
      <c r="BC16" s="325" t="n"/>
      <c r="BD16" s="325" t="n"/>
      <c r="BE16" s="325" t="n"/>
      <c r="BF16" s="325" t="n"/>
      <c r="BG16" s="325" t="n"/>
      <c r="BH16" s="325" t="n"/>
      <c r="BI16" s="325" t="n"/>
      <c r="BJ16" s="325" t="n"/>
      <c r="BK16" s="325" t="n"/>
      <c r="BL16" s="325" t="n"/>
      <c r="BM16" s="325" t="n"/>
      <c r="BN16" s="325" t="n"/>
      <c r="BO16" s="325" t="n"/>
      <c r="BP16" s="325" t="n"/>
      <c r="BQ16" s="325" t="n"/>
      <c r="BR16" s="325" t="n"/>
      <c r="BS16" s="325" t="n"/>
      <c r="BT16" s="325" t="n"/>
      <c r="BU16" s="325" t="n"/>
      <c r="BV16" s="325" t="n"/>
      <c r="BW16" s="325" t="n"/>
      <c r="BX16" s="325" t="n"/>
      <c r="BY16" s="325" t="n"/>
      <c r="BZ16" s="325" t="n"/>
      <c r="CA16" s="325" t="n"/>
      <c r="CB16" s="325" t="n"/>
      <c r="CC16" s="325" t="n"/>
      <c r="CD16" s="325" t="n"/>
      <c r="CE16" s="325" t="n"/>
      <c r="CF16" s="325" t="n"/>
      <c r="CG16" s="325" t="n"/>
      <c r="CH16" s="325" t="n"/>
      <c r="CI16" s="325" t="n"/>
      <c r="CJ16" s="325" t="n"/>
      <c r="CK16" s="325" t="n"/>
      <c r="CL16" s="325" t="n"/>
      <c r="CM16" s="325" t="n"/>
      <c r="CN16" s="325" t="n"/>
      <c r="CO16" s="325" t="n"/>
    </row>
    <row r="17">
      <c r="E17" s="325" t="str">
        <f> Time!E$69</f>
        <v>Forecast period flag</v>
      </c>
      <c r="F17" s="325">
        <f> Time!F$69</f>
        <v>0.0</v>
      </c>
      <c r="G17" s="325" t="str">
        <f> Time!G$69</f>
        <v>flag</v>
      </c>
      <c r="H17" s="325">
        <f> Time!H$69</f>
        <v>80.0</v>
      </c>
      <c r="I17" s="325">
        <f> Time!I$69</f>
        <v>0.0</v>
      </c>
      <c r="J17" s="325">
        <f> Time!J$69</f>
        <v>0.0</v>
      </c>
      <c r="K17" s="325">
        <f> Time!K$69</f>
        <v>0.0</v>
      </c>
      <c r="L17" s="325">
        <f> Time!L$69</f>
        <v>1.0</v>
      </c>
      <c r="M17" s="325">
        <f> Time!M$69</f>
        <v>1.0</v>
      </c>
      <c r="N17" s="325">
        <f> Time!N$69</f>
        <v>1.0</v>
      </c>
      <c r="O17" s="325">
        <f> Time!O$69</f>
        <v>1.0</v>
      </c>
      <c r="P17" s="325">
        <f> Time!P$69</f>
        <v>1.0</v>
      </c>
      <c r="Q17" s="325">
        <f> Time!Q$69</f>
        <v>1.0</v>
      </c>
      <c r="R17" s="325">
        <f> Time!R$69</f>
        <v>1.0</v>
      </c>
      <c r="S17" s="325">
        <f> Time!S$69</f>
        <v>1.0</v>
      </c>
      <c r="T17" s="325">
        <f> Time!T$69</f>
        <v>1.0</v>
      </c>
      <c r="U17" s="325">
        <f> Time!U$69</f>
        <v>1.0</v>
      </c>
      <c r="V17" s="325">
        <f> Time!V$69</f>
        <v>1.0</v>
      </c>
      <c r="W17" s="325">
        <f> Time!W$69</f>
        <v>1.0</v>
      </c>
      <c r="X17" s="325">
        <f> Time!X$69</f>
        <v>1.0</v>
      </c>
      <c r="Y17" s="325">
        <f> Time!Y$69</f>
        <v>1.0</v>
      </c>
      <c r="Z17" s="325">
        <f> Time!Z$69</f>
        <v>1.0</v>
      </c>
      <c r="AA17" s="325">
        <f> Time!AA$69</f>
        <v>1.0</v>
      </c>
      <c r="AB17" s="325">
        <f> Time!AB$69</f>
        <v>1.0</v>
      </c>
      <c r="AC17" s="325">
        <f> Time!AC$69</f>
        <v>1.0</v>
      </c>
      <c r="AD17" s="325">
        <f> Time!AD$69</f>
        <v>1.0</v>
      </c>
      <c r="AE17" s="325">
        <f> Time!AE$69</f>
        <v>1.0</v>
      </c>
      <c r="AF17" s="325">
        <f> Time!AF$69</f>
        <v>1.0</v>
      </c>
      <c r="AG17" s="325">
        <f> Time!AG$69</f>
        <v>1.0</v>
      </c>
      <c r="AH17" s="325">
        <f> Time!AH$69</f>
        <v>1.0</v>
      </c>
      <c r="AI17" s="325">
        <f> Time!AI$69</f>
        <v>1.0</v>
      </c>
      <c r="AJ17" s="325">
        <f> Time!AJ$69</f>
        <v>1.0</v>
      </c>
      <c r="AK17" s="325">
        <f> Time!AK$69</f>
        <v>1.0</v>
      </c>
      <c r="AL17" s="325">
        <f> Time!AL$69</f>
        <v>1.0</v>
      </c>
      <c r="AM17" s="325">
        <f> Time!AM$69</f>
        <v>1.0</v>
      </c>
      <c r="AN17" s="325">
        <f> Time!AN$69</f>
        <v>1.0</v>
      </c>
      <c r="AO17" s="325">
        <f> Time!AO$69</f>
        <v>1.0</v>
      </c>
      <c r="AP17" s="325">
        <f> Time!AP$69</f>
        <v>1.0</v>
      </c>
      <c r="AQ17" s="325">
        <f> Time!AQ$69</f>
        <v>1.0</v>
      </c>
      <c r="AR17" s="325">
        <f> Time!AR$69</f>
        <v>1.0</v>
      </c>
      <c r="AS17" s="325">
        <f> Time!AS$69</f>
        <v>1.0</v>
      </c>
      <c r="AT17" s="325">
        <f> Time!AT$69</f>
        <v>1.0</v>
      </c>
      <c r="AU17" s="325">
        <f> Time!AU$69</f>
        <v>1.0</v>
      </c>
      <c r="AV17" s="325">
        <f> Time!AV$69</f>
        <v>1.0</v>
      </c>
      <c r="AW17" s="325">
        <f> Time!AW$69</f>
        <v>1.0</v>
      </c>
      <c r="AX17" s="325">
        <f> Time!AX$69</f>
        <v>1.0</v>
      </c>
      <c r="AY17" s="325">
        <f> Time!AY$69</f>
        <v>1.0</v>
      </c>
      <c r="AZ17" s="325">
        <f> Time!AZ$69</f>
        <v>1.0</v>
      </c>
      <c r="BA17" s="325">
        <f> Time!BA$69</f>
        <v>1.0</v>
      </c>
      <c r="BB17" s="325">
        <f> Time!BB$69</f>
        <v>1.0</v>
      </c>
      <c r="BC17" s="325">
        <f> Time!BC$69</f>
        <v>1.0</v>
      </c>
      <c r="BD17" s="325">
        <f> Time!BD$69</f>
        <v>1.0</v>
      </c>
      <c r="BE17" s="325">
        <f> Time!BE$69</f>
        <v>1.0</v>
      </c>
      <c r="BF17" s="325">
        <f> Time!BF$69</f>
        <v>1.0</v>
      </c>
      <c r="BG17" s="325">
        <f> Time!BG$69</f>
        <v>1.0</v>
      </c>
      <c r="BH17" s="325">
        <f> Time!BH$69</f>
        <v>1.0</v>
      </c>
      <c r="BI17" s="325">
        <f> Time!BI$69</f>
        <v>1.0</v>
      </c>
      <c r="BJ17" s="325">
        <f> Time!BJ$69</f>
        <v>1.0</v>
      </c>
      <c r="BK17" s="325">
        <f> Time!BK$69</f>
        <v>1.0</v>
      </c>
      <c r="BL17" s="325">
        <f> Time!BL$69</f>
        <v>1.0</v>
      </c>
      <c r="BM17" s="325">
        <f> Time!BM$69</f>
        <v>1.0</v>
      </c>
      <c r="BN17" s="325">
        <f> Time!BN$69</f>
        <v>1.0</v>
      </c>
      <c r="BO17" s="325">
        <f> Time!BO$69</f>
        <v>1.0</v>
      </c>
      <c r="BP17" s="325">
        <f> Time!BP$69</f>
        <v>1.0</v>
      </c>
      <c r="BQ17" s="325">
        <f> Time!BQ$69</f>
        <v>1.0</v>
      </c>
      <c r="BR17" s="325">
        <f> Time!BR$69</f>
        <v>1.0</v>
      </c>
      <c r="BS17" s="325">
        <f> Time!BS$69</f>
        <v>1.0</v>
      </c>
      <c r="BT17" s="325">
        <f> Time!BT$69</f>
        <v>1.0</v>
      </c>
      <c r="BU17" s="325">
        <f> Time!BU$69</f>
        <v>1.0</v>
      </c>
      <c r="BV17" s="325">
        <f> Time!BV$69</f>
        <v>1.0</v>
      </c>
      <c r="BW17" s="325">
        <f> Time!BW$69</f>
        <v>1.0</v>
      </c>
      <c r="BX17" s="325">
        <f> Time!BX$69</f>
        <v>1.0</v>
      </c>
      <c r="BY17" s="325">
        <f> Time!BY$69</f>
        <v>1.0</v>
      </c>
      <c r="BZ17" s="325">
        <f> Time!BZ$69</f>
        <v>1.0</v>
      </c>
      <c r="CA17" s="325">
        <f> Time!CA$69</f>
        <v>1.0</v>
      </c>
      <c r="CB17" s="325">
        <f> Time!CB$69</f>
        <v>1.0</v>
      </c>
      <c r="CC17" s="325">
        <f> Time!CC$69</f>
        <v>1.0</v>
      </c>
      <c r="CD17" s="325">
        <f> Time!CD$69</f>
        <v>1.0</v>
      </c>
      <c r="CE17" s="325">
        <f> Time!CE$69</f>
        <v>1.0</v>
      </c>
      <c r="CF17" s="325">
        <f> Time!CF$69</f>
        <v>1.0</v>
      </c>
      <c r="CG17" s="325">
        <f> Time!CG$69</f>
        <v>1.0</v>
      </c>
      <c r="CH17" s="325">
        <f> Time!CH$69</f>
        <v>1.0</v>
      </c>
      <c r="CI17" s="325">
        <f> Time!CI$69</f>
        <v>1.0</v>
      </c>
      <c r="CJ17" s="325">
        <f> Time!CJ$69</f>
        <v>1.0</v>
      </c>
      <c r="CK17" s="325">
        <f> Time!CK$69</f>
        <v>1.0</v>
      </c>
      <c r="CL17" s="325">
        <f> Time!CL$69</f>
        <v>1.0</v>
      </c>
      <c r="CM17" s="325">
        <f> Time!CM$69</f>
        <v>1.0</v>
      </c>
      <c r="CN17" s="325">
        <f> Time!CN$69</f>
        <v>0.0</v>
      </c>
      <c r="CO17" s="325">
        <f> Time!CO$69</f>
        <v>0.0</v>
      </c>
    </row>
    <row r="19">
      <c r="E19" s="61" t="inlineStr">
        <is>
          <t>Arrivals - Domestic</t>
        </is>
      </c>
      <c r="G19" s="61" t="inlineStr">
        <is>
          <t xml:space="preserve">arrivals </t>
        </is>
      </c>
      <c r="H19" s="61">
        <f> SUM(J19:CO19)</f>
        <v>868800.0</v>
      </c>
      <c r="J19" s="61">
        <f> IF(J$17 = 1, J11 * J14, 0)</f>
        <v>0.0</v>
      </c>
      <c r="K19" s="61">
        <f> IF(K$17 = 1, K11 * K14, 0)</f>
        <v>0.0</v>
      </c>
      <c r="L19" s="61">
        <f> IF(L$17 = 1, L11 * L14, 0)</f>
        <v>11100.0</v>
      </c>
      <c r="M19" s="61">
        <f> IF(M$17 = 1, M11 * M14, 0)</f>
        <v>10500.0</v>
      </c>
      <c r="N19" s="61">
        <f> IF(N$17 = 1, N11 * N14, 0)</f>
        <v>11100.0</v>
      </c>
      <c r="O19" s="61">
        <f> IF(O$17 = 1, O11 * O14, 0)</f>
        <v>10500.0</v>
      </c>
      <c r="P19" s="61">
        <f> IF(P$17 = 1, P11 * P14, 0)</f>
        <v>11100.0</v>
      </c>
      <c r="Q19" s="61">
        <f> IF(Q$17 = 1, Q11 * Q14, 0)</f>
        <v>10500.0</v>
      </c>
      <c r="R19" s="61">
        <f> IF(R$17 = 1, R11 * R14, 0)</f>
        <v>11100.0</v>
      </c>
      <c r="S19" s="61">
        <f> IF(S$17 = 1, S11 * S14, 0)</f>
        <v>10500.0</v>
      </c>
      <c r="T19" s="61">
        <f> IF(T$17 = 1, T11 * T14, 0)</f>
        <v>11100.0</v>
      </c>
      <c r="U19" s="61">
        <f> IF(U$17 = 1, U11 * U14, 0)</f>
        <v>10500.0</v>
      </c>
      <c r="V19" s="61">
        <f> IF(V$17 = 1, V11 * V14, 0)</f>
        <v>11100.0</v>
      </c>
      <c r="W19" s="61">
        <f> IF(W$17 = 1, W11 * W14, 0)</f>
        <v>10500.0</v>
      </c>
      <c r="X19" s="61">
        <f> IF(X$17 = 1, X11 * X14, 0)</f>
        <v>11100.0</v>
      </c>
      <c r="Y19" s="61">
        <f> IF(Y$17 = 1, Y11 * Y14, 0)</f>
        <v>10500.0</v>
      </c>
      <c r="Z19" s="61">
        <f> IF(Z$17 = 1, Z11 * Z14, 0)</f>
        <v>11100.0</v>
      </c>
      <c r="AA19" s="61">
        <f> IF(AA$17 = 1, AA11 * AA14, 0)</f>
        <v>10500.0</v>
      </c>
      <c r="AB19" s="61">
        <f> IF(AB$17 = 1, AB11 * AB14, 0)</f>
        <v>11100.0</v>
      </c>
      <c r="AC19" s="61">
        <f> IF(AC$17 = 1, AC11 * AC14, 0)</f>
        <v>10500.0</v>
      </c>
      <c r="AD19" s="61">
        <f> IF(AD$17 = 1, AD11 * AD14, 0)</f>
        <v>11100.0</v>
      </c>
      <c r="AE19" s="61">
        <f> IF(AE$17 = 1, AE11 * AE14, 0)</f>
        <v>10500.0</v>
      </c>
      <c r="AF19" s="61">
        <f> IF(AF$17 = 1, AF11 * AF14, 0)</f>
        <v>11100.0</v>
      </c>
      <c r="AG19" s="61">
        <f> IF(AG$17 = 1, AG11 * AG14, 0)</f>
        <v>10500.0</v>
      </c>
      <c r="AH19" s="61">
        <f> IF(AH$17 = 1, AH11 * AH14, 0)</f>
        <v>11100.0</v>
      </c>
      <c r="AI19" s="61">
        <f> IF(AI$17 = 1, AI11 * AI14, 0)</f>
        <v>10500.0</v>
      </c>
      <c r="AJ19" s="61">
        <f> IF(AJ$17 = 1, AJ11 * AJ14, 0)</f>
        <v>11100.0</v>
      </c>
      <c r="AK19" s="61">
        <f> IF(AK$17 = 1, AK11 * AK14, 0)</f>
        <v>10500.0</v>
      </c>
      <c r="AL19" s="61">
        <f> IF(AL$17 = 1, AL11 * AL14, 0)</f>
        <v>11100.0</v>
      </c>
      <c r="AM19" s="61">
        <f> IF(AM$17 = 1, AM11 * AM14, 0)</f>
        <v>10500.0</v>
      </c>
      <c r="AN19" s="61">
        <f> IF(AN$17 = 1, AN11 * AN14, 0)</f>
        <v>11100.0</v>
      </c>
      <c r="AO19" s="61">
        <f> IF(AO$17 = 1, AO11 * AO14, 0)</f>
        <v>10500.0</v>
      </c>
      <c r="AP19" s="61">
        <f> IF(AP$17 = 1, AP11 * AP14, 0)</f>
        <v>11100.0</v>
      </c>
      <c r="AQ19" s="61">
        <f> IF(AQ$17 = 1, AQ11 * AQ14, 0)</f>
        <v>10500.0</v>
      </c>
      <c r="AR19" s="61">
        <f> IF(AR$17 = 1, AR11 * AR14, 0)</f>
        <v>11100.0</v>
      </c>
      <c r="AS19" s="61">
        <f> IF(AS$17 = 1, AS11 * AS14, 0)</f>
        <v>10500.0</v>
      </c>
      <c r="AT19" s="61">
        <f> IF(AT$17 = 1, AT11 * AT14, 0)</f>
        <v>11100.0</v>
      </c>
      <c r="AU19" s="61">
        <f> IF(AU$17 = 1, AU11 * AU14, 0)</f>
        <v>10500.0</v>
      </c>
      <c r="AV19" s="61">
        <f> IF(AV$17 = 1, AV11 * AV14, 0)</f>
        <v>11100.0</v>
      </c>
      <c r="AW19" s="61">
        <f> IF(AW$17 = 1, AW11 * AW14, 0)</f>
        <v>10500.0</v>
      </c>
      <c r="AX19" s="61">
        <f> IF(AX$17 = 1, AX11 * AX14, 0)</f>
        <v>11100.0</v>
      </c>
      <c r="AY19" s="61">
        <f> IF(AY$17 = 1, AY11 * AY14, 0)</f>
        <v>10500.0</v>
      </c>
      <c r="AZ19" s="61">
        <f> IF(AZ$17 = 1, AZ11 * AZ14, 0)</f>
        <v>11100.0</v>
      </c>
      <c r="BA19" s="61">
        <f> IF(BA$17 = 1, BA11 * BA14, 0)</f>
        <v>10500.0</v>
      </c>
      <c r="BB19" s="61">
        <f> IF(BB$17 = 1, BB11 * BB14, 0)</f>
        <v>11100.0</v>
      </c>
      <c r="BC19" s="61">
        <f> IF(BC$17 = 1, BC11 * BC14, 0)</f>
        <v>10500.0</v>
      </c>
      <c r="BD19" s="61">
        <f> IF(BD$17 = 1, BD11 * BD14, 0)</f>
        <v>11100.0</v>
      </c>
      <c r="BE19" s="61">
        <f> IF(BE$17 = 1, BE11 * BE14, 0)</f>
        <v>10500.0</v>
      </c>
      <c r="BF19" s="61">
        <f> IF(BF$17 = 1, BF11 * BF14, 0)</f>
        <v>11100.0</v>
      </c>
      <c r="BG19" s="61">
        <f> IF(BG$17 = 1, BG11 * BG14, 0)</f>
        <v>10500.0</v>
      </c>
      <c r="BH19" s="61">
        <f> IF(BH$17 = 1, BH11 * BH14, 0)</f>
        <v>10500.0</v>
      </c>
      <c r="BI19" s="61">
        <f> IF(BI$17 = 1, BI11 * BI14, 0)</f>
        <v>11100.0</v>
      </c>
      <c r="BJ19" s="61">
        <f> IF(BJ$17 = 1, BJ11 * BJ14, 0)</f>
        <v>10500.0</v>
      </c>
      <c r="BK19" s="61">
        <f> IF(BK$17 = 1, BK11 * BK14, 0)</f>
        <v>11100.0</v>
      </c>
      <c r="BL19" s="61">
        <f> IF(BL$17 = 1, BL11 * BL14, 0)</f>
        <v>10500.0</v>
      </c>
      <c r="BM19" s="61">
        <f> IF(BM$17 = 1, BM11 * BM14, 0)</f>
        <v>11100.0</v>
      </c>
      <c r="BN19" s="61">
        <f> IF(BN$17 = 1, BN11 * BN14, 0)</f>
        <v>10500.0</v>
      </c>
      <c r="BO19" s="61">
        <f> IF(BO$17 = 1, BO11 * BO14, 0)</f>
        <v>11100.0</v>
      </c>
      <c r="BP19" s="61">
        <f> IF(BP$17 = 1, BP11 * BP14, 0)</f>
        <v>10500.0</v>
      </c>
      <c r="BQ19" s="61">
        <f> IF(BQ$17 = 1, BQ11 * BQ14, 0)</f>
        <v>10500.0</v>
      </c>
      <c r="BR19" s="61">
        <f> IF(BR$17 = 1, BR11 * BR14, 0)</f>
        <v>11100.0</v>
      </c>
      <c r="BS19" s="61">
        <f> IF(BS$17 = 1, BS11 * BS14, 0)</f>
        <v>10500.0</v>
      </c>
      <c r="BT19" s="61">
        <f> IF(BT$17 = 1, BT11 * BT14, 0)</f>
        <v>11100.0</v>
      </c>
      <c r="BU19" s="61">
        <f> IF(BU$17 = 1, BU11 * BU14, 0)</f>
        <v>10500.0</v>
      </c>
      <c r="BV19" s="61">
        <f> IF(BV$17 = 1, BV11 * BV14, 0)</f>
        <v>11100.0</v>
      </c>
      <c r="BW19" s="61">
        <f> IF(BW$17 = 1, BW11 * BW14, 0)</f>
        <v>11100.0</v>
      </c>
      <c r="BX19" s="61">
        <f> IF(BX$17 = 1, BX11 * BX14, 0)</f>
        <v>11100.0</v>
      </c>
      <c r="BY19" s="61">
        <f> IF(BY$17 = 1, BY11 * BY14, 0)</f>
        <v>11100.0</v>
      </c>
      <c r="BZ19" s="61">
        <f> IF(BZ$17 = 1, BZ11 * BZ14, 0)</f>
        <v>11100.0</v>
      </c>
      <c r="CA19" s="61">
        <f> IF(CA$17 = 1, CA11 * CA14, 0)</f>
        <v>11100.0</v>
      </c>
      <c r="CB19" s="61">
        <f> IF(CB$17 = 1, CB11 * CB14, 0)</f>
        <v>11100.0</v>
      </c>
      <c r="CC19" s="61">
        <f> IF(CC$17 = 1, CC11 * CC14, 0)</f>
        <v>11100.0</v>
      </c>
      <c r="CD19" s="61">
        <f> IF(CD$17 = 1, CD11 * CD14, 0)</f>
        <v>11100.0</v>
      </c>
      <c r="CE19" s="61">
        <f> IF(CE$17 = 1, CE11 * CE14, 0)</f>
        <v>11100.0</v>
      </c>
      <c r="CF19" s="61">
        <f> IF(CF$17 = 1, CF11 * CF14, 0)</f>
        <v>11100.0</v>
      </c>
      <c r="CG19" s="61">
        <f> IF(CG$17 = 1, CG11 * CG14, 0)</f>
        <v>11100.0</v>
      </c>
      <c r="CH19" s="61">
        <f> IF(CH$17 = 1, CH11 * CH14, 0)</f>
        <v>11100.0</v>
      </c>
      <c r="CI19" s="61">
        <f> IF(CI$17 = 1, CI11 * CI14, 0)</f>
        <v>11100.0</v>
      </c>
      <c r="CJ19" s="61">
        <f> IF(CJ$17 = 1, CJ11 * CJ14, 0)</f>
        <v>11100.0</v>
      </c>
      <c r="CK19" s="61">
        <f> IF(CK$17 = 1, CK11 * CK14, 0)</f>
        <v>11100.0</v>
      </c>
      <c r="CL19" s="61">
        <f> IF(CL$17 = 1, CL11 * CL14, 0)</f>
        <v>11100.0</v>
      </c>
      <c r="CM19" s="61">
        <f> IF(CM$17 = 1, CM11 * CM14, 0)</f>
        <v>11100.0</v>
      </c>
      <c r="CN19" s="61">
        <f> IF(CN$17 = 1, CN11 * CN14, 0)</f>
        <v>0.0</v>
      </c>
      <c r="CO19" s="61">
        <f> IF(CO$17 = 1, CO11 * CO14, 0)</f>
        <v>0.0</v>
      </c>
    </row>
    <row r="20">
      <c r="E20" s="61" t="inlineStr">
        <is>
          <t xml:space="preserve">Arrivals - International </t>
        </is>
      </c>
      <c r="G20" s="61" t="inlineStr">
        <is>
          <t xml:space="preserve">arrivals </t>
        </is>
      </c>
      <c r="H20" s="61">
        <f> SUM(J20:CO20)</f>
        <v>55848.0</v>
      </c>
      <c r="J20" s="61">
        <f> IF(J$17 = 1, J12 * J15, 0)</f>
        <v>0.0</v>
      </c>
      <c r="K20" s="61">
        <f> IF(K$17 = 1, K12 * K15, 0)</f>
        <v>0.0</v>
      </c>
      <c r="L20" s="61">
        <f> IF(L$17 = 1, L12 * L15, 0)</f>
        <v>408.0</v>
      </c>
      <c r="M20" s="61">
        <f> IF(M$17 = 1, M12 * M15, 0)</f>
        <v>616.0</v>
      </c>
      <c r="N20" s="61">
        <f> IF(N$17 = 1, N12 * N15, 0)</f>
        <v>616.0</v>
      </c>
      <c r="O20" s="61">
        <f> IF(O$17 = 1, O12 * O15, 0)</f>
        <v>704.0</v>
      </c>
      <c r="P20" s="61">
        <f> IF(P$17 = 1, P12 * P15, 0)</f>
        <v>704.0</v>
      </c>
      <c r="Q20" s="61">
        <f> IF(Q$17 = 1, Q12 * Q15, 0)</f>
        <v>704.0</v>
      </c>
      <c r="R20" s="61">
        <f> IF(R$17 = 1, R12 * R15, 0)</f>
        <v>704.0</v>
      </c>
      <c r="S20" s="61">
        <f> IF(S$17 = 1, S12 * S15, 0)</f>
        <v>704.0</v>
      </c>
      <c r="T20" s="61">
        <f> IF(T$17 = 1, T12 * T15, 0)</f>
        <v>704.0</v>
      </c>
      <c r="U20" s="61">
        <f> IF(U$17 = 1, U12 * U15, 0)</f>
        <v>704.0</v>
      </c>
      <c r="V20" s="61">
        <f> IF(V$17 = 1, V12 * V15, 0)</f>
        <v>704.0</v>
      </c>
      <c r="W20" s="61">
        <f> IF(W$17 = 1, W12 * W15, 0)</f>
        <v>704.0</v>
      </c>
      <c r="X20" s="61">
        <f> IF(X$17 = 1, X12 * X15, 0)</f>
        <v>704.0</v>
      </c>
      <c r="Y20" s="61">
        <f> IF(Y$17 = 1, Y12 * Y15, 0)</f>
        <v>704.0</v>
      </c>
      <c r="Z20" s="61">
        <f> IF(Z$17 = 1, Z12 * Z15, 0)</f>
        <v>704.0</v>
      </c>
      <c r="AA20" s="61">
        <f> IF(AA$17 = 1, AA12 * AA15, 0)</f>
        <v>704.0</v>
      </c>
      <c r="AB20" s="61">
        <f> IF(AB$17 = 1, AB12 * AB15, 0)</f>
        <v>704.0</v>
      </c>
      <c r="AC20" s="61">
        <f> IF(AC$17 = 1, AC12 * AC15, 0)</f>
        <v>704.0</v>
      </c>
      <c r="AD20" s="61">
        <f> IF(AD$17 = 1, AD12 * AD15, 0)</f>
        <v>704.0</v>
      </c>
      <c r="AE20" s="61">
        <f> IF(AE$17 = 1, AE12 * AE15, 0)</f>
        <v>704.0</v>
      </c>
      <c r="AF20" s="61">
        <f> IF(AF$17 = 1, AF12 * AF15, 0)</f>
        <v>704.0</v>
      </c>
      <c r="AG20" s="61">
        <f> IF(AG$17 = 1, AG12 * AG15, 0)</f>
        <v>704.0</v>
      </c>
      <c r="AH20" s="61">
        <f> IF(AH$17 = 1, AH12 * AH15, 0)</f>
        <v>704.0</v>
      </c>
      <c r="AI20" s="61">
        <f> IF(AI$17 = 1, AI12 * AI15, 0)</f>
        <v>704.0</v>
      </c>
      <c r="AJ20" s="61">
        <f> IF(AJ$17 = 1, AJ12 * AJ15, 0)</f>
        <v>704.0</v>
      </c>
      <c r="AK20" s="61">
        <f> IF(AK$17 = 1, AK12 * AK15, 0)</f>
        <v>704.0</v>
      </c>
      <c r="AL20" s="61">
        <f> IF(AL$17 = 1, AL12 * AL15, 0)</f>
        <v>704.0</v>
      </c>
      <c r="AM20" s="61">
        <f> IF(AM$17 = 1, AM12 * AM15, 0)</f>
        <v>704.0</v>
      </c>
      <c r="AN20" s="61">
        <f> IF(AN$17 = 1, AN12 * AN15, 0)</f>
        <v>704.0</v>
      </c>
      <c r="AO20" s="61">
        <f> IF(AO$17 = 1, AO12 * AO15, 0)</f>
        <v>704.0</v>
      </c>
      <c r="AP20" s="61">
        <f> IF(AP$17 = 1, AP12 * AP15, 0)</f>
        <v>704.0</v>
      </c>
      <c r="AQ20" s="61">
        <f> IF(AQ$17 = 1, AQ12 * AQ15, 0)</f>
        <v>704.0</v>
      </c>
      <c r="AR20" s="61">
        <f> IF(AR$17 = 1, AR12 * AR15, 0)</f>
        <v>704.0</v>
      </c>
      <c r="AS20" s="61">
        <f> IF(AS$17 = 1, AS12 * AS15, 0)</f>
        <v>704.0</v>
      </c>
      <c r="AT20" s="61">
        <f> IF(AT$17 = 1, AT12 * AT15, 0)</f>
        <v>704.0</v>
      </c>
      <c r="AU20" s="61">
        <f> IF(AU$17 = 1, AU12 * AU15, 0)</f>
        <v>704.0</v>
      </c>
      <c r="AV20" s="61">
        <f> IF(AV$17 = 1, AV12 * AV15, 0)</f>
        <v>704.0</v>
      </c>
      <c r="AW20" s="61">
        <f> IF(AW$17 = 1, AW12 * AW15, 0)</f>
        <v>704.0</v>
      </c>
      <c r="AX20" s="61">
        <f> IF(AX$17 = 1, AX12 * AX15, 0)</f>
        <v>704.0</v>
      </c>
      <c r="AY20" s="61">
        <f> IF(AY$17 = 1, AY12 * AY15, 0)</f>
        <v>704.0</v>
      </c>
      <c r="AZ20" s="61">
        <f> IF(AZ$17 = 1, AZ12 * AZ15, 0)</f>
        <v>704.0</v>
      </c>
      <c r="BA20" s="61">
        <f> IF(BA$17 = 1, BA12 * BA15, 0)</f>
        <v>704.0</v>
      </c>
      <c r="BB20" s="61">
        <f> IF(BB$17 = 1, BB12 * BB15, 0)</f>
        <v>704.0</v>
      </c>
      <c r="BC20" s="61">
        <f> IF(BC$17 = 1, BC12 * BC15, 0)</f>
        <v>704.0</v>
      </c>
      <c r="BD20" s="61">
        <f> IF(BD$17 = 1, BD12 * BD15, 0)</f>
        <v>704.0</v>
      </c>
      <c r="BE20" s="61">
        <f> IF(BE$17 = 1, BE12 * BE15, 0)</f>
        <v>704.0</v>
      </c>
      <c r="BF20" s="61">
        <f> IF(BF$17 = 1, BF12 * BF15, 0)</f>
        <v>704.0</v>
      </c>
      <c r="BG20" s="61">
        <f> IF(BG$17 = 1, BG12 * BG15, 0)</f>
        <v>704.0</v>
      </c>
      <c r="BH20" s="61">
        <f> IF(BH$17 = 1, BH12 * BH15, 0)</f>
        <v>704.0</v>
      </c>
      <c r="BI20" s="61">
        <f> IF(BI$17 = 1, BI12 * BI15, 0)</f>
        <v>704.0</v>
      </c>
      <c r="BJ20" s="61">
        <f> IF(BJ$17 = 1, BJ12 * BJ15, 0)</f>
        <v>704.0</v>
      </c>
      <c r="BK20" s="61">
        <f> IF(BK$17 = 1, BK12 * BK15, 0)</f>
        <v>704.0</v>
      </c>
      <c r="BL20" s="61">
        <f> IF(BL$17 = 1, BL12 * BL15, 0)</f>
        <v>704.0</v>
      </c>
      <c r="BM20" s="61">
        <f> IF(BM$17 = 1, BM12 * BM15, 0)</f>
        <v>704.0</v>
      </c>
      <c r="BN20" s="61">
        <f> IF(BN$17 = 1, BN12 * BN15, 0)</f>
        <v>704.0</v>
      </c>
      <c r="BO20" s="61">
        <f> IF(BO$17 = 1, BO12 * BO15, 0)</f>
        <v>704.0</v>
      </c>
      <c r="BP20" s="61">
        <f> IF(BP$17 = 1, BP12 * BP15, 0)</f>
        <v>704.0</v>
      </c>
      <c r="BQ20" s="61">
        <f> IF(BQ$17 = 1, BQ12 * BQ15, 0)</f>
        <v>704.0</v>
      </c>
      <c r="BR20" s="61">
        <f> IF(BR$17 = 1, BR12 * BR15, 0)</f>
        <v>704.0</v>
      </c>
      <c r="BS20" s="61">
        <f> IF(BS$17 = 1, BS12 * BS15, 0)</f>
        <v>704.0</v>
      </c>
      <c r="BT20" s="61">
        <f> IF(BT$17 = 1, BT12 * BT15, 0)</f>
        <v>704.0</v>
      </c>
      <c r="BU20" s="61">
        <f> IF(BU$17 = 1, BU12 * BU15, 0)</f>
        <v>704.0</v>
      </c>
      <c r="BV20" s="61">
        <f> IF(BV$17 = 1, BV12 * BV15, 0)</f>
        <v>704.0</v>
      </c>
      <c r="BW20" s="61">
        <f> IF(BW$17 = 1, BW12 * BW15, 0)</f>
        <v>704.0</v>
      </c>
      <c r="BX20" s="61">
        <f> IF(BX$17 = 1, BX12 * BX15, 0)</f>
        <v>704.0</v>
      </c>
      <c r="BY20" s="61">
        <f> IF(BY$17 = 1, BY12 * BY15, 0)</f>
        <v>704.0</v>
      </c>
      <c r="BZ20" s="61">
        <f> IF(BZ$17 = 1, BZ12 * BZ15, 0)</f>
        <v>704.0</v>
      </c>
      <c r="CA20" s="61">
        <f> IF(CA$17 = 1, CA12 * CA15, 0)</f>
        <v>704.0</v>
      </c>
      <c r="CB20" s="61">
        <f> IF(CB$17 = 1, CB12 * CB15, 0)</f>
        <v>704.0</v>
      </c>
      <c r="CC20" s="61">
        <f> IF(CC$17 = 1, CC12 * CC15, 0)</f>
        <v>704.0</v>
      </c>
      <c r="CD20" s="61">
        <f> IF(CD$17 = 1, CD12 * CD15, 0)</f>
        <v>704.0</v>
      </c>
      <c r="CE20" s="61">
        <f> IF(CE$17 = 1, CE12 * CE15, 0)</f>
        <v>704.0</v>
      </c>
      <c r="CF20" s="61">
        <f> IF(CF$17 = 1, CF12 * CF15, 0)</f>
        <v>704.0</v>
      </c>
      <c r="CG20" s="61">
        <f> IF(CG$17 = 1, CG12 * CG15, 0)</f>
        <v>704.0</v>
      </c>
      <c r="CH20" s="61">
        <f> IF(CH$17 = 1, CH12 * CH15, 0)</f>
        <v>704.0</v>
      </c>
      <c r="CI20" s="61">
        <f> IF(CI$17 = 1, CI12 * CI15, 0)</f>
        <v>704.0</v>
      </c>
      <c r="CJ20" s="61">
        <f> IF(CJ$17 = 1, CJ12 * CJ15, 0)</f>
        <v>704.0</v>
      </c>
      <c r="CK20" s="61">
        <f> IF(CK$17 = 1, CK12 * CK15, 0)</f>
        <v>704.0</v>
      </c>
      <c r="CL20" s="61">
        <f> IF(CL$17 = 1, CL12 * CL15, 0)</f>
        <v>704.0</v>
      </c>
      <c r="CM20" s="61">
        <f> IF(CM$17 = 1, CM12 * CM15, 0)</f>
        <v>704.0</v>
      </c>
      <c r="CN20" s="61">
        <f> IF(CN$17 = 1, CN12 * CN15, 0)</f>
        <v>0.0</v>
      </c>
      <c r="CO20" s="61">
        <f> IF(CO$17 = 1, CO12 * CO15, 0)</f>
        <v>0.0</v>
      </c>
    </row>
    <row r="21" customFormat="1" s="390">
      <c r="A21" s="358" t="n"/>
      <c r="B21" s="358" t="n"/>
      <c r="C21" s="359" t="n"/>
      <c r="D21" s="360" t="n"/>
      <c r="E21" s="390" t="inlineStr">
        <is>
          <t>Arrivals</t>
        </is>
      </c>
      <c r="G21" s="390" t="inlineStr">
        <is>
          <t xml:space="preserve">arrivals </t>
        </is>
      </c>
      <c r="H21" s="390">
        <f> SUM(J21:CO21)</f>
        <v>924648.0</v>
      </c>
      <c r="J21" s="390">
        <f>SUM(J19:J20)</f>
        <v>0.0</v>
      </c>
      <c r="K21" s="390">
        <f>SUM(K19:K20)</f>
        <v>0.0</v>
      </c>
      <c r="L21" s="390">
        <f>SUM(L19:L20)</f>
        <v>11508.0</v>
      </c>
      <c r="M21" s="390">
        <f>SUM(M19:M20)</f>
        <v>11116.0</v>
      </c>
      <c r="N21" s="390">
        <f>SUM(N19:N20)</f>
        <v>11716.0</v>
      </c>
      <c r="O21" s="390">
        <f>SUM(O19:O20)</f>
        <v>11204.0</v>
      </c>
      <c r="P21" s="390">
        <f>SUM(P19:P20)</f>
        <v>11804.0</v>
      </c>
      <c r="Q21" s="390">
        <f>SUM(Q19:Q20)</f>
        <v>11204.0</v>
      </c>
      <c r="R21" s="390">
        <f>SUM(R19:R20)</f>
        <v>11804.0</v>
      </c>
      <c r="S21" s="390">
        <f>SUM(S19:S20)</f>
        <v>11204.0</v>
      </c>
      <c r="T21" s="390">
        <f>SUM(T19:T20)</f>
        <v>11804.0</v>
      </c>
      <c r="U21" s="390">
        <f>SUM(U19:U20)</f>
        <v>11204.0</v>
      </c>
      <c r="V21" s="390">
        <f>SUM(V19:V20)</f>
        <v>11804.0</v>
      </c>
      <c r="W21" s="390">
        <f>SUM(W19:W20)</f>
        <v>11204.0</v>
      </c>
      <c r="X21" s="390">
        <f>SUM(X19:X20)</f>
        <v>11804.0</v>
      </c>
      <c r="Y21" s="390">
        <f>SUM(Y19:Y20)</f>
        <v>11204.0</v>
      </c>
      <c r="Z21" s="390">
        <f>SUM(Z19:Z20)</f>
        <v>11804.0</v>
      </c>
      <c r="AA21" s="390">
        <f>SUM(AA19:AA20)</f>
        <v>11204.0</v>
      </c>
      <c r="AB21" s="390">
        <f>SUM(AB19:AB20)</f>
        <v>11804.0</v>
      </c>
      <c r="AC21" s="390">
        <f>SUM(AC19:AC20)</f>
        <v>11204.0</v>
      </c>
      <c r="AD21" s="390">
        <f>SUM(AD19:AD20)</f>
        <v>11804.0</v>
      </c>
      <c r="AE21" s="390">
        <f>SUM(AE19:AE20)</f>
        <v>11204.0</v>
      </c>
      <c r="AF21" s="390">
        <f>SUM(AF19:AF20)</f>
        <v>11804.0</v>
      </c>
      <c r="AG21" s="390">
        <f>SUM(AG19:AG20)</f>
        <v>11204.0</v>
      </c>
      <c r="AH21" s="390">
        <f>SUM(AH19:AH20)</f>
        <v>11804.0</v>
      </c>
      <c r="AI21" s="390">
        <f>SUM(AI19:AI20)</f>
        <v>11204.0</v>
      </c>
      <c r="AJ21" s="390">
        <f>SUM(AJ19:AJ20)</f>
        <v>11804.0</v>
      </c>
      <c r="AK21" s="390">
        <f>SUM(AK19:AK20)</f>
        <v>11204.0</v>
      </c>
      <c r="AL21" s="390">
        <f>SUM(AL19:AL20)</f>
        <v>11804.0</v>
      </c>
      <c r="AM21" s="390">
        <f>SUM(AM19:AM20)</f>
        <v>11204.0</v>
      </c>
      <c r="AN21" s="390">
        <f>SUM(AN19:AN20)</f>
        <v>11804.0</v>
      </c>
      <c r="AO21" s="390">
        <f>SUM(AO19:AO20)</f>
        <v>11204.0</v>
      </c>
      <c r="AP21" s="390">
        <f>SUM(AP19:AP20)</f>
        <v>11804.0</v>
      </c>
      <c r="AQ21" s="390">
        <f>SUM(AQ19:AQ20)</f>
        <v>11204.0</v>
      </c>
      <c r="AR21" s="390">
        <f>SUM(AR19:AR20)</f>
        <v>11804.0</v>
      </c>
      <c r="AS21" s="390">
        <f>SUM(AS19:AS20)</f>
        <v>11204.0</v>
      </c>
      <c r="AT21" s="390">
        <f>SUM(AT19:AT20)</f>
        <v>11804.0</v>
      </c>
      <c r="AU21" s="390">
        <f>SUM(AU19:AU20)</f>
        <v>11204.0</v>
      </c>
      <c r="AV21" s="390">
        <f>SUM(AV19:AV20)</f>
        <v>11804.0</v>
      </c>
      <c r="AW21" s="390">
        <f>SUM(AW19:AW20)</f>
        <v>11204.0</v>
      </c>
      <c r="AX21" s="390">
        <f>SUM(AX19:AX20)</f>
        <v>11804.0</v>
      </c>
      <c r="AY21" s="390">
        <f>SUM(AY19:AY20)</f>
        <v>11204.0</v>
      </c>
      <c r="AZ21" s="390">
        <f>SUM(AZ19:AZ20)</f>
        <v>11804.0</v>
      </c>
      <c r="BA21" s="390">
        <f>SUM(BA19:BA20)</f>
        <v>11204.0</v>
      </c>
      <c r="BB21" s="390">
        <f>SUM(BB19:BB20)</f>
        <v>11804.0</v>
      </c>
      <c r="BC21" s="390">
        <f>SUM(BC19:BC20)</f>
        <v>11204.0</v>
      </c>
      <c r="BD21" s="390">
        <f>SUM(BD19:BD20)</f>
        <v>11804.0</v>
      </c>
      <c r="BE21" s="390">
        <f>SUM(BE19:BE20)</f>
        <v>11204.0</v>
      </c>
      <c r="BF21" s="390">
        <f>SUM(BF19:BF20)</f>
        <v>11804.0</v>
      </c>
      <c r="BG21" s="390">
        <f>SUM(BG19:BG20)</f>
        <v>11204.0</v>
      </c>
      <c r="BH21" s="390">
        <f>SUM(BH19:BH20)</f>
        <v>11204.0</v>
      </c>
      <c r="BI21" s="390">
        <f>SUM(BI19:BI20)</f>
        <v>11804.0</v>
      </c>
      <c r="BJ21" s="390">
        <f>SUM(BJ19:BJ20)</f>
        <v>11204.0</v>
      </c>
      <c r="BK21" s="390">
        <f>SUM(BK19:BK20)</f>
        <v>11804.0</v>
      </c>
      <c r="BL21" s="390">
        <f>SUM(BL19:BL20)</f>
        <v>11204.0</v>
      </c>
      <c r="BM21" s="390">
        <f>SUM(BM19:BM20)</f>
        <v>11804.0</v>
      </c>
      <c r="BN21" s="390">
        <f>SUM(BN19:BN20)</f>
        <v>11204.0</v>
      </c>
      <c r="BO21" s="390">
        <f>SUM(BO19:BO20)</f>
        <v>11804.0</v>
      </c>
      <c r="BP21" s="390">
        <f>SUM(BP19:BP20)</f>
        <v>11204.0</v>
      </c>
      <c r="BQ21" s="390">
        <f>SUM(BQ19:BQ20)</f>
        <v>11204.0</v>
      </c>
      <c r="BR21" s="390">
        <f>SUM(BR19:BR20)</f>
        <v>11804.0</v>
      </c>
      <c r="BS21" s="390">
        <f>SUM(BS19:BS20)</f>
        <v>11204.0</v>
      </c>
      <c r="BT21" s="390">
        <f>SUM(BT19:BT20)</f>
        <v>11804.0</v>
      </c>
      <c r="BU21" s="390">
        <f>SUM(BU19:BU20)</f>
        <v>11204.0</v>
      </c>
      <c r="BV21" s="390">
        <f>SUM(BV19:BV20)</f>
        <v>11804.0</v>
      </c>
      <c r="BW21" s="390">
        <f>SUM(BW19:BW20)</f>
        <v>11804.0</v>
      </c>
      <c r="BX21" s="390">
        <f>SUM(BX19:BX20)</f>
        <v>11804.0</v>
      </c>
      <c r="BY21" s="390">
        <f>SUM(BY19:BY20)</f>
        <v>11804.0</v>
      </c>
      <c r="BZ21" s="390">
        <f>SUM(BZ19:BZ20)</f>
        <v>11804.0</v>
      </c>
      <c r="CA21" s="390">
        <f>SUM(CA19:CA20)</f>
        <v>11804.0</v>
      </c>
      <c r="CB21" s="390">
        <f>SUM(CB19:CB20)</f>
        <v>11804.0</v>
      </c>
      <c r="CC21" s="390">
        <f>SUM(CC19:CC20)</f>
        <v>11804.0</v>
      </c>
      <c r="CD21" s="390">
        <f>SUM(CD19:CD20)</f>
        <v>11804.0</v>
      </c>
      <c r="CE21" s="390">
        <f>SUM(CE19:CE20)</f>
        <v>11804.0</v>
      </c>
      <c r="CF21" s="390">
        <f>SUM(CF19:CF20)</f>
        <v>11804.0</v>
      </c>
      <c r="CG21" s="390">
        <f>SUM(CG19:CG20)</f>
        <v>11804.0</v>
      </c>
      <c r="CH21" s="390">
        <f>SUM(CH19:CH20)</f>
        <v>11804.0</v>
      </c>
      <c r="CI21" s="390">
        <f>SUM(CI19:CI20)</f>
        <v>11804.0</v>
      </c>
      <c r="CJ21" s="390">
        <f>SUM(CJ19:CJ20)</f>
        <v>11804.0</v>
      </c>
      <c r="CK21" s="390">
        <f>SUM(CK19:CK20)</f>
        <v>11804.0</v>
      </c>
      <c r="CL21" s="390">
        <f>SUM(CL19:CL20)</f>
        <v>11804.0</v>
      </c>
      <c r="CM21" s="390">
        <f>SUM(CM19:CM20)</f>
        <v>11804.0</v>
      </c>
      <c r="CN21" s="390">
        <f>SUM(CN19:CN20)</f>
        <v>0.0</v>
      </c>
      <c r="CO21" s="390">
        <f>SUM(CO19:CO20)</f>
        <v>0.0</v>
      </c>
    </row>
    <row r="23">
      <c r="E23" s="324" t="str">
        <f> InpC!E$31</f>
        <v>Train capacity - domestic </v>
      </c>
      <c r="F23" s="324">
        <f> InpC!F$31</f>
        <v>350.0</v>
      </c>
      <c r="G23" s="324" t="str">
        <f> InpC!G$31</f>
        <v>seats</v>
      </c>
    </row>
    <row r="24">
      <c r="E24" s="324" t="str">
        <f> InpC!E$33</f>
        <v>Train capacity - international </v>
      </c>
      <c r="F24" s="324">
        <f> InpC!F$33</f>
        <v>150.0</v>
      </c>
      <c r="G24" s="324" t="str">
        <f> InpC!G$33</f>
        <v>seats</v>
      </c>
    </row>
    <row r="26">
      <c r="E26" s="336" t="str">
        <f> InpS!E$14</f>
        <v>Occupancy - domestic </v>
      </c>
      <c r="F26" s="336">
        <f> InpS!F$14</f>
        <v>0.0</v>
      </c>
      <c r="G26" s="336" t="str">
        <f> InpS!G$14</f>
        <v>%</v>
      </c>
      <c r="H26" s="336">
        <f> InpS!H$14</f>
        <v>0.0</v>
      </c>
      <c r="I26" s="336">
        <f> InpS!I$14</f>
        <v>0.0</v>
      </c>
      <c r="J26" s="336">
        <f> InpS!J$14</f>
        <v>0.55</v>
      </c>
      <c r="K26" s="336">
        <f> InpS!K$14</f>
        <v>0.55</v>
      </c>
      <c r="L26" s="336">
        <f> InpS!L$14</f>
        <v>0.55</v>
      </c>
      <c r="M26" s="336">
        <f> InpS!M$14</f>
        <v>0.55</v>
      </c>
      <c r="N26" s="336">
        <f> InpS!N$14</f>
        <v>0.55</v>
      </c>
      <c r="O26" s="336">
        <f> InpS!O$14</f>
        <v>0.55</v>
      </c>
      <c r="P26" s="336">
        <f> InpS!P$14</f>
        <v>0.55</v>
      </c>
      <c r="Q26" s="336">
        <f> InpS!Q$14</f>
        <v>0.55</v>
      </c>
      <c r="R26" s="336">
        <f> InpS!R$14</f>
        <v>0.55</v>
      </c>
      <c r="S26" s="336">
        <f> InpS!S$14</f>
        <v>0.55</v>
      </c>
      <c r="T26" s="336">
        <f> InpS!T$14</f>
        <v>0.56</v>
      </c>
      <c r="U26" s="336">
        <f> InpS!U$14</f>
        <v>0.56</v>
      </c>
      <c r="V26" s="336">
        <f> InpS!V$14</f>
        <v>0.56</v>
      </c>
      <c r="W26" s="336">
        <f> InpS!W$14</f>
        <v>0.56</v>
      </c>
      <c r="X26" s="336">
        <f> InpS!X$14</f>
        <v>0.56</v>
      </c>
      <c r="Y26" s="336">
        <f> InpS!Y$14</f>
        <v>0.56</v>
      </c>
      <c r="Z26" s="336">
        <f> InpS!Z$14</f>
        <v>0.56</v>
      </c>
      <c r="AA26" s="336">
        <f> InpS!AA$14</f>
        <v>0.56</v>
      </c>
      <c r="AB26" s="336">
        <f> InpS!AB$14</f>
        <v>0.56</v>
      </c>
      <c r="AC26" s="336">
        <f> InpS!AC$14</f>
        <v>0.56</v>
      </c>
      <c r="AD26" s="336">
        <f> InpS!AD$14</f>
        <v>0.58</v>
      </c>
      <c r="AE26" s="336">
        <f> InpS!AE$14</f>
        <v>0.58</v>
      </c>
      <c r="AF26" s="336">
        <f> InpS!AF$14</f>
        <v>0.58</v>
      </c>
      <c r="AG26" s="336">
        <f> InpS!AG$14</f>
        <v>0.58</v>
      </c>
      <c r="AH26" s="336">
        <f> InpS!AH$14</f>
        <v>0.58</v>
      </c>
      <c r="AI26" s="336">
        <f> InpS!AI$14</f>
        <v>0.58</v>
      </c>
      <c r="AJ26" s="336">
        <f> InpS!AJ$14</f>
        <v>0.58</v>
      </c>
      <c r="AK26" s="336">
        <f> InpS!AK$14</f>
        <v>0.58</v>
      </c>
      <c r="AL26" s="336">
        <f> InpS!AL$14</f>
        <v>0.58</v>
      </c>
      <c r="AM26" s="336">
        <f> InpS!AM$14</f>
        <v>0.6</v>
      </c>
      <c r="AN26" s="336">
        <f> InpS!AN$14</f>
        <v>0.6</v>
      </c>
      <c r="AO26" s="336">
        <f> InpS!AO$14</f>
        <v>0.6</v>
      </c>
      <c r="AP26" s="336">
        <f> InpS!AP$14</f>
        <v>0.6</v>
      </c>
      <c r="AQ26" s="336">
        <f> InpS!AQ$14</f>
        <v>0.6</v>
      </c>
      <c r="AR26" s="336">
        <f> InpS!AR$14</f>
        <v>0.6</v>
      </c>
      <c r="AS26" s="336">
        <f> InpS!AS$14</f>
        <v>0.6</v>
      </c>
      <c r="AT26" s="336">
        <f> InpS!AT$14</f>
        <v>0.6</v>
      </c>
      <c r="AU26" s="336">
        <f> InpS!AU$14</f>
        <v>0.6</v>
      </c>
      <c r="AV26" s="336">
        <f> InpS!AV$14</f>
        <v>0.6</v>
      </c>
      <c r="AW26" s="336">
        <f> InpS!AW$14</f>
        <v>0.6</v>
      </c>
      <c r="AX26" s="336">
        <f> InpS!AX$14</f>
        <v>0.62</v>
      </c>
      <c r="AY26" s="336">
        <f> InpS!AY$14</f>
        <v>0.62</v>
      </c>
      <c r="AZ26" s="336">
        <f> InpS!AZ$14</f>
        <v>0.62</v>
      </c>
      <c r="BA26" s="336">
        <f> InpS!BA$14</f>
        <v>0.62</v>
      </c>
      <c r="BB26" s="336">
        <f> InpS!BB$14</f>
        <v>0.62</v>
      </c>
      <c r="BC26" s="336">
        <f> InpS!BC$14</f>
        <v>0.62</v>
      </c>
      <c r="BD26" s="336">
        <f> InpS!BD$14</f>
        <v>0.62</v>
      </c>
      <c r="BE26" s="336">
        <f> InpS!BE$14</f>
        <v>0.62</v>
      </c>
      <c r="BF26" s="336">
        <f> InpS!BF$14</f>
        <v>0.62</v>
      </c>
      <c r="BG26" s="336">
        <f> InpS!BG$14</f>
        <v>0.62</v>
      </c>
      <c r="BH26" s="336">
        <f> InpS!BH$14</f>
        <v>0.62</v>
      </c>
      <c r="BI26" s="336">
        <f> InpS!BI$14</f>
        <v>0.62</v>
      </c>
      <c r="BJ26" s="336">
        <f> InpS!BJ$14</f>
        <v>0.62</v>
      </c>
      <c r="BK26" s="336">
        <f> InpS!BK$14</f>
        <v>0.62</v>
      </c>
      <c r="BL26" s="336">
        <f> InpS!BL$14</f>
        <v>0.62</v>
      </c>
      <c r="BM26" s="336">
        <f> InpS!BM$14</f>
        <v>0.62</v>
      </c>
      <c r="BN26" s="336">
        <f> InpS!BN$14</f>
        <v>0.62</v>
      </c>
      <c r="BO26" s="336">
        <f> InpS!BO$14</f>
        <v>0.62</v>
      </c>
      <c r="BP26" s="336">
        <f> InpS!BP$14</f>
        <v>0.62</v>
      </c>
      <c r="BQ26" s="336">
        <f> InpS!BQ$14</f>
        <v>0.62</v>
      </c>
      <c r="BR26" s="336">
        <f> InpS!BR$14</f>
        <v>0.62</v>
      </c>
      <c r="BS26" s="336">
        <f> InpS!BS$14</f>
        <v>0.62</v>
      </c>
      <c r="BT26" s="336">
        <f> InpS!BT$14</f>
        <v>0.62</v>
      </c>
      <c r="BU26" s="336">
        <f> InpS!BU$14</f>
        <v>0.62</v>
      </c>
      <c r="BV26" s="336">
        <f> InpS!BV$14</f>
        <v>0.62</v>
      </c>
      <c r="BW26" s="336">
        <f> InpS!BW$14</f>
        <v>0.62</v>
      </c>
      <c r="BX26" s="336">
        <f> InpS!BX$14</f>
        <v>0.62</v>
      </c>
      <c r="BY26" s="336">
        <f> InpS!BY$14</f>
        <v>0.62</v>
      </c>
      <c r="BZ26" s="336">
        <f> InpS!BZ$14</f>
        <v>0.62</v>
      </c>
      <c r="CA26" s="336">
        <f> InpS!CA$14</f>
        <v>0.62</v>
      </c>
      <c r="CB26" s="336">
        <f> InpS!CB$14</f>
        <v>0.62</v>
      </c>
      <c r="CC26" s="336">
        <f> InpS!CC$14</f>
        <v>0.62</v>
      </c>
      <c r="CD26" s="336">
        <f> InpS!CD$14</f>
        <v>0.62</v>
      </c>
      <c r="CE26" s="336">
        <f> InpS!CE$14</f>
        <v>0.62</v>
      </c>
      <c r="CF26" s="336">
        <f> InpS!CF$14</f>
        <v>0.62</v>
      </c>
      <c r="CG26" s="336">
        <f> InpS!CG$14</f>
        <v>0.62</v>
      </c>
      <c r="CH26" s="336">
        <f> InpS!CH$14</f>
        <v>0.62</v>
      </c>
      <c r="CI26" s="336">
        <f> InpS!CI$14</f>
        <v>0.62</v>
      </c>
      <c r="CJ26" s="336">
        <f> InpS!CJ$14</f>
        <v>0.62</v>
      </c>
      <c r="CK26" s="336">
        <f> InpS!CK$14</f>
        <v>0.62</v>
      </c>
      <c r="CL26" s="336">
        <f> InpS!CL$14</f>
        <v>0.62</v>
      </c>
      <c r="CM26" s="336">
        <f> InpS!CM$14</f>
        <v>0.62</v>
      </c>
      <c r="CN26" s="336">
        <f> InpS!CN$14</f>
        <v>0.62</v>
      </c>
      <c r="CO26" s="336">
        <f> InpS!CO$14</f>
        <v>0.62</v>
      </c>
    </row>
    <row r="27">
      <c r="E27" s="337" t="str">
        <f> InpS!E$15</f>
        <v>Occupancy - international </v>
      </c>
      <c r="F27" s="337">
        <f> InpS!F$15</f>
        <v>0.0</v>
      </c>
      <c r="G27" s="337" t="str">
        <f> InpS!G$15</f>
        <v>%</v>
      </c>
      <c r="H27" s="337">
        <f> InpS!H$15</f>
        <v>0.0</v>
      </c>
      <c r="I27" s="337">
        <f> InpS!I$15</f>
        <v>0.0</v>
      </c>
      <c r="J27" s="337">
        <f> InpS!J$15</f>
        <v>0.45</v>
      </c>
      <c r="K27" s="337">
        <f> InpS!K$15</f>
        <v>0.45</v>
      </c>
      <c r="L27" s="337">
        <f> InpS!L$15</f>
        <v>0.45</v>
      </c>
      <c r="M27" s="337">
        <f> InpS!M$15</f>
        <v>0.45</v>
      </c>
      <c r="N27" s="337">
        <f> InpS!N$15</f>
        <v>0.45</v>
      </c>
      <c r="O27" s="337">
        <f> InpS!O$15</f>
        <v>0.45</v>
      </c>
      <c r="P27" s="337">
        <f> InpS!P$15</f>
        <v>0.45</v>
      </c>
      <c r="Q27" s="337">
        <f> InpS!Q$15</f>
        <v>0.45</v>
      </c>
      <c r="R27" s="337">
        <f> InpS!R$15</f>
        <v>0.45</v>
      </c>
      <c r="S27" s="337">
        <f> InpS!S$15</f>
        <v>0.45</v>
      </c>
      <c r="T27" s="337">
        <f> InpS!T$15</f>
        <v>0.45</v>
      </c>
      <c r="U27" s="337">
        <f> InpS!U$15</f>
        <v>0.45</v>
      </c>
      <c r="V27" s="337">
        <f> InpS!V$15</f>
        <v>0.45</v>
      </c>
      <c r="W27" s="337">
        <f> InpS!W$15</f>
        <v>0.45</v>
      </c>
      <c r="X27" s="337">
        <f> InpS!X$15</f>
        <v>0.45</v>
      </c>
      <c r="Y27" s="337">
        <f> InpS!Y$15</f>
        <v>0.45</v>
      </c>
      <c r="Z27" s="337">
        <f> InpS!Z$15</f>
        <v>0.45</v>
      </c>
      <c r="AA27" s="337">
        <f> InpS!AA$15</f>
        <v>0.45</v>
      </c>
      <c r="AB27" s="337">
        <f> InpS!AB$15</f>
        <v>0.45</v>
      </c>
      <c r="AC27" s="337">
        <f> InpS!AC$15</f>
        <v>0.45</v>
      </c>
      <c r="AD27" s="337">
        <f> InpS!AD$15</f>
        <v>0.45</v>
      </c>
      <c r="AE27" s="337">
        <f> InpS!AE$15</f>
        <v>0.45</v>
      </c>
      <c r="AF27" s="337">
        <f> InpS!AF$15</f>
        <v>0.45</v>
      </c>
      <c r="AG27" s="337">
        <f> InpS!AG$15</f>
        <v>0.45</v>
      </c>
      <c r="AH27" s="337">
        <f> InpS!AH$15</f>
        <v>0.45</v>
      </c>
      <c r="AI27" s="337">
        <f> InpS!AI$15</f>
        <v>0.45</v>
      </c>
      <c r="AJ27" s="337">
        <f> InpS!AJ$15</f>
        <v>0.45</v>
      </c>
      <c r="AK27" s="337">
        <f> InpS!AK$15</f>
        <v>0.45</v>
      </c>
      <c r="AL27" s="337">
        <f> InpS!AL$15</f>
        <v>0.45</v>
      </c>
      <c r="AM27" s="337">
        <f> InpS!AM$15</f>
        <v>0.45</v>
      </c>
      <c r="AN27" s="337">
        <f> InpS!AN$15</f>
        <v>0.45</v>
      </c>
      <c r="AO27" s="337">
        <f> InpS!AO$15</f>
        <v>0.45</v>
      </c>
      <c r="AP27" s="337">
        <f> InpS!AP$15</f>
        <v>0.45</v>
      </c>
      <c r="AQ27" s="337">
        <f> InpS!AQ$15</f>
        <v>0.45</v>
      </c>
      <c r="AR27" s="337">
        <f> InpS!AR$15</f>
        <v>0.45</v>
      </c>
      <c r="AS27" s="337">
        <f> InpS!AS$15</f>
        <v>0.45</v>
      </c>
      <c r="AT27" s="337">
        <f> InpS!AT$15</f>
        <v>0.45</v>
      </c>
      <c r="AU27" s="337">
        <f> InpS!AU$15</f>
        <v>0.45</v>
      </c>
      <c r="AV27" s="337">
        <f> InpS!AV$15</f>
        <v>0.45</v>
      </c>
      <c r="AW27" s="337">
        <f> InpS!AW$15</f>
        <v>0.45</v>
      </c>
      <c r="AX27" s="337">
        <f> InpS!AX$15</f>
        <v>0.55</v>
      </c>
      <c r="AY27" s="337">
        <f> InpS!AY$15</f>
        <v>0.55</v>
      </c>
      <c r="AZ27" s="337">
        <f> InpS!AZ$15</f>
        <v>0.55</v>
      </c>
      <c r="BA27" s="337">
        <f> InpS!BA$15</f>
        <v>0.55</v>
      </c>
      <c r="BB27" s="337">
        <f> InpS!BB$15</f>
        <v>0.55</v>
      </c>
      <c r="BC27" s="337">
        <f> InpS!BC$15</f>
        <v>0.55</v>
      </c>
      <c r="BD27" s="337">
        <f> InpS!BD$15</f>
        <v>0.55</v>
      </c>
      <c r="BE27" s="337">
        <f> InpS!BE$15</f>
        <v>0.55</v>
      </c>
      <c r="BF27" s="337">
        <f> InpS!BF$15</f>
        <v>0.55</v>
      </c>
      <c r="BG27" s="337">
        <f> InpS!BG$15</f>
        <v>0.55</v>
      </c>
      <c r="BH27" s="337">
        <f> InpS!BH$15</f>
        <v>0.55</v>
      </c>
      <c r="BI27" s="337">
        <f> InpS!BI$15</f>
        <v>0.55</v>
      </c>
      <c r="BJ27" s="337">
        <f> InpS!BJ$15</f>
        <v>0.55</v>
      </c>
      <c r="BK27" s="337">
        <f> InpS!BK$15</f>
        <v>0.55</v>
      </c>
      <c r="BL27" s="337">
        <f> InpS!BL$15</f>
        <v>0.55</v>
      </c>
      <c r="BM27" s="337">
        <f> InpS!BM$15</f>
        <v>0.55</v>
      </c>
      <c r="BN27" s="337">
        <f> InpS!BN$15</f>
        <v>0.55</v>
      </c>
      <c r="BO27" s="337">
        <f> InpS!BO$15</f>
        <v>0.55</v>
      </c>
      <c r="BP27" s="337">
        <f> InpS!BP$15</f>
        <v>0.55</v>
      </c>
      <c r="BQ27" s="337">
        <f> InpS!BQ$15</f>
        <v>0.55</v>
      </c>
      <c r="BR27" s="337">
        <f> InpS!BR$15</f>
        <v>0.55</v>
      </c>
      <c r="BS27" s="337">
        <f> InpS!BS$15</f>
        <v>0.55</v>
      </c>
      <c r="BT27" s="337">
        <f> InpS!BT$15</f>
        <v>0.55</v>
      </c>
      <c r="BU27" s="337">
        <f> InpS!BU$15</f>
        <v>0.55</v>
      </c>
      <c r="BV27" s="337">
        <f> InpS!BV$15</f>
        <v>0.55</v>
      </c>
      <c r="BW27" s="337">
        <f> InpS!BW$15</f>
        <v>0.55</v>
      </c>
      <c r="BX27" s="337">
        <f> InpS!BX$15</f>
        <v>0.55</v>
      </c>
      <c r="BY27" s="337">
        <f> InpS!BY$15</f>
        <v>0.55</v>
      </c>
      <c r="BZ27" s="337">
        <f> InpS!BZ$15</f>
        <v>0.55</v>
      </c>
      <c r="CA27" s="337">
        <f> InpS!CA$15</f>
        <v>0.55</v>
      </c>
      <c r="CB27" s="337">
        <f> InpS!CB$15</f>
        <v>0.55</v>
      </c>
      <c r="CC27" s="337">
        <f> InpS!CC$15</f>
        <v>0.55</v>
      </c>
      <c r="CD27" s="337">
        <f> InpS!CD$15</f>
        <v>0.55</v>
      </c>
      <c r="CE27" s="337">
        <f> InpS!CE$15</f>
        <v>0.55</v>
      </c>
      <c r="CF27" s="337">
        <f> InpS!CF$15</f>
        <v>0.55</v>
      </c>
      <c r="CG27" s="337">
        <f> InpS!CG$15</f>
        <v>0.55</v>
      </c>
      <c r="CH27" s="337">
        <f> InpS!CH$15</f>
        <v>0.55</v>
      </c>
      <c r="CI27" s="337">
        <f> InpS!CI$15</f>
        <v>0.55</v>
      </c>
      <c r="CJ27" s="337">
        <f> InpS!CJ$15</f>
        <v>0.55</v>
      </c>
      <c r="CK27" s="337">
        <f> InpS!CK$15</f>
        <v>0.55</v>
      </c>
      <c r="CL27" s="337">
        <f> InpS!CL$15</f>
        <v>0.55</v>
      </c>
      <c r="CM27" s="337">
        <f> InpS!CM$15</f>
        <v>0.55</v>
      </c>
      <c r="CN27" s="337">
        <f> InpS!CN$15</f>
        <v>0.55</v>
      </c>
      <c r="CO27" s="337">
        <f> InpS!CO$15</f>
        <v>0.55</v>
      </c>
    </row>
    <row r="29">
      <c r="E29" s="61" t="str">
        <f> E$19</f>
        <v>Arrivals - Domestic</v>
      </c>
      <c r="F29" s="61">
        <f> F$19</f>
        <v>0.0</v>
      </c>
      <c r="G29" s="61" t="str">
        <f> G$19</f>
        <v>arrivals </v>
      </c>
      <c r="H29" s="61">
        <f> H$19</f>
        <v>868800.0</v>
      </c>
      <c r="I29" s="61">
        <f> I$19</f>
        <v>0.0</v>
      </c>
      <c r="J29" s="61">
        <f> J$19</f>
        <v>0.0</v>
      </c>
      <c r="K29" s="61">
        <f> K$19</f>
        <v>0.0</v>
      </c>
      <c r="L29" s="61">
        <f> L$19</f>
        <v>11100.0</v>
      </c>
      <c r="M29" s="61">
        <f> M$19</f>
        <v>10500.0</v>
      </c>
      <c r="N29" s="61">
        <f> N$19</f>
        <v>11100.0</v>
      </c>
      <c r="O29" s="61">
        <f> O$19</f>
        <v>10500.0</v>
      </c>
      <c r="P29" s="61">
        <f> P$19</f>
        <v>11100.0</v>
      </c>
      <c r="Q29" s="61">
        <f> Q$19</f>
        <v>10500.0</v>
      </c>
      <c r="R29" s="61">
        <f> R$19</f>
        <v>11100.0</v>
      </c>
      <c r="S29" s="61">
        <f> S$19</f>
        <v>10500.0</v>
      </c>
      <c r="T29" s="61">
        <f> T$19</f>
        <v>11100.0</v>
      </c>
      <c r="U29" s="61">
        <f> U$19</f>
        <v>10500.0</v>
      </c>
      <c r="V29" s="61">
        <f> V$19</f>
        <v>11100.0</v>
      </c>
      <c r="W29" s="61">
        <f> W$19</f>
        <v>10500.0</v>
      </c>
      <c r="X29" s="61">
        <f> X$19</f>
        <v>11100.0</v>
      </c>
      <c r="Y29" s="61">
        <f> Y$19</f>
        <v>10500.0</v>
      </c>
      <c r="Z29" s="61">
        <f> Z$19</f>
        <v>11100.0</v>
      </c>
      <c r="AA29" s="61">
        <f> AA$19</f>
        <v>10500.0</v>
      </c>
      <c r="AB29" s="61">
        <f> AB$19</f>
        <v>11100.0</v>
      </c>
      <c r="AC29" s="61">
        <f> AC$19</f>
        <v>10500.0</v>
      </c>
      <c r="AD29" s="61">
        <f> AD$19</f>
        <v>11100.0</v>
      </c>
      <c r="AE29" s="61">
        <f> AE$19</f>
        <v>10500.0</v>
      </c>
      <c r="AF29" s="61">
        <f> AF$19</f>
        <v>11100.0</v>
      </c>
      <c r="AG29" s="61">
        <f> AG$19</f>
        <v>10500.0</v>
      </c>
      <c r="AH29" s="61">
        <f> AH$19</f>
        <v>11100.0</v>
      </c>
      <c r="AI29" s="61">
        <f> AI$19</f>
        <v>10500.0</v>
      </c>
      <c r="AJ29" s="61">
        <f> AJ$19</f>
        <v>11100.0</v>
      </c>
      <c r="AK29" s="61">
        <f> AK$19</f>
        <v>10500.0</v>
      </c>
      <c r="AL29" s="61">
        <f> AL$19</f>
        <v>11100.0</v>
      </c>
      <c r="AM29" s="61">
        <f> AM$19</f>
        <v>10500.0</v>
      </c>
      <c r="AN29" s="61">
        <f> AN$19</f>
        <v>11100.0</v>
      </c>
      <c r="AO29" s="61">
        <f> AO$19</f>
        <v>10500.0</v>
      </c>
      <c r="AP29" s="61">
        <f> AP$19</f>
        <v>11100.0</v>
      </c>
      <c r="AQ29" s="61">
        <f> AQ$19</f>
        <v>10500.0</v>
      </c>
      <c r="AR29" s="61">
        <f> AR$19</f>
        <v>11100.0</v>
      </c>
      <c r="AS29" s="61">
        <f> AS$19</f>
        <v>10500.0</v>
      </c>
      <c r="AT29" s="61">
        <f> AT$19</f>
        <v>11100.0</v>
      </c>
      <c r="AU29" s="61">
        <f> AU$19</f>
        <v>10500.0</v>
      </c>
      <c r="AV29" s="61">
        <f> AV$19</f>
        <v>11100.0</v>
      </c>
      <c r="AW29" s="61">
        <f> AW$19</f>
        <v>10500.0</v>
      </c>
      <c r="AX29" s="61">
        <f> AX$19</f>
        <v>11100.0</v>
      </c>
      <c r="AY29" s="61">
        <f> AY$19</f>
        <v>10500.0</v>
      </c>
      <c r="AZ29" s="61">
        <f> AZ$19</f>
        <v>11100.0</v>
      </c>
      <c r="BA29" s="61">
        <f> BA$19</f>
        <v>10500.0</v>
      </c>
      <c r="BB29" s="61">
        <f> BB$19</f>
        <v>11100.0</v>
      </c>
      <c r="BC29" s="61">
        <f> BC$19</f>
        <v>10500.0</v>
      </c>
      <c r="BD29" s="61">
        <f> BD$19</f>
        <v>11100.0</v>
      </c>
      <c r="BE29" s="61">
        <f> BE$19</f>
        <v>10500.0</v>
      </c>
      <c r="BF29" s="61">
        <f> BF$19</f>
        <v>11100.0</v>
      </c>
      <c r="BG29" s="61">
        <f> BG$19</f>
        <v>10500.0</v>
      </c>
      <c r="BH29" s="61">
        <f> BH$19</f>
        <v>10500.0</v>
      </c>
      <c r="BI29" s="61">
        <f> BI$19</f>
        <v>11100.0</v>
      </c>
      <c r="BJ29" s="61">
        <f> BJ$19</f>
        <v>10500.0</v>
      </c>
      <c r="BK29" s="61">
        <f> BK$19</f>
        <v>11100.0</v>
      </c>
      <c r="BL29" s="61">
        <f> BL$19</f>
        <v>10500.0</v>
      </c>
      <c r="BM29" s="61">
        <f> BM$19</f>
        <v>11100.0</v>
      </c>
      <c r="BN29" s="61">
        <f> BN$19</f>
        <v>10500.0</v>
      </c>
      <c r="BO29" s="61">
        <f> BO$19</f>
        <v>11100.0</v>
      </c>
      <c r="BP29" s="61">
        <f> BP$19</f>
        <v>10500.0</v>
      </c>
      <c r="BQ29" s="61">
        <f> BQ$19</f>
        <v>10500.0</v>
      </c>
      <c r="BR29" s="61">
        <f> BR$19</f>
        <v>11100.0</v>
      </c>
      <c r="BS29" s="61">
        <f> BS$19</f>
        <v>10500.0</v>
      </c>
      <c r="BT29" s="61">
        <f> BT$19</f>
        <v>11100.0</v>
      </c>
      <c r="BU29" s="61">
        <f> BU$19</f>
        <v>10500.0</v>
      </c>
      <c r="BV29" s="61">
        <f> BV$19</f>
        <v>11100.0</v>
      </c>
      <c r="BW29" s="61">
        <f> BW$19</f>
        <v>11100.0</v>
      </c>
      <c r="BX29" s="61">
        <f> BX$19</f>
        <v>11100.0</v>
      </c>
      <c r="BY29" s="61">
        <f> BY$19</f>
        <v>11100.0</v>
      </c>
      <c r="BZ29" s="61">
        <f> BZ$19</f>
        <v>11100.0</v>
      </c>
      <c r="CA29" s="61">
        <f> CA$19</f>
        <v>11100.0</v>
      </c>
      <c r="CB29" s="61">
        <f> CB$19</f>
        <v>11100.0</v>
      </c>
      <c r="CC29" s="61">
        <f> CC$19</f>
        <v>11100.0</v>
      </c>
      <c r="CD29" s="61">
        <f> CD$19</f>
        <v>11100.0</v>
      </c>
      <c r="CE29" s="61">
        <f> CE$19</f>
        <v>11100.0</v>
      </c>
      <c r="CF29" s="61">
        <f> CF$19</f>
        <v>11100.0</v>
      </c>
      <c r="CG29" s="61">
        <f> CG$19</f>
        <v>11100.0</v>
      </c>
      <c r="CH29" s="61">
        <f> CH$19</f>
        <v>11100.0</v>
      </c>
      <c r="CI29" s="61">
        <f> CI$19</f>
        <v>11100.0</v>
      </c>
      <c r="CJ29" s="61">
        <f> CJ$19</f>
        <v>11100.0</v>
      </c>
      <c r="CK29" s="61">
        <f> CK$19</f>
        <v>11100.0</v>
      </c>
      <c r="CL29" s="61">
        <f> CL$19</f>
        <v>11100.0</v>
      </c>
      <c r="CM29" s="61">
        <f> CM$19</f>
        <v>11100.0</v>
      </c>
      <c r="CN29" s="61">
        <f> CN$19</f>
        <v>0.0</v>
      </c>
      <c r="CO29" s="61">
        <f> CO$19</f>
        <v>0.0</v>
      </c>
    </row>
    <row r="30">
      <c r="E30" s="61" t="str">
        <f> E$20</f>
        <v>Arrivals - International </v>
      </c>
      <c r="F30" s="61">
        <f> F$20</f>
        <v>0.0</v>
      </c>
      <c r="G30" s="61" t="str">
        <f> G$20</f>
        <v>arrivals </v>
      </c>
      <c r="H30" s="61">
        <f> H$20</f>
        <v>55848.0</v>
      </c>
      <c r="I30" s="61">
        <f> I$20</f>
        <v>0.0</v>
      </c>
      <c r="J30" s="61">
        <f> J$20</f>
        <v>0.0</v>
      </c>
      <c r="K30" s="61">
        <f> K$20</f>
        <v>0.0</v>
      </c>
      <c r="L30" s="61">
        <f> L$20</f>
        <v>408.0</v>
      </c>
      <c r="M30" s="61">
        <f> M$20</f>
        <v>616.0</v>
      </c>
      <c r="N30" s="61">
        <f> N$20</f>
        <v>616.0</v>
      </c>
      <c r="O30" s="61">
        <f> O$20</f>
        <v>704.0</v>
      </c>
      <c r="P30" s="61">
        <f> P$20</f>
        <v>704.0</v>
      </c>
      <c r="Q30" s="61">
        <f> Q$20</f>
        <v>704.0</v>
      </c>
      <c r="R30" s="61">
        <f> R$20</f>
        <v>704.0</v>
      </c>
      <c r="S30" s="61">
        <f> S$20</f>
        <v>704.0</v>
      </c>
      <c r="T30" s="61">
        <f> T$20</f>
        <v>704.0</v>
      </c>
      <c r="U30" s="61">
        <f> U$20</f>
        <v>704.0</v>
      </c>
      <c r="V30" s="61">
        <f> V$20</f>
        <v>704.0</v>
      </c>
      <c r="W30" s="61">
        <f> W$20</f>
        <v>704.0</v>
      </c>
      <c r="X30" s="61">
        <f> X$20</f>
        <v>704.0</v>
      </c>
      <c r="Y30" s="61">
        <f> Y$20</f>
        <v>704.0</v>
      </c>
      <c r="Z30" s="61">
        <f> Z$20</f>
        <v>704.0</v>
      </c>
      <c r="AA30" s="61">
        <f> AA$20</f>
        <v>704.0</v>
      </c>
      <c r="AB30" s="61">
        <f> AB$20</f>
        <v>704.0</v>
      </c>
      <c r="AC30" s="61">
        <f> AC$20</f>
        <v>704.0</v>
      </c>
      <c r="AD30" s="61">
        <f> AD$20</f>
        <v>704.0</v>
      </c>
      <c r="AE30" s="61">
        <f> AE$20</f>
        <v>704.0</v>
      </c>
      <c r="AF30" s="61">
        <f> AF$20</f>
        <v>704.0</v>
      </c>
      <c r="AG30" s="61">
        <f> AG$20</f>
        <v>704.0</v>
      </c>
      <c r="AH30" s="61">
        <f> AH$20</f>
        <v>704.0</v>
      </c>
      <c r="AI30" s="61">
        <f> AI$20</f>
        <v>704.0</v>
      </c>
      <c r="AJ30" s="61">
        <f> AJ$20</f>
        <v>704.0</v>
      </c>
      <c r="AK30" s="61">
        <f> AK$20</f>
        <v>704.0</v>
      </c>
      <c r="AL30" s="61">
        <f> AL$20</f>
        <v>704.0</v>
      </c>
      <c r="AM30" s="61">
        <f> AM$20</f>
        <v>704.0</v>
      </c>
      <c r="AN30" s="61">
        <f> AN$20</f>
        <v>704.0</v>
      </c>
      <c r="AO30" s="61">
        <f> AO$20</f>
        <v>704.0</v>
      </c>
      <c r="AP30" s="61">
        <f> AP$20</f>
        <v>704.0</v>
      </c>
      <c r="AQ30" s="61">
        <f> AQ$20</f>
        <v>704.0</v>
      </c>
      <c r="AR30" s="61">
        <f> AR$20</f>
        <v>704.0</v>
      </c>
      <c r="AS30" s="61">
        <f> AS$20</f>
        <v>704.0</v>
      </c>
      <c r="AT30" s="61">
        <f> AT$20</f>
        <v>704.0</v>
      </c>
      <c r="AU30" s="61">
        <f> AU$20</f>
        <v>704.0</v>
      </c>
      <c r="AV30" s="61">
        <f> AV$20</f>
        <v>704.0</v>
      </c>
      <c r="AW30" s="61">
        <f> AW$20</f>
        <v>704.0</v>
      </c>
      <c r="AX30" s="61">
        <f> AX$20</f>
        <v>704.0</v>
      </c>
      <c r="AY30" s="61">
        <f> AY$20</f>
        <v>704.0</v>
      </c>
      <c r="AZ30" s="61">
        <f> AZ$20</f>
        <v>704.0</v>
      </c>
      <c r="BA30" s="61">
        <f> BA$20</f>
        <v>704.0</v>
      </c>
      <c r="BB30" s="61">
        <f> BB$20</f>
        <v>704.0</v>
      </c>
      <c r="BC30" s="61">
        <f> BC$20</f>
        <v>704.0</v>
      </c>
      <c r="BD30" s="61">
        <f> BD$20</f>
        <v>704.0</v>
      </c>
      <c r="BE30" s="61">
        <f> BE$20</f>
        <v>704.0</v>
      </c>
      <c r="BF30" s="61">
        <f> BF$20</f>
        <v>704.0</v>
      </c>
      <c r="BG30" s="61">
        <f> BG$20</f>
        <v>704.0</v>
      </c>
      <c r="BH30" s="61">
        <f> BH$20</f>
        <v>704.0</v>
      </c>
      <c r="BI30" s="61">
        <f> BI$20</f>
        <v>704.0</v>
      </c>
      <c r="BJ30" s="61">
        <f> BJ$20</f>
        <v>704.0</v>
      </c>
      <c r="BK30" s="61">
        <f> BK$20</f>
        <v>704.0</v>
      </c>
      <c r="BL30" s="61">
        <f> BL$20</f>
        <v>704.0</v>
      </c>
      <c r="BM30" s="61">
        <f> BM$20</f>
        <v>704.0</v>
      </c>
      <c r="BN30" s="61">
        <f> BN$20</f>
        <v>704.0</v>
      </c>
      <c r="BO30" s="61">
        <f> BO$20</f>
        <v>704.0</v>
      </c>
      <c r="BP30" s="61">
        <f> BP$20</f>
        <v>704.0</v>
      </c>
      <c r="BQ30" s="61">
        <f> BQ$20</f>
        <v>704.0</v>
      </c>
      <c r="BR30" s="61">
        <f> BR$20</f>
        <v>704.0</v>
      </c>
      <c r="BS30" s="61">
        <f> BS$20</f>
        <v>704.0</v>
      </c>
      <c r="BT30" s="61">
        <f> BT$20</f>
        <v>704.0</v>
      </c>
      <c r="BU30" s="61">
        <f> BU$20</f>
        <v>704.0</v>
      </c>
      <c r="BV30" s="61">
        <f> BV$20</f>
        <v>704.0</v>
      </c>
      <c r="BW30" s="61">
        <f> BW$20</f>
        <v>704.0</v>
      </c>
      <c r="BX30" s="61">
        <f> BX$20</f>
        <v>704.0</v>
      </c>
      <c r="BY30" s="61">
        <f> BY$20</f>
        <v>704.0</v>
      </c>
      <c r="BZ30" s="61">
        <f> BZ$20</f>
        <v>704.0</v>
      </c>
      <c r="CA30" s="61">
        <f> CA$20</f>
        <v>704.0</v>
      </c>
      <c r="CB30" s="61">
        <f> CB$20</f>
        <v>704.0</v>
      </c>
      <c r="CC30" s="61">
        <f> CC$20</f>
        <v>704.0</v>
      </c>
      <c r="CD30" s="61">
        <f> CD$20</f>
        <v>704.0</v>
      </c>
      <c r="CE30" s="61">
        <f> CE$20</f>
        <v>704.0</v>
      </c>
      <c r="CF30" s="61">
        <f> CF$20</f>
        <v>704.0</v>
      </c>
      <c r="CG30" s="61">
        <f> CG$20</f>
        <v>704.0</v>
      </c>
      <c r="CH30" s="61">
        <f> CH$20</f>
        <v>704.0</v>
      </c>
      <c r="CI30" s="61">
        <f> CI$20</f>
        <v>704.0</v>
      </c>
      <c r="CJ30" s="61">
        <f> CJ$20</f>
        <v>704.0</v>
      </c>
      <c r="CK30" s="61">
        <f> CK$20</f>
        <v>704.0</v>
      </c>
      <c r="CL30" s="61">
        <f> CL$20</f>
        <v>704.0</v>
      </c>
      <c r="CM30" s="61">
        <f> CM$20</f>
        <v>704.0</v>
      </c>
      <c r="CN30" s="61">
        <f> CN$20</f>
        <v>0.0</v>
      </c>
      <c r="CO30" s="61">
        <f> CO$20</f>
        <v>0.0</v>
      </c>
    </row>
    <row r="32">
      <c r="E32" s="61" t="inlineStr">
        <is>
          <t>Passengers - domestic</t>
        </is>
      </c>
      <c r="G32" s="61" t="inlineStr">
        <is>
          <t>pax</t>
        </is>
      </c>
      <c r="H32" s="61">
        <f> SUM(J32:CO32)</f>
        <v>181950300.0</v>
      </c>
      <c r="J32" s="61">
        <f> $F23 * J26 * J29</f>
        <v>0.0</v>
      </c>
      <c r="K32" s="61">
        <f> $F23 * K26 * K29</f>
        <v>0.0</v>
      </c>
      <c r="L32" s="61">
        <f> $F23 * L26 * L29</f>
        <v>2136750.0000000005</v>
      </c>
      <c r="M32" s="61">
        <f> $F23 * M26 * M29</f>
        <v>2021250.0000000002</v>
      </c>
      <c r="N32" s="61">
        <f> $F23 * N26 * N29</f>
        <v>2136750.0000000005</v>
      </c>
      <c r="O32" s="61">
        <f> $F23 * O26 * O29</f>
        <v>2021250.0000000002</v>
      </c>
      <c r="P32" s="61">
        <f> $F23 * P26 * P29</f>
        <v>2136750.0000000005</v>
      </c>
      <c r="Q32" s="61">
        <f> $F23 * Q26 * Q29</f>
        <v>2021250.0000000002</v>
      </c>
      <c r="R32" s="61">
        <f> $F23 * R26 * R29</f>
        <v>2136750.0000000005</v>
      </c>
      <c r="S32" s="61">
        <f> $F23 * S26 * S29</f>
        <v>2021250.0000000002</v>
      </c>
      <c r="T32" s="61">
        <f> $F23 * T26 * T29</f>
        <v>2175600.0000000005</v>
      </c>
      <c r="U32" s="61">
        <f> $F23 * U26 * U29</f>
        <v>2058000.0000000002</v>
      </c>
      <c r="V32" s="61">
        <f> $F23 * V26 * V29</f>
        <v>2175600.0000000005</v>
      </c>
      <c r="W32" s="61">
        <f> $F23 * W26 * W29</f>
        <v>2058000.0000000002</v>
      </c>
      <c r="X32" s="61">
        <f> $F23 * X26 * X29</f>
        <v>2175600.0000000005</v>
      </c>
      <c r="Y32" s="61">
        <f> $F23 * Y26 * Y29</f>
        <v>2058000.0000000002</v>
      </c>
      <c r="Z32" s="61">
        <f> $F23 * Z26 * Z29</f>
        <v>2175600.0000000005</v>
      </c>
      <c r="AA32" s="61">
        <f> $F23 * AA26 * AA29</f>
        <v>2058000.0000000002</v>
      </c>
      <c r="AB32" s="61">
        <f> $F23 * AB26 * AB29</f>
        <v>2175600.0000000005</v>
      </c>
      <c r="AC32" s="61">
        <f> $F23 * AC26 * AC29</f>
        <v>2058000.0000000002</v>
      </c>
      <c r="AD32" s="61">
        <f> $F23 * AD26 * AD29</f>
        <v>2253300.0</v>
      </c>
      <c r="AE32" s="61">
        <f> $F23 * AE26 * AE29</f>
        <v>2131500.0</v>
      </c>
      <c r="AF32" s="61">
        <f> $F23 * AF26 * AF29</f>
        <v>2253300.0</v>
      </c>
      <c r="AG32" s="61">
        <f> $F23 * AG26 * AG29</f>
        <v>2131500.0</v>
      </c>
      <c r="AH32" s="61">
        <f> $F23 * AH26 * AH29</f>
        <v>2253300.0</v>
      </c>
      <c r="AI32" s="61">
        <f> $F23 * AI26 * AI29</f>
        <v>2131500.0</v>
      </c>
      <c r="AJ32" s="61">
        <f> $F23 * AJ26 * AJ29</f>
        <v>2253300.0</v>
      </c>
      <c r="AK32" s="61">
        <f> $F23 * AK26 * AK29</f>
        <v>2131500.0</v>
      </c>
      <c r="AL32" s="61">
        <f> $F23 * AL26 * AL29</f>
        <v>2253300.0</v>
      </c>
      <c r="AM32" s="61">
        <f> $F23 * AM26 * AM29</f>
        <v>2205000.0</v>
      </c>
      <c r="AN32" s="61">
        <f> $F23 * AN26 * AN29</f>
        <v>2331000.0</v>
      </c>
      <c r="AO32" s="61">
        <f> $F23 * AO26 * AO29</f>
        <v>2205000.0</v>
      </c>
      <c r="AP32" s="61">
        <f> $F23 * AP26 * AP29</f>
        <v>2331000.0</v>
      </c>
      <c r="AQ32" s="61">
        <f> $F23 * AQ26 * AQ29</f>
        <v>2205000.0</v>
      </c>
      <c r="AR32" s="61">
        <f> $F23 * AR26 * AR29</f>
        <v>2331000.0</v>
      </c>
      <c r="AS32" s="61">
        <f> $F23 * AS26 * AS29</f>
        <v>2205000.0</v>
      </c>
      <c r="AT32" s="61">
        <f> $F23 * AT26 * AT29</f>
        <v>2331000.0</v>
      </c>
      <c r="AU32" s="61">
        <f> $F23 * AU26 * AU29</f>
        <v>2205000.0</v>
      </c>
      <c r="AV32" s="61">
        <f> $F23 * AV26 * AV29</f>
        <v>2331000.0</v>
      </c>
      <c r="AW32" s="61">
        <f> $F23 * AW26 * AW29</f>
        <v>2205000.0</v>
      </c>
      <c r="AX32" s="61">
        <f> $F23 * AX26 * AX29</f>
        <v>2408700.0</v>
      </c>
      <c r="AY32" s="61">
        <f> $F23 * AY26 * AY29</f>
        <v>2278500.0</v>
      </c>
      <c r="AZ32" s="61">
        <f> $F23 * AZ26 * AZ29</f>
        <v>2408700.0</v>
      </c>
      <c r="BA32" s="61">
        <f> $F23 * BA26 * BA29</f>
        <v>2278500.0</v>
      </c>
      <c r="BB32" s="61">
        <f> $F23 * BB26 * BB29</f>
        <v>2408700.0</v>
      </c>
      <c r="BC32" s="61">
        <f> $F23 * BC26 * BC29</f>
        <v>2278500.0</v>
      </c>
      <c r="BD32" s="61">
        <f> $F23 * BD26 * BD29</f>
        <v>2408700.0</v>
      </c>
      <c r="BE32" s="61">
        <f> $F23 * BE26 * BE29</f>
        <v>2278500.0</v>
      </c>
      <c r="BF32" s="61">
        <f> $F23 * BF26 * BF29</f>
        <v>2408700.0</v>
      </c>
      <c r="BG32" s="61">
        <f> $F23 * BG26 * BG29</f>
        <v>2278500.0</v>
      </c>
      <c r="BH32" s="61">
        <f> $F23 * BH26 * BH29</f>
        <v>2278500.0</v>
      </c>
      <c r="BI32" s="61">
        <f> $F23 * BI26 * BI29</f>
        <v>2408700.0</v>
      </c>
      <c r="BJ32" s="61">
        <f> $F23 * BJ26 * BJ29</f>
        <v>2278500.0</v>
      </c>
      <c r="BK32" s="61">
        <f> $F23 * BK26 * BK29</f>
        <v>2408700.0</v>
      </c>
      <c r="BL32" s="61">
        <f> $F23 * BL26 * BL29</f>
        <v>2278500.0</v>
      </c>
      <c r="BM32" s="61">
        <f> $F23 * BM26 * BM29</f>
        <v>2408700.0</v>
      </c>
      <c r="BN32" s="61">
        <f> $F23 * BN26 * BN29</f>
        <v>2278500.0</v>
      </c>
      <c r="BO32" s="61">
        <f> $F23 * BO26 * BO29</f>
        <v>2408700.0</v>
      </c>
      <c r="BP32" s="61">
        <f> $F23 * BP26 * BP29</f>
        <v>2278500.0</v>
      </c>
      <c r="BQ32" s="61">
        <f> $F23 * BQ26 * BQ29</f>
        <v>2278500.0</v>
      </c>
      <c r="BR32" s="61">
        <f> $F23 * BR26 * BR29</f>
        <v>2408700.0</v>
      </c>
      <c r="BS32" s="61">
        <f> $F23 * BS26 * BS29</f>
        <v>2278500.0</v>
      </c>
      <c r="BT32" s="61">
        <f> $F23 * BT26 * BT29</f>
        <v>2408700.0</v>
      </c>
      <c r="BU32" s="61">
        <f> $F23 * BU26 * BU29</f>
        <v>2278500.0</v>
      </c>
      <c r="BV32" s="61">
        <f> $F23 * BV26 * BV29</f>
        <v>2408700.0</v>
      </c>
      <c r="BW32" s="61">
        <f> $F23 * BW26 * BW29</f>
        <v>2408700.0</v>
      </c>
      <c r="BX32" s="61">
        <f> $F23 * BX26 * BX29</f>
        <v>2408700.0</v>
      </c>
      <c r="BY32" s="61">
        <f> $F23 * BY26 * BY29</f>
        <v>2408700.0</v>
      </c>
      <c r="BZ32" s="61">
        <f> $F23 * BZ26 * BZ29</f>
        <v>2408700.0</v>
      </c>
      <c r="CA32" s="61">
        <f> $F23 * CA26 * CA29</f>
        <v>2408700.0</v>
      </c>
      <c r="CB32" s="61">
        <f> $F23 * CB26 * CB29</f>
        <v>2408700.0</v>
      </c>
      <c r="CC32" s="61">
        <f> $F23 * CC26 * CC29</f>
        <v>2408700.0</v>
      </c>
      <c r="CD32" s="61">
        <f> $F23 * CD26 * CD29</f>
        <v>2408700.0</v>
      </c>
      <c r="CE32" s="61">
        <f> $F23 * CE26 * CE29</f>
        <v>2408700.0</v>
      </c>
      <c r="CF32" s="61">
        <f> $F23 * CF26 * CF29</f>
        <v>2408700.0</v>
      </c>
      <c r="CG32" s="61">
        <f> $F23 * CG26 * CG29</f>
        <v>2408700.0</v>
      </c>
      <c r="CH32" s="61">
        <f> $F23 * CH26 * CH29</f>
        <v>2408700.0</v>
      </c>
      <c r="CI32" s="61">
        <f> $F23 * CI26 * CI29</f>
        <v>2408700.0</v>
      </c>
      <c r="CJ32" s="61">
        <f> $F23 * CJ26 * CJ29</f>
        <v>2408700.0</v>
      </c>
      <c r="CK32" s="61">
        <f> $F23 * CK26 * CK29</f>
        <v>2408700.0</v>
      </c>
      <c r="CL32" s="61">
        <f> $F23 * CL26 * CL29</f>
        <v>2408700.0</v>
      </c>
      <c r="CM32" s="61">
        <f> $F23 * CM26 * CM29</f>
        <v>2408700.0</v>
      </c>
      <c r="CN32" s="61">
        <f> $F23 * CN26 * CN29</f>
        <v>0.0</v>
      </c>
      <c r="CO32" s="61">
        <f> $F23 * CO26 * CO29</f>
        <v>0.0</v>
      </c>
    </row>
    <row r="33">
      <c r="E33" s="61" t="inlineStr">
        <is>
          <t xml:space="preserve">Passengers - international </t>
        </is>
      </c>
      <c r="G33" s="61" t="inlineStr">
        <is>
          <t>pax</t>
        </is>
      </c>
      <c r="H33" s="61">
        <f> SUM(J33:CO33)</f>
        <v>4213260.0</v>
      </c>
      <c r="J33" s="61">
        <f> $F24 * J27 * J30</f>
        <v>0.0</v>
      </c>
      <c r="K33" s="61">
        <f> $F24 * K27 * K30</f>
        <v>0.0</v>
      </c>
      <c r="L33" s="61">
        <f> $F24 * L27 * L30</f>
        <v>27540.0</v>
      </c>
      <c r="M33" s="61">
        <f> $F24 * M27 * M30</f>
        <v>41580.0</v>
      </c>
      <c r="N33" s="61">
        <f> $F24 * N27 * N30</f>
        <v>41580.0</v>
      </c>
      <c r="O33" s="61">
        <f> $F24 * O27 * O30</f>
        <v>47520.0</v>
      </c>
      <c r="P33" s="61">
        <f> $F24 * P27 * P30</f>
        <v>47520.0</v>
      </c>
      <c r="Q33" s="61">
        <f> $F24 * Q27 * Q30</f>
        <v>47520.0</v>
      </c>
      <c r="R33" s="61">
        <f> $F24 * R27 * R30</f>
        <v>47520.0</v>
      </c>
      <c r="S33" s="61">
        <f> $F24 * S27 * S30</f>
        <v>47520.0</v>
      </c>
      <c r="T33" s="61">
        <f> $F24 * T27 * T30</f>
        <v>47520.0</v>
      </c>
      <c r="U33" s="61">
        <f> $F24 * U27 * U30</f>
        <v>47520.0</v>
      </c>
      <c r="V33" s="61">
        <f> $F24 * V27 * V30</f>
        <v>47520.0</v>
      </c>
      <c r="W33" s="61">
        <f> $F24 * W27 * W30</f>
        <v>47520.0</v>
      </c>
      <c r="X33" s="61">
        <f> $F24 * X27 * X30</f>
        <v>47520.0</v>
      </c>
      <c r="Y33" s="61">
        <f> $F24 * Y27 * Y30</f>
        <v>47520.0</v>
      </c>
      <c r="Z33" s="61">
        <f> $F24 * Z27 * Z30</f>
        <v>47520.0</v>
      </c>
      <c r="AA33" s="61">
        <f> $F24 * AA27 * AA30</f>
        <v>47520.0</v>
      </c>
      <c r="AB33" s="61">
        <f> $F24 * AB27 * AB30</f>
        <v>47520.0</v>
      </c>
      <c r="AC33" s="61">
        <f> $F24 * AC27 * AC30</f>
        <v>47520.0</v>
      </c>
      <c r="AD33" s="61">
        <f> $F24 * AD27 * AD30</f>
        <v>47520.0</v>
      </c>
      <c r="AE33" s="61">
        <f> $F24 * AE27 * AE30</f>
        <v>47520.0</v>
      </c>
      <c r="AF33" s="61">
        <f> $F24 * AF27 * AF30</f>
        <v>47520.0</v>
      </c>
      <c r="AG33" s="61">
        <f> $F24 * AG27 * AG30</f>
        <v>47520.0</v>
      </c>
      <c r="AH33" s="61">
        <f> $F24 * AH27 * AH30</f>
        <v>47520.0</v>
      </c>
      <c r="AI33" s="61">
        <f> $F24 * AI27 * AI30</f>
        <v>47520.0</v>
      </c>
      <c r="AJ33" s="61">
        <f> $F24 * AJ27 * AJ30</f>
        <v>47520.0</v>
      </c>
      <c r="AK33" s="61">
        <f> $F24 * AK27 * AK30</f>
        <v>47520.0</v>
      </c>
      <c r="AL33" s="61">
        <f> $F24 * AL27 * AL30</f>
        <v>47520.0</v>
      </c>
      <c r="AM33" s="61">
        <f> $F24 * AM27 * AM30</f>
        <v>47520.0</v>
      </c>
      <c r="AN33" s="61">
        <f> $F24 * AN27 * AN30</f>
        <v>47520.0</v>
      </c>
      <c r="AO33" s="61">
        <f> $F24 * AO27 * AO30</f>
        <v>47520.0</v>
      </c>
      <c r="AP33" s="61">
        <f> $F24 * AP27 * AP30</f>
        <v>47520.0</v>
      </c>
      <c r="AQ33" s="61">
        <f> $F24 * AQ27 * AQ30</f>
        <v>47520.0</v>
      </c>
      <c r="AR33" s="61">
        <f> $F24 * AR27 * AR30</f>
        <v>47520.0</v>
      </c>
      <c r="AS33" s="61">
        <f> $F24 * AS27 * AS30</f>
        <v>47520.0</v>
      </c>
      <c r="AT33" s="61">
        <f> $F24 * AT27 * AT30</f>
        <v>47520.0</v>
      </c>
      <c r="AU33" s="61">
        <f> $F24 * AU27 * AU30</f>
        <v>47520.0</v>
      </c>
      <c r="AV33" s="61">
        <f> $F24 * AV27 * AV30</f>
        <v>47520.0</v>
      </c>
      <c r="AW33" s="61">
        <f> $F24 * AW27 * AW30</f>
        <v>47520.0</v>
      </c>
      <c r="AX33" s="61">
        <f> $F24 * AX27 * AX30</f>
        <v>58080.0</v>
      </c>
      <c r="AY33" s="61">
        <f> $F24 * AY27 * AY30</f>
        <v>58080.0</v>
      </c>
      <c r="AZ33" s="61">
        <f> $F24 * AZ27 * AZ30</f>
        <v>58080.0</v>
      </c>
      <c r="BA33" s="61">
        <f> $F24 * BA27 * BA30</f>
        <v>58080.0</v>
      </c>
      <c r="BB33" s="61">
        <f> $F24 * BB27 * BB30</f>
        <v>58080.0</v>
      </c>
      <c r="BC33" s="61">
        <f> $F24 * BC27 * BC30</f>
        <v>58080.0</v>
      </c>
      <c r="BD33" s="61">
        <f> $F24 * BD27 * BD30</f>
        <v>58080.0</v>
      </c>
      <c r="BE33" s="61">
        <f> $F24 * BE27 * BE30</f>
        <v>58080.0</v>
      </c>
      <c r="BF33" s="61">
        <f> $F24 * BF27 * BF30</f>
        <v>58080.0</v>
      </c>
      <c r="BG33" s="61">
        <f> $F24 * BG27 * BG30</f>
        <v>58080.0</v>
      </c>
      <c r="BH33" s="61">
        <f> $F24 * BH27 * BH30</f>
        <v>58080.0</v>
      </c>
      <c r="BI33" s="61">
        <f> $F24 * BI27 * BI30</f>
        <v>58080.0</v>
      </c>
      <c r="BJ33" s="61">
        <f> $F24 * BJ27 * BJ30</f>
        <v>58080.0</v>
      </c>
      <c r="BK33" s="61">
        <f> $F24 * BK27 * BK30</f>
        <v>58080.0</v>
      </c>
      <c r="BL33" s="61">
        <f> $F24 * BL27 * BL30</f>
        <v>58080.0</v>
      </c>
      <c r="BM33" s="61">
        <f> $F24 * BM27 * BM30</f>
        <v>58080.0</v>
      </c>
      <c r="BN33" s="61">
        <f> $F24 * BN27 * BN30</f>
        <v>58080.0</v>
      </c>
      <c r="BO33" s="61">
        <f> $F24 * BO27 * BO30</f>
        <v>58080.0</v>
      </c>
      <c r="BP33" s="61">
        <f> $F24 * BP27 * BP30</f>
        <v>58080.0</v>
      </c>
      <c r="BQ33" s="61">
        <f> $F24 * BQ27 * BQ30</f>
        <v>58080.0</v>
      </c>
      <c r="BR33" s="61">
        <f> $F24 * BR27 * BR30</f>
        <v>58080.0</v>
      </c>
      <c r="BS33" s="61">
        <f> $F24 * BS27 * BS30</f>
        <v>58080.0</v>
      </c>
      <c r="BT33" s="61">
        <f> $F24 * BT27 * BT30</f>
        <v>58080.0</v>
      </c>
      <c r="BU33" s="61">
        <f> $F24 * BU27 * BU30</f>
        <v>58080.0</v>
      </c>
      <c r="BV33" s="61">
        <f> $F24 * BV27 * BV30</f>
        <v>58080.0</v>
      </c>
      <c r="BW33" s="61">
        <f> $F24 * BW27 * BW30</f>
        <v>58080.0</v>
      </c>
      <c r="BX33" s="61">
        <f> $F24 * BX27 * BX30</f>
        <v>58080.0</v>
      </c>
      <c r="BY33" s="61">
        <f> $F24 * BY27 * BY30</f>
        <v>58080.0</v>
      </c>
      <c r="BZ33" s="61">
        <f> $F24 * BZ27 * BZ30</f>
        <v>58080.0</v>
      </c>
      <c r="CA33" s="61">
        <f> $F24 * CA27 * CA30</f>
        <v>58080.0</v>
      </c>
      <c r="CB33" s="61">
        <f> $F24 * CB27 * CB30</f>
        <v>58080.0</v>
      </c>
      <c r="CC33" s="61">
        <f> $F24 * CC27 * CC30</f>
        <v>58080.0</v>
      </c>
      <c r="CD33" s="61">
        <f> $F24 * CD27 * CD30</f>
        <v>58080.0</v>
      </c>
      <c r="CE33" s="61">
        <f> $F24 * CE27 * CE30</f>
        <v>58080.0</v>
      </c>
      <c r="CF33" s="61">
        <f> $F24 * CF27 * CF30</f>
        <v>58080.0</v>
      </c>
      <c r="CG33" s="61">
        <f> $F24 * CG27 * CG30</f>
        <v>58080.0</v>
      </c>
      <c r="CH33" s="61">
        <f> $F24 * CH27 * CH30</f>
        <v>58080.0</v>
      </c>
      <c r="CI33" s="61">
        <f> $F24 * CI27 * CI30</f>
        <v>58080.0</v>
      </c>
      <c r="CJ33" s="61">
        <f> $F24 * CJ27 * CJ30</f>
        <v>58080.0</v>
      </c>
      <c r="CK33" s="61">
        <f> $F24 * CK27 * CK30</f>
        <v>58080.0</v>
      </c>
      <c r="CL33" s="61">
        <f> $F24 * CL27 * CL30</f>
        <v>58080.0</v>
      </c>
      <c r="CM33" s="61">
        <f> $F24 * CM27 * CM30</f>
        <v>58080.0</v>
      </c>
      <c r="CN33" s="61">
        <f> $F24 * CN27 * CN30</f>
        <v>0.0</v>
      </c>
      <c r="CO33" s="61">
        <f> $F24 * CO27 * CO30</f>
        <v>0.0</v>
      </c>
    </row>
    <row r="34" customFormat="1" s="260">
      <c r="A34" s="263" t="n"/>
      <c r="B34" s="263" t="n"/>
      <c r="C34" s="264" t="n"/>
      <c r="D34" s="335" t="n"/>
      <c r="E34" s="260" t="inlineStr">
        <is>
          <t xml:space="preserve">Passengers </t>
        </is>
      </c>
      <c r="G34" s="260" t="inlineStr">
        <is>
          <t>pax</t>
        </is>
      </c>
      <c r="H34" s="260">
        <f> SUM(J34:CO34)</f>
        <v>186163560.0</v>
      </c>
      <c r="J34" s="260">
        <f>SUM(J32:J33)</f>
        <v>0.0</v>
      </c>
      <c r="K34" s="260">
        <f>SUM(K32:K33)</f>
        <v>0.0</v>
      </c>
      <c r="L34" s="260">
        <f>SUM(L32:L33)</f>
        <v>2164290.0000000005</v>
      </c>
      <c r="M34" s="260">
        <f>SUM(M32:M33)</f>
        <v>2062830.0000000002</v>
      </c>
      <c r="N34" s="260">
        <f>SUM(N32:N33)</f>
        <v>2178330.0000000005</v>
      </c>
      <c r="O34" s="260">
        <f>SUM(O32:O33)</f>
        <v>2068770.0000000002</v>
      </c>
      <c r="P34" s="260">
        <f>SUM(P32:P33)</f>
        <v>2184270.0000000005</v>
      </c>
      <c r="Q34" s="260">
        <f>SUM(Q32:Q33)</f>
        <v>2068770.0000000002</v>
      </c>
      <c r="R34" s="260">
        <f>SUM(R32:R33)</f>
        <v>2184270.0000000005</v>
      </c>
      <c r="S34" s="260">
        <f>SUM(S32:S33)</f>
        <v>2068770.0000000002</v>
      </c>
      <c r="T34" s="260">
        <f>SUM(T32:T33)</f>
        <v>2223120.0000000005</v>
      </c>
      <c r="U34" s="260">
        <f>SUM(U32:U33)</f>
        <v>2105520.0</v>
      </c>
      <c r="V34" s="260">
        <f>SUM(V32:V33)</f>
        <v>2223120.0000000005</v>
      </c>
      <c r="W34" s="260">
        <f>SUM(W32:W33)</f>
        <v>2105520.0</v>
      </c>
      <c r="X34" s="260">
        <f>SUM(X32:X33)</f>
        <v>2223120.0000000005</v>
      </c>
      <c r="Y34" s="260">
        <f>SUM(Y32:Y33)</f>
        <v>2105520.0</v>
      </c>
      <c r="Z34" s="260">
        <f>SUM(Z32:Z33)</f>
        <v>2223120.0000000005</v>
      </c>
      <c r="AA34" s="260">
        <f>SUM(AA32:AA33)</f>
        <v>2105520.0</v>
      </c>
      <c r="AB34" s="260">
        <f>SUM(AB32:AB33)</f>
        <v>2223120.0000000005</v>
      </c>
      <c r="AC34" s="260">
        <f>SUM(AC32:AC33)</f>
        <v>2105520.0</v>
      </c>
      <c r="AD34" s="260">
        <f>SUM(AD32:AD33)</f>
        <v>2300820.0</v>
      </c>
      <c r="AE34" s="260">
        <f>SUM(AE32:AE33)</f>
        <v>2179020.0</v>
      </c>
      <c r="AF34" s="260">
        <f>SUM(AF32:AF33)</f>
        <v>2300820.0</v>
      </c>
      <c r="AG34" s="260">
        <f>SUM(AG32:AG33)</f>
        <v>2179020.0</v>
      </c>
      <c r="AH34" s="260">
        <f>SUM(AH32:AH33)</f>
        <v>2300820.0</v>
      </c>
      <c r="AI34" s="260">
        <f>SUM(AI32:AI33)</f>
        <v>2179020.0</v>
      </c>
      <c r="AJ34" s="260">
        <f>SUM(AJ32:AJ33)</f>
        <v>2300820.0</v>
      </c>
      <c r="AK34" s="260">
        <f>SUM(AK32:AK33)</f>
        <v>2179020.0</v>
      </c>
      <c r="AL34" s="260">
        <f>SUM(AL32:AL33)</f>
        <v>2300820.0</v>
      </c>
      <c r="AM34" s="260">
        <f>SUM(AM32:AM33)</f>
        <v>2252520.0</v>
      </c>
      <c r="AN34" s="260">
        <f>SUM(AN32:AN33)</f>
        <v>2378520.0</v>
      </c>
      <c r="AO34" s="260">
        <f>SUM(AO32:AO33)</f>
        <v>2252520.0</v>
      </c>
      <c r="AP34" s="260">
        <f>SUM(AP32:AP33)</f>
        <v>2378520.0</v>
      </c>
      <c r="AQ34" s="260">
        <f>SUM(AQ32:AQ33)</f>
        <v>2252520.0</v>
      </c>
      <c r="AR34" s="260">
        <f>SUM(AR32:AR33)</f>
        <v>2378520.0</v>
      </c>
      <c r="AS34" s="260">
        <f>SUM(AS32:AS33)</f>
        <v>2252520.0</v>
      </c>
      <c r="AT34" s="260">
        <f>SUM(AT32:AT33)</f>
        <v>2378520.0</v>
      </c>
      <c r="AU34" s="260">
        <f>SUM(AU32:AU33)</f>
        <v>2252520.0</v>
      </c>
      <c r="AV34" s="260">
        <f>SUM(AV32:AV33)</f>
        <v>2378520.0</v>
      </c>
      <c r="AW34" s="260">
        <f>SUM(AW32:AW33)</f>
        <v>2252520.0</v>
      </c>
      <c r="AX34" s="260">
        <f>SUM(AX32:AX33)</f>
        <v>2466780.0</v>
      </c>
      <c r="AY34" s="260">
        <f>SUM(AY32:AY33)</f>
        <v>2336580.0</v>
      </c>
      <c r="AZ34" s="260">
        <f>SUM(AZ32:AZ33)</f>
        <v>2466780.0</v>
      </c>
      <c r="BA34" s="260">
        <f>SUM(BA32:BA33)</f>
        <v>2336580.0</v>
      </c>
      <c r="BB34" s="260">
        <f>SUM(BB32:BB33)</f>
        <v>2466780.0</v>
      </c>
      <c r="BC34" s="260">
        <f>SUM(BC32:BC33)</f>
        <v>2336580.0</v>
      </c>
      <c r="BD34" s="260">
        <f>SUM(BD32:BD33)</f>
        <v>2466780.0</v>
      </c>
      <c r="BE34" s="260">
        <f>SUM(BE32:BE33)</f>
        <v>2336580.0</v>
      </c>
      <c r="BF34" s="260">
        <f>SUM(BF32:BF33)</f>
        <v>2466780.0</v>
      </c>
      <c r="BG34" s="260">
        <f>SUM(BG32:BG33)</f>
        <v>2336580.0</v>
      </c>
      <c r="BH34" s="260">
        <f>SUM(BH32:BH33)</f>
        <v>2336580.0</v>
      </c>
      <c r="BI34" s="260">
        <f>SUM(BI32:BI33)</f>
        <v>2466780.0</v>
      </c>
      <c r="BJ34" s="260">
        <f>SUM(BJ32:BJ33)</f>
        <v>2336580.0</v>
      </c>
      <c r="BK34" s="260">
        <f>SUM(BK32:BK33)</f>
        <v>2466780.0</v>
      </c>
      <c r="BL34" s="260">
        <f>SUM(BL32:BL33)</f>
        <v>2336580.0</v>
      </c>
      <c r="BM34" s="260">
        <f>SUM(BM32:BM33)</f>
        <v>2466780.0</v>
      </c>
      <c r="BN34" s="260">
        <f>SUM(BN32:BN33)</f>
        <v>2336580.0</v>
      </c>
      <c r="BO34" s="260">
        <f>SUM(BO32:BO33)</f>
        <v>2466780.0</v>
      </c>
      <c r="BP34" s="260">
        <f>SUM(BP32:BP33)</f>
        <v>2336580.0</v>
      </c>
      <c r="BQ34" s="260">
        <f>SUM(BQ32:BQ33)</f>
        <v>2336580.0</v>
      </c>
      <c r="BR34" s="260">
        <f>SUM(BR32:BR33)</f>
        <v>2466780.0</v>
      </c>
      <c r="BS34" s="260">
        <f>SUM(BS32:BS33)</f>
        <v>2336580.0</v>
      </c>
      <c r="BT34" s="260">
        <f>SUM(BT32:BT33)</f>
        <v>2466780.0</v>
      </c>
      <c r="BU34" s="260">
        <f>SUM(BU32:BU33)</f>
        <v>2336580.0</v>
      </c>
      <c r="BV34" s="260">
        <f>SUM(BV32:BV33)</f>
        <v>2466780.0</v>
      </c>
      <c r="BW34" s="260">
        <f>SUM(BW32:BW33)</f>
        <v>2466780.0</v>
      </c>
      <c r="BX34" s="260">
        <f>SUM(BX32:BX33)</f>
        <v>2466780.0</v>
      </c>
      <c r="BY34" s="260">
        <f>SUM(BY32:BY33)</f>
        <v>2466780.0</v>
      </c>
      <c r="BZ34" s="260">
        <f>SUM(BZ32:BZ33)</f>
        <v>2466780.0</v>
      </c>
      <c r="CA34" s="260">
        <f>SUM(CA32:CA33)</f>
        <v>2466780.0</v>
      </c>
      <c r="CB34" s="260">
        <f>SUM(CB32:CB33)</f>
        <v>2466780.0</v>
      </c>
      <c r="CC34" s="260">
        <f>SUM(CC32:CC33)</f>
        <v>2466780.0</v>
      </c>
      <c r="CD34" s="260">
        <f>SUM(CD32:CD33)</f>
        <v>2466780.0</v>
      </c>
      <c r="CE34" s="260">
        <f>SUM(CE32:CE33)</f>
        <v>2466780.0</v>
      </c>
      <c r="CF34" s="260">
        <f>SUM(CF32:CF33)</f>
        <v>2466780.0</v>
      </c>
      <c r="CG34" s="260">
        <f>SUM(CG32:CG33)</f>
        <v>2466780.0</v>
      </c>
      <c r="CH34" s="260">
        <f>SUM(CH32:CH33)</f>
        <v>2466780.0</v>
      </c>
      <c r="CI34" s="260">
        <f>SUM(CI32:CI33)</f>
        <v>2466780.0</v>
      </c>
      <c r="CJ34" s="260">
        <f>SUM(CJ32:CJ33)</f>
        <v>2466780.0</v>
      </c>
      <c r="CK34" s="260">
        <f>SUM(CK32:CK33)</f>
        <v>2466780.0</v>
      </c>
      <c r="CL34" s="260">
        <f>SUM(CL32:CL33)</f>
        <v>2466780.0</v>
      </c>
      <c r="CM34" s="260">
        <f>SUM(CM32:CM33)</f>
        <v>2466780.0</v>
      </c>
      <c r="CN34" s="260">
        <f>SUM(CN32:CN33)</f>
        <v>0.0</v>
      </c>
      <c r="CO34" s="260">
        <f>SUM(CO32:CO33)</f>
        <v>0.0</v>
      </c>
    </row>
    <row r="36">
      <c r="B36" s="294" t="inlineStr">
        <is>
          <t>Operating revenue</t>
        </is>
      </c>
    </row>
    <row r="37">
      <c r="E37" s="344" t="str">
        <f> InpC!E$35</f>
        <v>Average fare per passenger</v>
      </c>
      <c r="F37" s="344">
        <f> InpC!F$35</f>
        <v>7.15</v>
      </c>
      <c r="G37" s="344" t="str">
        <f> InpC!G$35</f>
        <v>USD/pax</v>
      </c>
    </row>
    <row r="38">
      <c r="E38" s="325" t="str">
        <f> InpC!E$102</f>
        <v>Unit in thousand</v>
      </c>
      <c r="F38" s="325">
        <f> InpC!F$102</f>
        <v>1000.0</v>
      </c>
      <c r="G38" s="325" t="str">
        <f> InpC!G$102</f>
        <v>units</v>
      </c>
    </row>
    <row r="39">
      <c r="E39" s="61" t="str">
        <f> E$34</f>
        <v>Passengers </v>
      </c>
      <c r="F39" s="61">
        <f> F$34</f>
        <v>0.0</v>
      </c>
      <c r="G39" s="61" t="str">
        <f> G$34</f>
        <v>pax</v>
      </c>
      <c r="H39" s="61">
        <f> H$34</f>
        <v>186163560.0</v>
      </c>
      <c r="I39" s="61">
        <f> I$34</f>
        <v>0.0</v>
      </c>
      <c r="J39" s="61">
        <f> J$34</f>
        <v>0.0</v>
      </c>
      <c r="K39" s="61">
        <f> K$34</f>
        <v>0.0</v>
      </c>
      <c r="L39" s="61">
        <f> L$34</f>
        <v>2164290.0000000005</v>
      </c>
      <c r="M39" s="61">
        <f> M$34</f>
        <v>2062830.0000000002</v>
      </c>
      <c r="N39" s="61">
        <f> N$34</f>
        <v>2178330.0000000005</v>
      </c>
      <c r="O39" s="61">
        <f> O$34</f>
        <v>2068770.0000000002</v>
      </c>
      <c r="P39" s="61">
        <f> P$34</f>
        <v>2184270.0000000005</v>
      </c>
      <c r="Q39" s="61">
        <f> Q$34</f>
        <v>2068770.0000000002</v>
      </c>
      <c r="R39" s="61">
        <f> R$34</f>
        <v>2184270.0000000005</v>
      </c>
      <c r="S39" s="61">
        <f> S$34</f>
        <v>2068770.0000000002</v>
      </c>
      <c r="T39" s="61">
        <f> T$34</f>
        <v>2223120.0000000005</v>
      </c>
      <c r="U39" s="61">
        <f> U$34</f>
        <v>2105520.0</v>
      </c>
      <c r="V39" s="61">
        <f> V$34</f>
        <v>2223120.0000000005</v>
      </c>
      <c r="W39" s="61">
        <f> W$34</f>
        <v>2105520.0</v>
      </c>
      <c r="X39" s="61">
        <f> X$34</f>
        <v>2223120.0000000005</v>
      </c>
      <c r="Y39" s="61">
        <f> Y$34</f>
        <v>2105520.0</v>
      </c>
      <c r="Z39" s="61">
        <f> Z$34</f>
        <v>2223120.0000000005</v>
      </c>
      <c r="AA39" s="61">
        <f> AA$34</f>
        <v>2105520.0</v>
      </c>
      <c r="AB39" s="61">
        <f> AB$34</f>
        <v>2223120.0000000005</v>
      </c>
      <c r="AC39" s="61">
        <f> AC$34</f>
        <v>2105520.0</v>
      </c>
      <c r="AD39" s="61">
        <f> AD$34</f>
        <v>2300820.0</v>
      </c>
      <c r="AE39" s="61">
        <f> AE$34</f>
        <v>2179020.0</v>
      </c>
      <c r="AF39" s="61">
        <f> AF$34</f>
        <v>2300820.0</v>
      </c>
      <c r="AG39" s="61">
        <f> AG$34</f>
        <v>2179020.0</v>
      </c>
      <c r="AH39" s="61">
        <f> AH$34</f>
        <v>2300820.0</v>
      </c>
      <c r="AI39" s="61">
        <f> AI$34</f>
        <v>2179020.0</v>
      </c>
      <c r="AJ39" s="61">
        <f> AJ$34</f>
        <v>2300820.0</v>
      </c>
      <c r="AK39" s="61">
        <f> AK$34</f>
        <v>2179020.0</v>
      </c>
      <c r="AL39" s="61">
        <f> AL$34</f>
        <v>2300820.0</v>
      </c>
      <c r="AM39" s="61">
        <f> AM$34</f>
        <v>2252520.0</v>
      </c>
      <c r="AN39" s="61">
        <f> AN$34</f>
        <v>2378520.0</v>
      </c>
      <c r="AO39" s="61">
        <f> AO$34</f>
        <v>2252520.0</v>
      </c>
      <c r="AP39" s="61">
        <f> AP$34</f>
        <v>2378520.0</v>
      </c>
      <c r="AQ39" s="61">
        <f> AQ$34</f>
        <v>2252520.0</v>
      </c>
      <c r="AR39" s="61">
        <f> AR$34</f>
        <v>2378520.0</v>
      </c>
      <c r="AS39" s="61">
        <f> AS$34</f>
        <v>2252520.0</v>
      </c>
      <c r="AT39" s="61">
        <f> AT$34</f>
        <v>2378520.0</v>
      </c>
      <c r="AU39" s="61">
        <f> AU$34</f>
        <v>2252520.0</v>
      </c>
      <c r="AV39" s="61">
        <f> AV$34</f>
        <v>2378520.0</v>
      </c>
      <c r="AW39" s="61">
        <f> AW$34</f>
        <v>2252520.0</v>
      </c>
      <c r="AX39" s="61">
        <f> AX$34</f>
        <v>2466780.0</v>
      </c>
      <c r="AY39" s="61">
        <f> AY$34</f>
        <v>2336580.0</v>
      </c>
      <c r="AZ39" s="61">
        <f> AZ$34</f>
        <v>2466780.0</v>
      </c>
      <c r="BA39" s="61">
        <f> BA$34</f>
        <v>2336580.0</v>
      </c>
      <c r="BB39" s="61">
        <f> BB$34</f>
        <v>2466780.0</v>
      </c>
      <c r="BC39" s="61">
        <f> BC$34</f>
        <v>2336580.0</v>
      </c>
      <c r="BD39" s="61">
        <f> BD$34</f>
        <v>2466780.0</v>
      </c>
      <c r="BE39" s="61">
        <f> BE$34</f>
        <v>2336580.0</v>
      </c>
      <c r="BF39" s="61">
        <f> BF$34</f>
        <v>2466780.0</v>
      </c>
      <c r="BG39" s="61">
        <f> BG$34</f>
        <v>2336580.0</v>
      </c>
      <c r="BH39" s="61">
        <f> BH$34</f>
        <v>2336580.0</v>
      </c>
      <c r="BI39" s="61">
        <f> BI$34</f>
        <v>2466780.0</v>
      </c>
      <c r="BJ39" s="61">
        <f> BJ$34</f>
        <v>2336580.0</v>
      </c>
      <c r="BK39" s="61">
        <f> BK$34</f>
        <v>2466780.0</v>
      </c>
      <c r="BL39" s="61">
        <f> BL$34</f>
        <v>2336580.0</v>
      </c>
      <c r="BM39" s="61">
        <f> BM$34</f>
        <v>2466780.0</v>
      </c>
      <c r="BN39" s="61">
        <f> BN$34</f>
        <v>2336580.0</v>
      </c>
      <c r="BO39" s="61">
        <f> BO$34</f>
        <v>2466780.0</v>
      </c>
      <c r="BP39" s="61">
        <f> BP$34</f>
        <v>2336580.0</v>
      </c>
      <c r="BQ39" s="61">
        <f> BQ$34</f>
        <v>2336580.0</v>
      </c>
      <c r="BR39" s="61">
        <f> BR$34</f>
        <v>2466780.0</v>
      </c>
      <c r="BS39" s="61">
        <f> BS$34</f>
        <v>2336580.0</v>
      </c>
      <c r="BT39" s="61">
        <f> BT$34</f>
        <v>2466780.0</v>
      </c>
      <c r="BU39" s="61">
        <f> BU$34</f>
        <v>2336580.0</v>
      </c>
      <c r="BV39" s="61">
        <f> BV$34</f>
        <v>2466780.0</v>
      </c>
      <c r="BW39" s="61">
        <f> BW$34</f>
        <v>2466780.0</v>
      </c>
      <c r="BX39" s="61">
        <f> BX$34</f>
        <v>2466780.0</v>
      </c>
      <c r="BY39" s="61">
        <f> BY$34</f>
        <v>2466780.0</v>
      </c>
      <c r="BZ39" s="61">
        <f> BZ$34</f>
        <v>2466780.0</v>
      </c>
      <c r="CA39" s="61">
        <f> CA$34</f>
        <v>2466780.0</v>
      </c>
      <c r="CB39" s="61">
        <f> CB$34</f>
        <v>2466780.0</v>
      </c>
      <c r="CC39" s="61">
        <f> CC$34</f>
        <v>2466780.0</v>
      </c>
      <c r="CD39" s="61">
        <f> CD$34</f>
        <v>2466780.0</v>
      </c>
      <c r="CE39" s="61">
        <f> CE$34</f>
        <v>2466780.0</v>
      </c>
      <c r="CF39" s="61">
        <f> CF$34</f>
        <v>2466780.0</v>
      </c>
      <c r="CG39" s="61">
        <f> CG$34</f>
        <v>2466780.0</v>
      </c>
      <c r="CH39" s="61">
        <f> CH$34</f>
        <v>2466780.0</v>
      </c>
      <c r="CI39" s="61">
        <f> CI$34</f>
        <v>2466780.0</v>
      </c>
      <c r="CJ39" s="61">
        <f> CJ$34</f>
        <v>2466780.0</v>
      </c>
      <c r="CK39" s="61">
        <f> CK$34</f>
        <v>2466780.0</v>
      </c>
      <c r="CL39" s="61">
        <f> CL$34</f>
        <v>2466780.0</v>
      </c>
      <c r="CM39" s="61">
        <f> CM$34</f>
        <v>2466780.0</v>
      </c>
      <c r="CN39" s="61">
        <f> CN$34</f>
        <v>0.0</v>
      </c>
      <c r="CO39" s="61">
        <f> CO$34</f>
        <v>0.0</v>
      </c>
    </row>
    <row r="40">
      <c r="E40" s="347" t="str">
        <f> Esc!E$26</f>
        <v>CPI escalation factor</v>
      </c>
      <c r="F40" s="347">
        <f> Esc!F$26</f>
        <v>0.0</v>
      </c>
      <c r="G40" s="347" t="str">
        <f> Esc!G$26</f>
        <v>factor</v>
      </c>
      <c r="H40" s="347">
        <f> Esc!H$26</f>
        <v>0.0</v>
      </c>
      <c r="I40" s="347">
        <f> Esc!I$26</f>
        <v>0.0</v>
      </c>
      <c r="J40" s="347">
        <f> Esc!J$26</f>
        <v>0.0</v>
      </c>
      <c r="K40" s="347">
        <f> Esc!K$26</f>
        <v>1.0</v>
      </c>
      <c r="L40" s="347">
        <f> Esc!L$26</f>
        <v>1.0146738461686593</v>
      </c>
      <c r="M40" s="347">
        <f> Esc!M$26</f>
        <v>1.0295630140987</v>
      </c>
      <c r="N40" s="347">
        <f> Esc!N$26</f>
        <v>1.0446706633885254</v>
      </c>
      <c r="O40" s="347">
        <f> Esc!O$26</f>
        <v>1.0599999999999998</v>
      </c>
      <c r="P40" s="347">
        <f> Esc!P$26</f>
        <v>1.0730085684947814</v>
      </c>
      <c r="Q40" s="347">
        <f> Esc!Q$26</f>
        <v>1.0861767811917173</v>
      </c>
      <c r="R40" s="347">
        <f> Esc!R$26</f>
        <v>1.0995065972818814</v>
      </c>
      <c r="S40" s="347">
        <f> Esc!S$26</f>
        <v>1.113</v>
      </c>
      <c r="T40" s="347">
        <f> Esc!T$26</f>
        <v>1.1239668414890023</v>
      </c>
      <c r="U40" s="347">
        <f> Esc!U$26</f>
        <v>1.1350417437257538</v>
      </c>
      <c r="V40" s="347">
        <f> Esc!V$26</f>
        <v>1.146225771476734</v>
      </c>
      <c r="W40" s="347">
        <f> Esc!W$26</f>
        <v>1.1575199999999999</v>
      </c>
      <c r="X40" s="347">
        <f> Esc!X$26</f>
        <v>1.1661054089241611</v>
      </c>
      <c r="Y40" s="347">
        <f> Esc!Y$26</f>
        <v>1.1747544964425543</v>
      </c>
      <c r="Z40" s="347">
        <f> Esc!Z$26</f>
        <v>1.1834677348638831</v>
      </c>
      <c r="AA40" s="347">
        <f> Esc!AA$26</f>
        <v>1.1922455999999995</v>
      </c>
      <c r="AB40" s="347">
        <f> Esc!AB$26</f>
        <v>1.2010885711918857</v>
      </c>
      <c r="AC40" s="347">
        <f> Esc!AC$26</f>
        <v>1.2099971313358306</v>
      </c>
      <c r="AD40" s="347">
        <f> Esc!AD$26</f>
        <v>1.2189717669097995</v>
      </c>
      <c r="AE40" s="347">
        <f> Esc!AE$26</f>
        <v>1.2280129679999994</v>
      </c>
      <c r="AF40" s="347">
        <f> Esc!AF$26</f>
        <v>1.237121228327642</v>
      </c>
      <c r="AG40" s="347">
        <f> Esc!AG$26</f>
        <v>1.2462970452759052</v>
      </c>
      <c r="AH40" s="347">
        <f> Esc!AH$26</f>
        <v>1.255540919917093</v>
      </c>
      <c r="AI40" s="347">
        <f> Esc!AI$26</f>
        <v>1.264853357039999</v>
      </c>
      <c r="AJ40" s="347">
        <f> Esc!AJ$26</f>
        <v>1.2742348651774709</v>
      </c>
      <c r="AK40" s="347">
        <f> Esc!AK$26</f>
        <v>1.2836859566341818</v>
      </c>
      <c r="AL40" s="347">
        <f> Esc!AL$26</f>
        <v>1.2932071475146052</v>
      </c>
      <c r="AM40" s="347">
        <f> Esc!AM$26</f>
        <v>1.3027989577511982</v>
      </c>
      <c r="AN40" s="347">
        <f> Esc!AN$26</f>
        <v>1.3124619111327944</v>
      </c>
      <c r="AO40" s="347">
        <f> Esc!AO$26</f>
        <v>1.3221965353332068</v>
      </c>
      <c r="AP40" s="347">
        <f> Esc!AP$26</f>
        <v>1.3320033619400429</v>
      </c>
      <c r="AQ40" s="347">
        <f> Esc!AQ$26</f>
        <v>1.3418829264837338</v>
      </c>
      <c r="AR40" s="347">
        <f> Esc!AR$26</f>
        <v>1.3518357684667779</v>
      </c>
      <c r="AS40" s="347">
        <f> Esc!AS$26</f>
        <v>1.3618624313932026</v>
      </c>
      <c r="AT40" s="347">
        <f> Esc!AT$26</f>
        <v>1.3719634627982438</v>
      </c>
      <c r="AU40" s="347">
        <f> Esc!AU$26</f>
        <v>1.3821394142782453</v>
      </c>
      <c r="AV40" s="347">
        <f> Esc!AV$26</f>
        <v>1.3923908415207806</v>
      </c>
      <c r="AW40" s="347">
        <f> Esc!AW$26</f>
        <v>1.4027183043349982</v>
      </c>
      <c r="AX40" s="347">
        <f> Esc!AX$26</f>
        <v>1.4131223666821906</v>
      </c>
      <c r="AY40" s="347">
        <f> Esc!AY$26</f>
        <v>1.423603596706592</v>
      </c>
      <c r="AZ40" s="347">
        <f> Esc!AZ$26</f>
        <v>1.4341625667664035</v>
      </c>
      <c r="BA40" s="347">
        <f> Esc!BA$26</f>
        <v>1.4447998534650475</v>
      </c>
      <c r="BB40" s="347">
        <f> Esc!BB$26</f>
        <v>1.4555160376826557</v>
      </c>
      <c r="BC40" s="347">
        <f> Esc!BC$26</f>
        <v>1.4663117046077894</v>
      </c>
      <c r="BD40" s="347">
        <f> Esc!BD$26</f>
        <v>1.4771874437693953</v>
      </c>
      <c r="BE40" s="347">
        <f> Esc!BE$26</f>
        <v>1.4881438490689987</v>
      </c>
      <c r="BF40" s="347">
        <f> Esc!BF$26</f>
        <v>1.499181518813135</v>
      </c>
      <c r="BG40" s="347">
        <f> Esc!BG$26</f>
        <v>1.5103010557460226</v>
      </c>
      <c r="BH40" s="347">
        <f> Esc!BH$26</f>
        <v>1.5215030670824765</v>
      </c>
      <c r="BI40" s="347">
        <f> Esc!BI$26</f>
        <v>1.532788164541068</v>
      </c>
      <c r="BJ40" s="347">
        <f> Esc!BJ$26</f>
        <v>1.5441569643775284</v>
      </c>
      <c r="BK40" s="347">
        <f> Esc!BK$26</f>
        <v>1.5556100874184027</v>
      </c>
      <c r="BL40" s="347">
        <f> Esc!BL$26</f>
        <v>1.5671481590949503</v>
      </c>
      <c r="BM40" s="347">
        <f> Esc!BM$26</f>
        <v>1.5787718094772996</v>
      </c>
      <c r="BN40" s="347">
        <f> Esc!BN$26</f>
        <v>1.5904816733088538</v>
      </c>
      <c r="BO40" s="347">
        <f> Esc!BO$26</f>
        <v>1.6022783900409543</v>
      </c>
      <c r="BP40" s="347">
        <f> Esc!BP$26</f>
        <v>1.6141626038677983</v>
      </c>
      <c r="BQ40" s="347">
        <f> Esc!BQ$26</f>
        <v>1.626134963761618</v>
      </c>
      <c r="BR40" s="347">
        <f> Esc!BR$26</f>
        <v>1.638196123508119</v>
      </c>
      <c r="BS40" s="347">
        <f> Esc!BS$26</f>
        <v>1.6503467417421824</v>
      </c>
      <c r="BT40" s="347">
        <f> Esc!BT$26</f>
        <v>1.6625874819838318</v>
      </c>
      <c r="BU40" s="347">
        <f> Esc!BU$26</f>
        <v>1.674919012674466</v>
      </c>
      <c r="BV40" s="347">
        <f> Esc!BV$26</f>
        <v>1.687342007213362</v>
      </c>
      <c r="BW40" s="347">
        <f> Esc!BW$26</f>
        <v>1.6998571439944474</v>
      </c>
      <c r="BX40" s="347">
        <f> Esc!BX$26</f>
        <v>1.7124651064433463</v>
      </c>
      <c r="BY40" s="347">
        <f> Esc!BY$26</f>
        <v>1.7251665830546996</v>
      </c>
      <c r="BZ40" s="347">
        <f> Esc!BZ$26</f>
        <v>1.7379622674297626</v>
      </c>
      <c r="CA40" s="347">
        <f> Esc!CA$26</f>
        <v>1.7508528583142804</v>
      </c>
      <c r="CB40" s="347">
        <f> Esc!CB$26</f>
        <v>1.7638390596366462</v>
      </c>
      <c r="CC40" s="347">
        <f> Esc!CC$26</f>
        <v>1.77692158054634</v>
      </c>
      <c r="CD40" s="347">
        <f> Esc!CD$26</f>
        <v>1.7901011354526548</v>
      </c>
      <c r="CE40" s="347">
        <f> Esc!CE$26</f>
        <v>1.8033784440637082</v>
      </c>
      <c r="CF40" s="347">
        <f> Esc!CF$26</f>
        <v>1.816754231425745</v>
      </c>
      <c r="CG40" s="347">
        <f> Esc!CG$26</f>
        <v>1.8302292279627297</v>
      </c>
      <c r="CH40" s="347">
        <f> Esc!CH$26</f>
        <v>1.843804169516234</v>
      </c>
      <c r="CI40" s="347">
        <f> Esc!CI$26</f>
        <v>1.857479797385619</v>
      </c>
      <c r="CJ40" s="347">
        <f> Esc!CJ$26</f>
        <v>1.8712568583685167</v>
      </c>
      <c r="CK40" s="347">
        <f> Esc!CK$26</f>
        <v>1.8851361048016109</v>
      </c>
      <c r="CL40" s="347">
        <f> Esc!CL$26</f>
        <v>1.8991182946017202</v>
      </c>
      <c r="CM40" s="347">
        <f> Esc!CM$26</f>
        <v>1.9132041913071869</v>
      </c>
      <c r="CN40" s="347">
        <f> Esc!CN$26</f>
        <v>1.9273945641195718</v>
      </c>
      <c r="CO40" s="347">
        <f> Esc!CO$26</f>
        <v>1.9416901879456587</v>
      </c>
    </row>
    <row r="41">
      <c r="E41" s="325" t="str">
        <f> Time!E$69</f>
        <v>Forecast period flag</v>
      </c>
      <c r="F41" s="325">
        <f> Time!F$69</f>
        <v>0.0</v>
      </c>
      <c r="G41" s="325" t="str">
        <f> Time!G$69</f>
        <v>flag</v>
      </c>
      <c r="H41" s="325">
        <f> Time!H$69</f>
        <v>80.0</v>
      </c>
      <c r="I41" s="325">
        <f> Time!I$69</f>
        <v>0.0</v>
      </c>
      <c r="J41" s="325">
        <f> Time!J$69</f>
        <v>0.0</v>
      </c>
      <c r="K41" s="325">
        <f> Time!K$69</f>
        <v>0.0</v>
      </c>
      <c r="L41" s="325">
        <f> Time!L$69</f>
        <v>1.0</v>
      </c>
      <c r="M41" s="325">
        <f> Time!M$69</f>
        <v>1.0</v>
      </c>
      <c r="N41" s="325">
        <f> Time!N$69</f>
        <v>1.0</v>
      </c>
      <c r="O41" s="325">
        <f> Time!O$69</f>
        <v>1.0</v>
      </c>
      <c r="P41" s="325">
        <f> Time!P$69</f>
        <v>1.0</v>
      </c>
      <c r="Q41" s="325">
        <f> Time!Q$69</f>
        <v>1.0</v>
      </c>
      <c r="R41" s="325">
        <f> Time!R$69</f>
        <v>1.0</v>
      </c>
      <c r="S41" s="325">
        <f> Time!S$69</f>
        <v>1.0</v>
      </c>
      <c r="T41" s="325">
        <f> Time!T$69</f>
        <v>1.0</v>
      </c>
      <c r="U41" s="325">
        <f> Time!U$69</f>
        <v>1.0</v>
      </c>
      <c r="V41" s="325">
        <f> Time!V$69</f>
        <v>1.0</v>
      </c>
      <c r="W41" s="325">
        <f> Time!W$69</f>
        <v>1.0</v>
      </c>
      <c r="X41" s="325">
        <f> Time!X$69</f>
        <v>1.0</v>
      </c>
      <c r="Y41" s="325">
        <f> Time!Y$69</f>
        <v>1.0</v>
      </c>
      <c r="Z41" s="325">
        <f> Time!Z$69</f>
        <v>1.0</v>
      </c>
      <c r="AA41" s="325">
        <f> Time!AA$69</f>
        <v>1.0</v>
      </c>
      <c r="AB41" s="325">
        <f> Time!AB$69</f>
        <v>1.0</v>
      </c>
      <c r="AC41" s="325">
        <f> Time!AC$69</f>
        <v>1.0</v>
      </c>
      <c r="AD41" s="325">
        <f> Time!AD$69</f>
        <v>1.0</v>
      </c>
      <c r="AE41" s="325">
        <f> Time!AE$69</f>
        <v>1.0</v>
      </c>
      <c r="AF41" s="325">
        <f> Time!AF$69</f>
        <v>1.0</v>
      </c>
      <c r="AG41" s="325">
        <f> Time!AG$69</f>
        <v>1.0</v>
      </c>
      <c r="AH41" s="325">
        <f> Time!AH$69</f>
        <v>1.0</v>
      </c>
      <c r="AI41" s="325">
        <f> Time!AI$69</f>
        <v>1.0</v>
      </c>
      <c r="AJ41" s="325">
        <f> Time!AJ$69</f>
        <v>1.0</v>
      </c>
      <c r="AK41" s="325">
        <f> Time!AK$69</f>
        <v>1.0</v>
      </c>
      <c r="AL41" s="325">
        <f> Time!AL$69</f>
        <v>1.0</v>
      </c>
      <c r="AM41" s="325">
        <f> Time!AM$69</f>
        <v>1.0</v>
      </c>
      <c r="AN41" s="325">
        <f> Time!AN$69</f>
        <v>1.0</v>
      </c>
      <c r="AO41" s="325">
        <f> Time!AO$69</f>
        <v>1.0</v>
      </c>
      <c r="AP41" s="325">
        <f> Time!AP$69</f>
        <v>1.0</v>
      </c>
      <c r="AQ41" s="325">
        <f> Time!AQ$69</f>
        <v>1.0</v>
      </c>
      <c r="AR41" s="325">
        <f> Time!AR$69</f>
        <v>1.0</v>
      </c>
      <c r="AS41" s="325">
        <f> Time!AS$69</f>
        <v>1.0</v>
      </c>
      <c r="AT41" s="325">
        <f> Time!AT$69</f>
        <v>1.0</v>
      </c>
      <c r="AU41" s="325">
        <f> Time!AU$69</f>
        <v>1.0</v>
      </c>
      <c r="AV41" s="325">
        <f> Time!AV$69</f>
        <v>1.0</v>
      </c>
      <c r="AW41" s="325">
        <f> Time!AW$69</f>
        <v>1.0</v>
      </c>
      <c r="AX41" s="325">
        <f> Time!AX$69</f>
        <v>1.0</v>
      </c>
      <c r="AY41" s="325">
        <f> Time!AY$69</f>
        <v>1.0</v>
      </c>
      <c r="AZ41" s="325">
        <f> Time!AZ$69</f>
        <v>1.0</v>
      </c>
      <c r="BA41" s="325">
        <f> Time!BA$69</f>
        <v>1.0</v>
      </c>
      <c r="BB41" s="325">
        <f> Time!BB$69</f>
        <v>1.0</v>
      </c>
      <c r="BC41" s="325">
        <f> Time!BC$69</f>
        <v>1.0</v>
      </c>
      <c r="BD41" s="325">
        <f> Time!BD$69</f>
        <v>1.0</v>
      </c>
      <c r="BE41" s="325">
        <f> Time!BE$69</f>
        <v>1.0</v>
      </c>
      <c r="BF41" s="325">
        <f> Time!BF$69</f>
        <v>1.0</v>
      </c>
      <c r="BG41" s="325">
        <f> Time!BG$69</f>
        <v>1.0</v>
      </c>
      <c r="BH41" s="325">
        <f> Time!BH$69</f>
        <v>1.0</v>
      </c>
      <c r="BI41" s="325">
        <f> Time!BI$69</f>
        <v>1.0</v>
      </c>
      <c r="BJ41" s="325">
        <f> Time!BJ$69</f>
        <v>1.0</v>
      </c>
      <c r="BK41" s="325">
        <f> Time!BK$69</f>
        <v>1.0</v>
      </c>
      <c r="BL41" s="325">
        <f> Time!BL$69</f>
        <v>1.0</v>
      </c>
      <c r="BM41" s="325">
        <f> Time!BM$69</f>
        <v>1.0</v>
      </c>
      <c r="BN41" s="325">
        <f> Time!BN$69</f>
        <v>1.0</v>
      </c>
      <c r="BO41" s="325">
        <f> Time!BO$69</f>
        <v>1.0</v>
      </c>
      <c r="BP41" s="325">
        <f> Time!BP$69</f>
        <v>1.0</v>
      </c>
      <c r="BQ41" s="325">
        <f> Time!BQ$69</f>
        <v>1.0</v>
      </c>
      <c r="BR41" s="325">
        <f> Time!BR$69</f>
        <v>1.0</v>
      </c>
      <c r="BS41" s="325">
        <f> Time!BS$69</f>
        <v>1.0</v>
      </c>
      <c r="BT41" s="325">
        <f> Time!BT$69</f>
        <v>1.0</v>
      </c>
      <c r="BU41" s="325">
        <f> Time!BU$69</f>
        <v>1.0</v>
      </c>
      <c r="BV41" s="325">
        <f> Time!BV$69</f>
        <v>1.0</v>
      </c>
      <c r="BW41" s="325">
        <f> Time!BW$69</f>
        <v>1.0</v>
      </c>
      <c r="BX41" s="325">
        <f> Time!BX$69</f>
        <v>1.0</v>
      </c>
      <c r="BY41" s="325">
        <f> Time!BY$69</f>
        <v>1.0</v>
      </c>
      <c r="BZ41" s="325">
        <f> Time!BZ$69</f>
        <v>1.0</v>
      </c>
      <c r="CA41" s="325">
        <f> Time!CA$69</f>
        <v>1.0</v>
      </c>
      <c r="CB41" s="325">
        <f> Time!CB$69</f>
        <v>1.0</v>
      </c>
      <c r="CC41" s="325">
        <f> Time!CC$69</f>
        <v>1.0</v>
      </c>
      <c r="CD41" s="325">
        <f> Time!CD$69</f>
        <v>1.0</v>
      </c>
      <c r="CE41" s="325">
        <f> Time!CE$69</f>
        <v>1.0</v>
      </c>
      <c r="CF41" s="325">
        <f> Time!CF$69</f>
        <v>1.0</v>
      </c>
      <c r="CG41" s="325">
        <f> Time!CG$69</f>
        <v>1.0</v>
      </c>
      <c r="CH41" s="325">
        <f> Time!CH$69</f>
        <v>1.0</v>
      </c>
      <c r="CI41" s="325">
        <f> Time!CI$69</f>
        <v>1.0</v>
      </c>
      <c r="CJ41" s="325">
        <f> Time!CJ$69</f>
        <v>1.0</v>
      </c>
      <c r="CK41" s="325">
        <f> Time!CK$69</f>
        <v>1.0</v>
      </c>
      <c r="CL41" s="325">
        <f> Time!CL$69</f>
        <v>1.0</v>
      </c>
      <c r="CM41" s="325">
        <f> Time!CM$69</f>
        <v>1.0</v>
      </c>
      <c r="CN41" s="325">
        <f> Time!CN$69</f>
        <v>0.0</v>
      </c>
      <c r="CO41" s="325">
        <f> Time!CO$69</f>
        <v>0.0</v>
      </c>
    </row>
    <row r="42" customFormat="1" s="390">
      <c r="A42" s="358" t="n"/>
      <c r="B42" s="358" t="n"/>
      <c r="C42" s="359" t="n"/>
      <c r="D42" s="360" t="n"/>
      <c r="E42" s="390" t="inlineStr">
        <is>
          <t>Operating revenue</t>
        </is>
      </c>
      <c r="F42" s="390" t="inlineStr">
        <is>
          <t>IS</t>
        </is>
      </c>
      <c r="G42" s="390" t="str">
        <f>SMU</f>
        <v>$ 000s</v>
      </c>
      <c r="H42" s="390">
        <f> SUM(J42:CO42)</f>
        <v>1941568.6331634293</v>
      </c>
      <c r="J42" s="390">
        <f> IF( J41 = 1,$F37 / $F38 * J39 * J40, 0)</f>
        <v>0.0</v>
      </c>
      <c r="K42" s="390">
        <f> IF( K41 = 1,$F37 / $F38 * K39 * K40, 0)</f>
        <v>0.0</v>
      </c>
      <c r="L42" s="390">
        <f> IF( L41 = 1,$F37 / $F38 * L39 * L40, 0)</f>
        <v>15701.746478449233</v>
      </c>
      <c r="M42" s="390">
        <f> IF( M41 = 1,$F37 / $F38 * M39 * M40, 0)</f>
        <v>15185.266327468535</v>
      </c>
      <c r="N42" s="390">
        <f> IF( N41 = 1,$F37 / $F38 * N39 * N40, 0)</f>
        <v>16270.807740180759</v>
      </c>
      <c r="O42" s="390">
        <f> IF( O41 = 1,$F37 / $F38 * O39 * O40, 0)</f>
        <v>15679.20783</v>
      </c>
      <c r="P42" s="390">
        <f> IF( P41 = 1,$F37 / $F38 * P39 * P40, 0)</f>
        <v>16757.744045228592</v>
      </c>
      <c r="Q42" s="390">
        <f> IF( Q41 = 1,$F37 / $F38 * Q39 * Q40, 0)</f>
        <v>16066.407068325823</v>
      </c>
      <c r="R42" s="390">
        <f> IF( R41 = 1,$F37 / $F38 * R39 * R40, 0)</f>
        <v>17171.577818001006</v>
      </c>
      <c r="S42" s="390">
        <f> IF( S41 = 1,$F37 / $F38 * S39 * S40, 0)</f>
        <v>16463.168221500004</v>
      </c>
      <c r="T42" s="390">
        <f> IF( T41 = 1,$F37 / $F38 * T39 * T40, 0)</f>
        <v>17865.79912725487</v>
      </c>
      <c r="U42" s="390">
        <f> IF( U41 = 1,$F37 / $F38 * U39 * U40, 0)</f>
        <v>17087.449609583564</v>
      </c>
      <c r="V42" s="390">
        <f> IF( V41 = 1,$F37 / $F38 * V39 * V40, 0)</f>
        <v>18219.611675160308</v>
      </c>
      <c r="W42" s="390">
        <f> IF( W41 = 1,$F37 / $F38 * W39 * W40, 0)</f>
        <v>17425.84779936</v>
      </c>
      <c r="X42" s="390">
        <f> IF( X41 = 1,$F37 / $F38 * X39 * X40, 0)</f>
        <v>18535.604635315492</v>
      </c>
      <c r="Y42" s="390">
        <f> IF( Y41 = 1,$F37 / $F38 * Y39 * Y40, 0)</f>
        <v>17685.30397455055</v>
      </c>
      <c r="Z42" s="390">
        <f> IF( Z41 = 1,$F37 / $F38 * Z39 * Z40, 0)</f>
        <v>18811.584153723765</v>
      </c>
      <c r="AA42" s="390">
        <f> IF( AA41 = 1,$F37 / $F38 * AA39 * AA40, 0)</f>
        <v>17948.623233340793</v>
      </c>
      <c r="AB42" s="390">
        <f> IF( AB41 = 1,$F37 / $F38 * AB39 * AB40, 0)</f>
        <v>19091.672774374954</v>
      </c>
      <c r="AC42" s="390">
        <f> IF( AC41 = 1,$F37 / $F38 * AC39 * AC40, 0)</f>
        <v>18215.863093787062</v>
      </c>
      <c r="AD42" s="390">
        <f> IF( AD41 = 1,$F37 / $F38 * AD39 * AD40, 0)</f>
        <v>20053.137538301045</v>
      </c>
      <c r="AE42" s="390">
        <f> IF( AE41 = 1,$F37 / $F38 * AE39 * AE40, 0)</f>
        <v>19132.433445349216</v>
      </c>
      <c r="AF42" s="390">
        <f> IF( AF41 = 1,$F37 / $F38 * AF39 * AF40, 0)</f>
        <v>20351.71184160976</v>
      </c>
      <c r="AG42" s="390">
        <f> IF( AG41 = 1,$F37 / $F38 * AG39 * AG40, 0)</f>
        <v>19417.299241319288</v>
      </c>
      <c r="AH42" s="390">
        <f> IF( AH41 = 1,$F37 / $F38 * AH39 * AH40, 0)</f>
        <v>20654.73166445007</v>
      </c>
      <c r="AI42" s="390">
        <f> IF( AI41 = 1,$F37 / $F38 * AI39 * AI40, 0)</f>
        <v>19706.406448709684</v>
      </c>
      <c r="AJ42" s="390">
        <f> IF( AJ41 = 1,$F37 / $F38 * AJ39 * AJ40, 0)</f>
        <v>20962.263196858046</v>
      </c>
      <c r="AK42" s="390">
        <f> IF( AK41 = 1,$F37 / $F38 * AK39 * AK40, 0)</f>
        <v>19999.818218558856</v>
      </c>
      <c r="AL42" s="390">
        <f> IF( AL41 = 1,$F37 / $F38 * AL39 * AL40, 0)</f>
        <v>21274.373614383563</v>
      </c>
      <c r="AM42" s="390">
        <f> IF( AM41 = 1,$F37 / $F38 * AM39 * AM40, 0)</f>
        <v>20982.252064443164</v>
      </c>
      <c r="AN42" s="390">
        <f> IF( AN41 = 1,$F37 / $F38 * AN39 * AN40, 0)</f>
        <v>22320.275869803158</v>
      </c>
      <c r="AO42" s="390">
        <f> IF( AO41 = 1,$F37 / $F38 * AO39 * AO40, 0)</f>
        <v>21294.660099346598</v>
      </c>
      <c r="AP42" s="390">
        <f> IF( AP41 = 1,$F37 / $F38 * AP39 * AP40, 0)</f>
        <v>22652.605950557663</v>
      </c>
      <c r="AQ42" s="390">
        <f> IF( AQ41 = 1,$F37 / $F38 * AQ39 * AQ40, 0)</f>
        <v>21611.71962637645</v>
      </c>
      <c r="AR42" s="390">
        <f> IF( AR41 = 1,$F37 / $F38 * AR39 * AR40, 0)</f>
        <v>22989.884145897246</v>
      </c>
      <c r="AS42" s="390">
        <f> IF( AS41 = 1,$F37 / $F38 * AS39 * AS40, 0)</f>
        <v>21933.49990232699</v>
      </c>
      <c r="AT42" s="390">
        <f> IF( AT41 = 1,$F37 / $F38 * AT39 * AT40, 0)</f>
        <v>23332.184129074387</v>
      </c>
      <c r="AU42" s="390">
        <f> IF( AU41 = 1,$F37 / $F38 * AU39 * AU40, 0)</f>
        <v>22260.071215167736</v>
      </c>
      <c r="AV42" s="390">
        <f> IF( AV41 = 1,$F37 / $F38 * AV39 * AV40, 0)</f>
        <v>23679.580670274154</v>
      </c>
      <c r="AW42" s="390">
        <f> IF( AW41 = 1,$F37 / $F38 * AW39 * AW40, 0)</f>
        <v>22591.50489939679</v>
      </c>
      <c r="AX42" s="390">
        <f> IF( AX41 = 1,$F37 / $F38 * AX39 * AX40, 0)</f>
        <v>24923.9132405427</v>
      </c>
      <c r="AY42" s="390">
        <f> IF( AY41 = 1,$F37 / $F38 * AY39 * AY40, 0)</f>
        <v>23783.500397747724</v>
      </c>
      <c r="AZ42" s="390">
        <f> IF( AZ41 = 1,$F37 / $F38 * AZ39 * AZ40, 0)</f>
        <v>25295.009285603406</v>
      </c>
      <c r="BA42" s="390">
        <f> IF( BA41 = 1,$F37 / $F38 * BA39 * BA40, 0)</f>
        <v>24137.616657506926</v>
      </c>
      <c r="BB42" s="390">
        <f> IF( BB41 = 1,$F37 / $F38 * BB39 * BB40, 0)</f>
        <v>25671.63063775897</v>
      </c>
      <c r="BC42" s="390">
        <f> IF( BC41 = 1,$F37 / $F38 * BC39 * BC40, 0)</f>
        <v>24497.005409680147</v>
      </c>
      <c r="BD42" s="390">
        <f> IF( BD41 = 1,$F37 / $F38 * BD39 * BD40, 0)</f>
        <v>26053.8595641715</v>
      </c>
      <c r="BE42" s="390">
        <f> IF( BE41 = 1,$F37 / $F38 * BE39 * BE40, 0)</f>
        <v>24861.74515723213</v>
      </c>
      <c r="BF42" s="390">
        <f> IF( BF41 = 1,$F37 / $F38 * BF39 * BF40, 0)</f>
        <v>26441.779556891735</v>
      </c>
      <c r="BG42" s="390">
        <f> IF( BG41 = 1,$F37 / $F38 * BG39 * BG40, 0)</f>
        <v>25231.915571970545</v>
      </c>
      <c r="BH42" s="390">
        <f> IF( BH41 = 1,$F37 / $F38 * BH39 * BH40, 0)</f>
        <v>25419.062500857544</v>
      </c>
      <c r="BI42" s="390">
        <f> IF( BI41 = 1,$F37 / $F38 * BI39 * BI40, 0)</f>
        <v>27034.5159979653</v>
      </c>
      <c r="BJ42" s="390">
        <f> IF( BJ41 = 1,$F37 / $F38 * BJ39 * BJ40, 0)</f>
        <v>25797.530900750502</v>
      </c>
      <c r="BK42" s="390">
        <f> IF( BK41 = 1,$F37 / $F38 * BK39 * BK40, 0)</f>
        <v>27437.037137810064</v>
      </c>
      <c r="BL42" s="390">
        <f> IF( BL41 = 1,$F37 / $F38 * BL39 * BL40, 0)</f>
        <v>26181.634375883263</v>
      </c>
      <c r="BM42" s="390">
        <f> IF( BM41 = 1,$F37 / $F38 * BM39 * BM40, 0)</f>
        <v>27845.55147790425</v>
      </c>
      <c r="BN42" s="390">
        <f> IF( BN41 = 1,$F37 / $F38 * BN39 * BN40, 0)</f>
        <v>26571.45682777301</v>
      </c>
      <c r="BO42" s="390">
        <f> IF( BO41 = 1,$F37 / $F38 * BO39 * BO40, 0)</f>
        <v>28260.14825194436</v>
      </c>
      <c r="BP42" s="390">
        <f> IF( BP41 = 1,$F37 / $F38 * BP39 * BP40, 0)</f>
        <v>26967.083407159753</v>
      </c>
      <c r="BQ42" s="390">
        <f> IF( BQ41 = 1,$F37 / $F38 * BQ39 * BQ40, 0)</f>
        <v>27167.100200426765</v>
      </c>
      <c r="BR42" s="390">
        <f> IF( BR41 = 1,$F37 / $F38 * BR39 * BR40, 0)</f>
        <v>28893.64644986361</v>
      </c>
      <c r="BS42" s="390">
        <f> IF( BS41 = 1,$F37 / $F38 * BS39 * BS40, 0)</f>
        <v>27571.59540721263</v>
      </c>
      <c r="BT42" s="390">
        <f> IF( BT41 = 1,$F37 / $F38 * BT39 * BT40, 0)</f>
        <v>29323.848473977745</v>
      </c>
      <c r="BU42" s="390">
        <f> IF( BU41 = 1,$F37 / $F38 * BU39 * BU40, 0)</f>
        <v>27982.11320643956</v>
      </c>
      <c r="BV42" s="390">
        <f> IF( BV41 = 1,$F37 / $F38 * BV39 * BV40, 0)</f>
        <v>29760.455843359505</v>
      </c>
      <c r="BW42" s="390">
        <f> IF( BW41 = 1,$F37 / $F38 * BW39 * BW40, 0)</f>
        <v>29981.191280487754</v>
      </c>
      <c r="BX42" s="390">
        <f> IF( BX41 = 1,$F37 / $F38 * BX39 * BX40, 0)</f>
        <v>30203.56392819707</v>
      </c>
      <c r="BY42" s="390">
        <f> IF( BY41 = 1,$F37 / $F38 * BY39 * BY40, 0)</f>
        <v>30427.585929795852</v>
      </c>
      <c r="BZ42" s="390">
        <f> IF( BZ41 = 1,$F37 / $F38 * BZ39 * BZ40, 0)</f>
        <v>30653.269518660283</v>
      </c>
      <c r="CA42" s="390">
        <f> IF( CA41 = 1,$F37 / $F38 * CA39 * CA40, 0)</f>
        <v>30880.627018902378</v>
      </c>
      <c r="CB42" s="390">
        <f> IF( CB41 = 1,$F37 / $F38 * CB39 * CB40, 0)</f>
        <v>31109.670846042973</v>
      </c>
      <c r="CC42" s="390">
        <f> IF( CC41 = 1,$F37 / $F38 * CC39 * CC40, 0)</f>
        <v>31340.41350768972</v>
      </c>
      <c r="CD42" s="390">
        <f> IF( CD41 = 1,$F37 / $F38 * CD39 * CD40, 0)</f>
        <v>31572.867604220082</v>
      </c>
      <c r="CE42" s="390">
        <f> IF( CE41 = 1,$F37 / $F38 * CE39 * CE40, 0)</f>
        <v>31807.045829469436</v>
      </c>
      <c r="CF42" s="390">
        <f> IF( CF41 = 1,$F37 / $F38 * CF39 * CF40, 0)</f>
        <v>32042.960971424254</v>
      </c>
      <c r="CG42" s="390">
        <f> IF( CG41 = 1,$F37 / $F38 * CG39 * CG40, 0)</f>
        <v>32280.6259129204</v>
      </c>
      <c r="CH42" s="390">
        <f> IF( CH41 = 1,$F37 / $F38 * CH39 * CH40, 0)</f>
        <v>32520.053632346677</v>
      </c>
      <c r="CI42" s="390">
        <f> IF( CI41 = 1,$F37 / $F38 * CI39 * CI40, 0)</f>
        <v>32761.25720435351</v>
      </c>
      <c r="CJ42" s="390">
        <f> IF( CJ41 = 1,$F37 / $F38 * CJ39 * CJ40, 0)</f>
        <v>33004.24980056697</v>
      </c>
      <c r="CK42" s="390">
        <f> IF( CK41 = 1,$F37 / $F38 * CK39 * CK40, 0)</f>
        <v>33249.044690308</v>
      </c>
      <c r="CL42" s="390">
        <f> IF( CL41 = 1,$F37 / $F38 * CL39 * CL40, 0)</f>
        <v>33495.655241317065</v>
      </c>
      <c r="CM42" s="390">
        <f> IF( CM41 = 1,$F37 / $F38 * CM39 * CM40, 0)</f>
        <v>33744.09492048411</v>
      </c>
      <c r="CN42" s="390">
        <f> IF( CN41 = 1,$F37 / $F38 * CN39 * CN40, 0)</f>
        <v>0.0</v>
      </c>
      <c r="CO42" s="390">
        <f> IF( CO41 = 1,$F37 / $F38 * CO39 * CO40, 0)</f>
        <v>0.0</v>
      </c>
    </row>
    <row r="45">
      <c r="A45" s="294" t="inlineStr">
        <is>
          <t xml:space="preserve">OPERATING REVENUE RECEIVED </t>
        </is>
      </c>
    </row>
    <row r="47">
      <c r="E47" s="325" t="str">
        <f> InpC!E$37</f>
        <v>Account receivables days</v>
      </c>
      <c r="F47" s="325">
        <f> InpC!F$37</f>
        <v>25.0</v>
      </c>
      <c r="G47" s="325" t="str">
        <f> InpC!G$37</f>
        <v>days</v>
      </c>
    </row>
    <row r="48">
      <c r="E48" s="324" t="str">
        <f> Time!E$30</f>
        <v>Days in model period</v>
      </c>
      <c r="F48" s="324">
        <f> Time!F$30</f>
        <v>0.0</v>
      </c>
      <c r="G48" s="324" t="str">
        <f> Time!G$30</f>
        <v>days</v>
      </c>
      <c r="H48" s="324">
        <f> Time!H$30</f>
        <v>0.0</v>
      </c>
      <c r="I48" s="324">
        <f> Time!I$30</f>
        <v>0.0</v>
      </c>
      <c r="J48" s="324">
        <f> Time!J$30</f>
        <v>92.0</v>
      </c>
      <c r="K48" s="324">
        <f> Time!K$30</f>
        <v>92.0</v>
      </c>
      <c r="L48" s="324">
        <f> Time!L$30</f>
        <v>90.0</v>
      </c>
      <c r="M48" s="324">
        <f> Time!M$30</f>
        <v>91.0</v>
      </c>
      <c r="N48" s="324">
        <f> Time!N$30</f>
        <v>92.0</v>
      </c>
      <c r="O48" s="324">
        <f> Time!O$30</f>
        <v>92.0</v>
      </c>
      <c r="P48" s="324">
        <f> Time!P$30</f>
        <v>90.0</v>
      </c>
      <c r="Q48" s="324">
        <f> Time!Q$30</f>
        <v>91.0</v>
      </c>
      <c r="R48" s="324">
        <f> Time!R$30</f>
        <v>92.0</v>
      </c>
      <c r="S48" s="324">
        <f> Time!S$30</f>
        <v>92.0</v>
      </c>
      <c r="T48" s="324">
        <f> Time!T$30</f>
        <v>91.0</v>
      </c>
      <c r="U48" s="324">
        <f> Time!U$30</f>
        <v>91.0</v>
      </c>
      <c r="V48" s="324">
        <f> Time!V$30</f>
        <v>92.0</v>
      </c>
      <c r="W48" s="324">
        <f> Time!W$30</f>
        <v>92.0</v>
      </c>
      <c r="X48" s="324">
        <f> Time!X$30</f>
        <v>90.0</v>
      </c>
      <c r="Y48" s="324">
        <f> Time!Y$30</f>
        <v>91.0</v>
      </c>
      <c r="Z48" s="324">
        <f> Time!Z$30</f>
        <v>92.0</v>
      </c>
      <c r="AA48" s="324">
        <f> Time!AA$30</f>
        <v>92.0</v>
      </c>
      <c r="AB48" s="324">
        <f> Time!AB$30</f>
        <v>90.0</v>
      </c>
      <c r="AC48" s="324">
        <f> Time!AC$30</f>
        <v>91.0</v>
      </c>
      <c r="AD48" s="324">
        <f> Time!AD$30</f>
        <v>92.0</v>
      </c>
      <c r="AE48" s="324">
        <f> Time!AE$30</f>
        <v>92.0</v>
      </c>
      <c r="AF48" s="324">
        <f> Time!AF$30</f>
        <v>90.0</v>
      </c>
      <c r="AG48" s="324">
        <f> Time!AG$30</f>
        <v>91.0</v>
      </c>
      <c r="AH48" s="324">
        <f> Time!AH$30</f>
        <v>92.0</v>
      </c>
      <c r="AI48" s="324">
        <f> Time!AI$30</f>
        <v>92.0</v>
      </c>
      <c r="AJ48" s="324">
        <f> Time!AJ$30</f>
        <v>91.0</v>
      </c>
      <c r="AK48" s="324">
        <f> Time!AK$30</f>
        <v>91.0</v>
      </c>
      <c r="AL48" s="324">
        <f> Time!AL$30</f>
        <v>92.0</v>
      </c>
      <c r="AM48" s="324">
        <f> Time!AM$30</f>
        <v>92.0</v>
      </c>
      <c r="AN48" s="324">
        <f> Time!AN$30</f>
        <v>90.0</v>
      </c>
      <c r="AO48" s="324">
        <f> Time!AO$30</f>
        <v>91.0</v>
      </c>
      <c r="AP48" s="324">
        <f> Time!AP$30</f>
        <v>92.0</v>
      </c>
      <c r="AQ48" s="324">
        <f> Time!AQ$30</f>
        <v>92.0</v>
      </c>
      <c r="AR48" s="324">
        <f> Time!AR$30</f>
        <v>90.0</v>
      </c>
      <c r="AS48" s="324">
        <f> Time!AS$30</f>
        <v>91.0</v>
      </c>
      <c r="AT48" s="324">
        <f> Time!AT$30</f>
        <v>92.0</v>
      </c>
      <c r="AU48" s="324">
        <f> Time!AU$30</f>
        <v>92.0</v>
      </c>
      <c r="AV48" s="324">
        <f> Time!AV$30</f>
        <v>90.0</v>
      </c>
      <c r="AW48" s="324">
        <f> Time!AW$30</f>
        <v>91.0</v>
      </c>
      <c r="AX48" s="324">
        <f> Time!AX$30</f>
        <v>92.0</v>
      </c>
      <c r="AY48" s="324">
        <f> Time!AY$30</f>
        <v>92.0</v>
      </c>
      <c r="AZ48" s="324">
        <f> Time!AZ$30</f>
        <v>91.0</v>
      </c>
      <c r="BA48" s="324">
        <f> Time!BA$30</f>
        <v>91.0</v>
      </c>
      <c r="BB48" s="324">
        <f> Time!BB$30</f>
        <v>92.0</v>
      </c>
      <c r="BC48" s="324">
        <f> Time!BC$30</f>
        <v>92.0</v>
      </c>
      <c r="BD48" s="324">
        <f> Time!BD$30</f>
        <v>90.0</v>
      </c>
      <c r="BE48" s="324">
        <f> Time!BE$30</f>
        <v>91.0</v>
      </c>
      <c r="BF48" s="324">
        <f> Time!BF$30</f>
        <v>92.0</v>
      </c>
      <c r="BG48" s="324">
        <f> Time!BG$30</f>
        <v>92.0</v>
      </c>
      <c r="BH48" s="324">
        <f> Time!BH$30</f>
        <v>90.0</v>
      </c>
      <c r="BI48" s="324">
        <f> Time!BI$30</f>
        <v>91.0</v>
      </c>
      <c r="BJ48" s="324">
        <f> Time!BJ$30</f>
        <v>92.0</v>
      </c>
      <c r="BK48" s="324">
        <f> Time!BK$30</f>
        <v>92.0</v>
      </c>
      <c r="BL48" s="324">
        <f> Time!BL$30</f>
        <v>90.0</v>
      </c>
      <c r="BM48" s="324">
        <f> Time!BM$30</f>
        <v>91.0</v>
      </c>
      <c r="BN48" s="324">
        <f> Time!BN$30</f>
        <v>92.0</v>
      </c>
      <c r="BO48" s="324">
        <f> Time!BO$30</f>
        <v>92.0</v>
      </c>
      <c r="BP48" s="324">
        <f> Time!BP$30</f>
        <v>91.0</v>
      </c>
      <c r="BQ48" s="324">
        <f> Time!BQ$30</f>
        <v>91.0</v>
      </c>
      <c r="BR48" s="324">
        <f> Time!BR$30</f>
        <v>92.0</v>
      </c>
      <c r="BS48" s="324">
        <f> Time!BS$30</f>
        <v>92.0</v>
      </c>
      <c r="BT48" s="324">
        <f> Time!BT$30</f>
        <v>90.0</v>
      </c>
      <c r="BU48" s="324">
        <f> Time!BU$30</f>
        <v>91.0</v>
      </c>
      <c r="BV48" s="324">
        <f> Time!BV$30</f>
        <v>92.0</v>
      </c>
      <c r="BW48" s="324">
        <f> Time!BW$30</f>
        <v>92.0</v>
      </c>
      <c r="BX48" s="324">
        <f> Time!BX$30</f>
        <v>90.0</v>
      </c>
      <c r="BY48" s="324">
        <f> Time!BY$30</f>
        <v>91.0</v>
      </c>
      <c r="BZ48" s="324">
        <f> Time!BZ$30</f>
        <v>92.0</v>
      </c>
      <c r="CA48" s="324">
        <f> Time!CA$30</f>
        <v>92.0</v>
      </c>
      <c r="CB48" s="324">
        <f> Time!CB$30</f>
        <v>90.0</v>
      </c>
      <c r="CC48" s="324">
        <f> Time!CC$30</f>
        <v>91.0</v>
      </c>
      <c r="CD48" s="324">
        <f> Time!CD$30</f>
        <v>92.0</v>
      </c>
      <c r="CE48" s="324">
        <f> Time!CE$30</f>
        <v>92.0</v>
      </c>
      <c r="CF48" s="324">
        <f> Time!CF$30</f>
        <v>91.0</v>
      </c>
      <c r="CG48" s="324">
        <f> Time!CG$30</f>
        <v>91.0</v>
      </c>
      <c r="CH48" s="324">
        <f> Time!CH$30</f>
        <v>92.0</v>
      </c>
      <c r="CI48" s="324">
        <f> Time!CI$30</f>
        <v>92.0</v>
      </c>
      <c r="CJ48" s="324">
        <f> Time!CJ$30</f>
        <v>90.0</v>
      </c>
      <c r="CK48" s="324">
        <f> Time!CK$30</f>
        <v>91.0</v>
      </c>
      <c r="CL48" s="324">
        <f> Time!CL$30</f>
        <v>92.0</v>
      </c>
      <c r="CM48" s="324">
        <f> Time!CM$30</f>
        <v>92.0</v>
      </c>
      <c r="CN48" s="324">
        <f> Time!CN$30</f>
        <v>90.0</v>
      </c>
      <c r="CO48" s="324">
        <f> Time!CO$30</f>
        <v>91.0</v>
      </c>
    </row>
    <row r="49">
      <c r="E49" s="61" t="str">
        <f> E$42</f>
        <v>Operating revenue</v>
      </c>
      <c r="F49" s="61" t="str">
        <f> F$42</f>
        <v>IS</v>
      </c>
      <c r="G49" s="61" t="str">
        <f> G$42</f>
        <v>$ 000s</v>
      </c>
      <c r="H49" s="61">
        <f> H$42</f>
        <v>1941568.6331634293</v>
      </c>
      <c r="I49" s="61">
        <f> I$42</f>
        <v>0.0</v>
      </c>
      <c r="J49" s="61">
        <f> J$42</f>
        <v>0.0</v>
      </c>
      <c r="K49" s="61">
        <f> K$42</f>
        <v>0.0</v>
      </c>
      <c r="L49" s="61">
        <f> L$42</f>
        <v>15701.746478449233</v>
      </c>
      <c r="M49" s="61">
        <f> M$42</f>
        <v>15185.266327468535</v>
      </c>
      <c r="N49" s="61">
        <f> N$42</f>
        <v>16270.807740180759</v>
      </c>
      <c r="O49" s="61">
        <f> O$42</f>
        <v>15679.20783</v>
      </c>
      <c r="P49" s="61">
        <f> P$42</f>
        <v>16757.744045228592</v>
      </c>
      <c r="Q49" s="61">
        <f> Q$42</f>
        <v>16066.407068325823</v>
      </c>
      <c r="R49" s="61">
        <f> R$42</f>
        <v>17171.577818001006</v>
      </c>
      <c r="S49" s="61">
        <f> S$42</f>
        <v>16463.168221500004</v>
      </c>
      <c r="T49" s="61">
        <f> T$42</f>
        <v>17865.79912725487</v>
      </c>
      <c r="U49" s="61">
        <f> U$42</f>
        <v>17087.449609583564</v>
      </c>
      <c r="V49" s="61">
        <f> V$42</f>
        <v>18219.611675160308</v>
      </c>
      <c r="W49" s="61">
        <f> W$42</f>
        <v>17425.84779936</v>
      </c>
      <c r="X49" s="61">
        <f> X$42</f>
        <v>18535.604635315492</v>
      </c>
      <c r="Y49" s="61">
        <f> Y$42</f>
        <v>17685.30397455055</v>
      </c>
      <c r="Z49" s="61">
        <f> Z$42</f>
        <v>18811.584153723765</v>
      </c>
      <c r="AA49" s="61">
        <f> AA$42</f>
        <v>17948.623233340793</v>
      </c>
      <c r="AB49" s="61">
        <f> AB$42</f>
        <v>19091.672774374954</v>
      </c>
      <c r="AC49" s="61">
        <f> AC$42</f>
        <v>18215.863093787062</v>
      </c>
      <c r="AD49" s="61">
        <f> AD$42</f>
        <v>20053.137538301045</v>
      </c>
      <c r="AE49" s="61">
        <f> AE$42</f>
        <v>19132.433445349216</v>
      </c>
      <c r="AF49" s="61">
        <f> AF$42</f>
        <v>20351.71184160976</v>
      </c>
      <c r="AG49" s="61">
        <f> AG$42</f>
        <v>19417.299241319288</v>
      </c>
      <c r="AH49" s="61">
        <f> AH$42</f>
        <v>20654.73166445007</v>
      </c>
      <c r="AI49" s="61">
        <f> AI$42</f>
        <v>19706.406448709684</v>
      </c>
      <c r="AJ49" s="61">
        <f> AJ$42</f>
        <v>20962.263196858046</v>
      </c>
      <c r="AK49" s="61">
        <f> AK$42</f>
        <v>19999.818218558856</v>
      </c>
      <c r="AL49" s="61">
        <f> AL$42</f>
        <v>21274.373614383563</v>
      </c>
      <c r="AM49" s="61">
        <f> AM$42</f>
        <v>20982.252064443164</v>
      </c>
      <c r="AN49" s="61">
        <f> AN$42</f>
        <v>22320.275869803158</v>
      </c>
      <c r="AO49" s="61">
        <f> AO$42</f>
        <v>21294.660099346598</v>
      </c>
      <c r="AP49" s="61">
        <f> AP$42</f>
        <v>22652.605950557663</v>
      </c>
      <c r="AQ49" s="61">
        <f> AQ$42</f>
        <v>21611.71962637645</v>
      </c>
      <c r="AR49" s="61">
        <f> AR$42</f>
        <v>22989.884145897246</v>
      </c>
      <c r="AS49" s="61">
        <f> AS$42</f>
        <v>21933.49990232699</v>
      </c>
      <c r="AT49" s="61">
        <f> AT$42</f>
        <v>23332.184129074387</v>
      </c>
      <c r="AU49" s="61">
        <f> AU$42</f>
        <v>22260.071215167736</v>
      </c>
      <c r="AV49" s="61">
        <f> AV$42</f>
        <v>23679.580670274154</v>
      </c>
      <c r="AW49" s="61">
        <f> AW$42</f>
        <v>22591.50489939679</v>
      </c>
      <c r="AX49" s="61">
        <f> AX$42</f>
        <v>24923.9132405427</v>
      </c>
      <c r="AY49" s="61">
        <f> AY$42</f>
        <v>23783.500397747724</v>
      </c>
      <c r="AZ49" s="61">
        <f> AZ$42</f>
        <v>25295.009285603406</v>
      </c>
      <c r="BA49" s="61">
        <f> BA$42</f>
        <v>24137.616657506926</v>
      </c>
      <c r="BB49" s="61">
        <f> BB$42</f>
        <v>25671.63063775897</v>
      </c>
      <c r="BC49" s="61">
        <f> BC$42</f>
        <v>24497.005409680147</v>
      </c>
      <c r="BD49" s="61">
        <f> BD$42</f>
        <v>26053.8595641715</v>
      </c>
      <c r="BE49" s="61">
        <f> BE$42</f>
        <v>24861.74515723213</v>
      </c>
      <c r="BF49" s="61">
        <f> BF$42</f>
        <v>26441.779556891735</v>
      </c>
      <c r="BG49" s="61">
        <f> BG$42</f>
        <v>25231.915571970545</v>
      </c>
      <c r="BH49" s="61">
        <f> BH$42</f>
        <v>25419.062500857544</v>
      </c>
      <c r="BI49" s="61">
        <f> BI$42</f>
        <v>27034.5159979653</v>
      </c>
      <c r="BJ49" s="61">
        <f> BJ$42</f>
        <v>25797.530900750502</v>
      </c>
      <c r="BK49" s="61">
        <f> BK$42</f>
        <v>27437.037137810064</v>
      </c>
      <c r="BL49" s="61">
        <f> BL$42</f>
        <v>26181.634375883263</v>
      </c>
      <c r="BM49" s="61">
        <f> BM$42</f>
        <v>27845.55147790425</v>
      </c>
      <c r="BN49" s="61">
        <f> BN$42</f>
        <v>26571.45682777301</v>
      </c>
      <c r="BO49" s="61">
        <f> BO$42</f>
        <v>28260.14825194436</v>
      </c>
      <c r="BP49" s="61">
        <f> BP$42</f>
        <v>26967.083407159753</v>
      </c>
      <c r="BQ49" s="61">
        <f> BQ$42</f>
        <v>27167.100200426765</v>
      </c>
      <c r="BR49" s="61">
        <f> BR$42</f>
        <v>28893.64644986361</v>
      </c>
      <c r="BS49" s="61">
        <f> BS$42</f>
        <v>27571.59540721263</v>
      </c>
      <c r="BT49" s="61">
        <f> BT$42</f>
        <v>29323.848473977745</v>
      </c>
      <c r="BU49" s="61">
        <f> BU$42</f>
        <v>27982.11320643956</v>
      </c>
      <c r="BV49" s="61">
        <f> BV$42</f>
        <v>29760.455843359505</v>
      </c>
      <c r="BW49" s="61">
        <f> BW$42</f>
        <v>29981.191280487754</v>
      </c>
      <c r="BX49" s="61">
        <f> BX$42</f>
        <v>30203.56392819707</v>
      </c>
      <c r="BY49" s="61">
        <f> BY$42</f>
        <v>30427.585929795852</v>
      </c>
      <c r="BZ49" s="61">
        <f> BZ$42</f>
        <v>30653.269518660283</v>
      </c>
      <c r="CA49" s="61">
        <f> CA$42</f>
        <v>30880.627018902378</v>
      </c>
      <c r="CB49" s="61">
        <f> CB$42</f>
        <v>31109.670846042973</v>
      </c>
      <c r="CC49" s="61">
        <f> CC$42</f>
        <v>31340.41350768972</v>
      </c>
      <c r="CD49" s="61">
        <f> CD$42</f>
        <v>31572.867604220082</v>
      </c>
      <c r="CE49" s="61">
        <f> CE$42</f>
        <v>31807.045829469436</v>
      </c>
      <c r="CF49" s="61">
        <f> CF$42</f>
        <v>32042.960971424254</v>
      </c>
      <c r="CG49" s="61">
        <f> CG$42</f>
        <v>32280.6259129204</v>
      </c>
      <c r="CH49" s="61">
        <f> CH$42</f>
        <v>32520.053632346677</v>
      </c>
      <c r="CI49" s="61">
        <f> CI$42</f>
        <v>32761.25720435351</v>
      </c>
      <c r="CJ49" s="61">
        <f> CJ$42</f>
        <v>33004.24980056697</v>
      </c>
      <c r="CK49" s="61">
        <f> CK$42</f>
        <v>33249.044690308</v>
      </c>
      <c r="CL49" s="61">
        <f> CL$42</f>
        <v>33495.655241317065</v>
      </c>
      <c r="CM49" s="61">
        <f> CM$42</f>
        <v>33744.09492048411</v>
      </c>
      <c r="CN49" s="61">
        <f> CN$42</f>
        <v>0.0</v>
      </c>
      <c r="CO49" s="61">
        <f> CO$42</f>
        <v>0.0</v>
      </c>
    </row>
    <row r="50">
      <c r="E50" s="61" t="inlineStr">
        <is>
          <t>Cash from paid invoices</t>
        </is>
      </c>
      <c r="G50" s="61" t="str">
        <f>SMU</f>
        <v>$ 000s</v>
      </c>
      <c r="J50" s="61">
        <f> (J48 - $F47) / J48 * J49</f>
        <v>0.0</v>
      </c>
      <c r="K50" s="61">
        <f> (K48 - $F47) / K48 * K49</f>
        <v>0.0</v>
      </c>
      <c r="L50" s="61">
        <f> (L48 - $F47) / L48 * L49</f>
        <v>11340.150234435558</v>
      </c>
      <c r="M50" s="61">
        <f> (M48 - $F47) / M48 * M49</f>
        <v>11013.489863878278</v>
      </c>
      <c r="N50" s="61">
        <f> (N48 - $F47) / N48 * N49</f>
        <v>11849.39259339251</v>
      </c>
      <c r="O50" s="61">
        <f> (O48 - $F47) / O48 * O49</f>
        <v>11418.553528369564</v>
      </c>
      <c r="P50" s="61">
        <f> (P48 - $F47) / P48 * P49</f>
        <v>12102.815143776204</v>
      </c>
      <c r="Q50" s="61">
        <f> (Q48 - $F47) / Q48 * Q49</f>
        <v>11652.558972631916</v>
      </c>
      <c r="R50" s="61">
        <f> (R48 - $F47) / R48 * R49</f>
        <v>12505.388193544211</v>
      </c>
      <c r="S50" s="61">
        <f> (S48 - $F47) / S48 * S49</f>
        <v>11989.481204788046</v>
      </c>
      <c r="T50" s="61">
        <f> (T48 - $F47) / T48 * T49</f>
        <v>12957.612553833203</v>
      </c>
      <c r="U50" s="61">
        <f> (U48 - $F47) / U48 * U49</f>
        <v>12393.095321236431</v>
      </c>
      <c r="V50" s="61">
        <f> (V48 - $F47) / V48 * V49</f>
        <v>13268.630241692834</v>
      </c>
      <c r="W50" s="61">
        <f> (W48 - $F47) / W48 * W49</f>
        <v>12690.563071273044</v>
      </c>
      <c r="X50" s="61">
        <f> (X48 - $F47) / X48 * X49</f>
        <v>13386.825569950077</v>
      </c>
      <c r="Y50" s="61">
        <f> (Y48 - $F47) / Y48 * Y49</f>
        <v>12826.703981542156</v>
      </c>
      <c r="Z50" s="61">
        <f> (Z48 - $F47) / Z48 * Z49</f>
        <v>13699.740633690133</v>
      </c>
      <c r="AA50" s="61">
        <f> (AA48 - $F47) / AA48 * AA49</f>
        <v>13071.27996341123</v>
      </c>
      <c r="AB50" s="61">
        <f> (AB48 - $F47) / AB48 * AB49</f>
        <v>13788.430337048578</v>
      </c>
      <c r="AC50" s="61">
        <f> (AC48 - $F47) / AC48 * AC49</f>
        <v>13211.50510098842</v>
      </c>
      <c r="AD50" s="61">
        <f> (AD48 - $F47) / AD48 * AD49</f>
        <v>14603.915381154022</v>
      </c>
      <c r="AE50" s="61">
        <f> (AE48 - $F47) / AE48 * AE49</f>
        <v>13933.402617808668</v>
      </c>
      <c r="AF50" s="61">
        <f> (AF48 - $F47) / AF48 * AF49</f>
        <v>14698.458552273714</v>
      </c>
      <c r="AG50" s="61">
        <f> (AG48 - $F47) / AG48 * AG49</f>
        <v>14082.876372824978</v>
      </c>
      <c r="AH50" s="61">
        <f> (AH48 - $F47) / AH48 * AH49</f>
        <v>15042.03284258864</v>
      </c>
      <c r="AI50" s="61">
        <f> (AI48 - $F47) / AI48 * AI49</f>
        <v>14351.404696342923</v>
      </c>
      <c r="AJ50" s="61">
        <f> (AJ48 - $F47) / AJ48 * AJ49</f>
        <v>15203.399681237703</v>
      </c>
      <c r="AK50" s="61">
        <f> (AK48 - $F47) / AK48 * AK49</f>
        <v>14505.362664009719</v>
      </c>
      <c r="AL50" s="61">
        <f> (AL48 - $F47) / AL48 * AL49</f>
        <v>15493.293827866291</v>
      </c>
      <c r="AM50" s="61">
        <f> (AM48 - $F47) / AM48 * AM49</f>
        <v>15280.553133887957</v>
      </c>
      <c r="AN50" s="61">
        <f> (AN48 - $F47) / AN48 * AN49</f>
        <v>16120.199239302281</v>
      </c>
      <c r="AO50" s="61">
        <f> (AO48 - $F47) / AO48 * AO49</f>
        <v>15444.478753372257</v>
      </c>
      <c r="AP50" s="61">
        <f> (AP48 - $F47) / AP48 * AP49</f>
        <v>16497.006507471342</v>
      </c>
      <c r="AQ50" s="61">
        <f> (AQ48 - $F47) / AQ48 * AQ49</f>
        <v>15738.969727904589</v>
      </c>
      <c r="AR50" s="61">
        <f> (AR48 - $F47) / AR48 * AR49</f>
        <v>16603.805216481345</v>
      </c>
      <c r="AS50" s="61">
        <f> (AS48 - $F47) / AS48 * AS49</f>
        <v>15907.81311597342</v>
      </c>
      <c r="AT50" s="61">
        <f> (AT48 - $F47) / AT48 * AT49</f>
        <v>16991.91670269548</v>
      </c>
      <c r="AU50" s="61">
        <f> (AU48 - $F47) / AU48 * AU49</f>
        <v>16211.138819741722</v>
      </c>
      <c r="AV50" s="61">
        <f> (AV48 - $F47) / AV48 * AV49</f>
        <v>17101.91937297578</v>
      </c>
      <c r="AW50" s="61">
        <f> (AW48 - $F47) / AW48 * AW49</f>
        <v>16385.047509452615</v>
      </c>
      <c r="AX50" s="61">
        <f> (AX48 - $F47) / AX48 * AX49</f>
        <v>18151.110729525662</v>
      </c>
      <c r="AY50" s="61">
        <f> (AY48 - $F47) / AY48 * AY49</f>
        <v>17320.592680968453</v>
      </c>
      <c r="AZ50" s="61">
        <f> (AZ48 - $F47) / AZ48 * AZ49</f>
        <v>18345.830910437635</v>
      </c>
      <c r="BA50" s="61">
        <f> (BA48 - $F47) / BA48 * BA49</f>
        <v>17506.403290059967</v>
      </c>
      <c r="BB50" s="61">
        <f> (BB48 - $F47) / BB48 * BB49</f>
        <v>18695.644051411426</v>
      </c>
      <c r="BC50" s="61">
        <f> (BC48 - $F47) / BC48 * BC49</f>
        <v>17840.2104613975</v>
      </c>
      <c r="BD50" s="61">
        <f> (BD48 - $F47) / BD48 * BD49</f>
        <v>18816.67635190164</v>
      </c>
      <c r="BE50" s="61">
        <f> (BE48 - $F47) / BE48 * BE49</f>
        <v>18031.595388761765</v>
      </c>
      <c r="BF50" s="61">
        <f> (BF48 - $F47) / BF48 * BF49</f>
        <v>19256.513372953763</v>
      </c>
      <c r="BG50" s="61">
        <f> (BG48 - $F47) / BG48 * BG49</f>
        <v>18375.41677523942</v>
      </c>
      <c r="BH50" s="61">
        <f> (BH48 - $F47) / BH48 * BH49</f>
        <v>18358.21180617489</v>
      </c>
      <c r="BI50" s="61">
        <f> (BI48 - $F47) / BI48 * BI49</f>
        <v>19607.45116335945</v>
      </c>
      <c r="BJ50" s="61">
        <f> (BJ48 - $F47) / BJ48 * BJ49</f>
        <v>18787.332286416127</v>
      </c>
      <c r="BK50" s="61">
        <f> (BK48 - $F47) / BK48 * BK49</f>
        <v>19981.32052427472</v>
      </c>
      <c r="BL50" s="61">
        <f> (BL48 - $F47) / BL48 * BL49</f>
        <v>18908.958160360133</v>
      </c>
      <c r="BM50" s="61">
        <f> (BM48 - $F47) / BM48 * BM49</f>
        <v>20195.674698260224</v>
      </c>
      <c r="BN50" s="61">
        <f> (BN48 - $F47) / BN48 * BN49</f>
        <v>19350.952255008608</v>
      </c>
      <c r="BO50" s="61">
        <f> (BO48 - $F47) / BO48 * BO49</f>
        <v>20580.76014000296</v>
      </c>
      <c r="BP50" s="61">
        <f> (BP48 - $F47) / BP48 * BP49</f>
        <v>19558.544009588393</v>
      </c>
      <c r="BQ50" s="61">
        <f> (BQ48 - $F47) / BQ48 * BQ49</f>
        <v>19703.611134375456</v>
      </c>
      <c r="BR50" s="61">
        <f> (BR48 - $F47) / BR48 * BR49</f>
        <v>21042.11208848763</v>
      </c>
      <c r="BS50" s="61">
        <f> (BS48 - $F47) / BS48 * BS49</f>
        <v>20079.314046557025</v>
      </c>
      <c r="BT50" s="61">
        <f> (BT48 - $F47) / BT48 * BT49</f>
        <v>21178.335008983926</v>
      </c>
      <c r="BU50" s="61">
        <f> (BU48 - $F47) / BU48 * BU49</f>
        <v>20294.719468406714</v>
      </c>
      <c r="BV50" s="61">
        <f> (BV48 - $F47) / BV48 * BV49</f>
        <v>21673.37545114225</v>
      </c>
      <c r="BW50" s="61">
        <f> (BW48 - $F47) / BW48 * BW49</f>
        <v>21834.128432529127</v>
      </c>
      <c r="BX50" s="61">
        <f> (BX48 - $F47) / BX48 * BX49</f>
        <v>21813.68505925344</v>
      </c>
      <c r="BY50" s="61">
        <f> (BY48 - $F47) / BY48 * BY49</f>
        <v>22068.359026005783</v>
      </c>
      <c r="BZ50" s="61">
        <f> (BZ48 - $F47) / BZ48 * BZ49</f>
        <v>22323.57671467651</v>
      </c>
      <c r="CA50" s="61">
        <f> (CA48 - $F47) / CA48 * CA49</f>
        <v>22489.15228550499</v>
      </c>
      <c r="CB50" s="61">
        <f> (CB48 - $F47) / CB48 * CB49</f>
        <v>22468.095611031036</v>
      </c>
      <c r="CC50" s="61">
        <f> (CC48 - $F47) / CC48 * CC49</f>
        <v>22730.40979678595</v>
      </c>
      <c r="CD50" s="61">
        <f> (CD48 - $F47) / CD48 * CD49</f>
        <v>22993.2840161168</v>
      </c>
      <c r="CE50" s="61">
        <f> (CE48 - $F47) / CE48 * CE49</f>
        <v>23163.826854070132</v>
      </c>
      <c r="CF50" s="61">
        <f> (CF48 - $F47) / CF48 * CF49</f>
        <v>23239.94971553847</v>
      </c>
      <c r="CG50" s="61">
        <f> (CG48 - $F47) / CG48 * CG49</f>
        <v>23412.322090689522</v>
      </c>
      <c r="CH50" s="61">
        <f> (CH48 - $F47) / CH48 * CH49</f>
        <v>23683.082536600297</v>
      </c>
      <c r="CI50" s="61">
        <f> (CI48 - $F47) / CI48 * CI49</f>
        <v>23858.74165969223</v>
      </c>
      <c r="CJ50" s="61">
        <f> (CJ48 - $F47) / CJ48 * CJ49</f>
        <v>23836.40263374281</v>
      </c>
      <c r="CK50" s="61">
        <f> (CK48 - $F47) / CK48 * CK49</f>
        <v>24114.6917534102</v>
      </c>
      <c r="CL50" s="61">
        <f> (CL48 - $F47) / CL48 * CL49</f>
        <v>24393.575012698297</v>
      </c>
      <c r="CM50" s="61">
        <f> (CM48 - $F47) / CM48 * CM49</f>
        <v>24574.50390948299</v>
      </c>
      <c r="CN50" s="61">
        <f> (CN48 - $F47) / CN48 * CN49</f>
        <v>0.0</v>
      </c>
      <c r="CO50" s="61">
        <f> (CO48 - $F47) / CO48 * CO49</f>
        <v>0.0</v>
      </c>
    </row>
    <row r="52" customFormat="1" s="29">
      <c r="A52" s="355" t="n"/>
      <c r="B52" s="355" t="n"/>
      <c r="C52" s="356" t="n"/>
      <c r="D52" s="357" t="n"/>
      <c r="E52" s="29" t="str">
        <f> E$62</f>
        <v>Account receivables balance BEG</v>
      </c>
      <c r="F52" s="29">
        <f> F$62</f>
        <v>0.0</v>
      </c>
      <c r="G52" s="29" t="str">
        <f> G$62</f>
        <v>$ 000s</v>
      </c>
      <c r="H52" s="29">
        <f> H$62</f>
        <v>0.0</v>
      </c>
      <c r="I52" s="29">
        <f> I$62</f>
        <v>0.0</v>
      </c>
      <c r="J52" s="29">
        <f> J$62</f>
        <v>0.0</v>
      </c>
      <c r="K52" s="29">
        <f> K$62</f>
        <v>0.0</v>
      </c>
      <c r="L52" s="29">
        <f> L$62</f>
        <v>0.0</v>
      </c>
      <c r="M52" s="29">
        <f> M$62</f>
        <v>4361.5962440136755</v>
      </c>
      <c r="N52" s="29">
        <f> N$62</f>
        <v>4171.776463590259</v>
      </c>
      <c r="O52" s="29">
        <f> O$62</f>
        <v>4421.415146788249</v>
      </c>
      <c r="P52" s="29">
        <f> P$62</f>
        <v>4260.654301630433</v>
      </c>
      <c r="Q52" s="29">
        <f> Q$62</f>
        <v>4654.928901452386</v>
      </c>
      <c r="R52" s="29">
        <f> R$62</f>
        <v>4413.848095693906</v>
      </c>
      <c r="S52" s="29">
        <f> S$62</f>
        <v>4666.189624456794</v>
      </c>
      <c r="T52" s="29">
        <f> T$62</f>
        <v>4473.68701671196</v>
      </c>
      <c r="U52" s="29">
        <f> U$62</f>
        <v>4908.18657342167</v>
      </c>
      <c r="V52" s="29">
        <f> V$62</f>
        <v>4694.354288347131</v>
      </c>
      <c r="W52" s="29">
        <f> W$62</f>
        <v>4950.981433467474</v>
      </c>
      <c r="X52" s="29">
        <f> X$62</f>
        <v>4735.284728086957</v>
      </c>
      <c r="Y52" s="29">
        <f> Y$62</f>
        <v>5148.779065365416</v>
      </c>
      <c r="Z52" s="29">
        <f> Z$62</f>
        <v>4858.599993008393</v>
      </c>
      <c r="AA52" s="29">
        <f> AA$62</f>
        <v>5111.843520033632</v>
      </c>
      <c r="AB52" s="29">
        <f> AB$62</f>
        <v>4877.343269929563</v>
      </c>
      <c r="AC52" s="29">
        <f> AC$62</f>
        <v>5303.242437326378</v>
      </c>
      <c r="AD52" s="29">
        <f> AD$62</f>
        <v>5004.357992798643</v>
      </c>
      <c r="AE52" s="29">
        <f> AE$62</f>
        <v>5449.222157147022</v>
      </c>
      <c r="AF52" s="29">
        <f> AF$62</f>
        <v>5199.030827540548</v>
      </c>
      <c r="AG52" s="29">
        <f> AG$62</f>
        <v>5653.253289336044</v>
      </c>
      <c r="AH52" s="29">
        <f> AH$62</f>
        <v>5334.422868494308</v>
      </c>
      <c r="AI52" s="29">
        <f> AI$62</f>
        <v>5612.6988218614315</v>
      </c>
      <c r="AJ52" s="29">
        <f> AJ$62</f>
        <v>5355.001752366759</v>
      </c>
      <c r="AK52" s="29">
        <f> AK$62</f>
        <v>5758.863515620342</v>
      </c>
      <c r="AL52" s="29">
        <f> AL$62</f>
        <v>5494.4555545491385</v>
      </c>
      <c r="AM52" s="29">
        <f> AM$62</f>
        <v>5781.079786517272</v>
      </c>
      <c r="AN52" s="29">
        <f> AN$62</f>
        <v>5701.698930555205</v>
      </c>
      <c r="AO52" s="29">
        <f> AO$62</f>
        <v>6200.0766305008765</v>
      </c>
      <c r="AP52" s="29">
        <f> AP$62</f>
        <v>5850.181345974339</v>
      </c>
      <c r="AQ52" s="29">
        <f> AQ$62</f>
        <v>6155.599443086321</v>
      </c>
      <c r="AR52" s="29">
        <f> AR$62</f>
        <v>5872.749898471862</v>
      </c>
      <c r="AS52" s="29">
        <f> AS$62</f>
        <v>6386.0789294159</v>
      </c>
      <c r="AT52" s="29">
        <f> AT$62</f>
        <v>6025.686786353566</v>
      </c>
      <c r="AU52" s="29">
        <f> AU$62</f>
        <v>6340.267426378909</v>
      </c>
      <c r="AV52" s="29">
        <f> AV$62</f>
        <v>6048.932395426014</v>
      </c>
      <c r="AW52" s="29">
        <f> AW$62</f>
        <v>6577.661297298375</v>
      </c>
      <c r="AX52" s="29">
        <f> AX$62</f>
        <v>6206.457389944175</v>
      </c>
      <c r="AY52" s="29">
        <f> AY$62</f>
        <v>6772.802511017038</v>
      </c>
      <c r="AZ52" s="29">
        <f> AZ$62</f>
        <v>6462.907716779271</v>
      </c>
      <c r="BA52" s="29">
        <f> BA$62</f>
        <v>6949.178375165771</v>
      </c>
      <c r="BB52" s="29">
        <f> BB$62</f>
        <v>6631.213367446959</v>
      </c>
      <c r="BC52" s="29">
        <f> BC$62</f>
        <v>6975.986586347546</v>
      </c>
      <c r="BD52" s="29">
        <f> BD$62</f>
        <v>6656.794948282648</v>
      </c>
      <c r="BE52" s="29">
        <f> BE$62</f>
        <v>7237.1832122698615</v>
      </c>
      <c r="BF52" s="29">
        <f> BF$62</f>
        <v>6830.1497684703645</v>
      </c>
      <c r="BG52" s="29">
        <f> BG$62</f>
        <v>7185.2661839379725</v>
      </c>
      <c r="BH52" s="29">
        <f> BH$62</f>
        <v>6856.4987967311245</v>
      </c>
      <c r="BI52" s="29">
        <f> BI$62</f>
        <v>7060.850694682653</v>
      </c>
      <c r="BJ52" s="29">
        <f> BJ$62</f>
        <v>7427.064834605848</v>
      </c>
      <c r="BK52" s="29">
        <f> BK$62</f>
        <v>7010.198614334375</v>
      </c>
      <c r="BL52" s="29">
        <f> BL$62</f>
        <v>7455.71661353534</v>
      </c>
      <c r="BM52" s="29">
        <f> BM$62</f>
        <v>7272.676215523126</v>
      </c>
      <c r="BN52" s="29">
        <f> BN$62</f>
        <v>7649.876779644026</v>
      </c>
      <c r="BO52" s="29">
        <f> BO$62</f>
        <v>7220.504572764403</v>
      </c>
      <c r="BP52" s="29">
        <f> BP$62</f>
        <v>7679.3881119414</v>
      </c>
      <c r="BQ52" s="29">
        <f> BQ$62</f>
        <v>7408.539397571356</v>
      </c>
      <c r="BR52" s="29">
        <f> BR$62</f>
        <v>7463.489066051305</v>
      </c>
      <c r="BS52" s="29">
        <f> BS$62</f>
        <v>7851.534361375976</v>
      </c>
      <c r="BT52" s="29">
        <f> BT$62</f>
        <v>7492.281360655608</v>
      </c>
      <c r="BU52" s="29">
        <f> BU$62</f>
        <v>8145.513464993815</v>
      </c>
      <c r="BV52" s="29">
        <f> BV$62</f>
        <v>7687.393738032846</v>
      </c>
      <c r="BW52" s="29">
        <f> BW$62</f>
        <v>8087.080392217256</v>
      </c>
      <c r="BX52" s="29">
        <f> BX$62</f>
        <v>8147.06284795863</v>
      </c>
      <c r="BY52" s="29">
        <f> BY$62</f>
        <v>8389.878868943626</v>
      </c>
      <c r="BZ52" s="29">
        <f> BZ$62</f>
        <v>8359.22690379007</v>
      </c>
      <c r="CA52" s="29">
        <f> CA$62</f>
        <v>8329.69280398377</v>
      </c>
      <c r="CB52" s="29">
        <f> CB$62</f>
        <v>8391.474733397383</v>
      </c>
      <c r="CC52" s="29">
        <f> CC$62</f>
        <v>8641.57523501194</v>
      </c>
      <c r="CD52" s="29">
        <f> CD$62</f>
        <v>8610.00371090377</v>
      </c>
      <c r="CE52" s="29">
        <f> CE$62</f>
        <v>8579.58358810328</v>
      </c>
      <c r="CF52" s="29">
        <f> CF$62</f>
        <v>8643.218975399304</v>
      </c>
      <c r="CG52" s="29">
        <f> CG$62</f>
        <v>8803.01125588578</v>
      </c>
      <c r="CH52" s="29">
        <f> CH$62</f>
        <v>8868.303822230875</v>
      </c>
      <c r="CI52" s="29">
        <f> CI$62</f>
        <v>8836.971095746376</v>
      </c>
      <c r="CJ52" s="29">
        <f> CJ$62</f>
        <v>8902.51554466128</v>
      </c>
      <c r="CK52" s="29">
        <f> CK$62</f>
        <v>9167.847166824162</v>
      </c>
      <c r="CL52" s="29">
        <f> CL$62</f>
        <v>9134.352936897798</v>
      </c>
      <c r="CM52" s="29">
        <f> CM$62</f>
        <v>9102.080228618768</v>
      </c>
      <c r="CN52" s="29">
        <f> CN$62</f>
        <v>9169.591011001117</v>
      </c>
      <c r="CO52" s="29">
        <f> CO$62</f>
        <v>0.0</v>
      </c>
    </row>
    <row r="53">
      <c r="E53" s="61" t="str">
        <f> E$50</f>
        <v>Cash from paid invoices</v>
      </c>
      <c r="F53" s="61">
        <f> F$50</f>
        <v>0.0</v>
      </c>
      <c r="G53" s="61" t="str">
        <f> G$50</f>
        <v>$ 000s</v>
      </c>
      <c r="H53" s="61">
        <f> H$50</f>
        <v>0.0</v>
      </c>
      <c r="I53" s="61">
        <f> I$50</f>
        <v>0.0</v>
      </c>
      <c r="J53" s="61">
        <f> J$50</f>
        <v>0.0</v>
      </c>
      <c r="K53" s="61">
        <f> K$50</f>
        <v>0.0</v>
      </c>
      <c r="L53" s="61">
        <f> L$50</f>
        <v>11340.150234435558</v>
      </c>
      <c r="M53" s="61">
        <f> M$50</f>
        <v>11013.489863878278</v>
      </c>
      <c r="N53" s="61">
        <f> N$50</f>
        <v>11849.39259339251</v>
      </c>
      <c r="O53" s="61">
        <f> O$50</f>
        <v>11418.553528369564</v>
      </c>
      <c r="P53" s="61">
        <f> P$50</f>
        <v>12102.815143776204</v>
      </c>
      <c r="Q53" s="61">
        <f> Q$50</f>
        <v>11652.558972631916</v>
      </c>
      <c r="R53" s="61">
        <f> R$50</f>
        <v>12505.388193544211</v>
      </c>
      <c r="S53" s="61">
        <f> S$50</f>
        <v>11989.481204788046</v>
      </c>
      <c r="T53" s="61">
        <f> T$50</f>
        <v>12957.612553833203</v>
      </c>
      <c r="U53" s="61">
        <f> U$50</f>
        <v>12393.095321236431</v>
      </c>
      <c r="V53" s="61">
        <f> V$50</f>
        <v>13268.630241692834</v>
      </c>
      <c r="W53" s="61">
        <f> W$50</f>
        <v>12690.563071273044</v>
      </c>
      <c r="X53" s="61">
        <f> X$50</f>
        <v>13386.825569950077</v>
      </c>
      <c r="Y53" s="61">
        <f> Y$50</f>
        <v>12826.703981542156</v>
      </c>
      <c r="Z53" s="61">
        <f> Z$50</f>
        <v>13699.740633690133</v>
      </c>
      <c r="AA53" s="61">
        <f> AA$50</f>
        <v>13071.27996341123</v>
      </c>
      <c r="AB53" s="61">
        <f> AB$50</f>
        <v>13788.430337048578</v>
      </c>
      <c r="AC53" s="61">
        <f> AC$50</f>
        <v>13211.50510098842</v>
      </c>
      <c r="AD53" s="61">
        <f> AD$50</f>
        <v>14603.915381154022</v>
      </c>
      <c r="AE53" s="61">
        <f> AE$50</f>
        <v>13933.402617808668</v>
      </c>
      <c r="AF53" s="61">
        <f> AF$50</f>
        <v>14698.458552273714</v>
      </c>
      <c r="AG53" s="61">
        <f> AG$50</f>
        <v>14082.876372824978</v>
      </c>
      <c r="AH53" s="61">
        <f> AH$50</f>
        <v>15042.03284258864</v>
      </c>
      <c r="AI53" s="61">
        <f> AI$50</f>
        <v>14351.404696342923</v>
      </c>
      <c r="AJ53" s="61">
        <f> AJ$50</f>
        <v>15203.399681237703</v>
      </c>
      <c r="AK53" s="61">
        <f> AK$50</f>
        <v>14505.362664009719</v>
      </c>
      <c r="AL53" s="61">
        <f> AL$50</f>
        <v>15493.293827866291</v>
      </c>
      <c r="AM53" s="61">
        <f> AM$50</f>
        <v>15280.553133887957</v>
      </c>
      <c r="AN53" s="61">
        <f> AN$50</f>
        <v>16120.199239302281</v>
      </c>
      <c r="AO53" s="61">
        <f> AO$50</f>
        <v>15444.478753372257</v>
      </c>
      <c r="AP53" s="61">
        <f> AP$50</f>
        <v>16497.006507471342</v>
      </c>
      <c r="AQ53" s="61">
        <f> AQ$50</f>
        <v>15738.969727904589</v>
      </c>
      <c r="AR53" s="61">
        <f> AR$50</f>
        <v>16603.805216481345</v>
      </c>
      <c r="AS53" s="61">
        <f> AS$50</f>
        <v>15907.81311597342</v>
      </c>
      <c r="AT53" s="61">
        <f> AT$50</f>
        <v>16991.91670269548</v>
      </c>
      <c r="AU53" s="61">
        <f> AU$50</f>
        <v>16211.138819741722</v>
      </c>
      <c r="AV53" s="61">
        <f> AV$50</f>
        <v>17101.91937297578</v>
      </c>
      <c r="AW53" s="61">
        <f> AW$50</f>
        <v>16385.047509452615</v>
      </c>
      <c r="AX53" s="61">
        <f> AX$50</f>
        <v>18151.110729525662</v>
      </c>
      <c r="AY53" s="61">
        <f> AY$50</f>
        <v>17320.592680968453</v>
      </c>
      <c r="AZ53" s="61">
        <f> AZ$50</f>
        <v>18345.830910437635</v>
      </c>
      <c r="BA53" s="61">
        <f> BA$50</f>
        <v>17506.403290059967</v>
      </c>
      <c r="BB53" s="61">
        <f> BB$50</f>
        <v>18695.644051411426</v>
      </c>
      <c r="BC53" s="61">
        <f> BC$50</f>
        <v>17840.2104613975</v>
      </c>
      <c r="BD53" s="61">
        <f> BD$50</f>
        <v>18816.67635190164</v>
      </c>
      <c r="BE53" s="61">
        <f> BE$50</f>
        <v>18031.595388761765</v>
      </c>
      <c r="BF53" s="61">
        <f> BF$50</f>
        <v>19256.513372953763</v>
      </c>
      <c r="BG53" s="61">
        <f> BG$50</f>
        <v>18375.41677523942</v>
      </c>
      <c r="BH53" s="61">
        <f> BH$50</f>
        <v>18358.21180617489</v>
      </c>
      <c r="BI53" s="61">
        <f> BI$50</f>
        <v>19607.45116335945</v>
      </c>
      <c r="BJ53" s="61">
        <f> BJ$50</f>
        <v>18787.332286416127</v>
      </c>
      <c r="BK53" s="61">
        <f> BK$50</f>
        <v>19981.32052427472</v>
      </c>
      <c r="BL53" s="61">
        <f> BL$50</f>
        <v>18908.958160360133</v>
      </c>
      <c r="BM53" s="61">
        <f> BM$50</f>
        <v>20195.674698260224</v>
      </c>
      <c r="BN53" s="61">
        <f> BN$50</f>
        <v>19350.952255008608</v>
      </c>
      <c r="BO53" s="61">
        <f> BO$50</f>
        <v>20580.76014000296</v>
      </c>
      <c r="BP53" s="61">
        <f> BP$50</f>
        <v>19558.544009588393</v>
      </c>
      <c r="BQ53" s="61">
        <f> BQ$50</f>
        <v>19703.611134375456</v>
      </c>
      <c r="BR53" s="61">
        <f> BR$50</f>
        <v>21042.11208848763</v>
      </c>
      <c r="BS53" s="61">
        <f> BS$50</f>
        <v>20079.314046557025</v>
      </c>
      <c r="BT53" s="61">
        <f> BT$50</f>
        <v>21178.335008983926</v>
      </c>
      <c r="BU53" s="61">
        <f> BU$50</f>
        <v>20294.719468406714</v>
      </c>
      <c r="BV53" s="61">
        <f> BV$50</f>
        <v>21673.37545114225</v>
      </c>
      <c r="BW53" s="61">
        <f> BW$50</f>
        <v>21834.128432529127</v>
      </c>
      <c r="BX53" s="61">
        <f> BX$50</f>
        <v>21813.68505925344</v>
      </c>
      <c r="BY53" s="61">
        <f> BY$50</f>
        <v>22068.359026005783</v>
      </c>
      <c r="BZ53" s="61">
        <f> BZ$50</f>
        <v>22323.57671467651</v>
      </c>
      <c r="CA53" s="61">
        <f> CA$50</f>
        <v>22489.15228550499</v>
      </c>
      <c r="CB53" s="61">
        <f> CB$50</f>
        <v>22468.095611031036</v>
      </c>
      <c r="CC53" s="61">
        <f> CC$50</f>
        <v>22730.40979678595</v>
      </c>
      <c r="CD53" s="61">
        <f> CD$50</f>
        <v>22993.2840161168</v>
      </c>
      <c r="CE53" s="61">
        <f> CE$50</f>
        <v>23163.826854070132</v>
      </c>
      <c r="CF53" s="61">
        <f> CF$50</f>
        <v>23239.94971553847</v>
      </c>
      <c r="CG53" s="61">
        <f> CG$50</f>
        <v>23412.322090689522</v>
      </c>
      <c r="CH53" s="61">
        <f> CH$50</f>
        <v>23683.082536600297</v>
      </c>
      <c r="CI53" s="61">
        <f> CI$50</f>
        <v>23858.74165969223</v>
      </c>
      <c r="CJ53" s="61">
        <f> CJ$50</f>
        <v>23836.40263374281</v>
      </c>
      <c r="CK53" s="61">
        <f> CK$50</f>
        <v>24114.6917534102</v>
      </c>
      <c r="CL53" s="61">
        <f> CL$50</f>
        <v>24393.575012698297</v>
      </c>
      <c r="CM53" s="61">
        <f> CM$50</f>
        <v>24574.50390948299</v>
      </c>
      <c r="CN53" s="61">
        <f> CN$50</f>
        <v>0.0</v>
      </c>
      <c r="CO53" s="61">
        <f> CO$50</f>
        <v>0.0</v>
      </c>
    </row>
    <row r="54" customFormat="1" s="390">
      <c r="A54" s="358" t="n"/>
      <c r="B54" s="358" t="n"/>
      <c r="C54" s="359" t="n"/>
      <c r="D54" s="360" t="n"/>
      <c r="E54" s="390" t="inlineStr">
        <is>
          <t xml:space="preserve">Operating revenue received </t>
        </is>
      </c>
      <c r="F54" s="390" t="inlineStr">
        <is>
          <t>CF</t>
        </is>
      </c>
      <c r="G54" s="390" t="str">
        <f>SMU</f>
        <v>$ 000s</v>
      </c>
      <c r="H54" s="390">
        <f> SUM(J54:CO54)</f>
        <v>1941568.6331634293</v>
      </c>
      <c r="J54" s="390">
        <f>SUM(J52:J53)</f>
        <v>0.0</v>
      </c>
      <c r="K54" s="390">
        <f>SUM(K52:K53)</f>
        <v>0.0</v>
      </c>
      <c r="L54" s="390">
        <f>SUM(L52:L53)</f>
        <v>11340.150234435558</v>
      </c>
      <c r="M54" s="390">
        <f>SUM(M52:M53)</f>
        <v>15375.086107891953</v>
      </c>
      <c r="N54" s="390">
        <f>SUM(N52:N53)</f>
        <v>16021.169056982768</v>
      </c>
      <c r="O54" s="390">
        <f>SUM(O52:O53)</f>
        <v>15839.968675157814</v>
      </c>
      <c r="P54" s="390">
        <f>SUM(P52:P53)</f>
        <v>16363.469445406638</v>
      </c>
      <c r="Q54" s="390">
        <f>SUM(Q52:Q53)</f>
        <v>16307.487874084301</v>
      </c>
      <c r="R54" s="390">
        <f>SUM(R52:R53)</f>
        <v>16919.236289238117</v>
      </c>
      <c r="S54" s="390">
        <f>SUM(S52:S53)</f>
        <v>16655.67082924484</v>
      </c>
      <c r="T54" s="390">
        <f>SUM(T52:T53)</f>
        <v>17431.29957054516</v>
      </c>
      <c r="U54" s="390">
        <f>SUM(U52:U53)</f>
        <v>17301.281894658103</v>
      </c>
      <c r="V54" s="390">
        <f>SUM(V52:V53)</f>
        <v>17962.984530039965</v>
      </c>
      <c r="W54" s="390">
        <f>SUM(W52:W53)</f>
        <v>17641.544504740516</v>
      </c>
      <c r="X54" s="390">
        <f>SUM(X52:X53)</f>
        <v>18122.110298037034</v>
      </c>
      <c r="Y54" s="390">
        <f>SUM(Y52:Y53)</f>
        <v>17975.48304690757</v>
      </c>
      <c r="Z54" s="390">
        <f>SUM(Z52:Z53)</f>
        <v>18558.340626698526</v>
      </c>
      <c r="AA54" s="390">
        <f>SUM(AA52:AA53)</f>
        <v>18183.123483444862</v>
      </c>
      <c r="AB54" s="390">
        <f>SUM(AB52:AB53)</f>
        <v>18665.77360697814</v>
      </c>
      <c r="AC54" s="390">
        <f>SUM(AC52:AC53)</f>
        <v>18514.747538314798</v>
      </c>
      <c r="AD54" s="390">
        <f>SUM(AD52:AD53)</f>
        <v>19608.273373952667</v>
      </c>
      <c r="AE54" s="390">
        <f>SUM(AE52:AE53)</f>
        <v>19382.62477495569</v>
      </c>
      <c r="AF54" s="390">
        <f>SUM(AF52:AF53)</f>
        <v>19897.489379814262</v>
      </c>
      <c r="AG54" s="390">
        <f>SUM(AG52:AG53)</f>
        <v>19736.129662161024</v>
      </c>
      <c r="AH54" s="390">
        <f>SUM(AH52:AH53)</f>
        <v>20376.45571108295</v>
      </c>
      <c r="AI54" s="390">
        <f>SUM(AI52:AI53)</f>
        <v>19964.103518204356</v>
      </c>
      <c r="AJ54" s="390">
        <f>SUM(AJ52:AJ53)</f>
        <v>20558.401433604464</v>
      </c>
      <c r="AK54" s="390">
        <f>SUM(AK52:AK53)</f>
        <v>20264.22617963006</v>
      </c>
      <c r="AL54" s="390">
        <f>SUM(AL52:AL53)</f>
        <v>20987.74938241543</v>
      </c>
      <c r="AM54" s="390">
        <f>SUM(AM52:AM53)</f>
        <v>21061.63292040523</v>
      </c>
      <c r="AN54" s="390">
        <f>SUM(AN52:AN53)</f>
        <v>21821.898169857486</v>
      </c>
      <c r="AO54" s="390">
        <f>SUM(AO52:AO53)</f>
        <v>21644.555383873136</v>
      </c>
      <c r="AP54" s="390">
        <f>SUM(AP52:AP53)</f>
        <v>22347.18785344568</v>
      </c>
      <c r="AQ54" s="390">
        <f>SUM(AQ52:AQ53)</f>
        <v>21894.569170990908</v>
      </c>
      <c r="AR54" s="390">
        <f>SUM(AR52:AR53)</f>
        <v>22476.555114953208</v>
      </c>
      <c r="AS54" s="390">
        <f>SUM(AS52:AS53)</f>
        <v>22293.892045389322</v>
      </c>
      <c r="AT54" s="390">
        <f>SUM(AT52:AT53)</f>
        <v>23017.603489049045</v>
      </c>
      <c r="AU54" s="390">
        <f>SUM(AU52:AU53)</f>
        <v>22551.40624612063</v>
      </c>
      <c r="AV54" s="390">
        <f>SUM(AV52:AV53)</f>
        <v>23150.851768401793</v>
      </c>
      <c r="AW54" s="390">
        <f>SUM(AW52:AW53)</f>
        <v>22962.70880675099</v>
      </c>
      <c r="AX54" s="390">
        <f>SUM(AX52:AX53)</f>
        <v>24357.568119469837</v>
      </c>
      <c r="AY54" s="390">
        <f>SUM(AY52:AY53)</f>
        <v>24093.39519198549</v>
      </c>
      <c r="AZ54" s="390">
        <f>SUM(AZ52:AZ53)</f>
        <v>24808.738627216906</v>
      </c>
      <c r="BA54" s="390">
        <f>SUM(BA52:BA53)</f>
        <v>24455.581665225738</v>
      </c>
      <c r="BB54" s="390">
        <f>SUM(BB52:BB53)</f>
        <v>25326.857418858384</v>
      </c>
      <c r="BC54" s="390">
        <f>SUM(BC52:BC53)</f>
        <v>24816.197047745045</v>
      </c>
      <c r="BD54" s="390">
        <f>SUM(BD52:BD53)</f>
        <v>25473.471300184287</v>
      </c>
      <c r="BE54" s="390">
        <f>SUM(BE52:BE53)</f>
        <v>25268.778601031627</v>
      </c>
      <c r="BF54" s="390">
        <f>SUM(BF52:BF53)</f>
        <v>26086.663141424127</v>
      </c>
      <c r="BG54" s="390">
        <f>SUM(BG52:BG53)</f>
        <v>25560.682959177393</v>
      </c>
      <c r="BH54" s="390">
        <f>SUM(BH52:BH53)</f>
        <v>25214.710602906016</v>
      </c>
      <c r="BI54" s="390">
        <f>SUM(BI52:BI53)</f>
        <v>26668.3018580421</v>
      </c>
      <c r="BJ54" s="390">
        <f>SUM(BJ52:BJ53)</f>
        <v>26214.397121021975</v>
      </c>
      <c r="BK54" s="390">
        <f>SUM(BK52:BK53)</f>
        <v>26991.519138609096</v>
      </c>
      <c r="BL54" s="390">
        <f>SUM(BL52:BL53)</f>
        <v>26364.674773895473</v>
      </c>
      <c r="BM54" s="390">
        <f>SUM(BM52:BM53)</f>
        <v>27468.35091378335</v>
      </c>
      <c r="BN54" s="390">
        <f>SUM(BN52:BN53)</f>
        <v>27000.829034652634</v>
      </c>
      <c r="BO54" s="390">
        <f>SUM(BO52:BO53)</f>
        <v>27801.264712767363</v>
      </c>
      <c r="BP54" s="390">
        <f>SUM(BP52:BP53)</f>
        <v>27237.932121529793</v>
      </c>
      <c r="BQ54" s="390">
        <f>SUM(BQ52:BQ53)</f>
        <v>27112.150531946812</v>
      </c>
      <c r="BR54" s="390">
        <f>SUM(BR52:BR53)</f>
        <v>28505.601154538934</v>
      </c>
      <c r="BS54" s="390">
        <f>SUM(BS52:BS53)</f>
        <v>27930.848407933</v>
      </c>
      <c r="BT54" s="390">
        <f>SUM(BT52:BT53)</f>
        <v>28670.616369639534</v>
      </c>
      <c r="BU54" s="390">
        <f>SUM(BU52:BU53)</f>
        <v>28440.23293340053</v>
      </c>
      <c r="BV54" s="390">
        <f>SUM(BV52:BV53)</f>
        <v>29360.769189175095</v>
      </c>
      <c r="BW54" s="390">
        <f>SUM(BW52:BW53)</f>
        <v>29921.208824746383</v>
      </c>
      <c r="BX54" s="390">
        <f>SUM(BX52:BX53)</f>
        <v>29960.74790721207</v>
      </c>
      <c r="BY54" s="390">
        <f>SUM(BY52:BY53)</f>
        <v>30458.23789494941</v>
      </c>
      <c r="BZ54" s="390">
        <f>SUM(BZ52:BZ53)</f>
        <v>30682.80361846658</v>
      </c>
      <c r="CA54" s="390">
        <f>SUM(CA52:CA53)</f>
        <v>30818.84508948876</v>
      </c>
      <c r="CB54" s="390">
        <f>SUM(CB52:CB53)</f>
        <v>30859.57034442842</v>
      </c>
      <c r="CC54" s="390">
        <f>SUM(CC52:CC53)</f>
        <v>31371.98503179789</v>
      </c>
      <c r="CD54" s="390">
        <f>SUM(CD52:CD53)</f>
        <v>31603.287727020568</v>
      </c>
      <c r="CE54" s="390">
        <f>SUM(CE52:CE53)</f>
        <v>31743.410442173412</v>
      </c>
      <c r="CF54" s="390">
        <f>SUM(CF52:CF53)</f>
        <v>31883.168690937775</v>
      </c>
      <c r="CG54" s="390">
        <f>SUM(CG52:CG53)</f>
        <v>32215.333346575302</v>
      </c>
      <c r="CH54" s="390">
        <f>SUM(CH52:CH53)</f>
        <v>32551.386358831172</v>
      </c>
      <c r="CI54" s="390">
        <f>SUM(CI52:CI53)</f>
        <v>32695.712755438606</v>
      </c>
      <c r="CJ54" s="390">
        <f>SUM(CJ52:CJ53)</f>
        <v>32738.918178404092</v>
      </c>
      <c r="CK54" s="390">
        <f>SUM(CK52:CK53)</f>
        <v>33282.538920234365</v>
      </c>
      <c r="CL54" s="390">
        <f>SUM(CL52:CL53)</f>
        <v>33527.927949596095</v>
      </c>
      <c r="CM54" s="390">
        <f>SUM(CM52:CM53)</f>
        <v>33676.58413810176</v>
      </c>
      <c r="CN54" s="390">
        <f>SUM(CN52:CN53)</f>
        <v>9169.591011001117</v>
      </c>
      <c r="CO54" s="390">
        <f>SUM(CO52:CO53)</f>
        <v>0.0</v>
      </c>
    </row>
    <row r="57">
      <c r="A57" s="294" t="inlineStr">
        <is>
          <t>ACCOUNT RECEIVABLES BALANCE</t>
        </is>
      </c>
    </row>
    <row r="59" customFormat="1" s="182">
      <c r="A59" s="177" t="n"/>
      <c r="B59" s="177" t="n"/>
      <c r="C59" s="178" t="n"/>
      <c r="D59" s="179" t="n"/>
      <c r="E59" s="182" t="inlineStr">
        <is>
          <t>Account receivables - initial balance</t>
        </is>
      </c>
      <c r="F59" s="182" t="n">
        <v>0</v>
      </c>
      <c r="G59" s="182" t="n"/>
    </row>
    <row r="60" customFormat="1" s="100">
      <c r="A60" s="294" t="n"/>
      <c r="B60" s="294" t="n"/>
      <c r="C60" s="212" t="n"/>
      <c r="D60" s="244" t="n"/>
      <c r="E60" s="325" t="str">
        <f> Time!E$45</f>
        <v>Acquisition / initial balance date flag</v>
      </c>
      <c r="F60" s="325">
        <f> Time!F$45</f>
        <v>0.0</v>
      </c>
      <c r="G60" s="325" t="str">
        <f> Time!G$45</f>
        <v>flag</v>
      </c>
      <c r="H60" s="325">
        <f> Time!H$45</f>
        <v>1.0</v>
      </c>
      <c r="I60" s="325">
        <f> Time!I$45</f>
        <v>0.0</v>
      </c>
      <c r="J60" s="325">
        <f> Time!J$45</f>
        <v>0.0</v>
      </c>
      <c r="K60" s="325">
        <f> Time!K$45</f>
        <v>1.0</v>
      </c>
      <c r="L60" s="325">
        <f> Time!L$45</f>
        <v>0.0</v>
      </c>
      <c r="M60" s="325">
        <f> Time!M$45</f>
        <v>0.0</v>
      </c>
      <c r="N60" s="325">
        <f> Time!N$45</f>
        <v>0.0</v>
      </c>
      <c r="O60" s="325">
        <f> Time!O$45</f>
        <v>0.0</v>
      </c>
      <c r="P60" s="325">
        <f> Time!P$45</f>
        <v>0.0</v>
      </c>
      <c r="Q60" s="325">
        <f> Time!Q$45</f>
        <v>0.0</v>
      </c>
      <c r="R60" s="325">
        <f> Time!R$45</f>
        <v>0.0</v>
      </c>
      <c r="S60" s="325">
        <f> Time!S$45</f>
        <v>0.0</v>
      </c>
      <c r="T60" s="325">
        <f> Time!T$45</f>
        <v>0.0</v>
      </c>
      <c r="U60" s="325">
        <f> Time!U$45</f>
        <v>0.0</v>
      </c>
      <c r="V60" s="325">
        <f> Time!V$45</f>
        <v>0.0</v>
      </c>
      <c r="W60" s="325">
        <f> Time!W$45</f>
        <v>0.0</v>
      </c>
      <c r="X60" s="325">
        <f> Time!X$45</f>
        <v>0.0</v>
      </c>
      <c r="Y60" s="325">
        <f> Time!Y$45</f>
        <v>0.0</v>
      </c>
      <c r="Z60" s="325">
        <f> Time!Z$45</f>
        <v>0.0</v>
      </c>
      <c r="AA60" s="325">
        <f> Time!AA$45</f>
        <v>0.0</v>
      </c>
      <c r="AB60" s="325">
        <f> Time!AB$45</f>
        <v>0.0</v>
      </c>
      <c r="AC60" s="325">
        <f> Time!AC$45</f>
        <v>0.0</v>
      </c>
      <c r="AD60" s="325">
        <f> Time!AD$45</f>
        <v>0.0</v>
      </c>
      <c r="AE60" s="325">
        <f> Time!AE$45</f>
        <v>0.0</v>
      </c>
      <c r="AF60" s="325">
        <f> Time!AF$45</f>
        <v>0.0</v>
      </c>
      <c r="AG60" s="325">
        <f> Time!AG$45</f>
        <v>0.0</v>
      </c>
      <c r="AH60" s="325">
        <f> Time!AH$45</f>
        <v>0.0</v>
      </c>
      <c r="AI60" s="325">
        <f> Time!AI$45</f>
        <v>0.0</v>
      </c>
      <c r="AJ60" s="325">
        <f> Time!AJ$45</f>
        <v>0.0</v>
      </c>
      <c r="AK60" s="325">
        <f> Time!AK$45</f>
        <v>0.0</v>
      </c>
      <c r="AL60" s="325">
        <f> Time!AL$45</f>
        <v>0.0</v>
      </c>
      <c r="AM60" s="325">
        <f> Time!AM$45</f>
        <v>0.0</v>
      </c>
      <c r="AN60" s="325">
        <f> Time!AN$45</f>
        <v>0.0</v>
      </c>
      <c r="AO60" s="325">
        <f> Time!AO$45</f>
        <v>0.0</v>
      </c>
      <c r="AP60" s="325">
        <f> Time!AP$45</f>
        <v>0.0</v>
      </c>
      <c r="AQ60" s="325">
        <f> Time!AQ$45</f>
        <v>0.0</v>
      </c>
      <c r="AR60" s="325">
        <f> Time!AR$45</f>
        <v>0.0</v>
      </c>
      <c r="AS60" s="325">
        <f> Time!AS$45</f>
        <v>0.0</v>
      </c>
      <c r="AT60" s="325">
        <f> Time!AT$45</f>
        <v>0.0</v>
      </c>
      <c r="AU60" s="325">
        <f> Time!AU$45</f>
        <v>0.0</v>
      </c>
      <c r="AV60" s="325">
        <f> Time!AV$45</f>
        <v>0.0</v>
      </c>
      <c r="AW60" s="325">
        <f> Time!AW$45</f>
        <v>0.0</v>
      </c>
      <c r="AX60" s="325">
        <f> Time!AX$45</f>
        <v>0.0</v>
      </c>
      <c r="AY60" s="325">
        <f> Time!AY$45</f>
        <v>0.0</v>
      </c>
      <c r="AZ60" s="325">
        <f> Time!AZ$45</f>
        <v>0.0</v>
      </c>
      <c r="BA60" s="325">
        <f> Time!BA$45</f>
        <v>0.0</v>
      </c>
      <c r="BB60" s="325">
        <f> Time!BB$45</f>
        <v>0.0</v>
      </c>
      <c r="BC60" s="325">
        <f> Time!BC$45</f>
        <v>0.0</v>
      </c>
      <c r="BD60" s="325">
        <f> Time!BD$45</f>
        <v>0.0</v>
      </c>
      <c r="BE60" s="325">
        <f> Time!BE$45</f>
        <v>0.0</v>
      </c>
      <c r="BF60" s="325">
        <f> Time!BF$45</f>
        <v>0.0</v>
      </c>
      <c r="BG60" s="325">
        <f> Time!BG$45</f>
        <v>0.0</v>
      </c>
      <c r="BH60" s="325">
        <f> Time!BH$45</f>
        <v>0.0</v>
      </c>
      <c r="BI60" s="325">
        <f> Time!BI$45</f>
        <v>0.0</v>
      </c>
      <c r="BJ60" s="325">
        <f> Time!BJ$45</f>
        <v>0.0</v>
      </c>
      <c r="BK60" s="325">
        <f> Time!BK$45</f>
        <v>0.0</v>
      </c>
      <c r="BL60" s="325">
        <f> Time!BL$45</f>
        <v>0.0</v>
      </c>
      <c r="BM60" s="325">
        <f> Time!BM$45</f>
        <v>0.0</v>
      </c>
      <c r="BN60" s="325">
        <f> Time!BN$45</f>
        <v>0.0</v>
      </c>
      <c r="BO60" s="325">
        <f> Time!BO$45</f>
        <v>0.0</v>
      </c>
      <c r="BP60" s="325">
        <f> Time!BP$45</f>
        <v>0.0</v>
      </c>
      <c r="BQ60" s="325">
        <f> Time!BQ$45</f>
        <v>0.0</v>
      </c>
      <c r="BR60" s="325">
        <f> Time!BR$45</f>
        <v>0.0</v>
      </c>
      <c r="BS60" s="325">
        <f> Time!BS$45</f>
        <v>0.0</v>
      </c>
      <c r="BT60" s="325">
        <f> Time!BT$45</f>
        <v>0.0</v>
      </c>
      <c r="BU60" s="325">
        <f> Time!BU$45</f>
        <v>0.0</v>
      </c>
      <c r="BV60" s="325">
        <f> Time!BV$45</f>
        <v>0.0</v>
      </c>
      <c r="BW60" s="325">
        <f> Time!BW$45</f>
        <v>0.0</v>
      </c>
      <c r="BX60" s="325">
        <f> Time!BX$45</f>
        <v>0.0</v>
      </c>
      <c r="BY60" s="325">
        <f> Time!BY$45</f>
        <v>0.0</v>
      </c>
      <c r="BZ60" s="325">
        <f> Time!BZ$45</f>
        <v>0.0</v>
      </c>
      <c r="CA60" s="325">
        <f> Time!CA$45</f>
        <v>0.0</v>
      </c>
      <c r="CB60" s="325">
        <f> Time!CB$45</f>
        <v>0.0</v>
      </c>
      <c r="CC60" s="325">
        <f> Time!CC$45</f>
        <v>0.0</v>
      </c>
      <c r="CD60" s="325">
        <f> Time!CD$45</f>
        <v>0.0</v>
      </c>
      <c r="CE60" s="325">
        <f> Time!CE$45</f>
        <v>0.0</v>
      </c>
      <c r="CF60" s="325">
        <f> Time!CF$45</f>
        <v>0.0</v>
      </c>
      <c r="CG60" s="325">
        <f> Time!CG$45</f>
        <v>0.0</v>
      </c>
      <c r="CH60" s="325">
        <f> Time!CH$45</f>
        <v>0.0</v>
      </c>
      <c r="CI60" s="325">
        <f> Time!CI$45</f>
        <v>0.0</v>
      </c>
      <c r="CJ60" s="325">
        <f> Time!CJ$45</f>
        <v>0.0</v>
      </c>
      <c r="CK60" s="325">
        <f> Time!CK$45</f>
        <v>0.0</v>
      </c>
      <c r="CL60" s="325">
        <f> Time!CL$45</f>
        <v>0.0</v>
      </c>
      <c r="CM60" s="325">
        <f> Time!CM$45</f>
        <v>0.0</v>
      </c>
      <c r="CN60" s="325">
        <f> Time!CN$45</f>
        <v>0.0</v>
      </c>
      <c r="CO60" s="325">
        <f> Time!CO$45</f>
        <v>0.0</v>
      </c>
    </row>
    <row r="61" customFormat="1" s="61">
      <c r="A61" s="294" t="n"/>
      <c r="B61" s="294" t="n"/>
      <c r="C61" s="212" t="n"/>
      <c r="D61" s="244" t="n"/>
    </row>
    <row r="62" customFormat="1" s="61">
      <c r="A62" s="294" t="n"/>
      <c r="B62" s="294" t="n"/>
      <c r="C62" s="212" t="n"/>
      <c r="D62" s="244" t="n"/>
      <c r="E62" s="61" t="inlineStr">
        <is>
          <t>Account receivables balance BEG</t>
        </is>
      </c>
      <c r="G62" s="61" t="inlineStr">
        <is>
          <t>$ 000s</t>
        </is>
      </c>
      <c r="J62" s="61">
        <f> I65</f>
        <v>0.0</v>
      </c>
      <c r="K62" s="61">
        <f> J65</f>
        <v>0.0</v>
      </c>
      <c r="L62" s="61">
        <f> K65</f>
        <v>0.0</v>
      </c>
      <c r="M62" s="61">
        <f> L65</f>
        <v>4361.5962440136755</v>
      </c>
      <c r="N62" s="61">
        <f> M65</f>
        <v>4171.776463590259</v>
      </c>
      <c r="O62" s="61">
        <f> N65</f>
        <v>4421.415146788249</v>
      </c>
      <c r="P62" s="61">
        <f> O65</f>
        <v>4260.654301630433</v>
      </c>
      <c r="Q62" s="61">
        <f> P65</f>
        <v>4654.928901452386</v>
      </c>
      <c r="R62" s="61">
        <f> Q65</f>
        <v>4413.848095693906</v>
      </c>
      <c r="S62" s="61">
        <f> R65</f>
        <v>4666.189624456794</v>
      </c>
      <c r="T62" s="61">
        <f> S65</f>
        <v>4473.68701671196</v>
      </c>
      <c r="U62" s="61">
        <f> T65</f>
        <v>4908.18657342167</v>
      </c>
      <c r="V62" s="61">
        <f> U65</f>
        <v>4694.354288347131</v>
      </c>
      <c r="W62" s="61">
        <f> V65</f>
        <v>4950.981433467474</v>
      </c>
      <c r="X62" s="61">
        <f> W65</f>
        <v>4735.284728086957</v>
      </c>
      <c r="Y62" s="61">
        <f> X65</f>
        <v>5148.779065365416</v>
      </c>
      <c r="Z62" s="61">
        <f> Y65</f>
        <v>4858.599993008393</v>
      </c>
      <c r="AA62" s="61">
        <f> Z65</f>
        <v>5111.843520033632</v>
      </c>
      <c r="AB62" s="61">
        <f> AA65</f>
        <v>4877.343269929563</v>
      </c>
      <c r="AC62" s="61">
        <f> AB65</f>
        <v>5303.242437326378</v>
      </c>
      <c r="AD62" s="61">
        <f> AC65</f>
        <v>5004.357992798643</v>
      </c>
      <c r="AE62" s="61">
        <f> AD65</f>
        <v>5449.222157147022</v>
      </c>
      <c r="AF62" s="61">
        <f> AE65</f>
        <v>5199.030827540548</v>
      </c>
      <c r="AG62" s="61">
        <f> AF65</f>
        <v>5653.253289336044</v>
      </c>
      <c r="AH62" s="61">
        <f> AG65</f>
        <v>5334.422868494308</v>
      </c>
      <c r="AI62" s="61">
        <f> AH65</f>
        <v>5612.6988218614315</v>
      </c>
      <c r="AJ62" s="61">
        <f> AI65</f>
        <v>5355.001752366759</v>
      </c>
      <c r="AK62" s="61">
        <f> AJ65</f>
        <v>5758.863515620342</v>
      </c>
      <c r="AL62" s="61">
        <f> AK65</f>
        <v>5494.4555545491385</v>
      </c>
      <c r="AM62" s="61">
        <f> AL65</f>
        <v>5781.079786517272</v>
      </c>
      <c r="AN62" s="61">
        <f> AM65</f>
        <v>5701.698930555205</v>
      </c>
      <c r="AO62" s="61">
        <f> AN65</f>
        <v>6200.0766305008765</v>
      </c>
      <c r="AP62" s="61">
        <f> AO65</f>
        <v>5850.181345974339</v>
      </c>
      <c r="AQ62" s="61">
        <f> AP65</f>
        <v>6155.599443086321</v>
      </c>
      <c r="AR62" s="61">
        <f> AQ65</f>
        <v>5872.749898471862</v>
      </c>
      <c r="AS62" s="61">
        <f> AR65</f>
        <v>6386.0789294159</v>
      </c>
      <c r="AT62" s="61">
        <f> AS65</f>
        <v>6025.686786353566</v>
      </c>
      <c r="AU62" s="61">
        <f> AT65</f>
        <v>6340.267426378909</v>
      </c>
      <c r="AV62" s="61">
        <f> AU65</f>
        <v>6048.932395426014</v>
      </c>
      <c r="AW62" s="61">
        <f> AV65</f>
        <v>6577.661297298375</v>
      </c>
      <c r="AX62" s="61">
        <f> AW65</f>
        <v>6206.457389944175</v>
      </c>
      <c r="AY62" s="61">
        <f> AX65</f>
        <v>6772.802511017038</v>
      </c>
      <c r="AZ62" s="61">
        <f> AY65</f>
        <v>6462.907716779271</v>
      </c>
      <c r="BA62" s="61">
        <f> AZ65</f>
        <v>6949.178375165771</v>
      </c>
      <c r="BB62" s="61">
        <f> BA65</f>
        <v>6631.213367446959</v>
      </c>
      <c r="BC62" s="61">
        <f> BB65</f>
        <v>6975.986586347546</v>
      </c>
      <c r="BD62" s="61">
        <f> BC65</f>
        <v>6656.794948282648</v>
      </c>
      <c r="BE62" s="61">
        <f> BD65</f>
        <v>7237.1832122698615</v>
      </c>
      <c r="BF62" s="61">
        <f> BE65</f>
        <v>6830.1497684703645</v>
      </c>
      <c r="BG62" s="61">
        <f> BF65</f>
        <v>7185.2661839379725</v>
      </c>
      <c r="BH62" s="61">
        <f> BG65</f>
        <v>6856.4987967311245</v>
      </c>
      <c r="BI62" s="61">
        <f> BH65</f>
        <v>7060.850694682653</v>
      </c>
      <c r="BJ62" s="61">
        <f> BI65</f>
        <v>7427.064834605848</v>
      </c>
      <c r="BK62" s="61">
        <f> BJ65</f>
        <v>7010.198614334375</v>
      </c>
      <c r="BL62" s="61">
        <f> BK65</f>
        <v>7455.71661353534</v>
      </c>
      <c r="BM62" s="61">
        <f> BL65</f>
        <v>7272.676215523126</v>
      </c>
      <c r="BN62" s="61">
        <f> BM65</f>
        <v>7649.876779644026</v>
      </c>
      <c r="BO62" s="61">
        <f> BN65</f>
        <v>7220.504572764403</v>
      </c>
      <c r="BP62" s="61">
        <f> BO65</f>
        <v>7679.3881119414</v>
      </c>
      <c r="BQ62" s="61">
        <f> BP65</f>
        <v>7408.539397571356</v>
      </c>
      <c r="BR62" s="61">
        <f> BQ65</f>
        <v>7463.489066051305</v>
      </c>
      <c r="BS62" s="61">
        <f> BR65</f>
        <v>7851.534361375976</v>
      </c>
      <c r="BT62" s="61">
        <f> BS65</f>
        <v>7492.281360655608</v>
      </c>
      <c r="BU62" s="61">
        <f> BT65</f>
        <v>8145.513464993815</v>
      </c>
      <c r="BV62" s="61">
        <f> BU65</f>
        <v>7687.393738032846</v>
      </c>
      <c r="BW62" s="61">
        <f> BV65</f>
        <v>8087.080392217256</v>
      </c>
      <c r="BX62" s="61">
        <f> BW65</f>
        <v>8147.06284795863</v>
      </c>
      <c r="BY62" s="61">
        <f> BX65</f>
        <v>8389.878868943626</v>
      </c>
      <c r="BZ62" s="61">
        <f> BY65</f>
        <v>8359.22690379007</v>
      </c>
      <c r="CA62" s="61">
        <f> BZ65</f>
        <v>8329.69280398377</v>
      </c>
      <c r="CB62" s="61">
        <f> CA65</f>
        <v>8391.474733397383</v>
      </c>
      <c r="CC62" s="61">
        <f> CB65</f>
        <v>8641.57523501194</v>
      </c>
      <c r="CD62" s="61">
        <f> CC65</f>
        <v>8610.00371090377</v>
      </c>
      <c r="CE62" s="61">
        <f> CD65</f>
        <v>8579.58358810328</v>
      </c>
      <c r="CF62" s="61">
        <f> CE65</f>
        <v>8643.218975399304</v>
      </c>
      <c r="CG62" s="61">
        <f> CF65</f>
        <v>8803.01125588578</v>
      </c>
      <c r="CH62" s="61">
        <f> CG65</f>
        <v>8868.303822230875</v>
      </c>
      <c r="CI62" s="61">
        <f> CH65</f>
        <v>8836.971095746376</v>
      </c>
      <c r="CJ62" s="61">
        <f> CI65</f>
        <v>8902.51554466128</v>
      </c>
      <c r="CK62" s="61">
        <f> CJ65</f>
        <v>9167.847166824162</v>
      </c>
      <c r="CL62" s="61">
        <f> CK65</f>
        <v>9134.352936897798</v>
      </c>
      <c r="CM62" s="61">
        <f> CL65</f>
        <v>9102.080228618768</v>
      </c>
      <c r="CN62" s="61">
        <f> CM65</f>
        <v>9169.591011001117</v>
      </c>
      <c r="CO62" s="61">
        <f> CN65</f>
        <v>0.0</v>
      </c>
    </row>
    <row r="63" customFormat="1" s="61">
      <c r="A63" s="294" t="n"/>
      <c r="B63" s="294" t="n"/>
      <c r="C63" s="212" t="n"/>
      <c r="D63" s="244" t="inlineStr">
        <is>
          <t>plus</t>
        </is>
      </c>
      <c r="E63" s="61" t="str">
        <f> E$42</f>
        <v>Operating revenue</v>
      </c>
      <c r="F63" s="61" t="str">
        <f> F$42</f>
        <v>IS</v>
      </c>
      <c r="G63" s="61" t="str">
        <f> G$42</f>
        <v>$ 000s</v>
      </c>
      <c r="H63" s="61">
        <f> H$42</f>
        <v>1941568.6331634293</v>
      </c>
      <c r="I63" s="61">
        <f> I$42</f>
        <v>0.0</v>
      </c>
      <c r="J63" s="61">
        <f> J$42</f>
        <v>0.0</v>
      </c>
      <c r="K63" s="61">
        <f> K$42</f>
        <v>0.0</v>
      </c>
      <c r="L63" s="61">
        <f> L$42</f>
        <v>15701.746478449233</v>
      </c>
      <c r="M63" s="61">
        <f> M$42</f>
        <v>15185.266327468535</v>
      </c>
      <c r="N63" s="61">
        <f> N$42</f>
        <v>16270.807740180759</v>
      </c>
      <c r="O63" s="61">
        <f> O$42</f>
        <v>15679.20783</v>
      </c>
      <c r="P63" s="61">
        <f> P$42</f>
        <v>16757.744045228592</v>
      </c>
      <c r="Q63" s="61">
        <f> Q$42</f>
        <v>16066.407068325823</v>
      </c>
      <c r="R63" s="61">
        <f> R$42</f>
        <v>17171.577818001006</v>
      </c>
      <c r="S63" s="61">
        <f> S$42</f>
        <v>16463.168221500004</v>
      </c>
      <c r="T63" s="61">
        <f> T$42</f>
        <v>17865.79912725487</v>
      </c>
      <c r="U63" s="61">
        <f> U$42</f>
        <v>17087.449609583564</v>
      </c>
      <c r="V63" s="61">
        <f> V$42</f>
        <v>18219.611675160308</v>
      </c>
      <c r="W63" s="61">
        <f> W$42</f>
        <v>17425.84779936</v>
      </c>
      <c r="X63" s="61">
        <f> X$42</f>
        <v>18535.604635315492</v>
      </c>
      <c r="Y63" s="61">
        <f> Y$42</f>
        <v>17685.30397455055</v>
      </c>
      <c r="Z63" s="61">
        <f> Z$42</f>
        <v>18811.584153723765</v>
      </c>
      <c r="AA63" s="61">
        <f> AA$42</f>
        <v>17948.623233340793</v>
      </c>
      <c r="AB63" s="61">
        <f> AB$42</f>
        <v>19091.672774374954</v>
      </c>
      <c r="AC63" s="61">
        <f> AC$42</f>
        <v>18215.863093787062</v>
      </c>
      <c r="AD63" s="61">
        <f> AD$42</f>
        <v>20053.137538301045</v>
      </c>
      <c r="AE63" s="61">
        <f> AE$42</f>
        <v>19132.433445349216</v>
      </c>
      <c r="AF63" s="61">
        <f> AF$42</f>
        <v>20351.71184160976</v>
      </c>
      <c r="AG63" s="61">
        <f> AG$42</f>
        <v>19417.299241319288</v>
      </c>
      <c r="AH63" s="61">
        <f> AH$42</f>
        <v>20654.73166445007</v>
      </c>
      <c r="AI63" s="61">
        <f> AI$42</f>
        <v>19706.406448709684</v>
      </c>
      <c r="AJ63" s="61">
        <f> AJ$42</f>
        <v>20962.263196858046</v>
      </c>
      <c r="AK63" s="61">
        <f> AK$42</f>
        <v>19999.818218558856</v>
      </c>
      <c r="AL63" s="61">
        <f> AL$42</f>
        <v>21274.373614383563</v>
      </c>
      <c r="AM63" s="61">
        <f> AM$42</f>
        <v>20982.252064443164</v>
      </c>
      <c r="AN63" s="61">
        <f> AN$42</f>
        <v>22320.275869803158</v>
      </c>
      <c r="AO63" s="61">
        <f> AO$42</f>
        <v>21294.660099346598</v>
      </c>
      <c r="AP63" s="61">
        <f> AP$42</f>
        <v>22652.605950557663</v>
      </c>
      <c r="AQ63" s="61">
        <f> AQ$42</f>
        <v>21611.71962637645</v>
      </c>
      <c r="AR63" s="61">
        <f> AR$42</f>
        <v>22989.884145897246</v>
      </c>
      <c r="AS63" s="61">
        <f> AS$42</f>
        <v>21933.49990232699</v>
      </c>
      <c r="AT63" s="61">
        <f> AT$42</f>
        <v>23332.184129074387</v>
      </c>
      <c r="AU63" s="61">
        <f> AU$42</f>
        <v>22260.071215167736</v>
      </c>
      <c r="AV63" s="61">
        <f> AV$42</f>
        <v>23679.580670274154</v>
      </c>
      <c r="AW63" s="61">
        <f> AW$42</f>
        <v>22591.50489939679</v>
      </c>
      <c r="AX63" s="61">
        <f> AX$42</f>
        <v>24923.9132405427</v>
      </c>
      <c r="AY63" s="61">
        <f> AY$42</f>
        <v>23783.500397747724</v>
      </c>
      <c r="AZ63" s="61">
        <f> AZ$42</f>
        <v>25295.009285603406</v>
      </c>
      <c r="BA63" s="61">
        <f> BA$42</f>
        <v>24137.616657506926</v>
      </c>
      <c r="BB63" s="61">
        <f> BB$42</f>
        <v>25671.63063775897</v>
      </c>
      <c r="BC63" s="61">
        <f> BC$42</f>
        <v>24497.005409680147</v>
      </c>
      <c r="BD63" s="61">
        <f> BD$42</f>
        <v>26053.8595641715</v>
      </c>
      <c r="BE63" s="61">
        <f> BE$42</f>
        <v>24861.74515723213</v>
      </c>
      <c r="BF63" s="61">
        <f> BF$42</f>
        <v>26441.779556891735</v>
      </c>
      <c r="BG63" s="61">
        <f> BG$42</f>
        <v>25231.915571970545</v>
      </c>
      <c r="BH63" s="61">
        <f> BH$42</f>
        <v>25419.062500857544</v>
      </c>
      <c r="BI63" s="61">
        <f> BI$42</f>
        <v>27034.5159979653</v>
      </c>
      <c r="BJ63" s="61">
        <f> BJ$42</f>
        <v>25797.530900750502</v>
      </c>
      <c r="BK63" s="61">
        <f> BK$42</f>
        <v>27437.037137810064</v>
      </c>
      <c r="BL63" s="61">
        <f> BL$42</f>
        <v>26181.634375883263</v>
      </c>
      <c r="BM63" s="61">
        <f> BM$42</f>
        <v>27845.55147790425</v>
      </c>
      <c r="BN63" s="61">
        <f> BN$42</f>
        <v>26571.45682777301</v>
      </c>
      <c r="BO63" s="61">
        <f> BO$42</f>
        <v>28260.14825194436</v>
      </c>
      <c r="BP63" s="61">
        <f> BP$42</f>
        <v>26967.083407159753</v>
      </c>
      <c r="BQ63" s="61">
        <f> BQ$42</f>
        <v>27167.100200426765</v>
      </c>
      <c r="BR63" s="61">
        <f> BR$42</f>
        <v>28893.64644986361</v>
      </c>
      <c r="BS63" s="61">
        <f> BS$42</f>
        <v>27571.59540721263</v>
      </c>
      <c r="BT63" s="61">
        <f> BT$42</f>
        <v>29323.848473977745</v>
      </c>
      <c r="BU63" s="61">
        <f> BU$42</f>
        <v>27982.11320643956</v>
      </c>
      <c r="BV63" s="61">
        <f> BV$42</f>
        <v>29760.455843359505</v>
      </c>
      <c r="BW63" s="61">
        <f> BW$42</f>
        <v>29981.191280487754</v>
      </c>
      <c r="BX63" s="61">
        <f> BX$42</f>
        <v>30203.56392819707</v>
      </c>
      <c r="BY63" s="61">
        <f> BY$42</f>
        <v>30427.585929795852</v>
      </c>
      <c r="BZ63" s="61">
        <f> BZ$42</f>
        <v>30653.269518660283</v>
      </c>
      <c r="CA63" s="61">
        <f> CA$42</f>
        <v>30880.627018902378</v>
      </c>
      <c r="CB63" s="61">
        <f> CB$42</f>
        <v>31109.670846042973</v>
      </c>
      <c r="CC63" s="61">
        <f> CC$42</f>
        <v>31340.41350768972</v>
      </c>
      <c r="CD63" s="61">
        <f> CD$42</f>
        <v>31572.867604220082</v>
      </c>
      <c r="CE63" s="61">
        <f> CE$42</f>
        <v>31807.045829469436</v>
      </c>
      <c r="CF63" s="61">
        <f> CF$42</f>
        <v>32042.960971424254</v>
      </c>
      <c r="CG63" s="61">
        <f> CG$42</f>
        <v>32280.6259129204</v>
      </c>
      <c r="CH63" s="61">
        <f> CH$42</f>
        <v>32520.053632346677</v>
      </c>
      <c r="CI63" s="61">
        <f> CI$42</f>
        <v>32761.25720435351</v>
      </c>
      <c r="CJ63" s="61">
        <f> CJ$42</f>
        <v>33004.24980056697</v>
      </c>
      <c r="CK63" s="61">
        <f> CK$42</f>
        <v>33249.044690308</v>
      </c>
      <c r="CL63" s="61">
        <f> CL$42</f>
        <v>33495.655241317065</v>
      </c>
      <c r="CM63" s="61">
        <f> CM$42</f>
        <v>33744.09492048411</v>
      </c>
      <c r="CN63" s="61">
        <f> CN$42</f>
        <v>0.0</v>
      </c>
      <c r="CO63" s="61">
        <f> CO$42</f>
        <v>0.0</v>
      </c>
    </row>
    <row r="64" customFormat="1" s="61">
      <c r="A64" s="294" t="n"/>
      <c r="B64" s="294" t="n"/>
      <c r="C64" s="212" t="n"/>
      <c r="D64" s="244" t="inlineStr">
        <is>
          <t>less</t>
        </is>
      </c>
      <c r="E64" s="61" t="str">
        <f> E$54</f>
        <v>Operating revenue received </v>
      </c>
      <c r="F64" s="61" t="str">
        <f> F$54</f>
        <v>CF</v>
      </c>
      <c r="G64" s="61" t="str">
        <f> G$54</f>
        <v>$ 000s</v>
      </c>
      <c r="H64" s="61">
        <f> H$54</f>
        <v>1941568.6331634293</v>
      </c>
      <c r="I64" s="61">
        <f> I$54</f>
        <v>0.0</v>
      </c>
      <c r="J64" s="61">
        <f> J$54</f>
        <v>0.0</v>
      </c>
      <c r="K64" s="61">
        <f> K$54</f>
        <v>0.0</v>
      </c>
      <c r="L64" s="61">
        <f> L$54</f>
        <v>11340.150234435558</v>
      </c>
      <c r="M64" s="61">
        <f> M$54</f>
        <v>15375.086107891953</v>
      </c>
      <c r="N64" s="61">
        <f> N$54</f>
        <v>16021.169056982768</v>
      </c>
      <c r="O64" s="61">
        <f> O$54</f>
        <v>15839.968675157814</v>
      </c>
      <c r="P64" s="61">
        <f> P$54</f>
        <v>16363.469445406638</v>
      </c>
      <c r="Q64" s="61">
        <f> Q$54</f>
        <v>16307.487874084301</v>
      </c>
      <c r="R64" s="61">
        <f> R$54</f>
        <v>16919.236289238117</v>
      </c>
      <c r="S64" s="61">
        <f> S$54</f>
        <v>16655.67082924484</v>
      </c>
      <c r="T64" s="61">
        <f> T$54</f>
        <v>17431.29957054516</v>
      </c>
      <c r="U64" s="61">
        <f> U$54</f>
        <v>17301.281894658103</v>
      </c>
      <c r="V64" s="61">
        <f> V$54</f>
        <v>17962.984530039965</v>
      </c>
      <c r="W64" s="61">
        <f> W$54</f>
        <v>17641.544504740516</v>
      </c>
      <c r="X64" s="61">
        <f> X$54</f>
        <v>18122.110298037034</v>
      </c>
      <c r="Y64" s="61">
        <f> Y$54</f>
        <v>17975.48304690757</v>
      </c>
      <c r="Z64" s="61">
        <f> Z$54</f>
        <v>18558.340626698526</v>
      </c>
      <c r="AA64" s="61">
        <f> AA$54</f>
        <v>18183.123483444862</v>
      </c>
      <c r="AB64" s="61">
        <f> AB$54</f>
        <v>18665.77360697814</v>
      </c>
      <c r="AC64" s="61">
        <f> AC$54</f>
        <v>18514.747538314798</v>
      </c>
      <c r="AD64" s="61">
        <f> AD$54</f>
        <v>19608.273373952667</v>
      </c>
      <c r="AE64" s="61">
        <f> AE$54</f>
        <v>19382.62477495569</v>
      </c>
      <c r="AF64" s="61">
        <f> AF$54</f>
        <v>19897.489379814262</v>
      </c>
      <c r="AG64" s="61">
        <f> AG$54</f>
        <v>19736.129662161024</v>
      </c>
      <c r="AH64" s="61">
        <f> AH$54</f>
        <v>20376.45571108295</v>
      </c>
      <c r="AI64" s="61">
        <f> AI$54</f>
        <v>19964.103518204356</v>
      </c>
      <c r="AJ64" s="61">
        <f> AJ$54</f>
        <v>20558.401433604464</v>
      </c>
      <c r="AK64" s="61">
        <f> AK$54</f>
        <v>20264.22617963006</v>
      </c>
      <c r="AL64" s="61">
        <f> AL$54</f>
        <v>20987.74938241543</v>
      </c>
      <c r="AM64" s="61">
        <f> AM$54</f>
        <v>21061.63292040523</v>
      </c>
      <c r="AN64" s="61">
        <f> AN$54</f>
        <v>21821.898169857486</v>
      </c>
      <c r="AO64" s="61">
        <f> AO$54</f>
        <v>21644.555383873136</v>
      </c>
      <c r="AP64" s="61">
        <f> AP$54</f>
        <v>22347.18785344568</v>
      </c>
      <c r="AQ64" s="61">
        <f> AQ$54</f>
        <v>21894.569170990908</v>
      </c>
      <c r="AR64" s="61">
        <f> AR$54</f>
        <v>22476.555114953208</v>
      </c>
      <c r="AS64" s="61">
        <f> AS$54</f>
        <v>22293.892045389322</v>
      </c>
      <c r="AT64" s="61">
        <f> AT$54</f>
        <v>23017.603489049045</v>
      </c>
      <c r="AU64" s="61">
        <f> AU$54</f>
        <v>22551.40624612063</v>
      </c>
      <c r="AV64" s="61">
        <f> AV$54</f>
        <v>23150.851768401793</v>
      </c>
      <c r="AW64" s="61">
        <f> AW$54</f>
        <v>22962.70880675099</v>
      </c>
      <c r="AX64" s="61">
        <f> AX$54</f>
        <v>24357.568119469837</v>
      </c>
      <c r="AY64" s="61">
        <f> AY$54</f>
        <v>24093.39519198549</v>
      </c>
      <c r="AZ64" s="61">
        <f> AZ$54</f>
        <v>24808.738627216906</v>
      </c>
      <c r="BA64" s="61">
        <f> BA$54</f>
        <v>24455.581665225738</v>
      </c>
      <c r="BB64" s="61">
        <f> BB$54</f>
        <v>25326.857418858384</v>
      </c>
      <c r="BC64" s="61">
        <f> BC$54</f>
        <v>24816.197047745045</v>
      </c>
      <c r="BD64" s="61">
        <f> BD$54</f>
        <v>25473.471300184287</v>
      </c>
      <c r="BE64" s="61">
        <f> BE$54</f>
        <v>25268.778601031627</v>
      </c>
      <c r="BF64" s="61">
        <f> BF$54</f>
        <v>26086.663141424127</v>
      </c>
      <c r="BG64" s="61">
        <f> BG$54</f>
        <v>25560.682959177393</v>
      </c>
      <c r="BH64" s="61">
        <f> BH$54</f>
        <v>25214.710602906016</v>
      </c>
      <c r="BI64" s="61">
        <f> BI$54</f>
        <v>26668.3018580421</v>
      </c>
      <c r="BJ64" s="61">
        <f> BJ$54</f>
        <v>26214.397121021975</v>
      </c>
      <c r="BK64" s="61">
        <f> BK$54</f>
        <v>26991.519138609096</v>
      </c>
      <c r="BL64" s="61">
        <f> BL$54</f>
        <v>26364.674773895473</v>
      </c>
      <c r="BM64" s="61">
        <f> BM$54</f>
        <v>27468.35091378335</v>
      </c>
      <c r="BN64" s="61">
        <f> BN$54</f>
        <v>27000.829034652634</v>
      </c>
      <c r="BO64" s="61">
        <f> BO$54</f>
        <v>27801.264712767363</v>
      </c>
      <c r="BP64" s="61">
        <f> BP$54</f>
        <v>27237.932121529793</v>
      </c>
      <c r="BQ64" s="61">
        <f> BQ$54</f>
        <v>27112.150531946812</v>
      </c>
      <c r="BR64" s="61">
        <f> BR$54</f>
        <v>28505.601154538934</v>
      </c>
      <c r="BS64" s="61">
        <f> BS$54</f>
        <v>27930.848407933</v>
      </c>
      <c r="BT64" s="61">
        <f> BT$54</f>
        <v>28670.616369639534</v>
      </c>
      <c r="BU64" s="61">
        <f> BU$54</f>
        <v>28440.23293340053</v>
      </c>
      <c r="BV64" s="61">
        <f> BV$54</f>
        <v>29360.769189175095</v>
      </c>
      <c r="BW64" s="61">
        <f> BW$54</f>
        <v>29921.208824746383</v>
      </c>
      <c r="BX64" s="61">
        <f> BX$54</f>
        <v>29960.74790721207</v>
      </c>
      <c r="BY64" s="61">
        <f> BY$54</f>
        <v>30458.23789494941</v>
      </c>
      <c r="BZ64" s="61">
        <f> BZ$54</f>
        <v>30682.80361846658</v>
      </c>
      <c r="CA64" s="61">
        <f> CA$54</f>
        <v>30818.84508948876</v>
      </c>
      <c r="CB64" s="61">
        <f> CB$54</f>
        <v>30859.57034442842</v>
      </c>
      <c r="CC64" s="61">
        <f> CC$54</f>
        <v>31371.98503179789</v>
      </c>
      <c r="CD64" s="61">
        <f> CD$54</f>
        <v>31603.287727020568</v>
      </c>
      <c r="CE64" s="61">
        <f> CE$54</f>
        <v>31743.410442173412</v>
      </c>
      <c r="CF64" s="61">
        <f> CF$54</f>
        <v>31883.168690937775</v>
      </c>
      <c r="CG64" s="61">
        <f> CG$54</f>
        <v>32215.333346575302</v>
      </c>
      <c r="CH64" s="61">
        <f> CH$54</f>
        <v>32551.386358831172</v>
      </c>
      <c r="CI64" s="61">
        <f> CI$54</f>
        <v>32695.712755438606</v>
      </c>
      <c r="CJ64" s="61">
        <f> CJ$54</f>
        <v>32738.918178404092</v>
      </c>
      <c r="CK64" s="61">
        <f> CK$54</f>
        <v>33282.538920234365</v>
      </c>
      <c r="CL64" s="61">
        <f> CL$54</f>
        <v>33527.927949596095</v>
      </c>
      <c r="CM64" s="61">
        <f> CM$54</f>
        <v>33676.58413810176</v>
      </c>
      <c r="CN64" s="61">
        <f> CN$54</f>
        <v>9169.591011001117</v>
      </c>
      <c r="CO64" s="61">
        <f> CO$54</f>
        <v>0.0</v>
      </c>
    </row>
    <row r="65" customFormat="1" s="322">
      <c r="A65" s="318" t="n"/>
      <c r="B65" s="318" t="n"/>
      <c r="C65" s="319" t="n"/>
      <c r="D65" s="320" t="n"/>
      <c r="E65" s="322" t="inlineStr">
        <is>
          <t>Account receivables balance</t>
        </is>
      </c>
      <c r="F65" s="322" t="inlineStr">
        <is>
          <t>BS</t>
        </is>
      </c>
      <c r="G65" s="322" t="inlineStr">
        <is>
          <t>$ 000s</t>
        </is>
      </c>
      <c r="I65" s="323" t="n"/>
      <c r="J65" s="322">
        <f> IF(J60 = 1, $F59, J62 + J63 - J64)</f>
        <v>0.0</v>
      </c>
      <c r="K65" s="322">
        <f> IF(K60 = 1, $F59, K62 + K63 - K64)</f>
        <v>0.0</v>
      </c>
      <c r="L65" s="322">
        <f> IF(L60 = 1, $F59, L62 + L63 - L64)</f>
        <v>4361.5962440136755</v>
      </c>
      <c r="M65" s="322">
        <f> IF(M60 = 1, $F59, M62 + M63 - M64)</f>
        <v>4171.776463590259</v>
      </c>
      <c r="N65" s="322">
        <f> IF(N60 = 1, $F59, N62 + N63 - N64)</f>
        <v>4421.415146788249</v>
      </c>
      <c r="O65" s="322">
        <f> IF(O60 = 1, $F59, O62 + O63 - O64)</f>
        <v>4260.654301630433</v>
      </c>
      <c r="P65" s="322">
        <f> IF(P60 = 1, $F59, P62 + P63 - P64)</f>
        <v>4654.928901452386</v>
      </c>
      <c r="Q65" s="322">
        <f> IF(Q60 = 1, $F59, Q62 + Q63 - Q64)</f>
        <v>4413.848095693906</v>
      </c>
      <c r="R65" s="322">
        <f> IF(R60 = 1, $F59, R62 + R63 - R64)</f>
        <v>4666.189624456794</v>
      </c>
      <c r="S65" s="322">
        <f> IF(S60 = 1, $F59, S62 + S63 - S64)</f>
        <v>4473.68701671196</v>
      </c>
      <c r="T65" s="322">
        <f> IF(T60 = 1, $F59, T62 + T63 - T64)</f>
        <v>4908.18657342167</v>
      </c>
      <c r="U65" s="322">
        <f> IF(U60 = 1, $F59, U62 + U63 - U64)</f>
        <v>4694.354288347131</v>
      </c>
      <c r="V65" s="322">
        <f> IF(V60 = 1, $F59, V62 + V63 - V64)</f>
        <v>4950.981433467474</v>
      </c>
      <c r="W65" s="322">
        <f> IF(W60 = 1, $F59, W62 + W63 - W64)</f>
        <v>4735.284728086957</v>
      </c>
      <c r="X65" s="322">
        <f> IF(X60 = 1, $F59, X62 + X63 - X64)</f>
        <v>5148.779065365416</v>
      </c>
      <c r="Y65" s="322">
        <f> IF(Y60 = 1, $F59, Y62 + Y63 - Y64)</f>
        <v>4858.599993008393</v>
      </c>
      <c r="Z65" s="322">
        <f> IF(Z60 = 1, $F59, Z62 + Z63 - Z64)</f>
        <v>5111.843520033632</v>
      </c>
      <c r="AA65" s="322">
        <f> IF(AA60 = 1, $F59, AA62 + AA63 - AA64)</f>
        <v>4877.343269929563</v>
      </c>
      <c r="AB65" s="322">
        <f> IF(AB60 = 1, $F59, AB62 + AB63 - AB64)</f>
        <v>5303.242437326378</v>
      </c>
      <c r="AC65" s="322">
        <f> IF(AC60 = 1, $F59, AC62 + AC63 - AC64)</f>
        <v>5004.357992798643</v>
      </c>
      <c r="AD65" s="322">
        <f> IF(AD60 = 1, $F59, AD62 + AD63 - AD64)</f>
        <v>5449.222157147022</v>
      </c>
      <c r="AE65" s="322">
        <f> IF(AE60 = 1, $F59, AE62 + AE63 - AE64)</f>
        <v>5199.030827540548</v>
      </c>
      <c r="AF65" s="322">
        <f> IF(AF60 = 1, $F59, AF62 + AF63 - AF64)</f>
        <v>5653.253289336044</v>
      </c>
      <c r="AG65" s="322">
        <f> IF(AG60 = 1, $F59, AG62 + AG63 - AG64)</f>
        <v>5334.422868494308</v>
      </c>
      <c r="AH65" s="322">
        <f> IF(AH60 = 1, $F59, AH62 + AH63 - AH64)</f>
        <v>5612.6988218614315</v>
      </c>
      <c r="AI65" s="322">
        <f> IF(AI60 = 1, $F59, AI62 + AI63 - AI64)</f>
        <v>5355.001752366759</v>
      </c>
      <c r="AJ65" s="322">
        <f> IF(AJ60 = 1, $F59, AJ62 + AJ63 - AJ64)</f>
        <v>5758.863515620342</v>
      </c>
      <c r="AK65" s="322">
        <f> IF(AK60 = 1, $F59, AK62 + AK63 - AK64)</f>
        <v>5494.4555545491385</v>
      </c>
      <c r="AL65" s="322">
        <f> IF(AL60 = 1, $F59, AL62 + AL63 - AL64)</f>
        <v>5781.079786517272</v>
      </c>
      <c r="AM65" s="322">
        <f> IF(AM60 = 1, $F59, AM62 + AM63 - AM64)</f>
        <v>5701.698930555205</v>
      </c>
      <c r="AN65" s="322">
        <f> IF(AN60 = 1, $F59, AN62 + AN63 - AN64)</f>
        <v>6200.0766305008765</v>
      </c>
      <c r="AO65" s="322">
        <f> IF(AO60 = 1, $F59, AO62 + AO63 - AO64)</f>
        <v>5850.181345974339</v>
      </c>
      <c r="AP65" s="322">
        <f> IF(AP60 = 1, $F59, AP62 + AP63 - AP64)</f>
        <v>6155.599443086321</v>
      </c>
      <c r="AQ65" s="322">
        <f> IF(AQ60 = 1, $F59, AQ62 + AQ63 - AQ64)</f>
        <v>5872.749898471862</v>
      </c>
      <c r="AR65" s="322">
        <f> IF(AR60 = 1, $F59, AR62 + AR63 - AR64)</f>
        <v>6386.0789294159</v>
      </c>
      <c r="AS65" s="322">
        <f> IF(AS60 = 1, $F59, AS62 + AS63 - AS64)</f>
        <v>6025.686786353566</v>
      </c>
      <c r="AT65" s="322">
        <f> IF(AT60 = 1, $F59, AT62 + AT63 - AT64)</f>
        <v>6340.267426378909</v>
      </c>
      <c r="AU65" s="322">
        <f> IF(AU60 = 1, $F59, AU62 + AU63 - AU64)</f>
        <v>6048.932395426014</v>
      </c>
      <c r="AV65" s="322">
        <f> IF(AV60 = 1, $F59, AV62 + AV63 - AV64)</f>
        <v>6577.661297298375</v>
      </c>
      <c r="AW65" s="322">
        <f> IF(AW60 = 1, $F59, AW62 + AW63 - AW64)</f>
        <v>6206.457389944175</v>
      </c>
      <c r="AX65" s="322">
        <f> IF(AX60 = 1, $F59, AX62 + AX63 - AX64)</f>
        <v>6772.802511017038</v>
      </c>
      <c r="AY65" s="322">
        <f> IF(AY60 = 1, $F59, AY62 + AY63 - AY64)</f>
        <v>6462.907716779271</v>
      </c>
      <c r="AZ65" s="322">
        <f> IF(AZ60 = 1, $F59, AZ62 + AZ63 - AZ64)</f>
        <v>6949.178375165771</v>
      </c>
      <c r="BA65" s="322">
        <f> IF(BA60 = 1, $F59, BA62 + BA63 - BA64)</f>
        <v>6631.213367446959</v>
      </c>
      <c r="BB65" s="322">
        <f> IF(BB60 = 1, $F59, BB62 + BB63 - BB64)</f>
        <v>6975.986586347546</v>
      </c>
      <c r="BC65" s="322">
        <f> IF(BC60 = 1, $F59, BC62 + BC63 - BC64)</f>
        <v>6656.794948282648</v>
      </c>
      <c r="BD65" s="322">
        <f> IF(BD60 = 1, $F59, BD62 + BD63 - BD64)</f>
        <v>7237.1832122698615</v>
      </c>
      <c r="BE65" s="322">
        <f> IF(BE60 = 1, $F59, BE62 + BE63 - BE64)</f>
        <v>6830.1497684703645</v>
      </c>
      <c r="BF65" s="322">
        <f> IF(BF60 = 1, $F59, BF62 + BF63 - BF64)</f>
        <v>7185.2661839379725</v>
      </c>
      <c r="BG65" s="322">
        <f> IF(BG60 = 1, $F59, BG62 + BG63 - BG64)</f>
        <v>6856.4987967311245</v>
      </c>
      <c r="BH65" s="322">
        <f> IF(BH60 = 1, $F59, BH62 + BH63 - BH64)</f>
        <v>7060.850694682653</v>
      </c>
      <c r="BI65" s="322">
        <f> IF(BI60 = 1, $F59, BI62 + BI63 - BI64)</f>
        <v>7427.064834605848</v>
      </c>
      <c r="BJ65" s="322">
        <f> IF(BJ60 = 1, $F59, BJ62 + BJ63 - BJ64)</f>
        <v>7010.198614334375</v>
      </c>
      <c r="BK65" s="322">
        <f> IF(BK60 = 1, $F59, BK62 + BK63 - BK64)</f>
        <v>7455.71661353534</v>
      </c>
      <c r="BL65" s="322">
        <f> IF(BL60 = 1, $F59, BL62 + BL63 - BL64)</f>
        <v>7272.676215523126</v>
      </c>
      <c r="BM65" s="322">
        <f> IF(BM60 = 1, $F59, BM62 + BM63 - BM64)</f>
        <v>7649.876779644026</v>
      </c>
      <c r="BN65" s="322">
        <f> IF(BN60 = 1, $F59, BN62 + BN63 - BN64)</f>
        <v>7220.504572764403</v>
      </c>
      <c r="BO65" s="322">
        <f> IF(BO60 = 1, $F59, BO62 + BO63 - BO64)</f>
        <v>7679.3881119414</v>
      </c>
      <c r="BP65" s="322">
        <f> IF(BP60 = 1, $F59, BP62 + BP63 - BP64)</f>
        <v>7408.539397571356</v>
      </c>
      <c r="BQ65" s="322">
        <f> IF(BQ60 = 1, $F59, BQ62 + BQ63 - BQ64)</f>
        <v>7463.489066051305</v>
      </c>
      <c r="BR65" s="322">
        <f> IF(BR60 = 1, $F59, BR62 + BR63 - BR64)</f>
        <v>7851.534361375976</v>
      </c>
      <c r="BS65" s="322">
        <f> IF(BS60 = 1, $F59, BS62 + BS63 - BS64)</f>
        <v>7492.281360655608</v>
      </c>
      <c r="BT65" s="322">
        <f> IF(BT60 = 1, $F59, BT62 + BT63 - BT64)</f>
        <v>8145.513464993815</v>
      </c>
      <c r="BU65" s="322">
        <f> IF(BU60 = 1, $F59, BU62 + BU63 - BU64)</f>
        <v>7687.393738032846</v>
      </c>
      <c r="BV65" s="322">
        <f> IF(BV60 = 1, $F59, BV62 + BV63 - BV64)</f>
        <v>8087.080392217256</v>
      </c>
      <c r="BW65" s="322">
        <f> IF(BW60 = 1, $F59, BW62 + BW63 - BW64)</f>
        <v>8147.06284795863</v>
      </c>
      <c r="BX65" s="322">
        <f> IF(BX60 = 1, $F59, BX62 + BX63 - BX64)</f>
        <v>8389.878868943626</v>
      </c>
      <c r="BY65" s="322">
        <f> IF(BY60 = 1, $F59, BY62 + BY63 - BY64)</f>
        <v>8359.22690379007</v>
      </c>
      <c r="BZ65" s="322">
        <f> IF(BZ60 = 1, $F59, BZ62 + BZ63 - BZ64)</f>
        <v>8329.69280398377</v>
      </c>
      <c r="CA65" s="322">
        <f> IF(CA60 = 1, $F59, CA62 + CA63 - CA64)</f>
        <v>8391.474733397383</v>
      </c>
      <c r="CB65" s="322">
        <f> IF(CB60 = 1, $F59, CB62 + CB63 - CB64)</f>
        <v>8641.57523501194</v>
      </c>
      <c r="CC65" s="322">
        <f> IF(CC60 = 1, $F59, CC62 + CC63 - CC64)</f>
        <v>8610.00371090377</v>
      </c>
      <c r="CD65" s="322">
        <f> IF(CD60 = 1, $F59, CD62 + CD63 - CD64)</f>
        <v>8579.58358810328</v>
      </c>
      <c r="CE65" s="322">
        <f> IF(CE60 = 1, $F59, CE62 + CE63 - CE64)</f>
        <v>8643.218975399304</v>
      </c>
      <c r="CF65" s="322">
        <f> IF(CF60 = 1, $F59, CF62 + CF63 - CF64)</f>
        <v>8803.01125588578</v>
      </c>
      <c r="CG65" s="322">
        <f> IF(CG60 = 1, $F59, CG62 + CG63 - CG64)</f>
        <v>8868.303822230875</v>
      </c>
      <c r="CH65" s="322">
        <f> IF(CH60 = 1, $F59, CH62 + CH63 - CH64)</f>
        <v>8836.971095746376</v>
      </c>
      <c r="CI65" s="322">
        <f> IF(CI60 = 1, $F59, CI62 + CI63 - CI64)</f>
        <v>8902.51554466128</v>
      </c>
      <c r="CJ65" s="322">
        <f> IF(CJ60 = 1, $F59, CJ62 + CJ63 - CJ64)</f>
        <v>9167.847166824162</v>
      </c>
      <c r="CK65" s="322">
        <f> IF(CK60 = 1, $F59, CK62 + CK63 - CK64)</f>
        <v>9134.352936897798</v>
      </c>
      <c r="CL65" s="322">
        <f> IF(CL60 = 1, $F59, CL62 + CL63 - CL64)</f>
        <v>9102.080228618768</v>
      </c>
      <c r="CM65" s="322">
        <f> IF(CM60 = 1, $F59, CM62 + CM63 - CM64)</f>
        <v>9169.591011001117</v>
      </c>
      <c r="CN65" s="322">
        <f> IF(CN60 = 1, $F59, CN62 + CN63 - CN64)</f>
        <v>0.0</v>
      </c>
      <c r="CO65" s="322">
        <f> IF(CO60 = 1, $F59, CO62 + CO63 - CO64)</f>
        <v>0.0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9.xml><?xml version="1.0" encoding="utf-8"?>
<worksheet xmlns="http://schemas.openxmlformats.org/spreadsheetml/2006/main">
  <sheetPr>
    <tabColor rgb="000B5E82"/>
    <outlinePr summaryBelow="0" summaryRight="0"/>
    <pageSetUpPr/>
  </sheetPr>
  <dimension ref="A1:CO62"/>
  <sheetViews>
    <sheetView showGridLines="0" defaultGridColor="0" colorId="22" zoomScaleNormal="100" workbookViewId="0">
      <pane xSplit="9" ySplit="5" topLeftCell="J35" activePane="bottomRight" state="frozen"/>
      <selection activeCell="I34" sqref="I34"/>
      <selection pane="topRight" activeCell="I34" sqref="I34"/>
      <selection pane="bottomLeft" activeCell="I34" sqref="I34"/>
      <selection pane="bottomRight" activeCell="A43" sqref="A43:XFD43"/>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6" customFormat="1" s="169">
      <c r="A6" s="163" t="n"/>
      <c r="B6" s="163" t="n"/>
      <c r="C6" s="172" t="n"/>
      <c r="D6" s="88" t="n"/>
      <c r="E6" s="169" t="n"/>
      <c r="F6" s="169" t="n"/>
      <c r="G6" s="169" t="n"/>
      <c r="H6" s="169" t="n"/>
      <c r="I6" s="169" t="n"/>
      <c r="J6" s="169" t="n"/>
      <c r="K6" s="169" t="n"/>
      <c r="L6" s="169" t="n"/>
      <c r="M6" s="169" t="n"/>
      <c r="N6" s="169" t="n"/>
      <c r="O6" s="169" t="n"/>
      <c r="P6" s="169" t="n"/>
      <c r="Q6" s="169" t="n"/>
      <c r="R6" s="169" t="n"/>
      <c r="S6" s="169" t="n"/>
      <c r="T6" s="169" t="n"/>
      <c r="U6" s="169" t="n"/>
      <c r="V6" s="169" t="n"/>
      <c r="W6" s="169" t="n"/>
      <c r="X6" s="169" t="n"/>
      <c r="Y6" s="169" t="n"/>
      <c r="Z6" s="169" t="n"/>
      <c r="AA6" s="169" t="n"/>
      <c r="AB6" s="169" t="n"/>
      <c r="AC6" s="169" t="n"/>
      <c r="AD6" s="169" t="n"/>
      <c r="AE6" s="169" t="n"/>
      <c r="AF6" s="169" t="n"/>
      <c r="AG6" s="169" t="n"/>
    </row>
    <row r="7">
      <c r="A7" s="294" t="inlineStr">
        <is>
          <t>OPERATING COST</t>
        </is>
      </c>
    </row>
    <row r="9">
      <c r="B9" s="294" t="inlineStr">
        <is>
          <t>Handling cost</t>
        </is>
      </c>
    </row>
    <row r="10">
      <c r="C10" s="212" t="inlineStr">
        <is>
          <t>Variable cost</t>
        </is>
      </c>
      <c r="D10" s="61" t="n"/>
    </row>
    <row r="11">
      <c r="E11" s="325" t="str">
        <f> InpC!E$44</f>
        <v>Handling cost - variable</v>
      </c>
      <c r="F11" s="325">
        <f> InpC!F$44</f>
        <v>550.0</v>
      </c>
      <c r="G11" s="325" t="str">
        <f> InpC!G$44</f>
        <v>USD/arrival</v>
      </c>
    </row>
    <row r="12">
      <c r="E12" s="325" t="str">
        <f> InpC!E$102</f>
        <v>Unit in thousand</v>
      </c>
      <c r="F12" s="325">
        <f> InpC!F$102</f>
        <v>1000.0</v>
      </c>
      <c r="G12" s="325" t="str">
        <f> InpC!G$102</f>
        <v>units</v>
      </c>
    </row>
    <row r="13">
      <c r="E13" s="325" t="str">
        <f> OpRev!E$21</f>
        <v>Arrivals</v>
      </c>
      <c r="F13" s="325">
        <f> OpRev!F$21</f>
        <v>0.0</v>
      </c>
      <c r="G13" s="325" t="str">
        <f> OpRev!G$21</f>
        <v>arrivals </v>
      </c>
      <c r="H13" s="325">
        <f> OpRev!H$21</f>
        <v>924648.0</v>
      </c>
      <c r="I13" s="325">
        <f> OpRev!I$21</f>
        <v>0.0</v>
      </c>
      <c r="J13" s="325">
        <f> OpRev!J$21</f>
        <v>0.0</v>
      </c>
      <c r="K13" s="325">
        <f> OpRev!K$21</f>
        <v>0.0</v>
      </c>
      <c r="L13" s="325">
        <f> OpRev!L$21</f>
        <v>11508.0</v>
      </c>
      <c r="M13" s="325">
        <f> OpRev!M$21</f>
        <v>11116.0</v>
      </c>
      <c r="N13" s="325">
        <f> OpRev!N$21</f>
        <v>11716.0</v>
      </c>
      <c r="O13" s="325">
        <f> OpRev!O$21</f>
        <v>11204.0</v>
      </c>
      <c r="P13" s="325">
        <f> OpRev!P$21</f>
        <v>11804.0</v>
      </c>
      <c r="Q13" s="325">
        <f> OpRev!Q$21</f>
        <v>11204.0</v>
      </c>
      <c r="R13" s="325">
        <f> OpRev!R$21</f>
        <v>11804.0</v>
      </c>
      <c r="S13" s="325">
        <f> OpRev!S$21</f>
        <v>11204.0</v>
      </c>
      <c r="T13" s="325">
        <f> OpRev!T$21</f>
        <v>11804.0</v>
      </c>
      <c r="U13" s="325">
        <f> OpRev!U$21</f>
        <v>11204.0</v>
      </c>
      <c r="V13" s="325">
        <f> OpRev!V$21</f>
        <v>11804.0</v>
      </c>
      <c r="W13" s="325">
        <f> OpRev!W$21</f>
        <v>11204.0</v>
      </c>
      <c r="X13" s="325">
        <f> OpRev!X$21</f>
        <v>11804.0</v>
      </c>
      <c r="Y13" s="325">
        <f> OpRev!Y$21</f>
        <v>11204.0</v>
      </c>
      <c r="Z13" s="325">
        <f> OpRev!Z$21</f>
        <v>11804.0</v>
      </c>
      <c r="AA13" s="325">
        <f> OpRev!AA$21</f>
        <v>11204.0</v>
      </c>
      <c r="AB13" s="325">
        <f> OpRev!AB$21</f>
        <v>11804.0</v>
      </c>
      <c r="AC13" s="325">
        <f> OpRev!AC$21</f>
        <v>11204.0</v>
      </c>
      <c r="AD13" s="325">
        <f> OpRev!AD$21</f>
        <v>11804.0</v>
      </c>
      <c r="AE13" s="325">
        <f> OpRev!AE$21</f>
        <v>11204.0</v>
      </c>
      <c r="AF13" s="325">
        <f> OpRev!AF$21</f>
        <v>11804.0</v>
      </c>
      <c r="AG13" s="325">
        <f> OpRev!AG$21</f>
        <v>11204.0</v>
      </c>
      <c r="AH13" s="325">
        <f> OpRev!AH$21</f>
        <v>11804.0</v>
      </c>
      <c r="AI13" s="325">
        <f> OpRev!AI$21</f>
        <v>11204.0</v>
      </c>
      <c r="AJ13" s="325">
        <f> OpRev!AJ$21</f>
        <v>11804.0</v>
      </c>
      <c r="AK13" s="325">
        <f> OpRev!AK$21</f>
        <v>11204.0</v>
      </c>
      <c r="AL13" s="325">
        <f> OpRev!AL$21</f>
        <v>11804.0</v>
      </c>
      <c r="AM13" s="325">
        <f> OpRev!AM$21</f>
        <v>11204.0</v>
      </c>
      <c r="AN13" s="325">
        <f> OpRev!AN$21</f>
        <v>11804.0</v>
      </c>
      <c r="AO13" s="325">
        <f> OpRev!AO$21</f>
        <v>11204.0</v>
      </c>
      <c r="AP13" s="325">
        <f> OpRev!AP$21</f>
        <v>11804.0</v>
      </c>
      <c r="AQ13" s="325">
        <f> OpRev!AQ$21</f>
        <v>11204.0</v>
      </c>
      <c r="AR13" s="325">
        <f> OpRev!AR$21</f>
        <v>11804.0</v>
      </c>
      <c r="AS13" s="325">
        <f> OpRev!AS$21</f>
        <v>11204.0</v>
      </c>
      <c r="AT13" s="325">
        <f> OpRev!AT$21</f>
        <v>11804.0</v>
      </c>
      <c r="AU13" s="325">
        <f> OpRev!AU$21</f>
        <v>11204.0</v>
      </c>
      <c r="AV13" s="325">
        <f> OpRev!AV$21</f>
        <v>11804.0</v>
      </c>
      <c r="AW13" s="325">
        <f> OpRev!AW$21</f>
        <v>11204.0</v>
      </c>
      <c r="AX13" s="325">
        <f> OpRev!AX$21</f>
        <v>11804.0</v>
      </c>
      <c r="AY13" s="325">
        <f> OpRev!AY$21</f>
        <v>11204.0</v>
      </c>
      <c r="AZ13" s="325">
        <f> OpRev!AZ$21</f>
        <v>11804.0</v>
      </c>
      <c r="BA13" s="325">
        <f> OpRev!BA$21</f>
        <v>11204.0</v>
      </c>
      <c r="BB13" s="325">
        <f> OpRev!BB$21</f>
        <v>11804.0</v>
      </c>
      <c r="BC13" s="325">
        <f> OpRev!BC$21</f>
        <v>11204.0</v>
      </c>
      <c r="BD13" s="325">
        <f> OpRev!BD$21</f>
        <v>11804.0</v>
      </c>
      <c r="BE13" s="325">
        <f> OpRev!BE$21</f>
        <v>11204.0</v>
      </c>
      <c r="BF13" s="325">
        <f> OpRev!BF$21</f>
        <v>11804.0</v>
      </c>
      <c r="BG13" s="325">
        <f> OpRev!BG$21</f>
        <v>11204.0</v>
      </c>
      <c r="BH13" s="325">
        <f> OpRev!BH$21</f>
        <v>11204.0</v>
      </c>
      <c r="BI13" s="325">
        <f> OpRev!BI$21</f>
        <v>11804.0</v>
      </c>
      <c r="BJ13" s="325">
        <f> OpRev!BJ$21</f>
        <v>11204.0</v>
      </c>
      <c r="BK13" s="325">
        <f> OpRev!BK$21</f>
        <v>11804.0</v>
      </c>
      <c r="BL13" s="325">
        <f> OpRev!BL$21</f>
        <v>11204.0</v>
      </c>
      <c r="BM13" s="325">
        <f> OpRev!BM$21</f>
        <v>11804.0</v>
      </c>
      <c r="BN13" s="325">
        <f> OpRev!BN$21</f>
        <v>11204.0</v>
      </c>
      <c r="BO13" s="325">
        <f> OpRev!BO$21</f>
        <v>11804.0</v>
      </c>
      <c r="BP13" s="325">
        <f> OpRev!BP$21</f>
        <v>11204.0</v>
      </c>
      <c r="BQ13" s="325">
        <f> OpRev!BQ$21</f>
        <v>11204.0</v>
      </c>
      <c r="BR13" s="325">
        <f> OpRev!BR$21</f>
        <v>11804.0</v>
      </c>
      <c r="BS13" s="325">
        <f> OpRev!BS$21</f>
        <v>11204.0</v>
      </c>
      <c r="BT13" s="325">
        <f> OpRev!BT$21</f>
        <v>11804.0</v>
      </c>
      <c r="BU13" s="325">
        <f> OpRev!BU$21</f>
        <v>11204.0</v>
      </c>
      <c r="BV13" s="325">
        <f> OpRev!BV$21</f>
        <v>11804.0</v>
      </c>
      <c r="BW13" s="325">
        <f> OpRev!BW$21</f>
        <v>11804.0</v>
      </c>
      <c r="BX13" s="325">
        <f> OpRev!BX$21</f>
        <v>11804.0</v>
      </c>
      <c r="BY13" s="325">
        <f> OpRev!BY$21</f>
        <v>11804.0</v>
      </c>
      <c r="BZ13" s="325">
        <f> OpRev!BZ$21</f>
        <v>11804.0</v>
      </c>
      <c r="CA13" s="325">
        <f> OpRev!CA$21</f>
        <v>11804.0</v>
      </c>
      <c r="CB13" s="325">
        <f> OpRev!CB$21</f>
        <v>11804.0</v>
      </c>
      <c r="CC13" s="325">
        <f> OpRev!CC$21</f>
        <v>11804.0</v>
      </c>
      <c r="CD13" s="325">
        <f> OpRev!CD$21</f>
        <v>11804.0</v>
      </c>
      <c r="CE13" s="325">
        <f> OpRev!CE$21</f>
        <v>11804.0</v>
      </c>
      <c r="CF13" s="325">
        <f> OpRev!CF$21</f>
        <v>11804.0</v>
      </c>
      <c r="CG13" s="325">
        <f> OpRev!CG$21</f>
        <v>11804.0</v>
      </c>
      <c r="CH13" s="325">
        <f> OpRev!CH$21</f>
        <v>11804.0</v>
      </c>
      <c r="CI13" s="325">
        <f> OpRev!CI$21</f>
        <v>11804.0</v>
      </c>
      <c r="CJ13" s="325">
        <f> OpRev!CJ$21</f>
        <v>11804.0</v>
      </c>
      <c r="CK13" s="325">
        <f> OpRev!CK$21</f>
        <v>11804.0</v>
      </c>
      <c r="CL13" s="325">
        <f> OpRev!CL$21</f>
        <v>11804.0</v>
      </c>
      <c r="CM13" s="325">
        <f> OpRev!CM$21</f>
        <v>11804.0</v>
      </c>
      <c r="CN13" s="325">
        <f> OpRev!CN$21</f>
        <v>0.0</v>
      </c>
      <c r="CO13" s="325">
        <f> OpRev!CO$21</f>
        <v>0.0</v>
      </c>
    </row>
    <row r="14">
      <c r="E14" s="347" t="str">
        <f> Esc!E$32</f>
        <v>Handling escalation factor</v>
      </c>
      <c r="F14" s="347">
        <f> Esc!F$32</f>
        <v>0.0</v>
      </c>
      <c r="G14" s="347" t="str">
        <f> Esc!G$32</f>
        <v>factor</v>
      </c>
      <c r="H14" s="347">
        <f> Esc!H$32</f>
        <v>0.0</v>
      </c>
      <c r="I14" s="347">
        <f> Esc!I$32</f>
        <v>0.0</v>
      </c>
      <c r="J14" s="347">
        <f> Esc!J$32</f>
        <v>0.0</v>
      </c>
      <c r="K14" s="347">
        <f> Esc!K$32</f>
        <v>1.2083333333333333</v>
      </c>
      <c r="L14" s="347">
        <f> Esc!L$32</f>
        <v>1.22606423078713</v>
      </c>
      <c r="M14" s="347">
        <f> Esc!M$32</f>
        <v>1.2440553087025958</v>
      </c>
      <c r="N14" s="347">
        <f> Esc!N$32</f>
        <v>1.2623103849278015</v>
      </c>
      <c r="O14" s="347">
        <f> Esc!O$32</f>
        <v>1.280833333333333</v>
      </c>
      <c r="P14" s="347">
        <f> Esc!P$32</f>
        <v>1.2965520202645275</v>
      </c>
      <c r="Q14" s="347">
        <f> Esc!Q$32</f>
        <v>1.3124636106066583</v>
      </c>
      <c r="R14" s="347">
        <f> Esc!R$32</f>
        <v>1.3285704717156066</v>
      </c>
      <c r="S14" s="347">
        <f> Esc!S$32</f>
        <v>1.3448749999999998</v>
      </c>
      <c r="T14" s="347">
        <f> Esc!T$32</f>
        <v>1.3581266001325443</v>
      </c>
      <c r="U14" s="347">
        <f> Esc!U$32</f>
        <v>1.3715087736686191</v>
      </c>
      <c r="V14" s="347">
        <f> Esc!V$32</f>
        <v>1.3850228072010535</v>
      </c>
      <c r="W14" s="347">
        <f> Esc!W$32</f>
        <v>1.3986699999999999</v>
      </c>
      <c r="X14" s="347">
        <f> Esc!X$32</f>
        <v>1.4090440357833613</v>
      </c>
      <c r="Y14" s="347">
        <f> Esc!Y$32</f>
        <v>1.419495016534753</v>
      </c>
      <c r="Z14" s="347">
        <f> Esc!Z$32</f>
        <v>1.4300235129605254</v>
      </c>
      <c r="AA14" s="347">
        <f> Esc!AA$32</f>
        <v>1.4406300999999992</v>
      </c>
      <c r="AB14" s="347">
        <f> Esc!AB$32</f>
        <v>1.4513153568568617</v>
      </c>
      <c r="AC14" s="347">
        <f> Esc!AC$32</f>
        <v>1.4620798670307953</v>
      </c>
      <c r="AD14" s="347">
        <f> Esc!AD$32</f>
        <v>1.472924218349341</v>
      </c>
      <c r="AE14" s="347">
        <f> Esc!AE$32</f>
        <v>1.4838490029999991</v>
      </c>
      <c r="AF14" s="347">
        <f> Esc!AF$32</f>
        <v>1.4948548175625673</v>
      </c>
      <c r="AG14" s="347">
        <f> Esc!AG$32</f>
        <v>1.5059422630417187</v>
      </c>
      <c r="AH14" s="347">
        <f> Esc!AH$32</f>
        <v>1.5171119448998207</v>
      </c>
      <c r="AI14" s="347">
        <f> Esc!AI$32</f>
        <v>1.5283644730899986</v>
      </c>
      <c r="AJ14" s="347">
        <f> Esc!AJ$32</f>
        <v>1.5397004620894439</v>
      </c>
      <c r="AK14" s="347">
        <f> Esc!AK$32</f>
        <v>1.5511205309329696</v>
      </c>
      <c r="AL14" s="347">
        <f> Esc!AL$32</f>
        <v>1.5626253032468145</v>
      </c>
      <c r="AM14" s="347">
        <f> Esc!AM$32</f>
        <v>1.5742154072826977</v>
      </c>
      <c r="AN14" s="347">
        <f> Esc!AN$32</f>
        <v>1.5858914759521265</v>
      </c>
      <c r="AO14" s="347">
        <f> Esc!AO$32</f>
        <v>1.5976541468609582</v>
      </c>
      <c r="AP14" s="347">
        <f> Esc!AP$32</f>
        <v>1.6095040623442183</v>
      </c>
      <c r="AQ14" s="347">
        <f> Esc!AQ$32</f>
        <v>1.621441869501178</v>
      </c>
      <c r="AR14" s="347">
        <f> Esc!AR$32</f>
        <v>1.6334682202306898</v>
      </c>
      <c r="AS14" s="347">
        <f> Esc!AS$32</f>
        <v>1.6455837712667865</v>
      </c>
      <c r="AT14" s="347">
        <f> Esc!AT$32</f>
        <v>1.6577891842145445</v>
      </c>
      <c r="AU14" s="347">
        <f> Esc!AU$32</f>
        <v>1.670085125586213</v>
      </c>
      <c r="AV14" s="347">
        <f> Esc!AV$32</f>
        <v>1.6824722668376098</v>
      </c>
      <c r="AW14" s="347">
        <f> Esc!AW$32</f>
        <v>1.6949512844047894</v>
      </c>
      <c r="AX14" s="347">
        <f> Esc!AX$32</f>
        <v>1.7075228597409802</v>
      </c>
      <c r="AY14" s="347">
        <f> Esc!AY$32</f>
        <v>1.7201876793537987</v>
      </c>
      <c r="AZ14" s="347">
        <f> Esc!AZ$32</f>
        <v>1.7329464348427375</v>
      </c>
      <c r="BA14" s="347">
        <f> Esc!BA$32</f>
        <v>1.7457998229369323</v>
      </c>
      <c r="BB14" s="347">
        <f> Esc!BB$32</f>
        <v>1.7587485455332088</v>
      </c>
      <c r="BC14" s="347">
        <f> Esc!BC$32</f>
        <v>1.771793309734412</v>
      </c>
      <c r="BD14" s="347">
        <f> Esc!BD$32</f>
        <v>1.7849348278880193</v>
      </c>
      <c r="BE14" s="347">
        <f> Esc!BE$32</f>
        <v>1.79817381762504</v>
      </c>
      <c r="BF14" s="347">
        <f> Esc!BF$32</f>
        <v>1.8115110018992047</v>
      </c>
      <c r="BG14" s="347">
        <f> Esc!BG$32</f>
        <v>1.8249471090264437</v>
      </c>
      <c r="BH14" s="347">
        <f> Esc!BH$32</f>
        <v>1.838482872724659</v>
      </c>
      <c r="BI14" s="347">
        <f> Esc!BI$32</f>
        <v>1.8521190321537904</v>
      </c>
      <c r="BJ14" s="347">
        <f> Esc!BJ$32</f>
        <v>1.86585633195618</v>
      </c>
      <c r="BK14" s="347">
        <f> Esc!BK$32</f>
        <v>1.8796955222972365</v>
      </c>
      <c r="BL14" s="347">
        <f> Esc!BL$32</f>
        <v>1.8936373589063982</v>
      </c>
      <c r="BM14" s="347">
        <f> Esc!BM$32</f>
        <v>1.9076826031184035</v>
      </c>
      <c r="BN14" s="347">
        <f> Esc!BN$32</f>
        <v>1.921832021914865</v>
      </c>
      <c r="BO14" s="347">
        <f> Esc!BO$32</f>
        <v>1.936086387966153</v>
      </c>
      <c r="BP14" s="347">
        <f> Esc!BP$32</f>
        <v>1.9504464796735894</v>
      </c>
      <c r="BQ14" s="347">
        <f> Esc!BQ$32</f>
        <v>1.964913081211955</v>
      </c>
      <c r="BR14" s="347">
        <f> Esc!BR$32</f>
        <v>1.9794869825723105</v>
      </c>
      <c r="BS14" s="347">
        <f> Esc!BS$32</f>
        <v>1.994168979605137</v>
      </c>
      <c r="BT14" s="347">
        <f> Esc!BT$32</f>
        <v>2.0089598740637964</v>
      </c>
      <c r="BU14" s="347">
        <f> Esc!BU$32</f>
        <v>2.023860473648313</v>
      </c>
      <c r="BV14" s="347">
        <f> Esc!BV$32</f>
        <v>2.038871592049479</v>
      </c>
      <c r="BW14" s="347">
        <f> Esc!BW$32</f>
        <v>2.0539940489932906</v>
      </c>
      <c r="BX14" s="347">
        <f> Esc!BX$32</f>
        <v>2.06922867028571</v>
      </c>
      <c r="BY14" s="347">
        <f> Esc!BY$32</f>
        <v>2.084576287857762</v>
      </c>
      <c r="BZ14" s="347">
        <f> Esc!BZ$32</f>
        <v>2.100037739810963</v>
      </c>
      <c r="CA14" s="347">
        <f> Esc!CA$32</f>
        <v>2.1156138704630885</v>
      </c>
      <c r="CB14" s="347">
        <f> Esc!CB$32</f>
        <v>2.1313055303942807</v>
      </c>
      <c r="CC14" s="347">
        <f> Esc!CC$32</f>
        <v>2.1471135764934943</v>
      </c>
      <c r="CD14" s="347">
        <f> Esc!CD$32</f>
        <v>2.163038872005291</v>
      </c>
      <c r="CE14" s="347">
        <f> Esc!CE$32</f>
        <v>2.1790822865769806</v>
      </c>
      <c r="CF14" s="347">
        <f> Esc!CF$32</f>
        <v>2.1952446963061085</v>
      </c>
      <c r="CG14" s="347">
        <f> Esc!CG$32</f>
        <v>2.211526983788298</v>
      </c>
      <c r="CH14" s="347">
        <f> Esc!CH$32</f>
        <v>2.227930038165449</v>
      </c>
      <c r="CI14" s="347">
        <f> Esc!CI$32</f>
        <v>2.2444547551742895</v>
      </c>
      <c r="CJ14" s="347">
        <f> Esc!CJ$32</f>
        <v>2.261102037195291</v>
      </c>
      <c r="CK14" s="347">
        <f> Esc!CK$32</f>
        <v>2.2778727933019463</v>
      </c>
      <c r="CL14" s="347">
        <f> Esc!CL$32</f>
        <v>2.294767939310412</v>
      </c>
      <c r="CM14" s="347">
        <f> Esc!CM$32</f>
        <v>2.3117883978295173</v>
      </c>
      <c r="CN14" s="347">
        <f> Esc!CN$32</f>
        <v>2.328935098311149</v>
      </c>
      <c r="CO14" s="347">
        <f> Esc!CO$32</f>
        <v>2.346208977101004</v>
      </c>
    </row>
    <row r="15">
      <c r="E15" s="325" t="str">
        <f> Time!E$69</f>
        <v>Forecast period flag</v>
      </c>
      <c r="F15" s="325">
        <f> Time!F$69</f>
        <v>0.0</v>
      </c>
      <c r="G15" s="325" t="str">
        <f> Time!G$69</f>
        <v>flag</v>
      </c>
      <c r="H15" s="325">
        <f> Time!H$69</f>
        <v>80.0</v>
      </c>
      <c r="I15" s="325">
        <f> Time!I$69</f>
        <v>0.0</v>
      </c>
      <c r="J15" s="325">
        <f> Time!J$69</f>
        <v>0.0</v>
      </c>
      <c r="K15" s="325">
        <f> Time!K$69</f>
        <v>0.0</v>
      </c>
      <c r="L15" s="325">
        <f> Time!L$69</f>
        <v>1.0</v>
      </c>
      <c r="M15" s="325">
        <f> Time!M$69</f>
        <v>1.0</v>
      </c>
      <c r="N15" s="325">
        <f> Time!N$69</f>
        <v>1.0</v>
      </c>
      <c r="O15" s="325">
        <f> Time!O$69</f>
        <v>1.0</v>
      </c>
      <c r="P15" s="325">
        <f> Time!P$69</f>
        <v>1.0</v>
      </c>
      <c r="Q15" s="325">
        <f> Time!Q$69</f>
        <v>1.0</v>
      </c>
      <c r="R15" s="325">
        <f> Time!R$69</f>
        <v>1.0</v>
      </c>
      <c r="S15" s="325">
        <f> Time!S$69</f>
        <v>1.0</v>
      </c>
      <c r="T15" s="325">
        <f> Time!T$69</f>
        <v>1.0</v>
      </c>
      <c r="U15" s="325">
        <f> Time!U$69</f>
        <v>1.0</v>
      </c>
      <c r="V15" s="325">
        <f> Time!V$69</f>
        <v>1.0</v>
      </c>
      <c r="W15" s="325">
        <f> Time!W$69</f>
        <v>1.0</v>
      </c>
      <c r="X15" s="325">
        <f> Time!X$69</f>
        <v>1.0</v>
      </c>
      <c r="Y15" s="325">
        <f> Time!Y$69</f>
        <v>1.0</v>
      </c>
      <c r="Z15" s="325">
        <f> Time!Z$69</f>
        <v>1.0</v>
      </c>
      <c r="AA15" s="325">
        <f> Time!AA$69</f>
        <v>1.0</v>
      </c>
      <c r="AB15" s="325">
        <f> Time!AB$69</f>
        <v>1.0</v>
      </c>
      <c r="AC15" s="325">
        <f> Time!AC$69</f>
        <v>1.0</v>
      </c>
      <c r="AD15" s="325">
        <f> Time!AD$69</f>
        <v>1.0</v>
      </c>
      <c r="AE15" s="325">
        <f> Time!AE$69</f>
        <v>1.0</v>
      </c>
      <c r="AF15" s="325">
        <f> Time!AF$69</f>
        <v>1.0</v>
      </c>
      <c r="AG15" s="325">
        <f> Time!AG$69</f>
        <v>1.0</v>
      </c>
      <c r="AH15" s="325">
        <f> Time!AH$69</f>
        <v>1.0</v>
      </c>
      <c r="AI15" s="325">
        <f> Time!AI$69</f>
        <v>1.0</v>
      </c>
      <c r="AJ15" s="325">
        <f> Time!AJ$69</f>
        <v>1.0</v>
      </c>
      <c r="AK15" s="325">
        <f> Time!AK$69</f>
        <v>1.0</v>
      </c>
      <c r="AL15" s="325">
        <f> Time!AL$69</f>
        <v>1.0</v>
      </c>
      <c r="AM15" s="325">
        <f> Time!AM$69</f>
        <v>1.0</v>
      </c>
      <c r="AN15" s="325">
        <f> Time!AN$69</f>
        <v>1.0</v>
      </c>
      <c r="AO15" s="325">
        <f> Time!AO$69</f>
        <v>1.0</v>
      </c>
      <c r="AP15" s="325">
        <f> Time!AP$69</f>
        <v>1.0</v>
      </c>
      <c r="AQ15" s="325">
        <f> Time!AQ$69</f>
        <v>1.0</v>
      </c>
      <c r="AR15" s="325">
        <f> Time!AR$69</f>
        <v>1.0</v>
      </c>
      <c r="AS15" s="325">
        <f> Time!AS$69</f>
        <v>1.0</v>
      </c>
      <c r="AT15" s="325">
        <f> Time!AT$69</f>
        <v>1.0</v>
      </c>
      <c r="AU15" s="325">
        <f> Time!AU$69</f>
        <v>1.0</v>
      </c>
      <c r="AV15" s="325">
        <f> Time!AV$69</f>
        <v>1.0</v>
      </c>
      <c r="AW15" s="325">
        <f> Time!AW$69</f>
        <v>1.0</v>
      </c>
      <c r="AX15" s="325">
        <f> Time!AX$69</f>
        <v>1.0</v>
      </c>
      <c r="AY15" s="325">
        <f> Time!AY$69</f>
        <v>1.0</v>
      </c>
      <c r="AZ15" s="325">
        <f> Time!AZ$69</f>
        <v>1.0</v>
      </c>
      <c r="BA15" s="325">
        <f> Time!BA$69</f>
        <v>1.0</v>
      </c>
      <c r="BB15" s="325">
        <f> Time!BB$69</f>
        <v>1.0</v>
      </c>
      <c r="BC15" s="325">
        <f> Time!BC$69</f>
        <v>1.0</v>
      </c>
      <c r="BD15" s="325">
        <f> Time!BD$69</f>
        <v>1.0</v>
      </c>
      <c r="BE15" s="325">
        <f> Time!BE$69</f>
        <v>1.0</v>
      </c>
      <c r="BF15" s="325">
        <f> Time!BF$69</f>
        <v>1.0</v>
      </c>
      <c r="BG15" s="325">
        <f> Time!BG$69</f>
        <v>1.0</v>
      </c>
      <c r="BH15" s="325">
        <f> Time!BH$69</f>
        <v>1.0</v>
      </c>
      <c r="BI15" s="325">
        <f> Time!BI$69</f>
        <v>1.0</v>
      </c>
      <c r="BJ15" s="325">
        <f> Time!BJ$69</f>
        <v>1.0</v>
      </c>
      <c r="BK15" s="325">
        <f> Time!BK$69</f>
        <v>1.0</v>
      </c>
      <c r="BL15" s="325">
        <f> Time!BL$69</f>
        <v>1.0</v>
      </c>
      <c r="BM15" s="325">
        <f> Time!BM$69</f>
        <v>1.0</v>
      </c>
      <c r="BN15" s="325">
        <f> Time!BN$69</f>
        <v>1.0</v>
      </c>
      <c r="BO15" s="325">
        <f> Time!BO$69</f>
        <v>1.0</v>
      </c>
      <c r="BP15" s="325">
        <f> Time!BP$69</f>
        <v>1.0</v>
      </c>
      <c r="BQ15" s="325">
        <f> Time!BQ$69</f>
        <v>1.0</v>
      </c>
      <c r="BR15" s="325">
        <f> Time!BR$69</f>
        <v>1.0</v>
      </c>
      <c r="BS15" s="325">
        <f> Time!BS$69</f>
        <v>1.0</v>
      </c>
      <c r="BT15" s="325">
        <f> Time!BT$69</f>
        <v>1.0</v>
      </c>
      <c r="BU15" s="325">
        <f> Time!BU$69</f>
        <v>1.0</v>
      </c>
      <c r="BV15" s="325">
        <f> Time!BV$69</f>
        <v>1.0</v>
      </c>
      <c r="BW15" s="325">
        <f> Time!BW$69</f>
        <v>1.0</v>
      </c>
      <c r="BX15" s="325">
        <f> Time!BX$69</f>
        <v>1.0</v>
      </c>
      <c r="BY15" s="325">
        <f> Time!BY$69</f>
        <v>1.0</v>
      </c>
      <c r="BZ15" s="325">
        <f> Time!BZ$69</f>
        <v>1.0</v>
      </c>
      <c r="CA15" s="325">
        <f> Time!CA$69</f>
        <v>1.0</v>
      </c>
      <c r="CB15" s="325">
        <f> Time!CB$69</f>
        <v>1.0</v>
      </c>
      <c r="CC15" s="325">
        <f> Time!CC$69</f>
        <v>1.0</v>
      </c>
      <c r="CD15" s="325">
        <f> Time!CD$69</f>
        <v>1.0</v>
      </c>
      <c r="CE15" s="325">
        <f> Time!CE$69</f>
        <v>1.0</v>
      </c>
      <c r="CF15" s="325">
        <f> Time!CF$69</f>
        <v>1.0</v>
      </c>
      <c r="CG15" s="325">
        <f> Time!CG$69</f>
        <v>1.0</v>
      </c>
      <c r="CH15" s="325">
        <f> Time!CH$69</f>
        <v>1.0</v>
      </c>
      <c r="CI15" s="325">
        <f> Time!CI$69</f>
        <v>1.0</v>
      </c>
      <c r="CJ15" s="325">
        <f> Time!CJ$69</f>
        <v>1.0</v>
      </c>
      <c r="CK15" s="325">
        <f> Time!CK$69</f>
        <v>1.0</v>
      </c>
      <c r="CL15" s="325">
        <f> Time!CL$69</f>
        <v>1.0</v>
      </c>
      <c r="CM15" s="325">
        <f> Time!CM$69</f>
        <v>1.0</v>
      </c>
      <c r="CN15" s="325">
        <f> Time!CN$69</f>
        <v>0.0</v>
      </c>
      <c r="CO15" s="325">
        <f> Time!CO$69</f>
        <v>0.0</v>
      </c>
    </row>
    <row r="16" customFormat="1" s="365">
      <c r="A16" s="362" t="n"/>
      <c r="B16" s="362" t="n"/>
      <c r="C16" s="363" t="n"/>
      <c r="D16" s="364" t="n"/>
      <c r="E16" s="365" t="inlineStr">
        <is>
          <t>Handling variable cost</t>
        </is>
      </c>
      <c r="G16" s="365" t="str">
        <f>SMU</f>
        <v>$ 000s</v>
      </c>
      <c r="H16" s="365">
        <f> SUM(J16:CO16)</f>
        <v>890187.4314858428</v>
      </c>
      <c r="J16" s="365">
        <f> IF( J15 = 1,$F11 / $F12 * J13 * J14, 0)</f>
        <v>0.0</v>
      </c>
      <c r="K16" s="365">
        <f> IF( K15 = 1,$F11 / $F12 * K13 * K14, 0)</f>
        <v>0.0</v>
      </c>
      <c r="L16" s="365">
        <f> IF( L15 = 1,$F11 / $F12 * L13 * L14, 0)</f>
        <v>7760.250942344061</v>
      </c>
      <c r="M16" s="365">
        <f> IF( M15 = 1,$F11 / $F12 * M13 * M14, 0)</f>
        <v>7605.90534634593</v>
      </c>
      <c r="N16" s="365">
        <f> IF( N15 = 1,$F11 / $F12 * N13 * N14, 0)</f>
        <v>8134.075658397767</v>
      </c>
      <c r="O16" s="365">
        <f> IF( O15 = 1,$F11 / $F12 * O13 * O14, 0)</f>
        <v>7892.751166666666</v>
      </c>
      <c r="P16" s="365">
        <f> IF( P15 = 1,$F11 / $F12 * P13 * P14, 0)</f>
        <v>8417.475025961367</v>
      </c>
      <c r="Q16" s="365">
        <f> IF( Q15 = 1,$F11 / $F12 * Q13 * Q14, 0)</f>
        <v>8087.6632612803505</v>
      </c>
      <c r="R16" s="365">
        <f> IF( R15 = 1,$F11 / $F12 * R13 * R14, 0)</f>
        <v>8625.345216472062</v>
      </c>
      <c r="S16" s="365">
        <f> IF( S15 = 1,$F11 / $F12 * S13 * S14, 0)</f>
        <v>8287.388725</v>
      </c>
      <c r="T16" s="365">
        <f> IF( T15 = 1,$F11 / $F12 * T13 * T14, 0)</f>
        <v>8817.229513380506</v>
      </c>
      <c r="U16" s="365">
        <f> IF( U15 = 1,$F11 / $F12 * U13 * U14, 0)</f>
        <v>8451.511365100765</v>
      </c>
      <c r="V16" s="365">
        <f> IF( V15 = 1,$F11 / $F12 * V13 * V14, 0)</f>
        <v>8991.845068910681</v>
      </c>
      <c r="W16" s="365">
        <f> IF( W15 = 1,$F11 / $F12 * W13 * W14, 0)</f>
        <v>8618.884274</v>
      </c>
      <c r="X16" s="365">
        <f> IF( X15 = 1,$F11 / $F12 * X13 * X14, 0)</f>
        <v>9147.79568911274</v>
      </c>
      <c r="Y16" s="365">
        <f> IF( Y15 = 1,$F11 / $F12 * Y13 * Y14, 0)</f>
        <v>8747.212190890456</v>
      </c>
      <c r="Z16" s="365">
        <f> IF( Z15 = 1,$F11 / $F12 * Z13 * Z14, 0)</f>
        <v>9283.998650842324</v>
      </c>
      <c r="AA16" s="365">
        <f> IF( AA15 = 1,$F11 / $F12 * AA13 * AA14, 0)</f>
        <v>8877.450802219997</v>
      </c>
      <c r="AB16" s="365">
        <f> IF( AB15 = 1,$F11 / $F12 * AB13 * AB14, 0)</f>
        <v>9422.22955978612</v>
      </c>
      <c r="AC16" s="365">
        <f> IF( AC15 = 1,$F11 / $F12 * AC13 * AC14, 0)</f>
        <v>9009.628556617168</v>
      </c>
      <c r="AD16" s="365">
        <f> IF( AD15 = 1,$F11 / $F12 * AD13 * AD14, 0)</f>
        <v>9562.518610367593</v>
      </c>
      <c r="AE16" s="365">
        <f> IF( AE15 = 1,$F11 / $F12 * AE13 * AE14, 0)</f>
        <v>9143.774326286595</v>
      </c>
      <c r="AF16" s="365">
        <f> IF( AF15 = 1,$F11 / $F12 * AF13 * AF14, 0)</f>
        <v>9704.8964465797</v>
      </c>
      <c r="AG16" s="365">
        <f> IF( AG15 = 1,$F11 / $F12 * AG13 * AG14, 0)</f>
        <v>9279.917413315681</v>
      </c>
      <c r="AH16" s="365">
        <f> IF( AH15 = 1,$F11 / $F12 * AH13 * AH14, 0)</f>
        <v>9849.394168678617</v>
      </c>
      <c r="AI16" s="365">
        <f> IF( AI15 = 1,$F11 / $F12 * AI13 * AI14, 0)</f>
        <v>9418.08755607519</v>
      </c>
      <c r="AJ16" s="365">
        <f> IF( AJ15 = 1,$F11 / $F12 * AJ13 * AJ14, 0)</f>
        <v>9996.043339977088</v>
      </c>
      <c r="AK16" s="365">
        <f> IF( AK15 = 1,$F11 / $F12 * AK13 * AK14, 0)</f>
        <v>9558.314935715147</v>
      </c>
      <c r="AL16" s="365">
        <f> IF( AL15 = 1,$F11 / $F12 * AL13 * AL14, 0)</f>
        <v>10144.87599373897</v>
      </c>
      <c r="AM16" s="365">
        <f> IF( AM15 = 1,$F11 / $F12 * AM13 * AM14, 0)</f>
        <v>9700.63018275744</v>
      </c>
      <c r="AN16" s="365">
        <f> IF( AN15 = 1,$F11 / $F12 * AN13 * AN14, 0)</f>
        <v>10295.924640176398</v>
      </c>
      <c r="AO16" s="365">
        <f> IF( AO15 = 1,$F11 / $F12 * AO13 * AO14, 0)</f>
        <v>9845.064383786597</v>
      </c>
      <c r="AP16" s="365">
        <f> IF( AP15 = 1,$F11 / $F12 * AP13 * AP14, 0)</f>
        <v>10449.222273551135</v>
      </c>
      <c r="AQ16" s="365">
        <f> IF( AQ15 = 1,$F11 / $F12 * AQ13 * AQ14, 0)</f>
        <v>9991.649088240161</v>
      </c>
      <c r="AR16" s="365">
        <f> IF( AR15 = 1,$F11 / $F12 * AR13 * AR14, 0)</f>
        <v>10604.802379381686</v>
      </c>
      <c r="AS16" s="365">
        <f> IF( AS15 = 1,$F11 / $F12 * AS13 * AS14, 0)</f>
        <v>10140.416315300192</v>
      </c>
      <c r="AT16" s="365">
        <f> IF( AT15 = 1,$F11 / $F12 * AT13 * AT14, 0)</f>
        <v>10762.698941757666</v>
      </c>
      <c r="AU16" s="365">
        <f> IF( AU15 = 1,$F11 / $F12 * AU13 * AU14, 0)</f>
        <v>10291.398560887363</v>
      </c>
      <c r="AV16" s="365">
        <f> IF( AV15 = 1,$F11 / $F12 * AV13 * AV14, 0)</f>
        <v>10922.946450763131</v>
      </c>
      <c r="AW16" s="365">
        <f> IF( AW15 = 1,$F11 / $F12 * AW13 * AW14, 0)</f>
        <v>10444.628804759195</v>
      </c>
      <c r="AX16" s="365">
        <f> IF( AX15 = 1,$F11 / $F12 * AX13 * AX14, 0)</f>
        <v>11085.579910010392</v>
      </c>
      <c r="AY16" s="365">
        <f> IF( AY15 = 1,$F11 / $F12 * AY13 * AY14, 0)</f>
        <v>10600.140517713979</v>
      </c>
      <c r="AZ16" s="365">
        <f> IF( AZ15 = 1,$F11 / $F12 * AZ13 * AZ14, 0)</f>
        <v>11250.634844286022</v>
      </c>
      <c r="BA16" s="365">
        <f> IF( BA15 = 1,$F11 / $F12 * BA13 * BA14, 0)</f>
        <v>10757.967668901965</v>
      </c>
      <c r="BB16" s="365">
        <f> IF( BB15 = 1,$F11 / $F12 * BB13 * BB14, 0)</f>
        <v>11418.147307310699</v>
      </c>
      <c r="BC16" s="365">
        <f> IF( BC15 = 1,$F11 / $F12 * BC13 * BC14, 0)</f>
        <v>10918.144733245395</v>
      </c>
      <c r="BD16" s="365">
        <f> IF( BD15 = 1,$F11 / $F12 * BD13 * BD14, 0)</f>
        <v>11588.1538896146</v>
      </c>
      <c r="BE16" s="365">
        <f> IF( BE15 = 1,$F11 / $F12 * BE13 * BE14, 0)</f>
        <v>11080.706698969023</v>
      </c>
      <c r="BF16" s="365">
        <f> IF( BF15 = 1,$F11 / $F12 * BF13 * BF14, 0)</f>
        <v>11760.691726530018</v>
      </c>
      <c r="BG16" s="365">
        <f> IF( BG15 = 1,$F11 / $F12 * BG13 * BG14, 0)</f>
        <v>11245.689075242753</v>
      </c>
      <c r="BH16" s="365">
        <f> IF( BH15 = 1,$F11 / $F12 * BH13 * BH14, 0)</f>
        <v>11329.099158303894</v>
      </c>
      <c r="BI16" s="365">
        <f> IF( BI15 = 1,$F11 / $F12 * BI13 * BI14, 0)</f>
        <v>12024.327180548838</v>
      </c>
      <c r="BJ16" s="365">
        <f> IF( BJ15 = 1,$F11 / $F12 * BJ13 * BJ14, 0)</f>
        <v>11497.779888780375</v>
      </c>
      <c r="BK16" s="365">
        <f> IF( BK15 = 1,$F11 / $F12 * BK13 * BK14, 0)</f>
        <v>12203.35926985812</v>
      </c>
      <c r="BL16" s="365">
        <f> IF( BL15 = 1,$F11 / $F12 * BL13 * BL14, 0)</f>
        <v>11668.972133053008</v>
      </c>
      <c r="BM16" s="365">
        <f> IF( BM15 = 1,$F11 / $F12 * BM13 * BM14, 0)</f>
        <v>12385.0569959653</v>
      </c>
      <c r="BN16" s="365">
        <f> IF( BN15 = 1,$F11 / $F12 * BN13 * BN14, 0)</f>
        <v>11842.713285443782</v>
      </c>
      <c r="BO16" s="365">
        <f> IF( BO15 = 1,$F11 / $F12 * BO13 * BO14, 0)</f>
        <v>12569.46004795386</v>
      </c>
      <c r="BP16" s="365">
        <f> IF( BP15 = 1,$F11 / $F12 * BP13 * BP14, 0)</f>
        <v>12019.041297044594</v>
      </c>
      <c r="BQ16" s="365">
        <f> IF( BQ15 = 1,$F11 / $F12 * BQ13 * BQ14, 0)</f>
        <v>12108.187389044311</v>
      </c>
      <c r="BR16" s="365">
        <f> IF( BR15 = 1,$F11 / $F12 * BR13 * BR14, 0)</f>
        <v>12851.225388255956</v>
      </c>
      <c r="BS16" s="365">
        <f> IF( BS15 = 1,$F11 / $F12 * BS13 * BS14, 0)</f>
        <v>12288.468086122777</v>
      </c>
      <c r="BT16" s="365">
        <f> IF( BT15 = 1,$F11 / $F12 * BT13 * BT14, 0)</f>
        <v>13042.56929439698</v>
      </c>
      <c r="BU16" s="365">
        <f> IF( BU15 = 1,$F11 / $F12 * BU13 * BU14, 0)</f>
        <v>12471.433010715637</v>
      </c>
      <c r="BV16" s="365">
        <f> IF( BV15 = 1,$F11 / $F12 * BV13 * BV14, 0)</f>
        <v>13236.76214990363</v>
      </c>
      <c r="BW16" s="365">
        <f> IF( BW15 = 1,$F11 / $F12 * BW13 * BW14, 0)</f>
        <v>13334.940164874242</v>
      </c>
      <c r="BX16" s="365">
        <f> IF( BX15 = 1,$F11 / $F12 * BX13 * BX14, 0)</f>
        <v>13433.846373228887</v>
      </c>
      <c r="BY16" s="365">
        <f> IF( BY15 = 1,$F11 / $F12 * BY13 * BY14, 0)</f>
        <v>13533.486176030163</v>
      </c>
      <c r="BZ16" s="365">
        <f> IF( BZ15 = 1,$F11 / $F12 * BZ13 * BZ14, 0)</f>
        <v>13633.865014400737</v>
      </c>
      <c r="CA16" s="365">
        <f> IF( CA15 = 1,$F11 / $F12 * CA13 * CA14, 0)</f>
        <v>13734.988369820465</v>
      </c>
      <c r="CB16" s="365">
        <f> IF( CB15 = 1,$F11 / $F12 * CB13 * CB14, 0)</f>
        <v>13836.86176442575</v>
      </c>
      <c r="CC16" s="365">
        <f> IF( CC15 = 1,$F11 / $F12 * CC13 * CC14, 0)</f>
        <v>13939.490761311066</v>
      </c>
      <c r="CD16" s="365">
        <f> IF( CD15 = 1,$F11 / $F12 * CD13 * CD14, 0)</f>
        <v>14042.880964832751</v>
      </c>
      <c r="CE16" s="365">
        <f> IF( CE15 = 1,$F11 / $F12 * CE13 * CE14, 0)</f>
        <v>14147.038020915075</v>
      </c>
      <c r="CF16" s="365">
        <f> IF( CF15 = 1,$F11 / $F12 * CF13 * CF14, 0)</f>
        <v>14251.96761735852</v>
      </c>
      <c r="CG16" s="365">
        <f> IF( CG15 = 1,$F11 / $F12 * CG13 * CG14, 0)</f>
        <v>14357.67548415039</v>
      </c>
      <c r="CH16" s="365">
        <f> IF( CH15 = 1,$F11 / $F12 * CH13 * CH14, 0)</f>
        <v>14464.16739377773</v>
      </c>
      <c r="CI16" s="365">
        <f> IF( CI15 = 1,$F11 / $F12 * CI13 * CI14, 0)</f>
        <v>14571.449161542523</v>
      </c>
      <c r="CJ16" s="365">
        <f> IF( CJ15 = 1,$F11 / $F12 * CJ13 * CJ14, 0)</f>
        <v>14679.52664587927</v>
      </c>
      <c r="CK16" s="365">
        <f> IF( CK15 = 1,$F11 / $F12 * CK13 * CK14, 0)</f>
        <v>14788.405748674897</v>
      </c>
      <c r="CL16" s="365">
        <f> IF( CL15 = 1,$F11 / $F12 * CL13 * CL14, 0)</f>
        <v>14898.092415591058</v>
      </c>
      <c r="CM16" s="365">
        <f> IF( CM15 = 1,$F11 / $F12 * CM13 * CM14, 0)</f>
        <v>15008.592636388794</v>
      </c>
      <c r="CN16" s="365">
        <f> IF( CN15 = 1,$F11 / $F12 * CN13 * CN14, 0)</f>
        <v>0.0</v>
      </c>
      <c r="CO16" s="365">
        <f> IF( CO15 = 1,$F11 / $F12 * CO13 * CO14, 0)</f>
        <v>0.0</v>
      </c>
    </row>
    <row r="18">
      <c r="C18" s="212" t="inlineStr">
        <is>
          <t>Fixed cost</t>
        </is>
      </c>
    </row>
    <row r="19">
      <c r="E19" s="325" t="str">
        <f> InpC!E$42</f>
        <v>Handling cost- fixed per annum</v>
      </c>
      <c r="F19" s="325">
        <f> InpC!F$42</f>
        <v>4500.0</v>
      </c>
      <c r="G19" s="325" t="str">
        <f> InpC!G$42</f>
        <v>$ 000s</v>
      </c>
    </row>
    <row r="20">
      <c r="E20" s="325" t="str">
        <f> InpC!E$99</f>
        <v>No of periods in a year</v>
      </c>
      <c r="F20" s="325">
        <f> InpC!F$99</f>
        <v>4.0</v>
      </c>
      <c r="G20" s="325" t="str">
        <f> InpC!G$99</f>
        <v>periods</v>
      </c>
    </row>
    <row r="21">
      <c r="E21" s="347" t="str">
        <f> Esc!E$32</f>
        <v>Handling escalation factor</v>
      </c>
      <c r="F21" s="347">
        <f> Esc!F$32</f>
        <v>0.0</v>
      </c>
      <c r="G21" s="347" t="str">
        <f> Esc!G$32</f>
        <v>factor</v>
      </c>
      <c r="H21" s="347">
        <f> Esc!H$32</f>
        <v>0.0</v>
      </c>
      <c r="I21" s="347">
        <f> Esc!I$32</f>
        <v>0.0</v>
      </c>
      <c r="J21" s="347">
        <f> Esc!J$32</f>
        <v>0.0</v>
      </c>
      <c r="K21" s="347">
        <f> Esc!K$32</f>
        <v>1.2083333333333333</v>
      </c>
      <c r="L21" s="347">
        <f> Esc!L$32</f>
        <v>1.22606423078713</v>
      </c>
      <c r="M21" s="347">
        <f> Esc!M$32</f>
        <v>1.2440553087025958</v>
      </c>
      <c r="N21" s="347">
        <f> Esc!N$32</f>
        <v>1.2623103849278015</v>
      </c>
      <c r="O21" s="347">
        <f> Esc!O$32</f>
        <v>1.280833333333333</v>
      </c>
      <c r="P21" s="347">
        <f> Esc!P$32</f>
        <v>1.2965520202645275</v>
      </c>
      <c r="Q21" s="347">
        <f> Esc!Q$32</f>
        <v>1.3124636106066583</v>
      </c>
      <c r="R21" s="347">
        <f> Esc!R$32</f>
        <v>1.3285704717156066</v>
      </c>
      <c r="S21" s="347">
        <f> Esc!S$32</f>
        <v>1.3448749999999998</v>
      </c>
      <c r="T21" s="347">
        <f> Esc!T$32</f>
        <v>1.3581266001325443</v>
      </c>
      <c r="U21" s="347">
        <f> Esc!U$32</f>
        <v>1.3715087736686191</v>
      </c>
      <c r="V21" s="347">
        <f> Esc!V$32</f>
        <v>1.3850228072010535</v>
      </c>
      <c r="W21" s="347">
        <f> Esc!W$32</f>
        <v>1.3986699999999999</v>
      </c>
      <c r="X21" s="347">
        <f> Esc!X$32</f>
        <v>1.4090440357833613</v>
      </c>
      <c r="Y21" s="347">
        <f> Esc!Y$32</f>
        <v>1.419495016534753</v>
      </c>
      <c r="Z21" s="347">
        <f> Esc!Z$32</f>
        <v>1.4300235129605254</v>
      </c>
      <c r="AA21" s="347">
        <f> Esc!AA$32</f>
        <v>1.4406300999999992</v>
      </c>
      <c r="AB21" s="347">
        <f> Esc!AB$32</f>
        <v>1.4513153568568617</v>
      </c>
      <c r="AC21" s="347">
        <f> Esc!AC$32</f>
        <v>1.4620798670307953</v>
      </c>
      <c r="AD21" s="347">
        <f> Esc!AD$32</f>
        <v>1.472924218349341</v>
      </c>
      <c r="AE21" s="347">
        <f> Esc!AE$32</f>
        <v>1.4838490029999991</v>
      </c>
      <c r="AF21" s="347">
        <f> Esc!AF$32</f>
        <v>1.4948548175625673</v>
      </c>
      <c r="AG21" s="347">
        <f> Esc!AG$32</f>
        <v>1.5059422630417187</v>
      </c>
      <c r="AH21" s="347">
        <f> Esc!AH$32</f>
        <v>1.5171119448998207</v>
      </c>
      <c r="AI21" s="347">
        <f> Esc!AI$32</f>
        <v>1.5283644730899986</v>
      </c>
      <c r="AJ21" s="347">
        <f> Esc!AJ$32</f>
        <v>1.5397004620894439</v>
      </c>
      <c r="AK21" s="347">
        <f> Esc!AK$32</f>
        <v>1.5511205309329696</v>
      </c>
      <c r="AL21" s="347">
        <f> Esc!AL$32</f>
        <v>1.5626253032468145</v>
      </c>
      <c r="AM21" s="347">
        <f> Esc!AM$32</f>
        <v>1.5742154072826977</v>
      </c>
      <c r="AN21" s="347">
        <f> Esc!AN$32</f>
        <v>1.5858914759521265</v>
      </c>
      <c r="AO21" s="347">
        <f> Esc!AO$32</f>
        <v>1.5976541468609582</v>
      </c>
      <c r="AP21" s="347">
        <f> Esc!AP$32</f>
        <v>1.6095040623442183</v>
      </c>
      <c r="AQ21" s="347">
        <f> Esc!AQ$32</f>
        <v>1.621441869501178</v>
      </c>
      <c r="AR21" s="347">
        <f> Esc!AR$32</f>
        <v>1.6334682202306898</v>
      </c>
      <c r="AS21" s="347">
        <f> Esc!AS$32</f>
        <v>1.6455837712667865</v>
      </c>
      <c r="AT21" s="347">
        <f> Esc!AT$32</f>
        <v>1.6577891842145445</v>
      </c>
      <c r="AU21" s="347">
        <f> Esc!AU$32</f>
        <v>1.670085125586213</v>
      </c>
      <c r="AV21" s="347">
        <f> Esc!AV$32</f>
        <v>1.6824722668376098</v>
      </c>
      <c r="AW21" s="347">
        <f> Esc!AW$32</f>
        <v>1.6949512844047894</v>
      </c>
      <c r="AX21" s="347">
        <f> Esc!AX$32</f>
        <v>1.7075228597409802</v>
      </c>
      <c r="AY21" s="347">
        <f> Esc!AY$32</f>
        <v>1.7201876793537987</v>
      </c>
      <c r="AZ21" s="347">
        <f> Esc!AZ$32</f>
        <v>1.7329464348427375</v>
      </c>
      <c r="BA21" s="347">
        <f> Esc!BA$32</f>
        <v>1.7457998229369323</v>
      </c>
      <c r="BB21" s="347">
        <f> Esc!BB$32</f>
        <v>1.7587485455332088</v>
      </c>
      <c r="BC21" s="347">
        <f> Esc!BC$32</f>
        <v>1.771793309734412</v>
      </c>
      <c r="BD21" s="347">
        <f> Esc!BD$32</f>
        <v>1.7849348278880193</v>
      </c>
      <c r="BE21" s="347">
        <f> Esc!BE$32</f>
        <v>1.79817381762504</v>
      </c>
      <c r="BF21" s="347">
        <f> Esc!BF$32</f>
        <v>1.8115110018992047</v>
      </c>
      <c r="BG21" s="347">
        <f> Esc!BG$32</f>
        <v>1.8249471090264437</v>
      </c>
      <c r="BH21" s="347">
        <f> Esc!BH$32</f>
        <v>1.838482872724659</v>
      </c>
      <c r="BI21" s="347">
        <f> Esc!BI$32</f>
        <v>1.8521190321537904</v>
      </c>
      <c r="BJ21" s="347">
        <f> Esc!BJ$32</f>
        <v>1.86585633195618</v>
      </c>
      <c r="BK21" s="347">
        <f> Esc!BK$32</f>
        <v>1.8796955222972365</v>
      </c>
      <c r="BL21" s="347">
        <f> Esc!BL$32</f>
        <v>1.8936373589063982</v>
      </c>
      <c r="BM21" s="347">
        <f> Esc!BM$32</f>
        <v>1.9076826031184035</v>
      </c>
      <c r="BN21" s="347">
        <f> Esc!BN$32</f>
        <v>1.921832021914865</v>
      </c>
      <c r="BO21" s="347">
        <f> Esc!BO$32</f>
        <v>1.936086387966153</v>
      </c>
      <c r="BP21" s="347">
        <f> Esc!BP$32</f>
        <v>1.9504464796735894</v>
      </c>
      <c r="BQ21" s="347">
        <f> Esc!BQ$32</f>
        <v>1.964913081211955</v>
      </c>
      <c r="BR21" s="347">
        <f> Esc!BR$32</f>
        <v>1.9794869825723105</v>
      </c>
      <c r="BS21" s="347">
        <f> Esc!BS$32</f>
        <v>1.994168979605137</v>
      </c>
      <c r="BT21" s="347">
        <f> Esc!BT$32</f>
        <v>2.0089598740637964</v>
      </c>
      <c r="BU21" s="347">
        <f> Esc!BU$32</f>
        <v>2.023860473648313</v>
      </c>
      <c r="BV21" s="347">
        <f> Esc!BV$32</f>
        <v>2.038871592049479</v>
      </c>
      <c r="BW21" s="347">
        <f> Esc!BW$32</f>
        <v>2.0539940489932906</v>
      </c>
      <c r="BX21" s="347">
        <f> Esc!BX$32</f>
        <v>2.06922867028571</v>
      </c>
      <c r="BY21" s="347">
        <f> Esc!BY$32</f>
        <v>2.084576287857762</v>
      </c>
      <c r="BZ21" s="347">
        <f> Esc!BZ$32</f>
        <v>2.100037739810963</v>
      </c>
      <c r="CA21" s="347">
        <f> Esc!CA$32</f>
        <v>2.1156138704630885</v>
      </c>
      <c r="CB21" s="347">
        <f> Esc!CB$32</f>
        <v>2.1313055303942807</v>
      </c>
      <c r="CC21" s="347">
        <f> Esc!CC$32</f>
        <v>2.1471135764934943</v>
      </c>
      <c r="CD21" s="347">
        <f> Esc!CD$32</f>
        <v>2.163038872005291</v>
      </c>
      <c r="CE21" s="347">
        <f> Esc!CE$32</f>
        <v>2.1790822865769806</v>
      </c>
      <c r="CF21" s="347">
        <f> Esc!CF$32</f>
        <v>2.1952446963061085</v>
      </c>
      <c r="CG21" s="347">
        <f> Esc!CG$32</f>
        <v>2.211526983788298</v>
      </c>
      <c r="CH21" s="347">
        <f> Esc!CH$32</f>
        <v>2.227930038165449</v>
      </c>
      <c r="CI21" s="347">
        <f> Esc!CI$32</f>
        <v>2.2444547551742895</v>
      </c>
      <c r="CJ21" s="347">
        <f> Esc!CJ$32</f>
        <v>2.261102037195291</v>
      </c>
      <c r="CK21" s="347">
        <f> Esc!CK$32</f>
        <v>2.2778727933019463</v>
      </c>
      <c r="CL21" s="347">
        <f> Esc!CL$32</f>
        <v>2.294767939310412</v>
      </c>
      <c r="CM21" s="347">
        <f> Esc!CM$32</f>
        <v>2.3117883978295173</v>
      </c>
      <c r="CN21" s="347">
        <f> Esc!CN$32</f>
        <v>2.328935098311149</v>
      </c>
      <c r="CO21" s="347">
        <f> Esc!CO$32</f>
        <v>2.346208977101004</v>
      </c>
    </row>
    <row r="22">
      <c r="E22" s="325" t="str">
        <f> Time!E$69</f>
        <v>Forecast period flag</v>
      </c>
      <c r="F22" s="325">
        <f> Time!F$69</f>
        <v>0.0</v>
      </c>
      <c r="G22" s="325" t="str">
        <f> Time!G$69</f>
        <v>flag</v>
      </c>
      <c r="H22" s="325">
        <f> Time!H$69</f>
        <v>80.0</v>
      </c>
      <c r="I22" s="325">
        <f> Time!I$69</f>
        <v>0.0</v>
      </c>
      <c r="J22" s="325">
        <f> Time!J$69</f>
        <v>0.0</v>
      </c>
      <c r="K22" s="325">
        <f> Time!K$69</f>
        <v>0.0</v>
      </c>
      <c r="L22" s="325">
        <f> Time!L$69</f>
        <v>1.0</v>
      </c>
      <c r="M22" s="325">
        <f> Time!M$69</f>
        <v>1.0</v>
      </c>
      <c r="N22" s="325">
        <f> Time!N$69</f>
        <v>1.0</v>
      </c>
      <c r="O22" s="325">
        <f> Time!O$69</f>
        <v>1.0</v>
      </c>
      <c r="P22" s="325">
        <f> Time!P$69</f>
        <v>1.0</v>
      </c>
      <c r="Q22" s="325">
        <f> Time!Q$69</f>
        <v>1.0</v>
      </c>
      <c r="R22" s="325">
        <f> Time!R$69</f>
        <v>1.0</v>
      </c>
      <c r="S22" s="325">
        <f> Time!S$69</f>
        <v>1.0</v>
      </c>
      <c r="T22" s="325">
        <f> Time!T$69</f>
        <v>1.0</v>
      </c>
      <c r="U22" s="325">
        <f> Time!U$69</f>
        <v>1.0</v>
      </c>
      <c r="V22" s="325">
        <f> Time!V$69</f>
        <v>1.0</v>
      </c>
      <c r="W22" s="325">
        <f> Time!W$69</f>
        <v>1.0</v>
      </c>
      <c r="X22" s="325">
        <f> Time!X$69</f>
        <v>1.0</v>
      </c>
      <c r="Y22" s="325">
        <f> Time!Y$69</f>
        <v>1.0</v>
      </c>
      <c r="Z22" s="325">
        <f> Time!Z$69</f>
        <v>1.0</v>
      </c>
      <c r="AA22" s="325">
        <f> Time!AA$69</f>
        <v>1.0</v>
      </c>
      <c r="AB22" s="325">
        <f> Time!AB$69</f>
        <v>1.0</v>
      </c>
      <c r="AC22" s="325">
        <f> Time!AC$69</f>
        <v>1.0</v>
      </c>
      <c r="AD22" s="325">
        <f> Time!AD$69</f>
        <v>1.0</v>
      </c>
      <c r="AE22" s="325">
        <f> Time!AE$69</f>
        <v>1.0</v>
      </c>
      <c r="AF22" s="325">
        <f> Time!AF$69</f>
        <v>1.0</v>
      </c>
      <c r="AG22" s="325">
        <f> Time!AG$69</f>
        <v>1.0</v>
      </c>
      <c r="AH22" s="325">
        <f> Time!AH$69</f>
        <v>1.0</v>
      </c>
      <c r="AI22" s="325">
        <f> Time!AI$69</f>
        <v>1.0</v>
      </c>
      <c r="AJ22" s="325">
        <f> Time!AJ$69</f>
        <v>1.0</v>
      </c>
      <c r="AK22" s="325">
        <f> Time!AK$69</f>
        <v>1.0</v>
      </c>
      <c r="AL22" s="325">
        <f> Time!AL$69</f>
        <v>1.0</v>
      </c>
      <c r="AM22" s="325">
        <f> Time!AM$69</f>
        <v>1.0</v>
      </c>
      <c r="AN22" s="325">
        <f> Time!AN$69</f>
        <v>1.0</v>
      </c>
      <c r="AO22" s="325">
        <f> Time!AO$69</f>
        <v>1.0</v>
      </c>
      <c r="AP22" s="325">
        <f> Time!AP$69</f>
        <v>1.0</v>
      </c>
      <c r="AQ22" s="325">
        <f> Time!AQ$69</f>
        <v>1.0</v>
      </c>
      <c r="AR22" s="325">
        <f> Time!AR$69</f>
        <v>1.0</v>
      </c>
      <c r="AS22" s="325">
        <f> Time!AS$69</f>
        <v>1.0</v>
      </c>
      <c r="AT22" s="325">
        <f> Time!AT$69</f>
        <v>1.0</v>
      </c>
      <c r="AU22" s="325">
        <f> Time!AU$69</f>
        <v>1.0</v>
      </c>
      <c r="AV22" s="325">
        <f> Time!AV$69</f>
        <v>1.0</v>
      </c>
      <c r="AW22" s="325">
        <f> Time!AW$69</f>
        <v>1.0</v>
      </c>
      <c r="AX22" s="325">
        <f> Time!AX$69</f>
        <v>1.0</v>
      </c>
      <c r="AY22" s="325">
        <f> Time!AY$69</f>
        <v>1.0</v>
      </c>
      <c r="AZ22" s="325">
        <f> Time!AZ$69</f>
        <v>1.0</v>
      </c>
      <c r="BA22" s="325">
        <f> Time!BA$69</f>
        <v>1.0</v>
      </c>
      <c r="BB22" s="325">
        <f> Time!BB$69</f>
        <v>1.0</v>
      </c>
      <c r="BC22" s="325">
        <f> Time!BC$69</f>
        <v>1.0</v>
      </c>
      <c r="BD22" s="325">
        <f> Time!BD$69</f>
        <v>1.0</v>
      </c>
      <c r="BE22" s="325">
        <f> Time!BE$69</f>
        <v>1.0</v>
      </c>
      <c r="BF22" s="325">
        <f> Time!BF$69</f>
        <v>1.0</v>
      </c>
      <c r="BG22" s="325">
        <f> Time!BG$69</f>
        <v>1.0</v>
      </c>
      <c r="BH22" s="325">
        <f> Time!BH$69</f>
        <v>1.0</v>
      </c>
      <c r="BI22" s="325">
        <f> Time!BI$69</f>
        <v>1.0</v>
      </c>
      <c r="BJ22" s="325">
        <f> Time!BJ$69</f>
        <v>1.0</v>
      </c>
      <c r="BK22" s="325">
        <f> Time!BK$69</f>
        <v>1.0</v>
      </c>
      <c r="BL22" s="325">
        <f> Time!BL$69</f>
        <v>1.0</v>
      </c>
      <c r="BM22" s="325">
        <f> Time!BM$69</f>
        <v>1.0</v>
      </c>
      <c r="BN22" s="325">
        <f> Time!BN$69</f>
        <v>1.0</v>
      </c>
      <c r="BO22" s="325">
        <f> Time!BO$69</f>
        <v>1.0</v>
      </c>
      <c r="BP22" s="325">
        <f> Time!BP$69</f>
        <v>1.0</v>
      </c>
      <c r="BQ22" s="325">
        <f> Time!BQ$69</f>
        <v>1.0</v>
      </c>
      <c r="BR22" s="325">
        <f> Time!BR$69</f>
        <v>1.0</v>
      </c>
      <c r="BS22" s="325">
        <f> Time!BS$69</f>
        <v>1.0</v>
      </c>
      <c r="BT22" s="325">
        <f> Time!BT$69</f>
        <v>1.0</v>
      </c>
      <c r="BU22" s="325">
        <f> Time!BU$69</f>
        <v>1.0</v>
      </c>
      <c r="BV22" s="325">
        <f> Time!BV$69</f>
        <v>1.0</v>
      </c>
      <c r="BW22" s="325">
        <f> Time!BW$69</f>
        <v>1.0</v>
      </c>
      <c r="BX22" s="325">
        <f> Time!BX$69</f>
        <v>1.0</v>
      </c>
      <c r="BY22" s="325">
        <f> Time!BY$69</f>
        <v>1.0</v>
      </c>
      <c r="BZ22" s="325">
        <f> Time!BZ$69</f>
        <v>1.0</v>
      </c>
      <c r="CA22" s="325">
        <f> Time!CA$69</f>
        <v>1.0</v>
      </c>
      <c r="CB22" s="325">
        <f> Time!CB$69</f>
        <v>1.0</v>
      </c>
      <c r="CC22" s="325">
        <f> Time!CC$69</f>
        <v>1.0</v>
      </c>
      <c r="CD22" s="325">
        <f> Time!CD$69</f>
        <v>1.0</v>
      </c>
      <c r="CE22" s="325">
        <f> Time!CE$69</f>
        <v>1.0</v>
      </c>
      <c r="CF22" s="325">
        <f> Time!CF$69</f>
        <v>1.0</v>
      </c>
      <c r="CG22" s="325">
        <f> Time!CG$69</f>
        <v>1.0</v>
      </c>
      <c r="CH22" s="325">
        <f> Time!CH$69</f>
        <v>1.0</v>
      </c>
      <c r="CI22" s="325">
        <f> Time!CI$69</f>
        <v>1.0</v>
      </c>
      <c r="CJ22" s="325">
        <f> Time!CJ$69</f>
        <v>1.0</v>
      </c>
      <c r="CK22" s="325">
        <f> Time!CK$69</f>
        <v>1.0</v>
      </c>
      <c r="CL22" s="325">
        <f> Time!CL$69</f>
        <v>1.0</v>
      </c>
      <c r="CM22" s="325">
        <f> Time!CM$69</f>
        <v>1.0</v>
      </c>
      <c r="CN22" s="325">
        <f> Time!CN$69</f>
        <v>0.0</v>
      </c>
      <c r="CO22" s="325">
        <f> Time!CO$69</f>
        <v>0.0</v>
      </c>
    </row>
    <row r="23" customFormat="1" s="260">
      <c r="A23" s="263" t="n"/>
      <c r="B23" s="263" t="n"/>
      <c r="C23" s="264" t="n"/>
      <c r="D23" s="335" t="n"/>
      <c r="E23" s="260" t="inlineStr">
        <is>
          <t>Handling fixed cost</t>
        </is>
      </c>
      <c r="G23" s="260" t="str">
        <f>SMU</f>
        <v>$ 000s</v>
      </c>
      <c r="H23" s="260">
        <f> SUM(J23:CO23)</f>
        <v>157311.60051104537</v>
      </c>
      <c r="J23" s="260">
        <f> IF(J22 = 1, $F19 / $F20 * J21, 0)</f>
        <v>0.0</v>
      </c>
      <c r="K23" s="260">
        <f> IF(K22 = 1, $F19 / $F20 * K21, 0)</f>
        <v>0.0</v>
      </c>
      <c r="L23" s="260">
        <f> IF(L22 = 1, $F19 / $F20 * L21, 0)</f>
        <v>1379.322259635521</v>
      </c>
      <c r="M23" s="260">
        <f> IF(M22 = 1, $F19 / $F20 * M21, 0)</f>
        <v>1399.5622222904203</v>
      </c>
      <c r="N23" s="260">
        <f> IF(N22 = 1, $F19 / $F20 * N21, 0)</f>
        <v>1420.0991830437767</v>
      </c>
      <c r="O23" s="260">
        <f> IF(O22 = 1, $F19 / $F20 * O21, 0)</f>
        <v>1440.9374999999998</v>
      </c>
      <c r="P23" s="260">
        <f> IF(P22 = 1, $F19 / $F20 * P21, 0)</f>
        <v>1458.6210227975935</v>
      </c>
      <c r="Q23" s="260">
        <f> IF(Q22 = 1, $F19 / $F20 * Q21, 0)</f>
        <v>1476.5215619324906</v>
      </c>
      <c r="R23" s="260">
        <f> IF(R22 = 1, $F19 / $F20 * R21, 0)</f>
        <v>1494.6417806800575</v>
      </c>
      <c r="S23" s="260">
        <f> IF(S22 = 1, $F19 / $F20 * S21, 0)</f>
        <v>1512.9843749999998</v>
      </c>
      <c r="T23" s="260">
        <f> IF(T22 = 1, $F19 / $F20 * T21, 0)</f>
        <v>1527.8924251491123</v>
      </c>
      <c r="U23" s="260">
        <f> IF(U22 = 1, $F19 / $F20 * U21, 0)</f>
        <v>1542.9473703771964</v>
      </c>
      <c r="V23" s="260">
        <f> IF(V22 = 1, $F19 / $F20 * V21, 0)</f>
        <v>1558.1506581011852</v>
      </c>
      <c r="W23" s="260">
        <f> IF(W22 = 1, $F19 / $F20 * W21, 0)</f>
        <v>1573.5037499999999</v>
      </c>
      <c r="X23" s="260">
        <f> IF(X22 = 1, $F19 / $F20 * X21, 0)</f>
        <v>1585.1745402562815</v>
      </c>
      <c r="Y23" s="260">
        <f> IF(Y22 = 1, $F19 / $F20 * Y21, 0)</f>
        <v>1596.9318936015973</v>
      </c>
      <c r="Z23" s="260">
        <f> IF(Z22 = 1, $F19 / $F20 * Z21, 0)</f>
        <v>1608.776452080591</v>
      </c>
      <c r="AA23" s="260">
        <f> IF(AA22 = 1, $F19 / $F20 * AA21, 0)</f>
        <v>1620.7088624999992</v>
      </c>
      <c r="AB23" s="260">
        <f> IF(AB22 = 1, $F19 / $F20 * AB21, 0)</f>
        <v>1632.7297764639695</v>
      </c>
      <c r="AC23" s="260">
        <f> IF(AC22 = 1, $F19 / $F20 * AC21, 0)</f>
        <v>1644.8398504096447</v>
      </c>
      <c r="AD23" s="260">
        <f> IF(AD22 = 1, $F19 / $F20 * AD21, 0)</f>
        <v>1657.0397456430085</v>
      </c>
      <c r="AE23" s="260">
        <f> IF(AE22 = 1, $F19 / $F20 * AE21, 0)</f>
        <v>1669.330128374999</v>
      </c>
      <c r="AF23" s="260">
        <f> IF(AF22 = 1, $F19 / $F20 * AF21, 0)</f>
        <v>1681.7116697578883</v>
      </c>
      <c r="AG23" s="260">
        <f> IF(AG22 = 1, $F19 / $F20 * AG21, 0)</f>
        <v>1694.1850459219336</v>
      </c>
      <c r="AH23" s="260">
        <f> IF(AH22 = 1, $F19 / $F20 * AH21, 0)</f>
        <v>1706.7509380122983</v>
      </c>
      <c r="AI23" s="260">
        <f> IF(AI22 = 1, $F19 / $F20 * AI21, 0)</f>
        <v>1719.4100322262484</v>
      </c>
      <c r="AJ23" s="260">
        <f> IF(AJ22 = 1, $F19 / $F20 * AJ21, 0)</f>
        <v>1732.1630198506243</v>
      </c>
      <c r="AK23" s="260">
        <f> IF(AK22 = 1, $F19 / $F20 * AK21, 0)</f>
        <v>1745.010597299591</v>
      </c>
      <c r="AL23" s="260">
        <f> IF(AL22 = 1, $F19 / $F20 * AL21, 0)</f>
        <v>1757.9534661526664</v>
      </c>
      <c r="AM23" s="260">
        <f> IF(AM22 = 1, $F19 / $F20 * AM21, 0)</f>
        <v>1770.992333193035</v>
      </c>
      <c r="AN23" s="260">
        <f> IF(AN22 = 1, $F19 / $F20 * AN21, 0)</f>
        <v>1784.1279104461423</v>
      </c>
      <c r="AO23" s="260">
        <f> IF(AO22 = 1, $F19 / $F20 * AO21, 0)</f>
        <v>1797.360915218578</v>
      </c>
      <c r="AP23" s="260">
        <f> IF(AP22 = 1, $F19 / $F20 * AP21, 0)</f>
        <v>1810.6920701372455</v>
      </c>
      <c r="AQ23" s="260">
        <f> IF(AQ22 = 1, $F19 / $F20 * AQ21, 0)</f>
        <v>1824.1221031888253</v>
      </c>
      <c r="AR23" s="260">
        <f> IF(AR22 = 1, $F19 / $F20 * AR21, 0)</f>
        <v>1837.651747759526</v>
      </c>
      <c r="AS23" s="260">
        <f> IF(AS22 = 1, $F19 / $F20 * AS21, 0)</f>
        <v>1851.2817426751349</v>
      </c>
      <c r="AT23" s="260">
        <f> IF(AT22 = 1, $F19 / $F20 * AT21, 0)</f>
        <v>1865.0128322413625</v>
      </c>
      <c r="AU23" s="260">
        <f> IF(AU22 = 1, $F19 / $F20 * AU21, 0)</f>
        <v>1878.8457662844896</v>
      </c>
      <c r="AV23" s="260">
        <f> IF(AV22 = 1, $F19 / $F20 * AV21, 0)</f>
        <v>1892.781300192311</v>
      </c>
      <c r="AW23" s="260">
        <f> IF(AW22 = 1, $F19 / $F20 * AW21, 0)</f>
        <v>1906.820194955388</v>
      </c>
      <c r="AX23" s="260">
        <f> IF(AX22 = 1, $F19 / $F20 * AX21, 0)</f>
        <v>1920.9632172086026</v>
      </c>
      <c r="AY23" s="260">
        <f> IF(AY22 = 1, $F19 / $F20 * AY21, 0)</f>
        <v>1935.2111392730235</v>
      </c>
      <c r="AZ23" s="260">
        <f> IF(AZ22 = 1, $F19 / $F20 * AZ21, 0)</f>
        <v>1949.5647391980797</v>
      </c>
      <c r="BA23" s="260">
        <f> IF(BA22 = 1, $F19 / $F20 * BA21, 0)</f>
        <v>1964.0248008040487</v>
      </c>
      <c r="BB23" s="260">
        <f> IF(BB22 = 1, $F19 / $F20 * BB21, 0)</f>
        <v>1978.59211372486</v>
      </c>
      <c r="BC23" s="260">
        <f> IF(BC22 = 1, $F19 / $F20 * BC21, 0)</f>
        <v>1993.2674734512136</v>
      </c>
      <c r="BD23" s="260">
        <f> IF(BD22 = 1, $F19 / $F20 * BD21, 0)</f>
        <v>2008.0516813740217</v>
      </c>
      <c r="BE23" s="260">
        <f> IF(BE22 = 1, $F19 / $F20 * BE21, 0)</f>
        <v>2022.94554482817</v>
      </c>
      <c r="BF23" s="260">
        <f> IF(BF22 = 1, $F19 / $F20 * BF21, 0)</f>
        <v>2037.9498771366052</v>
      </c>
      <c r="BG23" s="260">
        <f> IF(BG22 = 1, $F19 / $F20 * BG21, 0)</f>
        <v>2053.0654976547494</v>
      </c>
      <c r="BH23" s="260">
        <f> IF(BH22 = 1, $F19 / $F20 * BH21, 0)</f>
        <v>2068.293231815241</v>
      </c>
      <c r="BI23" s="260">
        <f> IF(BI22 = 1, $F19 / $F20 * BI21, 0)</f>
        <v>2083.633911173014</v>
      </c>
      <c r="BJ23" s="260">
        <f> IF(BJ22 = 1, $F19 / $F20 * BJ21, 0)</f>
        <v>2099.0883734507024</v>
      </c>
      <c r="BK23" s="260">
        <f> IF(BK22 = 1, $F19 / $F20 * BK21, 0)</f>
        <v>2114.657462584391</v>
      </c>
      <c r="BL23" s="260">
        <f> IF(BL22 = 1, $F19 / $F20 * BL21, 0)</f>
        <v>2130.342028769698</v>
      </c>
      <c r="BM23" s="260">
        <f> IF(BM22 = 1, $F19 / $F20 * BM21, 0)</f>
        <v>2146.142928508204</v>
      </c>
      <c r="BN23" s="260">
        <f> IF(BN22 = 1, $F19 / $F20 * BN21, 0)</f>
        <v>2162.0610246542233</v>
      </c>
      <c r="BO23" s="260">
        <f> IF(BO22 = 1, $F19 / $F20 * BO21, 0)</f>
        <v>2178.097186461922</v>
      </c>
      <c r="BP23" s="260">
        <f> IF(BP22 = 1, $F19 / $F20 * BP21, 0)</f>
        <v>2194.2522896327882</v>
      </c>
      <c r="BQ23" s="260">
        <f> IF(BQ22 = 1, $F19 / $F20 * BQ21, 0)</f>
        <v>2210.5272163634495</v>
      </c>
      <c r="BR23" s="260">
        <f> IF(BR22 = 1, $F19 / $F20 * BR21, 0)</f>
        <v>2226.922855393849</v>
      </c>
      <c r="BS23" s="260">
        <f> IF(BS22 = 1, $F19 / $F20 * BS21, 0)</f>
        <v>2243.440102055779</v>
      </c>
      <c r="BT23" s="260">
        <f> IF(BT22 = 1, $F19 / $F20 * BT21, 0)</f>
        <v>2260.079858321771</v>
      </c>
      <c r="BU23" s="260">
        <f> IF(BU22 = 1, $F19 / $F20 * BU21, 0)</f>
        <v>2276.8430328543523</v>
      </c>
      <c r="BV23" s="260">
        <f> IF(BV22 = 1, $F19 / $F20 * BV21, 0)</f>
        <v>2293.730541055664</v>
      </c>
      <c r="BW23" s="260">
        <f> IF(BW22 = 1, $F19 / $F20 * BW21, 0)</f>
        <v>2310.743305117452</v>
      </c>
      <c r="BX23" s="260">
        <f> IF(BX22 = 1, $F19 / $F20 * BX21, 0)</f>
        <v>2327.8822540714236</v>
      </c>
      <c r="BY23" s="260">
        <f> IF(BY22 = 1, $F19 / $F20 * BY21, 0)</f>
        <v>2345.148323839982</v>
      </c>
      <c r="BZ23" s="260">
        <f> IF(BZ22 = 1, $F19 / $F20 * BZ21, 0)</f>
        <v>2362.5424572873335</v>
      </c>
      <c r="CA23" s="260">
        <f> IF(CA22 = 1, $F19 / $F20 * CA21, 0)</f>
        <v>2380.0656042709747</v>
      </c>
      <c r="CB23" s="260">
        <f> IF(CB22 = 1, $F19 / $F20 * CB21, 0)</f>
        <v>2397.718721693566</v>
      </c>
      <c r="CC23" s="260">
        <f> IF(CC22 = 1, $F19 / $F20 * CC21, 0)</f>
        <v>2415.502773555181</v>
      </c>
      <c r="CD23" s="260">
        <f> IF(CD22 = 1, $F19 / $F20 * CD21, 0)</f>
        <v>2433.4187310059524</v>
      </c>
      <c r="CE23" s="260">
        <f> IF(CE22 = 1, $F19 / $F20 * CE21, 0)</f>
        <v>2451.467572399103</v>
      </c>
      <c r="CF23" s="260">
        <f> IF(CF22 = 1, $F19 / $F20 * CF21, 0)</f>
        <v>2469.650283344372</v>
      </c>
      <c r="CG23" s="260">
        <f> IF(CG22 = 1, $F19 / $F20 * CG21, 0)</f>
        <v>2487.9678567618353</v>
      </c>
      <c r="CH23" s="260">
        <f> IF(CH22 = 1, $F19 / $F20 * CH21, 0)</f>
        <v>2506.42129293613</v>
      </c>
      <c r="CI23" s="260">
        <f> IF(CI22 = 1, $F19 / $F20 * CI21, 0)</f>
        <v>2525.0115995710757</v>
      </c>
      <c r="CJ23" s="260">
        <f> IF(CJ22 = 1, $F19 / $F20 * CJ21, 0)</f>
        <v>2543.7397918447023</v>
      </c>
      <c r="CK23" s="260">
        <f> IF(CK22 = 1, $F19 / $F20 * CK21, 0)</f>
        <v>2562.6068924646897</v>
      </c>
      <c r="CL23" s="260">
        <f> IF(CL22 = 1, $F19 / $F20 * CL21, 0)</f>
        <v>2581.613931724213</v>
      </c>
      <c r="CM23" s="260">
        <f> IF(CM22 = 1, $F19 / $F20 * CM21, 0)</f>
        <v>2600.761947558207</v>
      </c>
      <c r="CN23" s="260">
        <f> IF(CN22 = 1, $F19 / $F20 * CN21, 0)</f>
        <v>0.0</v>
      </c>
      <c r="CO23" s="260">
        <f> IF(CO22 = 1, $F19 / $F20 * CO21, 0)</f>
        <v>0.0</v>
      </c>
    </row>
    <row r="25">
      <c r="B25" s="294" t="inlineStr">
        <is>
          <t>O&amp;M Cost</t>
        </is>
      </c>
    </row>
    <row r="26">
      <c r="E26" s="325" t="str">
        <f> InpC!E$48</f>
        <v>O&amp;M cost- fixed per annum</v>
      </c>
      <c r="F26" s="325">
        <f> InpC!F$48</f>
        <v>3300.0</v>
      </c>
      <c r="G26" s="325" t="str">
        <f> InpC!G$48</f>
        <v>$ 000s</v>
      </c>
    </row>
    <row r="27" s="396">
      <c r="E27" s="325" t="str">
        <f> InpC!E$99</f>
        <v>No of periods in a year</v>
      </c>
      <c r="F27" s="325">
        <f> InpC!F$99</f>
        <v>4.0</v>
      </c>
      <c r="G27" s="325" t="str">
        <f> InpC!G$99</f>
        <v>periods</v>
      </c>
    </row>
    <row r="28">
      <c r="E28" s="325" t="str">
        <f>InpC!E$46</f>
        <v>O&amp;M cost - sensitivity</v>
      </c>
      <c r="F28" s="325">
        <f>InpC!F$46</f>
        <v>0.0</v>
      </c>
      <c r="G28" s="325" t="str">
        <f>InpC!G$46</f>
        <v>(1 + X%)</v>
      </c>
    </row>
    <row r="29">
      <c r="E29" s="347" t="str">
        <f> Esc!E$38</f>
        <v>O&amp;M escalation factor</v>
      </c>
      <c r="F29" s="347">
        <f> Esc!F$38</f>
        <v>0.0</v>
      </c>
      <c r="G29" s="347" t="str">
        <f> Esc!G$38</f>
        <v>factor</v>
      </c>
      <c r="H29" s="347">
        <f> Esc!H$38</f>
        <v>0.0</v>
      </c>
      <c r="I29" s="347">
        <f> Esc!I$38</f>
        <v>0.0</v>
      </c>
      <c r="J29" s="347">
        <f> Esc!J$38</f>
        <v>0.0</v>
      </c>
      <c r="K29" s="347">
        <f> Esc!K$38</f>
        <v>1.0984848484848484</v>
      </c>
      <c r="L29" s="347">
        <f> Esc!L$38</f>
        <v>1.114603846170118</v>
      </c>
      <c r="M29" s="347">
        <f> Esc!M$38</f>
        <v>1.1309593715478143</v>
      </c>
      <c r="N29" s="347">
        <f> Esc!N$38</f>
        <v>1.1475548953889103</v>
      </c>
      <c r="O29" s="347">
        <f> Esc!O$38</f>
        <v>1.164393939393939</v>
      </c>
      <c r="P29" s="347">
        <f> Esc!P$38</f>
        <v>1.178683654785934</v>
      </c>
      <c r="Q29" s="347">
        <f> Esc!Q$38</f>
        <v>1.193148736915144</v>
      </c>
      <c r="R29" s="347">
        <f> Esc!R$38</f>
        <v>1.2077913379232788</v>
      </c>
      <c r="S29" s="347">
        <f> Esc!S$38</f>
        <v>1.2226136363636362</v>
      </c>
      <c r="T29" s="347">
        <f> Esc!T$38</f>
        <v>1.2346605455750403</v>
      </c>
      <c r="U29" s="347">
        <f> Esc!U$38</f>
        <v>1.2468261578805628</v>
      </c>
      <c r="V29" s="347">
        <f> Esc!V$38</f>
        <v>1.2591116429100486</v>
      </c>
      <c r="W29" s="347">
        <f> Esc!W$38</f>
        <v>1.2715181818181815</v>
      </c>
      <c r="X29" s="347">
        <f> Esc!X$38</f>
        <v>1.2809491234394192</v>
      </c>
      <c r="Y29" s="347">
        <f> Esc!Y$38</f>
        <v>1.2904500150315936</v>
      </c>
      <c r="Z29" s="347">
        <f> Esc!Z$38</f>
        <v>1.3000213754186594</v>
      </c>
      <c r="AA29" s="347">
        <f> Esc!AA$38</f>
        <v>1.3096637272727265</v>
      </c>
      <c r="AB29" s="347">
        <f> Esc!AB$38</f>
        <v>1.3193775971426016</v>
      </c>
      <c r="AC29" s="347">
        <f> Esc!AC$38</f>
        <v>1.3291635154825412</v>
      </c>
      <c r="AD29" s="347">
        <f> Esc!AD$38</f>
        <v>1.339022016681219</v>
      </c>
      <c r="AE29" s="347">
        <f> Esc!AE$38</f>
        <v>1.3489536390909083</v>
      </c>
      <c r="AF29" s="347">
        <f> Esc!AF$38</f>
        <v>1.3589589250568794</v>
      </c>
      <c r="AG29" s="347">
        <f> Esc!AG$38</f>
        <v>1.369038420947017</v>
      </c>
      <c r="AH29" s="347">
        <f> Esc!AH$38</f>
        <v>1.3791926771816552</v>
      </c>
      <c r="AI29" s="347">
        <f> Esc!AI$38</f>
        <v>1.3894222482636351</v>
      </c>
      <c r="AJ29" s="347">
        <f> Esc!AJ$38</f>
        <v>1.3997276928085853</v>
      </c>
      <c r="AK29" s="347">
        <f> Esc!AK$38</f>
        <v>1.410109573575427</v>
      </c>
      <c r="AL29" s="347">
        <f> Esc!AL$38</f>
        <v>1.420568457497104</v>
      </c>
      <c r="AM29" s="347">
        <f> Esc!AM$38</f>
        <v>1.4311049157115434</v>
      </c>
      <c r="AN29" s="347">
        <f> Esc!AN$38</f>
        <v>1.4417195235928422</v>
      </c>
      <c r="AO29" s="347">
        <f> Esc!AO$38</f>
        <v>1.4524128607826892</v>
      </c>
      <c r="AP29" s="347">
        <f> Esc!AP$38</f>
        <v>1.4631855112220167</v>
      </c>
      <c r="AQ29" s="347">
        <f> Esc!AQ$38</f>
        <v>1.4740380631828893</v>
      </c>
      <c r="AR29" s="347">
        <f> Esc!AR$38</f>
        <v>1.484971109300627</v>
      </c>
      <c r="AS29" s="347">
        <f> Esc!AS$38</f>
        <v>1.4959852466061694</v>
      </c>
      <c r="AT29" s="347">
        <f> Esc!AT$38</f>
        <v>1.5070810765586768</v>
      </c>
      <c r="AU29" s="347">
        <f> Esc!AU$38</f>
        <v>1.5182592050783754</v>
      </c>
      <c r="AV29" s="347">
        <f> Esc!AV$38</f>
        <v>1.5295202425796453</v>
      </c>
      <c r="AW29" s="347">
        <f> Esc!AW$38</f>
        <v>1.540864804004354</v>
      </c>
      <c r="AX29" s="347">
        <f> Esc!AX$38</f>
        <v>1.5522935088554366</v>
      </c>
      <c r="AY29" s="347">
        <f> Esc!AY$38</f>
        <v>1.563806981230726</v>
      </c>
      <c r="AZ29" s="347">
        <f> Esc!AZ$38</f>
        <v>1.575405849857034</v>
      </c>
      <c r="BA29" s="347">
        <f> Esc!BA$38</f>
        <v>1.5870907481244838</v>
      </c>
      <c r="BB29" s="347">
        <f> Esc!BB$38</f>
        <v>1.598862314121099</v>
      </c>
      <c r="BC29" s="347">
        <f> Esc!BC$38</f>
        <v>1.6107211906676473</v>
      </c>
      <c r="BD29" s="347">
        <f> Esc!BD$38</f>
        <v>1.6226680253527446</v>
      </c>
      <c r="BE29" s="347">
        <f> Esc!BE$38</f>
        <v>1.6347034705682182</v>
      </c>
      <c r="BF29" s="347">
        <f> Esc!BF$38</f>
        <v>1.6468281835447316</v>
      </c>
      <c r="BG29" s="347">
        <f> Esc!BG$38</f>
        <v>1.6590428263876762</v>
      </c>
      <c r="BH29" s="347">
        <f> Esc!BH$38</f>
        <v>1.6713480661133264</v>
      </c>
      <c r="BI29" s="347">
        <f> Esc!BI$38</f>
        <v>1.683744574685264</v>
      </c>
      <c r="BJ29" s="347">
        <f> Esc!BJ$38</f>
        <v>1.6962330290510728</v>
      </c>
      <c r="BK29" s="347">
        <f> Esc!BK$38</f>
        <v>1.7088141111793058</v>
      </c>
      <c r="BL29" s="347">
        <f> Esc!BL$38</f>
        <v>1.7214885080967255</v>
      </c>
      <c r="BM29" s="347">
        <f> Esc!BM$38</f>
        <v>1.7342569119258213</v>
      </c>
      <c r="BN29" s="347">
        <f> Esc!BN$38</f>
        <v>1.7471200199226045</v>
      </c>
      <c r="BO29" s="347">
        <f> Esc!BO$38</f>
        <v>1.7600785345146845</v>
      </c>
      <c r="BP29" s="347">
        <f> Esc!BP$38</f>
        <v>1.7731331633396268</v>
      </c>
      <c r="BQ29" s="347">
        <f> Esc!BQ$38</f>
        <v>1.7862846192835955</v>
      </c>
      <c r="BR29" s="347">
        <f> Esc!BR$38</f>
        <v>1.799533620520282</v>
      </c>
      <c r="BS29" s="347">
        <f> Esc!BS$38</f>
        <v>1.8128808905501246</v>
      </c>
      <c r="BT29" s="347">
        <f> Esc!BT$38</f>
        <v>1.826327158239815</v>
      </c>
      <c r="BU29" s="347">
        <f> Esc!BU$38</f>
        <v>1.8398731578621026</v>
      </c>
      <c r="BV29" s="347">
        <f> Esc!BV$38</f>
        <v>1.85351962913589</v>
      </c>
      <c r="BW29" s="347">
        <f> Esc!BW$38</f>
        <v>1.8672673172666276</v>
      </c>
      <c r="BX29" s="347">
        <f> Esc!BX$38</f>
        <v>1.881116972987009</v>
      </c>
      <c r="BY29" s="347">
        <f> Esc!BY$38</f>
        <v>1.8950693525979654</v>
      </c>
      <c r="BZ29" s="347">
        <f> Esc!BZ$38</f>
        <v>1.9091252180099663</v>
      </c>
      <c r="CA29" s="347">
        <f> Esc!CA$38</f>
        <v>1.923285336784626</v>
      </c>
      <c r="CB29" s="347">
        <f> Esc!CB$38</f>
        <v>1.9375504821766187</v>
      </c>
      <c r="CC29" s="347">
        <f> Esc!CC$38</f>
        <v>1.9519214331759038</v>
      </c>
      <c r="CD29" s="347">
        <f> Esc!CD$38</f>
        <v>1.9663989745502646</v>
      </c>
      <c r="CE29" s="347">
        <f> Esc!CE$38</f>
        <v>1.9809838968881641</v>
      </c>
      <c r="CF29" s="347">
        <f> Esc!CF$38</f>
        <v>1.9956769966419168</v>
      </c>
      <c r="CG29" s="347">
        <f> Esc!CG$38</f>
        <v>2.01047907617118</v>
      </c>
      <c r="CH29" s="347">
        <f> Esc!CH$38</f>
        <v>2.025390943786772</v>
      </c>
      <c r="CI29" s="347">
        <f> Esc!CI$38</f>
        <v>2.0404134137948087</v>
      </c>
      <c r="CJ29" s="347">
        <f> Esc!CJ$38</f>
        <v>2.0555473065411736</v>
      </c>
      <c r="CK29" s="347">
        <f> Esc!CK$38</f>
        <v>2.070793448456315</v>
      </c>
      <c r="CL29" s="347">
        <f> Esc!CL$38</f>
        <v>2.0861526721003743</v>
      </c>
      <c r="CM29" s="347">
        <f> Esc!CM$38</f>
        <v>2.101625816208652</v>
      </c>
      <c r="CN29" s="347">
        <f> Esc!CN$38</f>
        <v>2.1172137257374084</v>
      </c>
      <c r="CO29" s="347">
        <f> Esc!CO$38</f>
        <v>2.132917251910004</v>
      </c>
    </row>
    <row r="30" customFormat="1" s="260">
      <c r="E30" s="325" t="str">
        <f> Time!E$69</f>
        <v>Forecast period flag</v>
      </c>
      <c r="F30" s="325">
        <f> Time!F$69</f>
        <v>0.0</v>
      </c>
      <c r="G30" s="325" t="str">
        <f> Time!G$69</f>
        <v>flag</v>
      </c>
      <c r="H30" s="325">
        <f> Time!H$69</f>
        <v>80.0</v>
      </c>
      <c r="I30" s="325">
        <f> Time!I$69</f>
        <v>0.0</v>
      </c>
      <c r="J30" s="325">
        <f> Time!J$69</f>
        <v>0.0</v>
      </c>
      <c r="K30" s="325">
        <f> Time!K$69</f>
        <v>0.0</v>
      </c>
      <c r="L30" s="325">
        <f> Time!L$69</f>
        <v>1.0</v>
      </c>
      <c r="M30" s="325">
        <f> Time!M$69</f>
        <v>1.0</v>
      </c>
      <c r="N30" s="325">
        <f> Time!N$69</f>
        <v>1.0</v>
      </c>
      <c r="O30" s="325">
        <f> Time!O$69</f>
        <v>1.0</v>
      </c>
      <c r="P30" s="325">
        <f> Time!P$69</f>
        <v>1.0</v>
      </c>
      <c r="Q30" s="325">
        <f> Time!Q$69</f>
        <v>1.0</v>
      </c>
      <c r="R30" s="325">
        <f> Time!R$69</f>
        <v>1.0</v>
      </c>
      <c r="S30" s="325">
        <f> Time!S$69</f>
        <v>1.0</v>
      </c>
      <c r="T30" s="325">
        <f> Time!T$69</f>
        <v>1.0</v>
      </c>
      <c r="U30" s="325">
        <f> Time!U$69</f>
        <v>1.0</v>
      </c>
      <c r="V30" s="325">
        <f> Time!V$69</f>
        <v>1.0</v>
      </c>
      <c r="W30" s="325">
        <f> Time!W$69</f>
        <v>1.0</v>
      </c>
      <c r="X30" s="325">
        <f> Time!X$69</f>
        <v>1.0</v>
      </c>
      <c r="Y30" s="325">
        <f> Time!Y$69</f>
        <v>1.0</v>
      </c>
      <c r="Z30" s="325">
        <f> Time!Z$69</f>
        <v>1.0</v>
      </c>
      <c r="AA30" s="325">
        <f> Time!AA$69</f>
        <v>1.0</v>
      </c>
      <c r="AB30" s="325">
        <f> Time!AB$69</f>
        <v>1.0</v>
      </c>
      <c r="AC30" s="325">
        <f> Time!AC$69</f>
        <v>1.0</v>
      </c>
      <c r="AD30" s="325">
        <f> Time!AD$69</f>
        <v>1.0</v>
      </c>
      <c r="AE30" s="325">
        <f> Time!AE$69</f>
        <v>1.0</v>
      </c>
      <c r="AF30" s="325">
        <f> Time!AF$69</f>
        <v>1.0</v>
      </c>
      <c r="AG30" s="325">
        <f> Time!AG$69</f>
        <v>1.0</v>
      </c>
      <c r="AH30" s="325">
        <f> Time!AH$69</f>
        <v>1.0</v>
      </c>
      <c r="AI30" s="325">
        <f> Time!AI$69</f>
        <v>1.0</v>
      </c>
      <c r="AJ30" s="325">
        <f> Time!AJ$69</f>
        <v>1.0</v>
      </c>
      <c r="AK30" s="325">
        <f> Time!AK$69</f>
        <v>1.0</v>
      </c>
      <c r="AL30" s="325">
        <f> Time!AL$69</f>
        <v>1.0</v>
      </c>
      <c r="AM30" s="325">
        <f> Time!AM$69</f>
        <v>1.0</v>
      </c>
      <c r="AN30" s="325">
        <f> Time!AN$69</f>
        <v>1.0</v>
      </c>
      <c r="AO30" s="325">
        <f> Time!AO$69</f>
        <v>1.0</v>
      </c>
      <c r="AP30" s="325">
        <f> Time!AP$69</f>
        <v>1.0</v>
      </c>
      <c r="AQ30" s="325">
        <f> Time!AQ$69</f>
        <v>1.0</v>
      </c>
      <c r="AR30" s="325">
        <f> Time!AR$69</f>
        <v>1.0</v>
      </c>
      <c r="AS30" s="325">
        <f> Time!AS$69</f>
        <v>1.0</v>
      </c>
      <c r="AT30" s="325">
        <f> Time!AT$69</f>
        <v>1.0</v>
      </c>
      <c r="AU30" s="325">
        <f> Time!AU$69</f>
        <v>1.0</v>
      </c>
      <c r="AV30" s="325">
        <f> Time!AV$69</f>
        <v>1.0</v>
      </c>
      <c r="AW30" s="325">
        <f> Time!AW$69</f>
        <v>1.0</v>
      </c>
      <c r="AX30" s="325">
        <f> Time!AX$69</f>
        <v>1.0</v>
      </c>
      <c r="AY30" s="325">
        <f> Time!AY$69</f>
        <v>1.0</v>
      </c>
      <c r="AZ30" s="325">
        <f> Time!AZ$69</f>
        <v>1.0</v>
      </c>
      <c r="BA30" s="325">
        <f> Time!BA$69</f>
        <v>1.0</v>
      </c>
      <c r="BB30" s="325">
        <f> Time!BB$69</f>
        <v>1.0</v>
      </c>
      <c r="BC30" s="325">
        <f> Time!BC$69</f>
        <v>1.0</v>
      </c>
      <c r="BD30" s="325">
        <f> Time!BD$69</f>
        <v>1.0</v>
      </c>
      <c r="BE30" s="325">
        <f> Time!BE$69</f>
        <v>1.0</v>
      </c>
      <c r="BF30" s="325">
        <f> Time!BF$69</f>
        <v>1.0</v>
      </c>
      <c r="BG30" s="325">
        <f> Time!BG$69</f>
        <v>1.0</v>
      </c>
      <c r="BH30" s="325">
        <f> Time!BH$69</f>
        <v>1.0</v>
      </c>
      <c r="BI30" s="325">
        <f> Time!BI$69</f>
        <v>1.0</v>
      </c>
      <c r="BJ30" s="325">
        <f> Time!BJ$69</f>
        <v>1.0</v>
      </c>
      <c r="BK30" s="325">
        <f> Time!BK$69</f>
        <v>1.0</v>
      </c>
      <c r="BL30" s="325">
        <f> Time!BL$69</f>
        <v>1.0</v>
      </c>
      <c r="BM30" s="325">
        <f> Time!BM$69</f>
        <v>1.0</v>
      </c>
      <c r="BN30" s="325">
        <f> Time!BN$69</f>
        <v>1.0</v>
      </c>
      <c r="BO30" s="325">
        <f> Time!BO$69</f>
        <v>1.0</v>
      </c>
      <c r="BP30" s="325">
        <f> Time!BP$69</f>
        <v>1.0</v>
      </c>
      <c r="BQ30" s="325">
        <f> Time!BQ$69</f>
        <v>1.0</v>
      </c>
      <c r="BR30" s="325">
        <f> Time!BR$69</f>
        <v>1.0</v>
      </c>
      <c r="BS30" s="325">
        <f> Time!BS$69</f>
        <v>1.0</v>
      </c>
      <c r="BT30" s="325">
        <f> Time!BT$69</f>
        <v>1.0</v>
      </c>
      <c r="BU30" s="325">
        <f> Time!BU$69</f>
        <v>1.0</v>
      </c>
      <c r="BV30" s="325">
        <f> Time!BV$69</f>
        <v>1.0</v>
      </c>
      <c r="BW30" s="325">
        <f> Time!BW$69</f>
        <v>1.0</v>
      </c>
      <c r="BX30" s="325">
        <f> Time!BX$69</f>
        <v>1.0</v>
      </c>
      <c r="BY30" s="325">
        <f> Time!BY$69</f>
        <v>1.0</v>
      </c>
      <c r="BZ30" s="325">
        <f> Time!BZ$69</f>
        <v>1.0</v>
      </c>
      <c r="CA30" s="325">
        <f> Time!CA$69</f>
        <v>1.0</v>
      </c>
      <c r="CB30" s="325">
        <f> Time!CB$69</f>
        <v>1.0</v>
      </c>
      <c r="CC30" s="325">
        <f> Time!CC$69</f>
        <v>1.0</v>
      </c>
      <c r="CD30" s="325">
        <f> Time!CD$69</f>
        <v>1.0</v>
      </c>
      <c r="CE30" s="325">
        <f> Time!CE$69</f>
        <v>1.0</v>
      </c>
      <c r="CF30" s="325">
        <f> Time!CF$69</f>
        <v>1.0</v>
      </c>
      <c r="CG30" s="325">
        <f> Time!CG$69</f>
        <v>1.0</v>
      </c>
      <c r="CH30" s="325">
        <f> Time!CH$69</f>
        <v>1.0</v>
      </c>
      <c r="CI30" s="325">
        <f> Time!CI$69</f>
        <v>1.0</v>
      </c>
      <c r="CJ30" s="325">
        <f> Time!CJ$69</f>
        <v>1.0</v>
      </c>
      <c r="CK30" s="325">
        <f> Time!CK$69</f>
        <v>1.0</v>
      </c>
      <c r="CL30" s="325">
        <f> Time!CL$69</f>
        <v>1.0</v>
      </c>
      <c r="CM30" s="325">
        <f> Time!CM$69</f>
        <v>1.0</v>
      </c>
      <c r="CN30" s="325">
        <f> Time!CN$69</f>
        <v>0.0</v>
      </c>
      <c r="CO30" s="325">
        <f> Time!CO$69</f>
        <v>0.0</v>
      </c>
    </row>
    <row r="31" s="396">
      <c r="A31" s="263" t="n"/>
      <c r="B31" s="263" t="n"/>
      <c r="C31" s="264" t="n"/>
      <c r="D31" s="335" t="n"/>
      <c r="E31" s="260" t="inlineStr">
        <is>
          <t>O&amp;M fixed cost</t>
        </is>
      </c>
      <c r="G31" s="260" t="str">
        <f>SMU</f>
        <v>$ 000s</v>
      </c>
      <c r="H31" s="260">
        <f> SUM(J31:CO31)</f>
        <v>104874.40034069688</v>
      </c>
      <c r="J31" s="260">
        <f>IF(J30=1,$F26/$F27*J29*(1+$F28),0)</f>
        <v>0.0</v>
      </c>
      <c r="K31" s="260">
        <f>IF(K30=1,$F26/$F27*K29*(1+$F28),0)</f>
        <v>0.0</v>
      </c>
      <c r="L31" s="260">
        <f>IF(L30=1,$F26/$F27*L29*(1+$F28),0)</f>
        <v>919.5481730903473</v>
      </c>
      <c r="M31" s="260">
        <f>IF(M30=1,$F26/$F27*M29*(1+$F28),0)</f>
        <v>933.0414815269469</v>
      </c>
      <c r="N31" s="260">
        <f>IF(N30=1,$F26/$F27*N29*(1+$F28),0)</f>
        <v>946.732788695851</v>
      </c>
      <c r="O31" s="260">
        <f>IF(O30=1,$F26/$F27*O29*(1+$F28),0)</f>
        <v>960.6249999999998</v>
      </c>
      <c r="P31" s="260">
        <f>IF(P30=1,$F26/$F27*P29*(1+$F28),0)</f>
        <v>972.4140151983956</v>
      </c>
      <c r="Q31" s="260">
        <f>IF(Q30=1,$F26/$F27*Q29*(1+$F28),0)</f>
        <v>984.3477079549937</v>
      </c>
      <c r="R31" s="260">
        <f>IF(R30=1,$F26/$F27*R29*(1+$F28),0)</f>
        <v>996.427853786705</v>
      </c>
      <c r="S31" s="260">
        <f>IF(S30=1,$F26/$F27*S29*(1+$F28),0)</f>
        <v>1008.6562499999999</v>
      </c>
      <c r="T31" s="260">
        <f>IF(T30=1,$F26/$F27*T29*(1+$F28),0)</f>
        <v>1018.5949500994083</v>
      </c>
      <c r="U31" s="260">
        <f>IF(U30=1,$F26/$F27*U29*(1+$F28),0)</f>
        <v>1028.6315802514644</v>
      </c>
      <c r="V31" s="260">
        <f>IF(V30=1,$F26/$F27*V29*(1+$F28),0)</f>
        <v>1038.7671054007901</v>
      </c>
      <c r="W31" s="260">
        <f>IF(W30=1,$F26/$F27*W29*(1+$F28),0)</f>
        <v>1049.0024999999998</v>
      </c>
      <c r="X31" s="260">
        <f>IF(X30=1,$F26/$F27*X29*(1+$F28),0)</f>
        <v>1056.7830268375208</v>
      </c>
      <c r="Y31" s="260">
        <f>IF(Y30=1,$F26/$F27*Y29*(1+$F28),0)</f>
        <v>1064.6212624010648</v>
      </c>
      <c r="Z31" s="260">
        <f>IF(Z30=1,$F26/$F27*Z29*(1+$F28),0)</f>
        <v>1072.517634720394</v>
      </c>
      <c r="AA31" s="260">
        <f>IF(AA30=1,$F26/$F27*AA29*(1+$F28),0)</f>
        <v>1080.4725749999993</v>
      </c>
      <c r="AB31" s="260">
        <f>IF(AB30=1,$F26/$F27*AB29*(1+$F28),0)</f>
        <v>1088.4865176426463</v>
      </c>
      <c r="AC31" s="260">
        <f>IF(AC30=1,$F26/$F27*AC29*(1+$F28),0)</f>
        <v>1096.5599002730964</v>
      </c>
      <c r="AD31" s="260">
        <f>IF(AD30=1,$F26/$F27*AD29*(1+$F28),0)</f>
        <v>1104.6931637620057</v>
      </c>
      <c r="AE31" s="260">
        <f>IF(AE30=1,$F26/$F27*AE29*(1+$F28),0)</f>
        <v>1112.8867522499993</v>
      </c>
      <c r="AF31" s="260">
        <f>IF(AF30=1,$F26/$F27*AF29*(1+$F28),0)</f>
        <v>1121.1411131719256</v>
      </c>
      <c r="AG31" s="260">
        <f>IF(AG30=1,$F26/$F27*AG29*(1+$F28),0)</f>
        <v>1129.456697281289</v>
      </c>
      <c r="AH31" s="260">
        <f>IF(AH30=1,$F26/$F27*AH29*(1+$F28),0)</f>
        <v>1137.8339586748655</v>
      </c>
      <c r="AI31" s="260">
        <f>IF(AI30=1,$F26/$F27*AI29*(1+$F28),0)</f>
        <v>1146.273354817499</v>
      </c>
      <c r="AJ31" s="260">
        <f>IF(AJ30=1,$F26/$F27*AJ29*(1+$F28),0)</f>
        <v>1154.7753465670828</v>
      </c>
      <c r="AK31" s="260">
        <f>IF(AK30=1,$F26/$F27*AK29*(1+$F28),0)</f>
        <v>1163.3403981997274</v>
      </c>
      <c r="AL31" s="260">
        <f>IF(AL30=1,$F26/$F27*AL29*(1+$F28),0)</f>
        <v>1171.968977435111</v>
      </c>
      <c r="AM31" s="260">
        <f>IF(AM30=1,$F26/$F27*AM29*(1+$F28),0)</f>
        <v>1180.6615554620232</v>
      </c>
      <c r="AN31" s="260">
        <f>IF(AN30=1,$F26/$F27*AN29*(1+$F28),0)</f>
        <v>1189.4186069640948</v>
      </c>
      <c r="AO31" s="260">
        <f>IF(AO30=1,$F26/$F27*AO29*(1+$F28),0)</f>
        <v>1198.2406101457186</v>
      </c>
      <c r="AP31" s="260">
        <f>IF(AP30=1,$F26/$F27*AP29*(1+$F28),0)</f>
        <v>1207.1280467581637</v>
      </c>
      <c r="AQ31" s="260">
        <f>IF(AQ30=1,$F26/$F27*AQ29*(1+$F28),0)</f>
        <v>1216.0814021258836</v>
      </c>
      <c r="AR31" s="260">
        <f>IF(AR30=1,$F26/$F27*AR29*(1+$F28),0)</f>
        <v>1225.1011651730173</v>
      </c>
      <c r="AS31" s="260">
        <f>IF(AS30=1,$F26/$F27*AS29*(1+$F28),0)</f>
        <v>1234.1878284500897</v>
      </c>
      <c r="AT31" s="260">
        <f>IF(AT30=1,$F26/$F27*AT29*(1+$F28),0)</f>
        <v>1243.3418881609084</v>
      </c>
      <c r="AU31" s="260">
        <f>IF(AU30=1,$F26/$F27*AU29*(1+$F28),0)</f>
        <v>1252.5638441896597</v>
      </c>
      <c r="AV31" s="260">
        <f>IF(AV30=1,$F26/$F27*AV29*(1+$F28),0)</f>
        <v>1261.8542001282074</v>
      </c>
      <c r="AW31" s="260">
        <f>IF(AW30=1,$F26/$F27*AW29*(1+$F28),0)</f>
        <v>1271.213463303592</v>
      </c>
      <c r="AX31" s="260">
        <f>IF(AX30=1,$F26/$F27*AX29*(1+$F28),0)</f>
        <v>1280.6421448057351</v>
      </c>
      <c r="AY31" s="260">
        <f>IF(AY30=1,$F26/$F27*AY29*(1+$F28),0)</f>
        <v>1290.140759515349</v>
      </c>
      <c r="AZ31" s="260">
        <f>IF(AZ30=1,$F26/$F27*AZ29*(1+$F28),0)</f>
        <v>1299.709826132053</v>
      </c>
      <c r="BA31" s="260">
        <f>IF(BA30=1,$F26/$F27*BA29*(1+$F28),0)</f>
        <v>1309.3498672026992</v>
      </c>
      <c r="BB31" s="260">
        <f>IF(BB30=1,$F26/$F27*BB29*(1+$F28),0)</f>
        <v>1319.0614091499067</v>
      </c>
      <c r="BC31" s="260">
        <f>IF(BC30=1,$F26/$F27*BC29*(1+$F28),0)</f>
        <v>1328.844982300809</v>
      </c>
      <c r="BD31" s="260">
        <f>IF(BD30=1,$F26/$F27*BD29*(1+$F28),0)</f>
        <v>1338.7011209160144</v>
      </c>
      <c r="BE31" s="260">
        <f>IF(BE30=1,$F26/$F27*BE29*(1+$F28),0)</f>
        <v>1348.63036321878</v>
      </c>
      <c r="BF31" s="260">
        <f>IF(BF30=1,$F26/$F27*BF29*(1+$F28),0)</f>
        <v>1358.6332514244036</v>
      </c>
      <c r="BG31" s="260">
        <f>IF(BG30=1,$F26/$F27*BG29*(1+$F28),0)</f>
        <v>1368.710331769833</v>
      </c>
      <c r="BH31" s="260">
        <f>IF(BH30=1,$F26/$F27*BH29*(1+$F28),0)</f>
        <v>1378.8621545434944</v>
      </c>
      <c r="BI31" s="260">
        <f>IF(BI30=1,$F26/$F27*BI29*(1+$F28),0)</f>
        <v>1389.0892741153427</v>
      </c>
      <c r="BJ31" s="260">
        <f>IF(BJ30=1,$F26/$F27*BJ29*(1+$F28),0)</f>
        <v>1399.392248967135</v>
      </c>
      <c r="BK31" s="260">
        <f>IF(BK30=1,$F26/$F27*BK29*(1+$F28),0)</f>
        <v>1409.7716417229274</v>
      </c>
      <c r="BL31" s="260">
        <f>IF(BL30=1,$F26/$F27*BL29*(1+$F28),0)</f>
        <v>1420.2280191797986</v>
      </c>
      <c r="BM31" s="260">
        <f>IF(BM30=1,$F26/$F27*BM29*(1+$F28),0)</f>
        <v>1430.7619523388025</v>
      </c>
      <c r="BN31" s="260">
        <f>IF(BN30=1,$F26/$F27*BN29*(1+$F28),0)</f>
        <v>1441.3740164361486</v>
      </c>
      <c r="BO31" s="260">
        <f>IF(BO30=1,$F26/$F27*BO29*(1+$F28),0)</f>
        <v>1452.0647909746147</v>
      </c>
      <c r="BP31" s="260">
        <f>IF(BP30=1,$F26/$F27*BP29*(1+$F28),0)</f>
        <v>1462.8348597551922</v>
      </c>
      <c r="BQ31" s="260">
        <f>IF(BQ30=1,$F26/$F27*BQ29*(1+$F28),0)</f>
        <v>1473.6848109089663</v>
      </c>
      <c r="BR31" s="260">
        <f>IF(BR30=1,$F26/$F27*BR29*(1+$F28),0)</f>
        <v>1484.6152369292327</v>
      </c>
      <c r="BS31" s="260">
        <f>IF(BS30=1,$F26/$F27*BS29*(1+$F28),0)</f>
        <v>1495.626734703853</v>
      </c>
      <c r="BT31" s="260">
        <f>IF(BT30=1,$F26/$F27*BT29*(1+$F28),0)</f>
        <v>1506.7199055478475</v>
      </c>
      <c r="BU31" s="260">
        <f>IF(BU30=1,$F26/$F27*BU29*(1+$F28),0)</f>
        <v>1517.8953552362345</v>
      </c>
      <c r="BV31" s="260">
        <f>IF(BV30=1,$F26/$F27*BV29*(1+$F28),0)</f>
        <v>1529.1536940371093</v>
      </c>
      <c r="BW31" s="260">
        <f>IF(BW30=1,$F26/$F27*BW29*(1+$F28),0)</f>
        <v>1540.495536744968</v>
      </c>
      <c r="BX31" s="260">
        <f>IF(BX30=1,$F26/$F27*BX29*(1+$F28),0)</f>
        <v>1551.9215027142825</v>
      </c>
      <c r="BY31" s="260">
        <f>IF(BY30=1,$F26/$F27*BY29*(1+$F28),0)</f>
        <v>1563.4322158933214</v>
      </c>
      <c r="BZ31" s="260">
        <f>IF(BZ30=1,$F26/$F27*BZ29*(1+$F28),0)</f>
        <v>1575.028304858222</v>
      </c>
      <c r="CA31" s="260">
        <f>IF(CA30=1,$F26/$F27*CA29*(1+$F28),0)</f>
        <v>1586.7104028473166</v>
      </c>
      <c r="CB31" s="260">
        <f>IF(CB30=1,$F26/$F27*CB29*(1+$F28),0)</f>
        <v>1598.4791477957106</v>
      </c>
      <c r="CC31" s="260">
        <f>IF(CC30=1,$F26/$F27*CC29*(1+$F28),0)</f>
        <v>1610.3351823701207</v>
      </c>
      <c r="CD31" s="260">
        <f>IF(CD30=1,$F26/$F27*CD29*(1+$F28),0)</f>
        <v>1622.2791540039682</v>
      </c>
      <c r="CE31" s="260">
        <f>IF(CE30=1,$F26/$F27*CE29*(1+$F28),0)</f>
        <v>1634.3117149327354</v>
      </c>
      <c r="CF31" s="260">
        <f>IF(CF30=1,$F26/$F27*CF29*(1+$F28),0)</f>
        <v>1646.4335222295813</v>
      </c>
      <c r="CG31" s="260">
        <f>IF(CG30=1,$F26/$F27*CG29*(1+$F28),0)</f>
        <v>1658.6452378412237</v>
      </c>
      <c r="CH31" s="260">
        <f>IF(CH30=1,$F26/$F27*CH29*(1+$F28),0)</f>
        <v>1670.947528624087</v>
      </c>
      <c r="CI31" s="260">
        <f>IF(CI30=1,$F26/$F27*CI29*(1+$F28),0)</f>
        <v>1683.3410663807172</v>
      </c>
      <c r="CJ31" s="260">
        <f>IF(CJ30=1,$F26/$F27*CJ29*(1+$F28),0)</f>
        <v>1695.8265278964682</v>
      </c>
      <c r="CK31" s="260">
        <f>IF(CK30=1,$F26/$F27*CK29*(1+$F28),0)</f>
        <v>1708.4045949764597</v>
      </c>
      <c r="CL31" s="260">
        <f>IF(CL30=1,$F26/$F27*CL29*(1+$F28),0)</f>
        <v>1721.0759544828088</v>
      </c>
      <c r="CM31" s="260">
        <f>IF(CM30=1,$F26/$F27*CM29*(1+$F28),0)</f>
        <v>1733.841298372138</v>
      </c>
      <c r="CN31" s="260">
        <f>IF(CN30=1,$F26/$F27*CN29*(1+$F28),0)</f>
        <v>0.0</v>
      </c>
      <c r="CO31" s="260">
        <f>IF(CO30=1,$F26/$F27*CO29*(1+$F28),0)</f>
        <v>0.0</v>
      </c>
    </row>
    <row r="34">
      <c r="A34" s="294" t="inlineStr">
        <is>
          <t>Summary of operating cost</t>
        </is>
      </c>
    </row>
    <row r="35">
      <c r="E35" s="61" t="str">
        <f> E$16</f>
        <v>Handling variable cost</v>
      </c>
      <c r="F35" s="61">
        <f> F$16</f>
        <v>0.0</v>
      </c>
      <c r="G35" s="61" t="str">
        <f> G$16</f>
        <v>$ 000s</v>
      </c>
      <c r="H35" s="61">
        <f> H$16</f>
        <v>890187.4314858428</v>
      </c>
      <c r="I35" s="61">
        <f> I$16</f>
        <v>0.0</v>
      </c>
      <c r="J35" s="61">
        <f> J$16</f>
        <v>0.0</v>
      </c>
      <c r="K35" s="61">
        <f> K$16</f>
        <v>0.0</v>
      </c>
      <c r="L35" s="61">
        <f> L$16</f>
        <v>7760.250942344061</v>
      </c>
      <c r="M35" s="61">
        <f> M$16</f>
        <v>7605.90534634593</v>
      </c>
      <c r="N35" s="61">
        <f> N$16</f>
        <v>8134.075658397767</v>
      </c>
      <c r="O35" s="61">
        <f> O$16</f>
        <v>7892.751166666666</v>
      </c>
      <c r="P35" s="61">
        <f> P$16</f>
        <v>8417.475025961367</v>
      </c>
      <c r="Q35" s="61">
        <f> Q$16</f>
        <v>8087.6632612803505</v>
      </c>
      <c r="R35" s="61">
        <f> R$16</f>
        <v>8625.345216472062</v>
      </c>
      <c r="S35" s="61">
        <f> S$16</f>
        <v>8287.388725</v>
      </c>
      <c r="T35" s="61">
        <f> T$16</f>
        <v>8817.229513380506</v>
      </c>
      <c r="U35" s="61">
        <f> U$16</f>
        <v>8451.511365100765</v>
      </c>
      <c r="V35" s="61">
        <f> V$16</f>
        <v>8991.845068910681</v>
      </c>
      <c r="W35" s="61">
        <f> W$16</f>
        <v>8618.884274</v>
      </c>
      <c r="X35" s="61">
        <f> X$16</f>
        <v>9147.79568911274</v>
      </c>
      <c r="Y35" s="61">
        <f> Y$16</f>
        <v>8747.212190890456</v>
      </c>
      <c r="Z35" s="61">
        <f> Z$16</f>
        <v>9283.998650842324</v>
      </c>
      <c r="AA35" s="61">
        <f> AA$16</f>
        <v>8877.450802219997</v>
      </c>
      <c r="AB35" s="61">
        <f> AB$16</f>
        <v>9422.22955978612</v>
      </c>
      <c r="AC35" s="61">
        <f> AC$16</f>
        <v>9009.628556617168</v>
      </c>
      <c r="AD35" s="61">
        <f> AD$16</f>
        <v>9562.518610367593</v>
      </c>
      <c r="AE35" s="61">
        <f> AE$16</f>
        <v>9143.774326286595</v>
      </c>
      <c r="AF35" s="61">
        <f> AF$16</f>
        <v>9704.8964465797</v>
      </c>
      <c r="AG35" s="61">
        <f> AG$16</f>
        <v>9279.917413315681</v>
      </c>
      <c r="AH35" s="61">
        <f> AH$16</f>
        <v>9849.394168678617</v>
      </c>
      <c r="AI35" s="61">
        <f> AI$16</f>
        <v>9418.08755607519</v>
      </c>
      <c r="AJ35" s="61">
        <f> AJ$16</f>
        <v>9996.043339977088</v>
      </c>
      <c r="AK35" s="61">
        <f> AK$16</f>
        <v>9558.314935715147</v>
      </c>
      <c r="AL35" s="61">
        <f> AL$16</f>
        <v>10144.87599373897</v>
      </c>
      <c r="AM35" s="61">
        <f> AM$16</f>
        <v>9700.63018275744</v>
      </c>
      <c r="AN35" s="61">
        <f> AN$16</f>
        <v>10295.924640176398</v>
      </c>
      <c r="AO35" s="61">
        <f> AO$16</f>
        <v>9845.064383786597</v>
      </c>
      <c r="AP35" s="61">
        <f> AP$16</f>
        <v>10449.222273551135</v>
      </c>
      <c r="AQ35" s="61">
        <f> AQ$16</f>
        <v>9991.649088240161</v>
      </c>
      <c r="AR35" s="61">
        <f> AR$16</f>
        <v>10604.802379381686</v>
      </c>
      <c r="AS35" s="61">
        <f> AS$16</f>
        <v>10140.416315300192</v>
      </c>
      <c r="AT35" s="61">
        <f> AT$16</f>
        <v>10762.698941757666</v>
      </c>
      <c r="AU35" s="61">
        <f> AU$16</f>
        <v>10291.398560887363</v>
      </c>
      <c r="AV35" s="61">
        <f> AV$16</f>
        <v>10922.946450763131</v>
      </c>
      <c r="AW35" s="61">
        <f> AW$16</f>
        <v>10444.628804759195</v>
      </c>
      <c r="AX35" s="61">
        <f> AX$16</f>
        <v>11085.579910010392</v>
      </c>
      <c r="AY35" s="61">
        <f> AY$16</f>
        <v>10600.140517713979</v>
      </c>
      <c r="AZ35" s="61">
        <f> AZ$16</f>
        <v>11250.634844286022</v>
      </c>
      <c r="BA35" s="61">
        <f> BA$16</f>
        <v>10757.967668901965</v>
      </c>
      <c r="BB35" s="61">
        <f> BB$16</f>
        <v>11418.147307310699</v>
      </c>
      <c r="BC35" s="61">
        <f> BC$16</f>
        <v>10918.144733245395</v>
      </c>
      <c r="BD35" s="61">
        <f> BD$16</f>
        <v>11588.1538896146</v>
      </c>
      <c r="BE35" s="61">
        <f> BE$16</f>
        <v>11080.706698969023</v>
      </c>
      <c r="BF35" s="61">
        <f> BF$16</f>
        <v>11760.691726530018</v>
      </c>
      <c r="BG35" s="61">
        <f> BG$16</f>
        <v>11245.689075242753</v>
      </c>
      <c r="BH35" s="61">
        <f> BH$16</f>
        <v>11329.099158303894</v>
      </c>
      <c r="BI35" s="61">
        <f> BI$16</f>
        <v>12024.327180548838</v>
      </c>
      <c r="BJ35" s="61">
        <f> BJ$16</f>
        <v>11497.779888780375</v>
      </c>
      <c r="BK35" s="61">
        <f> BK$16</f>
        <v>12203.35926985812</v>
      </c>
      <c r="BL35" s="61">
        <f> BL$16</f>
        <v>11668.972133053008</v>
      </c>
      <c r="BM35" s="61">
        <f> BM$16</f>
        <v>12385.0569959653</v>
      </c>
      <c r="BN35" s="61">
        <f> BN$16</f>
        <v>11842.713285443782</v>
      </c>
      <c r="BO35" s="61">
        <f> BO$16</f>
        <v>12569.46004795386</v>
      </c>
      <c r="BP35" s="61">
        <f> BP$16</f>
        <v>12019.041297044594</v>
      </c>
      <c r="BQ35" s="61">
        <f> BQ$16</f>
        <v>12108.187389044311</v>
      </c>
      <c r="BR35" s="61">
        <f> BR$16</f>
        <v>12851.225388255956</v>
      </c>
      <c r="BS35" s="61">
        <f> BS$16</f>
        <v>12288.468086122777</v>
      </c>
      <c r="BT35" s="61">
        <f> BT$16</f>
        <v>13042.56929439698</v>
      </c>
      <c r="BU35" s="61">
        <f> BU$16</f>
        <v>12471.433010715637</v>
      </c>
      <c r="BV35" s="61">
        <f> BV$16</f>
        <v>13236.76214990363</v>
      </c>
      <c r="BW35" s="61">
        <f> BW$16</f>
        <v>13334.940164874242</v>
      </c>
      <c r="BX35" s="61">
        <f> BX$16</f>
        <v>13433.846373228887</v>
      </c>
      <c r="BY35" s="61">
        <f> BY$16</f>
        <v>13533.486176030163</v>
      </c>
      <c r="BZ35" s="61">
        <f> BZ$16</f>
        <v>13633.865014400737</v>
      </c>
      <c r="CA35" s="61">
        <f> CA$16</f>
        <v>13734.988369820465</v>
      </c>
      <c r="CB35" s="61">
        <f> CB$16</f>
        <v>13836.86176442575</v>
      </c>
      <c r="CC35" s="61">
        <f> CC$16</f>
        <v>13939.490761311066</v>
      </c>
      <c r="CD35" s="61">
        <f> CD$16</f>
        <v>14042.880964832751</v>
      </c>
      <c r="CE35" s="61">
        <f> CE$16</f>
        <v>14147.038020915075</v>
      </c>
      <c r="CF35" s="61">
        <f> CF$16</f>
        <v>14251.96761735852</v>
      </c>
      <c r="CG35" s="61">
        <f> CG$16</f>
        <v>14357.67548415039</v>
      </c>
      <c r="CH35" s="61">
        <f> CH$16</f>
        <v>14464.16739377773</v>
      </c>
      <c r="CI35" s="61">
        <f> CI$16</f>
        <v>14571.449161542523</v>
      </c>
      <c r="CJ35" s="61">
        <f> CJ$16</f>
        <v>14679.52664587927</v>
      </c>
      <c r="CK35" s="61">
        <f> CK$16</f>
        <v>14788.405748674897</v>
      </c>
      <c r="CL35" s="61">
        <f> CL$16</f>
        <v>14898.092415591058</v>
      </c>
      <c r="CM35" s="61">
        <f> CM$16</f>
        <v>15008.592636388794</v>
      </c>
      <c r="CN35" s="61">
        <f> CN$16</f>
        <v>0.0</v>
      </c>
      <c r="CO35" s="61">
        <f> CO$16</f>
        <v>0.0</v>
      </c>
    </row>
    <row r="36">
      <c r="E36" s="61" t="str">
        <f> E$23</f>
        <v>Handling fixed cost</v>
      </c>
      <c r="F36" s="61">
        <f> F$23</f>
        <v>0.0</v>
      </c>
      <c r="G36" s="61" t="str">
        <f> G$23</f>
        <v>$ 000s</v>
      </c>
      <c r="H36" s="61">
        <f> H$23</f>
        <v>157311.60051104537</v>
      </c>
      <c r="I36" s="61">
        <f> I$23</f>
        <v>0.0</v>
      </c>
      <c r="J36" s="61">
        <f> J$23</f>
        <v>0.0</v>
      </c>
      <c r="K36" s="61">
        <f> K$23</f>
        <v>0.0</v>
      </c>
      <c r="L36" s="61">
        <f> L$23</f>
        <v>1379.322259635521</v>
      </c>
      <c r="M36" s="61">
        <f> M$23</f>
        <v>1399.5622222904203</v>
      </c>
      <c r="N36" s="61">
        <f> N$23</f>
        <v>1420.0991830437767</v>
      </c>
      <c r="O36" s="61">
        <f> O$23</f>
        <v>1440.9374999999998</v>
      </c>
      <c r="P36" s="61">
        <f> P$23</f>
        <v>1458.6210227975935</v>
      </c>
      <c r="Q36" s="61">
        <f> Q$23</f>
        <v>1476.5215619324906</v>
      </c>
      <c r="R36" s="61">
        <f> R$23</f>
        <v>1494.6417806800575</v>
      </c>
      <c r="S36" s="61">
        <f> S$23</f>
        <v>1512.9843749999998</v>
      </c>
      <c r="T36" s="61">
        <f> T$23</f>
        <v>1527.8924251491123</v>
      </c>
      <c r="U36" s="61">
        <f> U$23</f>
        <v>1542.9473703771964</v>
      </c>
      <c r="V36" s="61">
        <f> V$23</f>
        <v>1558.1506581011852</v>
      </c>
      <c r="W36" s="61">
        <f> W$23</f>
        <v>1573.5037499999999</v>
      </c>
      <c r="X36" s="61">
        <f> X$23</f>
        <v>1585.1745402562815</v>
      </c>
      <c r="Y36" s="61">
        <f> Y$23</f>
        <v>1596.9318936015973</v>
      </c>
      <c r="Z36" s="61">
        <f> Z$23</f>
        <v>1608.776452080591</v>
      </c>
      <c r="AA36" s="61">
        <f> AA$23</f>
        <v>1620.7088624999992</v>
      </c>
      <c r="AB36" s="61">
        <f> AB$23</f>
        <v>1632.7297764639695</v>
      </c>
      <c r="AC36" s="61">
        <f> AC$23</f>
        <v>1644.8398504096447</v>
      </c>
      <c r="AD36" s="61">
        <f> AD$23</f>
        <v>1657.0397456430085</v>
      </c>
      <c r="AE36" s="61">
        <f> AE$23</f>
        <v>1669.330128374999</v>
      </c>
      <c r="AF36" s="61">
        <f> AF$23</f>
        <v>1681.7116697578883</v>
      </c>
      <c r="AG36" s="61">
        <f> AG$23</f>
        <v>1694.1850459219336</v>
      </c>
      <c r="AH36" s="61">
        <f> AH$23</f>
        <v>1706.7509380122983</v>
      </c>
      <c r="AI36" s="61">
        <f> AI$23</f>
        <v>1719.4100322262484</v>
      </c>
      <c r="AJ36" s="61">
        <f> AJ$23</f>
        <v>1732.1630198506243</v>
      </c>
      <c r="AK36" s="61">
        <f> AK$23</f>
        <v>1745.010597299591</v>
      </c>
      <c r="AL36" s="61">
        <f> AL$23</f>
        <v>1757.9534661526664</v>
      </c>
      <c r="AM36" s="61">
        <f> AM$23</f>
        <v>1770.992333193035</v>
      </c>
      <c r="AN36" s="61">
        <f> AN$23</f>
        <v>1784.1279104461423</v>
      </c>
      <c r="AO36" s="61">
        <f> AO$23</f>
        <v>1797.360915218578</v>
      </c>
      <c r="AP36" s="61">
        <f> AP$23</f>
        <v>1810.6920701372455</v>
      </c>
      <c r="AQ36" s="61">
        <f> AQ$23</f>
        <v>1824.1221031888253</v>
      </c>
      <c r="AR36" s="61">
        <f> AR$23</f>
        <v>1837.651747759526</v>
      </c>
      <c r="AS36" s="61">
        <f> AS$23</f>
        <v>1851.2817426751349</v>
      </c>
      <c r="AT36" s="61">
        <f> AT$23</f>
        <v>1865.0128322413625</v>
      </c>
      <c r="AU36" s="61">
        <f> AU$23</f>
        <v>1878.8457662844896</v>
      </c>
      <c r="AV36" s="61">
        <f> AV$23</f>
        <v>1892.781300192311</v>
      </c>
      <c r="AW36" s="61">
        <f> AW$23</f>
        <v>1906.820194955388</v>
      </c>
      <c r="AX36" s="61">
        <f> AX$23</f>
        <v>1920.9632172086026</v>
      </c>
      <c r="AY36" s="61">
        <f> AY$23</f>
        <v>1935.2111392730235</v>
      </c>
      <c r="AZ36" s="61">
        <f> AZ$23</f>
        <v>1949.5647391980797</v>
      </c>
      <c r="BA36" s="61">
        <f> BA$23</f>
        <v>1964.0248008040487</v>
      </c>
      <c r="BB36" s="61">
        <f> BB$23</f>
        <v>1978.59211372486</v>
      </c>
      <c r="BC36" s="61">
        <f> BC$23</f>
        <v>1993.2674734512136</v>
      </c>
      <c r="BD36" s="61">
        <f> BD$23</f>
        <v>2008.0516813740217</v>
      </c>
      <c r="BE36" s="61">
        <f> BE$23</f>
        <v>2022.94554482817</v>
      </c>
      <c r="BF36" s="61">
        <f> BF$23</f>
        <v>2037.9498771366052</v>
      </c>
      <c r="BG36" s="61">
        <f> BG$23</f>
        <v>2053.0654976547494</v>
      </c>
      <c r="BH36" s="61">
        <f> BH$23</f>
        <v>2068.293231815241</v>
      </c>
      <c r="BI36" s="61">
        <f> BI$23</f>
        <v>2083.633911173014</v>
      </c>
      <c r="BJ36" s="61">
        <f> BJ$23</f>
        <v>2099.0883734507024</v>
      </c>
      <c r="BK36" s="61">
        <f> BK$23</f>
        <v>2114.657462584391</v>
      </c>
      <c r="BL36" s="61">
        <f> BL$23</f>
        <v>2130.342028769698</v>
      </c>
      <c r="BM36" s="61">
        <f> BM$23</f>
        <v>2146.142928508204</v>
      </c>
      <c r="BN36" s="61">
        <f> BN$23</f>
        <v>2162.0610246542233</v>
      </c>
      <c r="BO36" s="61">
        <f> BO$23</f>
        <v>2178.097186461922</v>
      </c>
      <c r="BP36" s="61">
        <f> BP$23</f>
        <v>2194.2522896327882</v>
      </c>
      <c r="BQ36" s="61">
        <f> BQ$23</f>
        <v>2210.5272163634495</v>
      </c>
      <c r="BR36" s="61">
        <f> BR$23</f>
        <v>2226.922855393849</v>
      </c>
      <c r="BS36" s="61">
        <f> BS$23</f>
        <v>2243.440102055779</v>
      </c>
      <c r="BT36" s="61">
        <f> BT$23</f>
        <v>2260.079858321771</v>
      </c>
      <c r="BU36" s="61">
        <f> BU$23</f>
        <v>2276.8430328543523</v>
      </c>
      <c r="BV36" s="61">
        <f> BV$23</f>
        <v>2293.730541055664</v>
      </c>
      <c r="BW36" s="61">
        <f> BW$23</f>
        <v>2310.743305117452</v>
      </c>
      <c r="BX36" s="61">
        <f> BX$23</f>
        <v>2327.8822540714236</v>
      </c>
      <c r="BY36" s="61">
        <f> BY$23</f>
        <v>2345.148323839982</v>
      </c>
      <c r="BZ36" s="61">
        <f> BZ$23</f>
        <v>2362.5424572873335</v>
      </c>
      <c r="CA36" s="61">
        <f> CA$23</f>
        <v>2380.0656042709747</v>
      </c>
      <c r="CB36" s="61">
        <f> CB$23</f>
        <v>2397.718721693566</v>
      </c>
      <c r="CC36" s="61">
        <f> CC$23</f>
        <v>2415.502773555181</v>
      </c>
      <c r="CD36" s="61">
        <f> CD$23</f>
        <v>2433.4187310059524</v>
      </c>
      <c r="CE36" s="61">
        <f> CE$23</f>
        <v>2451.467572399103</v>
      </c>
      <c r="CF36" s="61">
        <f> CF$23</f>
        <v>2469.650283344372</v>
      </c>
      <c r="CG36" s="61">
        <f> CG$23</f>
        <v>2487.9678567618353</v>
      </c>
      <c r="CH36" s="61">
        <f> CH$23</f>
        <v>2506.42129293613</v>
      </c>
      <c r="CI36" s="61">
        <f> CI$23</f>
        <v>2525.0115995710757</v>
      </c>
      <c r="CJ36" s="61">
        <f> CJ$23</f>
        <v>2543.7397918447023</v>
      </c>
      <c r="CK36" s="61">
        <f> CK$23</f>
        <v>2562.6068924646897</v>
      </c>
      <c r="CL36" s="61">
        <f> CL$23</f>
        <v>2581.613931724213</v>
      </c>
      <c r="CM36" s="61">
        <f> CM$23</f>
        <v>2600.761947558207</v>
      </c>
      <c r="CN36" s="61">
        <f> CN$23</f>
        <v>0.0</v>
      </c>
      <c r="CO36" s="61">
        <f> CO$23</f>
        <v>0.0</v>
      </c>
    </row>
    <row r="37" customFormat="1" s="260">
      <c r="E37" s="61" t="str">
        <f> E$31</f>
        <v>O&amp;M fixed cost</v>
      </c>
      <c r="F37" s="61">
        <f> F$31</f>
        <v>0.0</v>
      </c>
      <c r="G37" s="61" t="str">
        <f> G$31</f>
        <v>$ 000s</v>
      </c>
      <c r="H37" s="61">
        <f> H$31</f>
        <v>104874.40034069688</v>
      </c>
      <c r="I37" s="61">
        <f> I$31</f>
        <v>0.0</v>
      </c>
      <c r="J37" s="61">
        <f> J$31</f>
        <v>0.0</v>
      </c>
      <c r="K37" s="61">
        <f> K$31</f>
        <v>0.0</v>
      </c>
      <c r="L37" s="61">
        <f> L$31</f>
        <v>919.5481730903473</v>
      </c>
      <c r="M37" s="61">
        <f> M$31</f>
        <v>933.0414815269469</v>
      </c>
      <c r="N37" s="61">
        <f> N$31</f>
        <v>946.732788695851</v>
      </c>
      <c r="O37" s="61">
        <f> O$31</f>
        <v>960.6249999999998</v>
      </c>
      <c r="P37" s="61">
        <f> P$31</f>
        <v>972.4140151983956</v>
      </c>
      <c r="Q37" s="61">
        <f> Q$31</f>
        <v>984.3477079549937</v>
      </c>
      <c r="R37" s="61">
        <f> R$31</f>
        <v>996.427853786705</v>
      </c>
      <c r="S37" s="61">
        <f> S$31</f>
        <v>1008.6562499999999</v>
      </c>
      <c r="T37" s="61">
        <f> T$31</f>
        <v>1018.5949500994083</v>
      </c>
      <c r="U37" s="61">
        <f> U$31</f>
        <v>1028.6315802514644</v>
      </c>
      <c r="V37" s="61">
        <f> V$31</f>
        <v>1038.7671054007901</v>
      </c>
      <c r="W37" s="61">
        <f> W$31</f>
        <v>1049.0024999999998</v>
      </c>
      <c r="X37" s="61">
        <f> X$31</f>
        <v>1056.7830268375208</v>
      </c>
      <c r="Y37" s="61">
        <f> Y$31</f>
        <v>1064.6212624010648</v>
      </c>
      <c r="Z37" s="61">
        <f> Z$31</f>
        <v>1072.517634720394</v>
      </c>
      <c r="AA37" s="61">
        <f> AA$31</f>
        <v>1080.4725749999993</v>
      </c>
      <c r="AB37" s="61">
        <f> AB$31</f>
        <v>1088.4865176426463</v>
      </c>
      <c r="AC37" s="61">
        <f> AC$31</f>
        <v>1096.5599002730964</v>
      </c>
      <c r="AD37" s="61">
        <f> AD$31</f>
        <v>1104.6931637620057</v>
      </c>
      <c r="AE37" s="61">
        <f> AE$31</f>
        <v>1112.8867522499993</v>
      </c>
      <c r="AF37" s="61">
        <f> AF$31</f>
        <v>1121.1411131719256</v>
      </c>
      <c r="AG37" s="61">
        <f> AG$31</f>
        <v>1129.456697281289</v>
      </c>
      <c r="AH37" s="61">
        <f> AH$31</f>
        <v>1137.8339586748655</v>
      </c>
      <c r="AI37" s="61">
        <f> AI$31</f>
        <v>1146.273354817499</v>
      </c>
      <c r="AJ37" s="61">
        <f> AJ$31</f>
        <v>1154.7753465670828</v>
      </c>
      <c r="AK37" s="61">
        <f> AK$31</f>
        <v>1163.3403981997274</v>
      </c>
      <c r="AL37" s="61">
        <f> AL$31</f>
        <v>1171.968977435111</v>
      </c>
      <c r="AM37" s="61">
        <f> AM$31</f>
        <v>1180.6615554620232</v>
      </c>
      <c r="AN37" s="61">
        <f> AN$31</f>
        <v>1189.4186069640948</v>
      </c>
      <c r="AO37" s="61">
        <f> AO$31</f>
        <v>1198.2406101457186</v>
      </c>
      <c r="AP37" s="61">
        <f> AP$31</f>
        <v>1207.1280467581637</v>
      </c>
      <c r="AQ37" s="61">
        <f> AQ$31</f>
        <v>1216.0814021258836</v>
      </c>
      <c r="AR37" s="61">
        <f> AR$31</f>
        <v>1225.1011651730173</v>
      </c>
      <c r="AS37" s="61">
        <f> AS$31</f>
        <v>1234.1878284500897</v>
      </c>
      <c r="AT37" s="61">
        <f> AT$31</f>
        <v>1243.3418881609084</v>
      </c>
      <c r="AU37" s="61">
        <f> AU$31</f>
        <v>1252.5638441896597</v>
      </c>
      <c r="AV37" s="61">
        <f> AV$31</f>
        <v>1261.8542001282074</v>
      </c>
      <c r="AW37" s="61">
        <f> AW$31</f>
        <v>1271.213463303592</v>
      </c>
      <c r="AX37" s="61">
        <f> AX$31</f>
        <v>1280.6421448057351</v>
      </c>
      <c r="AY37" s="61">
        <f> AY$31</f>
        <v>1290.140759515349</v>
      </c>
      <c r="AZ37" s="61">
        <f> AZ$31</f>
        <v>1299.709826132053</v>
      </c>
      <c r="BA37" s="61">
        <f> BA$31</f>
        <v>1309.3498672026992</v>
      </c>
      <c r="BB37" s="61">
        <f> BB$31</f>
        <v>1319.0614091499067</v>
      </c>
      <c r="BC37" s="61">
        <f> BC$31</f>
        <v>1328.844982300809</v>
      </c>
      <c r="BD37" s="61">
        <f> BD$31</f>
        <v>1338.7011209160144</v>
      </c>
      <c r="BE37" s="61">
        <f> BE$31</f>
        <v>1348.63036321878</v>
      </c>
      <c r="BF37" s="61">
        <f> BF$31</f>
        <v>1358.6332514244036</v>
      </c>
      <c r="BG37" s="61">
        <f> BG$31</f>
        <v>1368.710331769833</v>
      </c>
      <c r="BH37" s="61">
        <f> BH$31</f>
        <v>1378.8621545434944</v>
      </c>
      <c r="BI37" s="61">
        <f> BI$31</f>
        <v>1389.0892741153427</v>
      </c>
      <c r="BJ37" s="61">
        <f> BJ$31</f>
        <v>1399.392248967135</v>
      </c>
      <c r="BK37" s="61">
        <f> BK$31</f>
        <v>1409.7716417229274</v>
      </c>
      <c r="BL37" s="61">
        <f> BL$31</f>
        <v>1420.2280191797986</v>
      </c>
      <c r="BM37" s="61">
        <f> BM$31</f>
        <v>1430.7619523388025</v>
      </c>
      <c r="BN37" s="61">
        <f> BN$31</f>
        <v>1441.3740164361486</v>
      </c>
      <c r="BO37" s="61">
        <f> BO$31</f>
        <v>1452.0647909746147</v>
      </c>
      <c r="BP37" s="61">
        <f> BP$31</f>
        <v>1462.8348597551922</v>
      </c>
      <c r="BQ37" s="61">
        <f> BQ$31</f>
        <v>1473.6848109089663</v>
      </c>
      <c r="BR37" s="61">
        <f> BR$31</f>
        <v>1484.6152369292327</v>
      </c>
      <c r="BS37" s="61">
        <f> BS$31</f>
        <v>1495.626734703853</v>
      </c>
      <c r="BT37" s="61">
        <f> BT$31</f>
        <v>1506.7199055478475</v>
      </c>
      <c r="BU37" s="61">
        <f> BU$31</f>
        <v>1517.8953552362345</v>
      </c>
      <c r="BV37" s="61">
        <f> BV$31</f>
        <v>1529.1536940371093</v>
      </c>
      <c r="BW37" s="61">
        <f> BW$31</f>
        <v>1540.495536744968</v>
      </c>
      <c r="BX37" s="61">
        <f> BX$31</f>
        <v>1551.9215027142825</v>
      </c>
      <c r="BY37" s="61">
        <f> BY$31</f>
        <v>1563.4322158933214</v>
      </c>
      <c r="BZ37" s="61">
        <f> BZ$31</f>
        <v>1575.028304858222</v>
      </c>
      <c r="CA37" s="61">
        <f> CA$31</f>
        <v>1586.7104028473166</v>
      </c>
      <c r="CB37" s="61">
        <f> CB$31</f>
        <v>1598.4791477957106</v>
      </c>
      <c r="CC37" s="61">
        <f> CC$31</f>
        <v>1610.3351823701207</v>
      </c>
      <c r="CD37" s="61">
        <f> CD$31</f>
        <v>1622.2791540039682</v>
      </c>
      <c r="CE37" s="61">
        <f> CE$31</f>
        <v>1634.3117149327354</v>
      </c>
      <c r="CF37" s="61">
        <f> CF$31</f>
        <v>1646.4335222295813</v>
      </c>
      <c r="CG37" s="61">
        <f> CG$31</f>
        <v>1658.6452378412237</v>
      </c>
      <c r="CH37" s="61">
        <f> CH$31</f>
        <v>1670.947528624087</v>
      </c>
      <c r="CI37" s="61">
        <f> CI$31</f>
        <v>1683.3410663807172</v>
      </c>
      <c r="CJ37" s="61">
        <f> CJ$31</f>
        <v>1695.8265278964682</v>
      </c>
      <c r="CK37" s="61">
        <f> CK$31</f>
        <v>1708.4045949764597</v>
      </c>
      <c r="CL37" s="61">
        <f> CL$31</f>
        <v>1721.0759544828088</v>
      </c>
      <c r="CM37" s="61">
        <f> CM$31</f>
        <v>1733.841298372138</v>
      </c>
      <c r="CN37" s="61">
        <f> CN$31</f>
        <v>0.0</v>
      </c>
      <c r="CO37" s="61">
        <f> CO$31</f>
        <v>0.0</v>
      </c>
    </row>
    <row r="38" customFormat="1" s="150">
      <c r="A38" s="263" t="n"/>
      <c r="B38" s="263" t="n"/>
      <c r="C38" s="264" t="n"/>
      <c r="D38" s="335" t="n"/>
      <c r="E38" s="260" t="inlineStr">
        <is>
          <t>Operating cost POS</t>
        </is>
      </c>
      <c r="G38" s="260" t="str">
        <f>SMU</f>
        <v>$ 000s</v>
      </c>
      <c r="H38" s="260">
        <f> SUM(J38:CO38)</f>
        <v>1152373.432337585</v>
      </c>
      <c r="J38" s="260">
        <f>SUM(J35:J37)</f>
        <v>0.0</v>
      </c>
      <c r="K38" s="260">
        <f>SUM(K35:K37)</f>
        <v>0.0</v>
      </c>
      <c r="L38" s="260">
        <f>SUM(L35:L37)</f>
        <v>10059.121375069928</v>
      </c>
      <c r="M38" s="260">
        <f>SUM(M35:M37)</f>
        <v>9938.509050163299</v>
      </c>
      <c r="N38" s="260">
        <f>SUM(N35:N37)</f>
        <v>10500.907630137393</v>
      </c>
      <c r="O38" s="260">
        <f>SUM(O35:O37)</f>
        <v>10294.313666666665</v>
      </c>
      <c r="P38" s="260">
        <f>SUM(P35:P37)</f>
        <v>10848.510063957356</v>
      </c>
      <c r="Q38" s="260">
        <f>SUM(Q35:Q37)</f>
        <v>10548.532531167835</v>
      </c>
      <c r="R38" s="260">
        <f>SUM(R35:R37)</f>
        <v>11116.414850938825</v>
      </c>
      <c r="S38" s="260">
        <f>SUM(S35:S37)</f>
        <v>10809.02935</v>
      </c>
      <c r="T38" s="260">
        <f>SUM(T35:T37)</f>
        <v>11363.716888629026</v>
      </c>
      <c r="U38" s="260">
        <f>SUM(U35:U37)</f>
        <v>11023.090315729425</v>
      </c>
      <c r="V38" s="260">
        <f>SUM(V35:V37)</f>
        <v>11588.762832412656</v>
      </c>
      <c r="W38" s="260">
        <f>SUM(W35:W37)</f>
        <v>11241.390524</v>
      </c>
      <c r="X38" s="260">
        <f>SUM(X35:X37)</f>
        <v>11789.75325620654</v>
      </c>
      <c r="Y38" s="260">
        <f>SUM(Y35:Y37)</f>
        <v>11408.765346893117</v>
      </c>
      <c r="Z38" s="260">
        <f>SUM(Z35:Z37)</f>
        <v>11965.292737643309</v>
      </c>
      <c r="AA38" s="260">
        <f>SUM(AA35:AA37)</f>
        <v>11578.632239719997</v>
      </c>
      <c r="AB38" s="260">
        <f>SUM(AB35:AB37)</f>
        <v>12143.445853892736</v>
      </c>
      <c r="AC38" s="260">
        <f>SUM(AC35:AC37)</f>
        <v>11751.028307299908</v>
      </c>
      <c r="AD38" s="260">
        <f>SUM(AD35:AD37)</f>
        <v>12324.251519772608</v>
      </c>
      <c r="AE38" s="260">
        <f>SUM(AE35:AE37)</f>
        <v>11925.991206911593</v>
      </c>
      <c r="AF38" s="260">
        <f>SUM(AF35:AF37)</f>
        <v>12507.749229509513</v>
      </c>
      <c r="AG38" s="260">
        <f>SUM(AG35:AG37)</f>
        <v>12103.559156518902</v>
      </c>
      <c r="AH38" s="260">
        <f>SUM(AH35:AH37)</f>
        <v>12693.97906536578</v>
      </c>
      <c r="AI38" s="260">
        <f>SUM(AI35:AI37)</f>
        <v>12283.770943118936</v>
      </c>
      <c r="AJ38" s="260">
        <f>SUM(AJ35:AJ37)</f>
        <v>12882.981706394796</v>
      </c>
      <c r="AK38" s="260">
        <f>SUM(AK35:AK37)</f>
        <v>12466.665931214466</v>
      </c>
      <c r="AL38" s="260">
        <f>SUM(AL35:AL37)</f>
        <v>13074.798437326746</v>
      </c>
      <c r="AM38" s="260">
        <f>SUM(AM35:AM37)</f>
        <v>12652.2840714125</v>
      </c>
      <c r="AN38" s="260">
        <f>SUM(AN35:AN37)</f>
        <v>13269.471157586635</v>
      </c>
      <c r="AO38" s="260">
        <f>SUM(AO35:AO37)</f>
        <v>12840.665909150894</v>
      </c>
      <c r="AP38" s="260">
        <f>SUM(AP35:AP37)</f>
        <v>13467.042390446544</v>
      </c>
      <c r="AQ38" s="260">
        <f>SUM(AQ35:AQ37)</f>
        <v>13031.85259355487</v>
      </c>
      <c r="AR38" s="260">
        <f>SUM(AR35:AR37)</f>
        <v>13667.55529231423</v>
      </c>
      <c r="AS38" s="260">
        <f>SUM(AS35:AS37)</f>
        <v>13225.885886425416</v>
      </c>
      <c r="AT38" s="260">
        <f>SUM(AT35:AT37)</f>
        <v>13871.053662159937</v>
      </c>
      <c r="AU38" s="260">
        <f>SUM(AU35:AU37)</f>
        <v>13422.808171361512</v>
      </c>
      <c r="AV38" s="260">
        <f>SUM(AV35:AV37)</f>
        <v>14077.58195108365</v>
      </c>
      <c r="AW38" s="260">
        <f>SUM(AW35:AW37)</f>
        <v>13622.662463018176</v>
      </c>
      <c r="AX38" s="260">
        <f>SUM(AX35:AX37)</f>
        <v>14287.18527202473</v>
      </c>
      <c r="AY38" s="260">
        <f>SUM(AY35:AY37)</f>
        <v>13825.492416502351</v>
      </c>
      <c r="AZ38" s="260">
        <f>SUM(AZ35:AZ37)</f>
        <v>14499.909409616155</v>
      </c>
      <c r="BA38" s="260">
        <f>SUM(BA35:BA37)</f>
        <v>14031.342336908714</v>
      </c>
      <c r="BB38" s="260">
        <f>SUM(BB35:BB37)</f>
        <v>14715.800830185466</v>
      </c>
      <c r="BC38" s="260">
        <f>SUM(BC35:BC37)</f>
        <v>14240.257188997417</v>
      </c>
      <c r="BD38" s="260">
        <f>SUM(BD35:BD37)</f>
        <v>14934.906691904634</v>
      </c>
      <c r="BE38" s="260">
        <f>SUM(BE35:BE37)</f>
        <v>14452.282607015972</v>
      </c>
      <c r="BF38" s="260">
        <f>SUM(BF35:BF37)</f>
        <v>15157.274855091027</v>
      </c>
      <c r="BG38" s="260">
        <f>SUM(BG35:BG37)</f>
        <v>14667.464904667335</v>
      </c>
      <c r="BH38" s="260">
        <f>SUM(BH35:BH37)</f>
        <v>14776.25454466263</v>
      </c>
      <c r="BI38" s="260">
        <f>SUM(BI35:BI37)</f>
        <v>15497.050365837194</v>
      </c>
      <c r="BJ38" s="260">
        <f>SUM(BJ35:BJ37)</f>
        <v>14996.260511198212</v>
      </c>
      <c r="BK38" s="260">
        <f>SUM(BK35:BK37)</f>
        <v>15727.788374165439</v>
      </c>
      <c r="BL38" s="260">
        <f>SUM(BL35:BL37)</f>
        <v>15219.542181002504</v>
      </c>
      <c r="BM38" s="260">
        <f>SUM(BM35:BM37)</f>
        <v>15961.961876812307</v>
      </c>
      <c r="BN38" s="260">
        <f>SUM(BN35:BN37)</f>
        <v>15446.148326534154</v>
      </c>
      <c r="BO38" s="260">
        <f>SUM(BO35:BO37)</f>
        <v>16199.622025390398</v>
      </c>
      <c r="BP38" s="260">
        <f>SUM(BP35:BP37)</f>
        <v>15676.128446432574</v>
      </c>
      <c r="BQ38" s="260">
        <f>SUM(BQ35:BQ37)</f>
        <v>15792.399416316726</v>
      </c>
      <c r="BR38" s="260">
        <f>SUM(BR35:BR37)</f>
        <v>16562.763480579037</v>
      </c>
      <c r="BS38" s="260">
        <f>SUM(BS35:BS37)</f>
        <v>16027.534922882409</v>
      </c>
      <c r="BT38" s="260">
        <f>SUM(BT35:BT37)</f>
        <v>16809.3690582666</v>
      </c>
      <c r="BU38" s="260">
        <f>SUM(BU35:BU37)</f>
        <v>16266.171398806224</v>
      </c>
      <c r="BV38" s="260">
        <f>SUM(BV35:BV37)</f>
        <v>17059.646384996402</v>
      </c>
      <c r="BW38" s="260">
        <f>SUM(BW35:BW37)</f>
        <v>17186.179006736664</v>
      </c>
      <c r="BX38" s="260">
        <f>SUM(BX35:BX37)</f>
        <v>17313.650130014594</v>
      </c>
      <c r="BY38" s="260">
        <f>SUM(BY35:BY37)</f>
        <v>17442.066715763467</v>
      </c>
      <c r="BZ38" s="260">
        <f>SUM(BZ35:BZ37)</f>
        <v>17571.435776546292</v>
      </c>
      <c r="CA38" s="260">
        <f>SUM(CA35:CA37)</f>
        <v>17701.764376938754</v>
      </c>
      <c r="CB38" s="260">
        <f>SUM(CB35:CB37)</f>
        <v>17833.059633915025</v>
      </c>
      <c r="CC38" s="260">
        <f>SUM(CC35:CC37)</f>
        <v>17965.328717236367</v>
      </c>
      <c r="CD38" s="260">
        <f>SUM(CD35:CD37)</f>
        <v>18098.578849842674</v>
      </c>
      <c r="CE38" s="260">
        <f>SUM(CE35:CE37)</f>
        <v>18232.817308246915</v>
      </c>
      <c r="CF38" s="260">
        <f>SUM(CF35:CF37)</f>
        <v>18368.051422932473</v>
      </c>
      <c r="CG38" s="260">
        <f>SUM(CG35:CG37)</f>
        <v>18504.28857875345</v>
      </c>
      <c r="CH38" s="260">
        <f>SUM(CH35:CH37)</f>
        <v>18641.53621533795</v>
      </c>
      <c r="CI38" s="260">
        <f>SUM(CI35:CI37)</f>
        <v>18779.801827494317</v>
      </c>
      <c r="CJ38" s="260">
        <f>SUM(CJ35:CJ37)</f>
        <v>18919.09296562044</v>
      </c>
      <c r="CK38" s="260">
        <f>SUM(CK35:CK37)</f>
        <v>19059.417236116045</v>
      </c>
      <c r="CL38" s="260">
        <f>SUM(CL35:CL37)</f>
        <v>19200.782301798077</v>
      </c>
      <c r="CM38" s="260">
        <f>SUM(CM35:CM37)</f>
        <v>19343.19588231914</v>
      </c>
      <c r="CN38" s="260">
        <f>SUM(CN35:CN37)</f>
        <v>0.0</v>
      </c>
      <c r="CO38" s="260">
        <f>SUM(CO35:CO37)</f>
        <v>0.0</v>
      </c>
    </row>
    <row r="39" s="396">
      <c r="A39" s="348" t="n"/>
      <c r="B39" s="348" t="n"/>
      <c r="C39" s="349" t="n"/>
      <c r="D39" s="193" t="n"/>
      <c r="E39" s="150" t="str">
        <f> LEFT(E38, LEN(E38) - 4)</f>
        <v>Operating cost</v>
      </c>
      <c r="F39" s="150" t="inlineStr">
        <is>
          <t>IS</t>
        </is>
      </c>
      <c r="G39" s="150" t="str">
        <f> G38</f>
        <v>$ 000s</v>
      </c>
      <c r="H39" s="150">
        <f> SUM(J39:CO39)</f>
        <v>-1152373.432337585</v>
      </c>
      <c r="I39" s="150" t="n"/>
      <c r="J39" s="150">
        <f> -1 * J38</f>
        <v>-0.0</v>
      </c>
      <c r="K39" s="150">
        <f> -1 * K38</f>
        <v>-0.0</v>
      </c>
      <c r="L39" s="150">
        <f> -1 * L38</f>
        <v>-10059.121375069928</v>
      </c>
      <c r="M39" s="150">
        <f> -1 * M38</f>
        <v>-9938.509050163299</v>
      </c>
      <c r="N39" s="150">
        <f> -1 * N38</f>
        <v>-10500.907630137393</v>
      </c>
      <c r="O39" s="150">
        <f> -1 * O38</f>
        <v>-10294.313666666665</v>
      </c>
      <c r="P39" s="150">
        <f> -1 * P38</f>
        <v>-10848.510063957356</v>
      </c>
      <c r="Q39" s="150">
        <f> -1 * Q38</f>
        <v>-10548.532531167835</v>
      </c>
      <c r="R39" s="150">
        <f> -1 * R38</f>
        <v>-11116.414850938825</v>
      </c>
      <c r="S39" s="150">
        <f> -1 * S38</f>
        <v>-10809.02935</v>
      </c>
      <c r="T39" s="150">
        <f> -1 * T38</f>
        <v>-11363.716888629026</v>
      </c>
      <c r="U39" s="150">
        <f> -1 * U38</f>
        <v>-11023.090315729425</v>
      </c>
      <c r="V39" s="150">
        <f> -1 * V38</f>
        <v>-11588.762832412656</v>
      </c>
      <c r="W39" s="150">
        <f> -1 * W38</f>
        <v>-11241.390524</v>
      </c>
      <c r="X39" s="150">
        <f> -1 * X38</f>
        <v>-11789.75325620654</v>
      </c>
      <c r="Y39" s="150">
        <f> -1 * Y38</f>
        <v>-11408.765346893117</v>
      </c>
      <c r="Z39" s="150">
        <f> -1 * Z38</f>
        <v>-11965.292737643309</v>
      </c>
      <c r="AA39" s="150">
        <f> -1 * AA38</f>
        <v>-11578.632239719997</v>
      </c>
      <c r="AB39" s="150">
        <f> -1 * AB38</f>
        <v>-12143.445853892736</v>
      </c>
      <c r="AC39" s="150">
        <f> -1 * AC38</f>
        <v>-11751.028307299908</v>
      </c>
      <c r="AD39" s="150">
        <f> -1 * AD38</f>
        <v>-12324.251519772608</v>
      </c>
      <c r="AE39" s="150">
        <f> -1 * AE38</f>
        <v>-11925.991206911593</v>
      </c>
      <c r="AF39" s="150">
        <f> -1 * AF38</f>
        <v>-12507.749229509513</v>
      </c>
      <c r="AG39" s="150">
        <f> -1 * AG38</f>
        <v>-12103.559156518902</v>
      </c>
      <c r="AH39" s="150">
        <f> -1 * AH38</f>
        <v>-12693.97906536578</v>
      </c>
      <c r="AI39" s="150">
        <f> -1 * AI38</f>
        <v>-12283.770943118936</v>
      </c>
      <c r="AJ39" s="150">
        <f> -1 * AJ38</f>
        <v>-12882.981706394796</v>
      </c>
      <c r="AK39" s="150">
        <f> -1 * AK38</f>
        <v>-12466.665931214466</v>
      </c>
      <c r="AL39" s="150">
        <f> -1 * AL38</f>
        <v>-13074.798437326746</v>
      </c>
      <c r="AM39" s="150">
        <f> -1 * AM38</f>
        <v>-12652.2840714125</v>
      </c>
      <c r="AN39" s="150">
        <f> -1 * AN38</f>
        <v>-13269.471157586635</v>
      </c>
      <c r="AO39" s="150">
        <f> -1 * AO38</f>
        <v>-12840.665909150894</v>
      </c>
      <c r="AP39" s="150">
        <f> -1 * AP38</f>
        <v>-13467.042390446544</v>
      </c>
      <c r="AQ39" s="150">
        <f> -1 * AQ38</f>
        <v>-13031.85259355487</v>
      </c>
      <c r="AR39" s="150">
        <f> -1 * AR38</f>
        <v>-13667.55529231423</v>
      </c>
      <c r="AS39" s="150">
        <f> -1 * AS38</f>
        <v>-13225.885886425416</v>
      </c>
      <c r="AT39" s="150">
        <f> -1 * AT38</f>
        <v>-13871.053662159937</v>
      </c>
      <c r="AU39" s="150">
        <f> -1 * AU38</f>
        <v>-13422.808171361512</v>
      </c>
      <c r="AV39" s="150">
        <f> -1 * AV38</f>
        <v>-14077.58195108365</v>
      </c>
      <c r="AW39" s="150">
        <f> -1 * AW38</f>
        <v>-13622.662463018176</v>
      </c>
      <c r="AX39" s="150">
        <f> -1 * AX38</f>
        <v>-14287.18527202473</v>
      </c>
      <c r="AY39" s="150">
        <f> -1 * AY38</f>
        <v>-13825.492416502351</v>
      </c>
      <c r="AZ39" s="150">
        <f> -1 * AZ38</f>
        <v>-14499.909409616155</v>
      </c>
      <c r="BA39" s="150">
        <f> -1 * BA38</f>
        <v>-14031.342336908714</v>
      </c>
      <c r="BB39" s="150">
        <f> -1 * BB38</f>
        <v>-14715.800830185466</v>
      </c>
      <c r="BC39" s="150">
        <f> -1 * BC38</f>
        <v>-14240.257188997417</v>
      </c>
      <c r="BD39" s="150">
        <f> -1 * BD38</f>
        <v>-14934.906691904634</v>
      </c>
      <c r="BE39" s="150">
        <f> -1 * BE38</f>
        <v>-14452.282607015972</v>
      </c>
      <c r="BF39" s="150">
        <f> -1 * BF38</f>
        <v>-15157.274855091027</v>
      </c>
      <c r="BG39" s="150">
        <f> -1 * BG38</f>
        <v>-14667.464904667335</v>
      </c>
      <c r="BH39" s="150">
        <f> -1 * BH38</f>
        <v>-14776.25454466263</v>
      </c>
      <c r="BI39" s="150">
        <f> -1 * BI38</f>
        <v>-15497.050365837194</v>
      </c>
      <c r="BJ39" s="150">
        <f> -1 * BJ38</f>
        <v>-14996.260511198212</v>
      </c>
      <c r="BK39" s="150">
        <f> -1 * BK38</f>
        <v>-15727.788374165439</v>
      </c>
      <c r="BL39" s="150">
        <f> -1 * BL38</f>
        <v>-15219.542181002504</v>
      </c>
      <c r="BM39" s="150">
        <f> -1 * BM38</f>
        <v>-15961.961876812307</v>
      </c>
      <c r="BN39" s="150">
        <f> -1 * BN38</f>
        <v>-15446.148326534154</v>
      </c>
      <c r="BO39" s="150">
        <f> -1 * BO38</f>
        <v>-16199.622025390398</v>
      </c>
      <c r="BP39" s="150">
        <f> -1 * BP38</f>
        <v>-15676.128446432574</v>
      </c>
      <c r="BQ39" s="150">
        <f> -1 * BQ38</f>
        <v>-15792.399416316726</v>
      </c>
      <c r="BR39" s="150">
        <f> -1 * BR38</f>
        <v>-16562.763480579037</v>
      </c>
      <c r="BS39" s="150">
        <f> -1 * BS38</f>
        <v>-16027.534922882409</v>
      </c>
      <c r="BT39" s="150">
        <f> -1 * BT38</f>
        <v>-16809.3690582666</v>
      </c>
      <c r="BU39" s="150">
        <f> -1 * BU38</f>
        <v>-16266.171398806224</v>
      </c>
      <c r="BV39" s="150">
        <f> -1 * BV38</f>
        <v>-17059.646384996402</v>
      </c>
      <c r="BW39" s="150">
        <f> -1 * BW38</f>
        <v>-17186.179006736664</v>
      </c>
      <c r="BX39" s="150">
        <f> -1 * BX38</f>
        <v>-17313.650130014594</v>
      </c>
      <c r="BY39" s="150">
        <f> -1 * BY38</f>
        <v>-17442.066715763467</v>
      </c>
      <c r="BZ39" s="150">
        <f> -1 * BZ38</f>
        <v>-17571.435776546292</v>
      </c>
      <c r="CA39" s="150">
        <f> -1 * CA38</f>
        <v>-17701.764376938754</v>
      </c>
      <c r="CB39" s="150">
        <f> -1 * CB38</f>
        <v>-17833.059633915025</v>
      </c>
      <c r="CC39" s="150">
        <f> -1 * CC38</f>
        <v>-17965.328717236367</v>
      </c>
      <c r="CD39" s="150">
        <f> -1 * CD38</f>
        <v>-18098.578849842674</v>
      </c>
      <c r="CE39" s="150">
        <f> -1 * CE38</f>
        <v>-18232.817308246915</v>
      </c>
      <c r="CF39" s="150">
        <f> -1 * CF38</f>
        <v>-18368.051422932473</v>
      </c>
      <c r="CG39" s="150">
        <f> -1 * CG38</f>
        <v>-18504.28857875345</v>
      </c>
      <c r="CH39" s="150">
        <f> -1 * CH38</f>
        <v>-18641.53621533795</v>
      </c>
      <c r="CI39" s="150">
        <f> -1 * CI38</f>
        <v>-18779.801827494317</v>
      </c>
      <c r="CJ39" s="150">
        <f> -1 * CJ38</f>
        <v>-18919.09296562044</v>
      </c>
      <c r="CK39" s="150">
        <f> -1 * CK38</f>
        <v>-19059.417236116045</v>
      </c>
      <c r="CL39" s="150">
        <f> -1 * CL38</f>
        <v>-19200.782301798077</v>
      </c>
      <c r="CM39" s="150">
        <f> -1 * CM38</f>
        <v>-19343.19588231914</v>
      </c>
      <c r="CN39" s="150">
        <f> -1 * CN38</f>
        <v>-0.0</v>
      </c>
      <c r="CO39" s="150">
        <f> -1 * CO38</f>
        <v>-0.0</v>
      </c>
    </row>
    <row r="41">
      <c r="A41" s="294" t="inlineStr">
        <is>
          <t>OPERATING COST PAID</t>
        </is>
      </c>
    </row>
    <row r="43">
      <c r="E43" s="325" t="str">
        <f> InpC!E$50</f>
        <v>Account payables days</v>
      </c>
      <c r="F43" s="325">
        <f> InpC!F$50</f>
        <v>35.0</v>
      </c>
      <c r="G43" s="325" t="str">
        <f> InpC!G$50</f>
        <v>days</v>
      </c>
      <c r="H43" s="325" t="n"/>
    </row>
    <row r="44">
      <c r="E44" s="324" t="str">
        <f> Time!E$30</f>
        <v>Days in model period</v>
      </c>
      <c r="F44" s="324">
        <f> Time!F$30</f>
        <v>0.0</v>
      </c>
      <c r="G44" s="324" t="str">
        <f> Time!G$30</f>
        <v>days</v>
      </c>
      <c r="H44" s="324">
        <f> Time!H$30</f>
        <v>0.0</v>
      </c>
      <c r="I44" s="324">
        <f> Time!I$30</f>
        <v>0.0</v>
      </c>
      <c r="J44" s="324">
        <f> Time!J$30</f>
        <v>92.0</v>
      </c>
      <c r="K44" s="324">
        <f> Time!K$30</f>
        <v>92.0</v>
      </c>
      <c r="L44" s="324">
        <f> Time!L$30</f>
        <v>90.0</v>
      </c>
      <c r="M44" s="324">
        <f> Time!M$30</f>
        <v>91.0</v>
      </c>
      <c r="N44" s="324">
        <f> Time!N$30</f>
        <v>92.0</v>
      </c>
      <c r="O44" s="324">
        <f> Time!O$30</f>
        <v>92.0</v>
      </c>
      <c r="P44" s="324">
        <f> Time!P$30</f>
        <v>90.0</v>
      </c>
      <c r="Q44" s="324">
        <f> Time!Q$30</f>
        <v>91.0</v>
      </c>
      <c r="R44" s="324">
        <f> Time!R$30</f>
        <v>92.0</v>
      </c>
      <c r="S44" s="324">
        <f> Time!S$30</f>
        <v>92.0</v>
      </c>
      <c r="T44" s="324">
        <f> Time!T$30</f>
        <v>91.0</v>
      </c>
      <c r="U44" s="324">
        <f> Time!U$30</f>
        <v>91.0</v>
      </c>
      <c r="V44" s="324">
        <f> Time!V$30</f>
        <v>92.0</v>
      </c>
      <c r="W44" s="324">
        <f> Time!W$30</f>
        <v>92.0</v>
      </c>
      <c r="X44" s="324">
        <f> Time!X$30</f>
        <v>90.0</v>
      </c>
      <c r="Y44" s="324">
        <f> Time!Y$30</f>
        <v>91.0</v>
      </c>
      <c r="Z44" s="324">
        <f> Time!Z$30</f>
        <v>92.0</v>
      </c>
      <c r="AA44" s="324">
        <f> Time!AA$30</f>
        <v>92.0</v>
      </c>
      <c r="AB44" s="324">
        <f> Time!AB$30</f>
        <v>90.0</v>
      </c>
      <c r="AC44" s="324">
        <f> Time!AC$30</f>
        <v>91.0</v>
      </c>
      <c r="AD44" s="324">
        <f> Time!AD$30</f>
        <v>92.0</v>
      </c>
      <c r="AE44" s="324">
        <f> Time!AE$30</f>
        <v>92.0</v>
      </c>
      <c r="AF44" s="324">
        <f> Time!AF$30</f>
        <v>90.0</v>
      </c>
      <c r="AG44" s="324">
        <f> Time!AG$30</f>
        <v>91.0</v>
      </c>
      <c r="AH44" s="324">
        <f> Time!AH$30</f>
        <v>92.0</v>
      </c>
      <c r="AI44" s="324">
        <f> Time!AI$30</f>
        <v>92.0</v>
      </c>
      <c r="AJ44" s="324">
        <f> Time!AJ$30</f>
        <v>91.0</v>
      </c>
      <c r="AK44" s="324">
        <f> Time!AK$30</f>
        <v>91.0</v>
      </c>
      <c r="AL44" s="324">
        <f> Time!AL$30</f>
        <v>92.0</v>
      </c>
      <c r="AM44" s="324">
        <f> Time!AM$30</f>
        <v>92.0</v>
      </c>
      <c r="AN44" s="324">
        <f> Time!AN$30</f>
        <v>90.0</v>
      </c>
      <c r="AO44" s="324">
        <f> Time!AO$30</f>
        <v>91.0</v>
      </c>
      <c r="AP44" s="324">
        <f> Time!AP$30</f>
        <v>92.0</v>
      </c>
      <c r="AQ44" s="324">
        <f> Time!AQ$30</f>
        <v>92.0</v>
      </c>
      <c r="AR44" s="324">
        <f> Time!AR$30</f>
        <v>90.0</v>
      </c>
      <c r="AS44" s="324">
        <f> Time!AS$30</f>
        <v>91.0</v>
      </c>
      <c r="AT44" s="324">
        <f> Time!AT$30</f>
        <v>92.0</v>
      </c>
      <c r="AU44" s="324">
        <f> Time!AU$30</f>
        <v>92.0</v>
      </c>
      <c r="AV44" s="324">
        <f> Time!AV$30</f>
        <v>90.0</v>
      </c>
      <c r="AW44" s="324">
        <f> Time!AW$30</f>
        <v>91.0</v>
      </c>
      <c r="AX44" s="324">
        <f> Time!AX$30</f>
        <v>92.0</v>
      </c>
      <c r="AY44" s="324">
        <f> Time!AY$30</f>
        <v>92.0</v>
      </c>
      <c r="AZ44" s="324">
        <f> Time!AZ$30</f>
        <v>91.0</v>
      </c>
      <c r="BA44" s="324">
        <f> Time!BA$30</f>
        <v>91.0</v>
      </c>
      <c r="BB44" s="324">
        <f> Time!BB$30</f>
        <v>92.0</v>
      </c>
      <c r="BC44" s="324">
        <f> Time!BC$30</f>
        <v>92.0</v>
      </c>
      <c r="BD44" s="324">
        <f> Time!BD$30</f>
        <v>90.0</v>
      </c>
      <c r="BE44" s="324">
        <f> Time!BE$30</f>
        <v>91.0</v>
      </c>
      <c r="BF44" s="324">
        <f> Time!BF$30</f>
        <v>92.0</v>
      </c>
      <c r="BG44" s="324">
        <f> Time!BG$30</f>
        <v>92.0</v>
      </c>
      <c r="BH44" s="324">
        <f> Time!BH$30</f>
        <v>90.0</v>
      </c>
      <c r="BI44" s="324">
        <f> Time!BI$30</f>
        <v>91.0</v>
      </c>
      <c r="BJ44" s="324">
        <f> Time!BJ$30</f>
        <v>92.0</v>
      </c>
      <c r="BK44" s="324">
        <f> Time!BK$30</f>
        <v>92.0</v>
      </c>
      <c r="BL44" s="324">
        <f> Time!BL$30</f>
        <v>90.0</v>
      </c>
      <c r="BM44" s="324">
        <f> Time!BM$30</f>
        <v>91.0</v>
      </c>
      <c r="BN44" s="324">
        <f> Time!BN$30</f>
        <v>92.0</v>
      </c>
      <c r="BO44" s="324">
        <f> Time!BO$30</f>
        <v>92.0</v>
      </c>
      <c r="BP44" s="324">
        <f> Time!BP$30</f>
        <v>91.0</v>
      </c>
      <c r="BQ44" s="324">
        <f> Time!BQ$30</f>
        <v>91.0</v>
      </c>
      <c r="BR44" s="324">
        <f> Time!BR$30</f>
        <v>92.0</v>
      </c>
      <c r="BS44" s="324">
        <f> Time!BS$30</f>
        <v>92.0</v>
      </c>
      <c r="BT44" s="324">
        <f> Time!BT$30</f>
        <v>90.0</v>
      </c>
      <c r="BU44" s="324">
        <f> Time!BU$30</f>
        <v>91.0</v>
      </c>
      <c r="BV44" s="324">
        <f> Time!BV$30</f>
        <v>92.0</v>
      </c>
      <c r="BW44" s="324">
        <f> Time!BW$30</f>
        <v>92.0</v>
      </c>
      <c r="BX44" s="324">
        <f> Time!BX$30</f>
        <v>90.0</v>
      </c>
      <c r="BY44" s="324">
        <f> Time!BY$30</f>
        <v>91.0</v>
      </c>
      <c r="BZ44" s="324">
        <f> Time!BZ$30</f>
        <v>92.0</v>
      </c>
      <c r="CA44" s="324">
        <f> Time!CA$30</f>
        <v>92.0</v>
      </c>
      <c r="CB44" s="324">
        <f> Time!CB$30</f>
        <v>90.0</v>
      </c>
      <c r="CC44" s="324">
        <f> Time!CC$30</f>
        <v>91.0</v>
      </c>
      <c r="CD44" s="324">
        <f> Time!CD$30</f>
        <v>92.0</v>
      </c>
      <c r="CE44" s="324">
        <f> Time!CE$30</f>
        <v>92.0</v>
      </c>
      <c r="CF44" s="324">
        <f> Time!CF$30</f>
        <v>91.0</v>
      </c>
      <c r="CG44" s="324">
        <f> Time!CG$30</f>
        <v>91.0</v>
      </c>
      <c r="CH44" s="324">
        <f> Time!CH$30</f>
        <v>92.0</v>
      </c>
      <c r="CI44" s="324">
        <f> Time!CI$30</f>
        <v>92.0</v>
      </c>
      <c r="CJ44" s="324">
        <f> Time!CJ$30</f>
        <v>90.0</v>
      </c>
      <c r="CK44" s="324">
        <f> Time!CK$30</f>
        <v>91.0</v>
      </c>
      <c r="CL44" s="324">
        <f> Time!CL$30</f>
        <v>92.0</v>
      </c>
      <c r="CM44" s="324">
        <f> Time!CM$30</f>
        <v>92.0</v>
      </c>
      <c r="CN44" s="324">
        <f> Time!CN$30</f>
        <v>90.0</v>
      </c>
      <c r="CO44" s="324">
        <f> Time!CO$30</f>
        <v>91.0</v>
      </c>
    </row>
    <row r="45">
      <c r="E45" s="61" t="str">
        <f> E$38</f>
        <v>Operating cost POS</v>
      </c>
      <c r="F45" s="61">
        <f> F$38</f>
        <v>0.0</v>
      </c>
      <c r="G45" s="61" t="str">
        <f> G$38</f>
        <v>$ 000s</v>
      </c>
      <c r="H45" s="61">
        <f> H$38</f>
        <v>1152373.432337585</v>
      </c>
      <c r="I45" s="61">
        <f> I$38</f>
        <v>0.0</v>
      </c>
      <c r="J45" s="61">
        <f> J$38</f>
        <v>0.0</v>
      </c>
      <c r="K45" s="61">
        <f> K$38</f>
        <v>0.0</v>
      </c>
      <c r="L45" s="61">
        <f> L$38</f>
        <v>10059.121375069928</v>
      </c>
      <c r="M45" s="61">
        <f> M$38</f>
        <v>9938.509050163299</v>
      </c>
      <c r="N45" s="61">
        <f> N$38</f>
        <v>10500.907630137393</v>
      </c>
      <c r="O45" s="61">
        <f> O$38</f>
        <v>10294.313666666665</v>
      </c>
      <c r="P45" s="61">
        <f> P$38</f>
        <v>10848.510063957356</v>
      </c>
      <c r="Q45" s="61">
        <f> Q$38</f>
        <v>10548.532531167835</v>
      </c>
      <c r="R45" s="61">
        <f> R$38</f>
        <v>11116.414850938825</v>
      </c>
      <c r="S45" s="61">
        <f> S$38</f>
        <v>10809.02935</v>
      </c>
      <c r="T45" s="61">
        <f> T$38</f>
        <v>11363.716888629026</v>
      </c>
      <c r="U45" s="61">
        <f> U$38</f>
        <v>11023.090315729425</v>
      </c>
      <c r="V45" s="61">
        <f> V$38</f>
        <v>11588.762832412656</v>
      </c>
      <c r="W45" s="61">
        <f> W$38</f>
        <v>11241.390524</v>
      </c>
      <c r="X45" s="61">
        <f> X$38</f>
        <v>11789.75325620654</v>
      </c>
      <c r="Y45" s="61">
        <f> Y$38</f>
        <v>11408.765346893117</v>
      </c>
      <c r="Z45" s="61">
        <f> Z$38</f>
        <v>11965.292737643309</v>
      </c>
      <c r="AA45" s="61">
        <f> AA$38</f>
        <v>11578.632239719997</v>
      </c>
      <c r="AB45" s="61">
        <f> AB$38</f>
        <v>12143.445853892736</v>
      </c>
      <c r="AC45" s="61">
        <f> AC$38</f>
        <v>11751.028307299908</v>
      </c>
      <c r="AD45" s="61">
        <f> AD$38</f>
        <v>12324.251519772608</v>
      </c>
      <c r="AE45" s="61">
        <f> AE$38</f>
        <v>11925.991206911593</v>
      </c>
      <c r="AF45" s="61">
        <f> AF$38</f>
        <v>12507.749229509513</v>
      </c>
      <c r="AG45" s="61">
        <f> AG$38</f>
        <v>12103.559156518902</v>
      </c>
      <c r="AH45" s="61">
        <f> AH$38</f>
        <v>12693.97906536578</v>
      </c>
      <c r="AI45" s="61">
        <f> AI$38</f>
        <v>12283.770943118936</v>
      </c>
      <c r="AJ45" s="61">
        <f> AJ$38</f>
        <v>12882.981706394796</v>
      </c>
      <c r="AK45" s="61">
        <f> AK$38</f>
        <v>12466.665931214466</v>
      </c>
      <c r="AL45" s="61">
        <f> AL$38</f>
        <v>13074.798437326746</v>
      </c>
      <c r="AM45" s="61">
        <f> AM$38</f>
        <v>12652.2840714125</v>
      </c>
      <c r="AN45" s="61">
        <f> AN$38</f>
        <v>13269.471157586635</v>
      </c>
      <c r="AO45" s="61">
        <f> AO$38</f>
        <v>12840.665909150894</v>
      </c>
      <c r="AP45" s="61">
        <f> AP$38</f>
        <v>13467.042390446544</v>
      </c>
      <c r="AQ45" s="61">
        <f> AQ$38</f>
        <v>13031.85259355487</v>
      </c>
      <c r="AR45" s="61">
        <f> AR$38</f>
        <v>13667.55529231423</v>
      </c>
      <c r="AS45" s="61">
        <f> AS$38</f>
        <v>13225.885886425416</v>
      </c>
      <c r="AT45" s="61">
        <f> AT$38</f>
        <v>13871.053662159937</v>
      </c>
      <c r="AU45" s="61">
        <f> AU$38</f>
        <v>13422.808171361512</v>
      </c>
      <c r="AV45" s="61">
        <f> AV$38</f>
        <v>14077.58195108365</v>
      </c>
      <c r="AW45" s="61">
        <f> AW$38</f>
        <v>13622.662463018176</v>
      </c>
      <c r="AX45" s="61">
        <f> AX$38</f>
        <v>14287.18527202473</v>
      </c>
      <c r="AY45" s="61">
        <f> AY$38</f>
        <v>13825.492416502351</v>
      </c>
      <c r="AZ45" s="61">
        <f> AZ$38</f>
        <v>14499.909409616155</v>
      </c>
      <c r="BA45" s="61">
        <f> BA$38</f>
        <v>14031.342336908714</v>
      </c>
      <c r="BB45" s="61">
        <f> BB$38</f>
        <v>14715.800830185466</v>
      </c>
      <c r="BC45" s="61">
        <f> BC$38</f>
        <v>14240.257188997417</v>
      </c>
      <c r="BD45" s="61">
        <f> BD$38</f>
        <v>14934.906691904634</v>
      </c>
      <c r="BE45" s="61">
        <f> BE$38</f>
        <v>14452.282607015972</v>
      </c>
      <c r="BF45" s="61">
        <f> BF$38</f>
        <v>15157.274855091027</v>
      </c>
      <c r="BG45" s="61">
        <f> BG$38</f>
        <v>14667.464904667335</v>
      </c>
      <c r="BH45" s="61">
        <f> BH$38</f>
        <v>14776.25454466263</v>
      </c>
      <c r="BI45" s="61">
        <f> BI$38</f>
        <v>15497.050365837194</v>
      </c>
      <c r="BJ45" s="61">
        <f> BJ$38</f>
        <v>14996.260511198212</v>
      </c>
      <c r="BK45" s="61">
        <f> BK$38</f>
        <v>15727.788374165439</v>
      </c>
      <c r="BL45" s="61">
        <f> BL$38</f>
        <v>15219.542181002504</v>
      </c>
      <c r="BM45" s="61">
        <f> BM$38</f>
        <v>15961.961876812307</v>
      </c>
      <c r="BN45" s="61">
        <f> BN$38</f>
        <v>15446.148326534154</v>
      </c>
      <c r="BO45" s="61">
        <f> BO$38</f>
        <v>16199.622025390398</v>
      </c>
      <c r="BP45" s="61">
        <f> BP$38</f>
        <v>15676.128446432574</v>
      </c>
      <c r="BQ45" s="61">
        <f> BQ$38</f>
        <v>15792.399416316726</v>
      </c>
      <c r="BR45" s="61">
        <f> BR$38</f>
        <v>16562.763480579037</v>
      </c>
      <c r="BS45" s="61">
        <f> BS$38</f>
        <v>16027.534922882409</v>
      </c>
      <c r="BT45" s="61">
        <f> BT$38</f>
        <v>16809.3690582666</v>
      </c>
      <c r="BU45" s="61">
        <f> BU$38</f>
        <v>16266.171398806224</v>
      </c>
      <c r="BV45" s="61">
        <f> BV$38</f>
        <v>17059.646384996402</v>
      </c>
      <c r="BW45" s="61">
        <f> BW$38</f>
        <v>17186.179006736664</v>
      </c>
      <c r="BX45" s="61">
        <f> BX$38</f>
        <v>17313.650130014594</v>
      </c>
      <c r="BY45" s="61">
        <f> BY$38</f>
        <v>17442.066715763467</v>
      </c>
      <c r="BZ45" s="61">
        <f> BZ$38</f>
        <v>17571.435776546292</v>
      </c>
      <c r="CA45" s="61">
        <f> CA$38</f>
        <v>17701.764376938754</v>
      </c>
      <c r="CB45" s="61">
        <f> CB$38</f>
        <v>17833.059633915025</v>
      </c>
      <c r="CC45" s="61">
        <f> CC$38</f>
        <v>17965.328717236367</v>
      </c>
      <c r="CD45" s="61">
        <f> CD$38</f>
        <v>18098.578849842674</v>
      </c>
      <c r="CE45" s="61">
        <f> CE$38</f>
        <v>18232.817308246915</v>
      </c>
      <c r="CF45" s="61">
        <f> CF$38</f>
        <v>18368.051422932473</v>
      </c>
      <c r="CG45" s="61">
        <f> CG$38</f>
        <v>18504.28857875345</v>
      </c>
      <c r="CH45" s="61">
        <f> CH$38</f>
        <v>18641.53621533795</v>
      </c>
      <c r="CI45" s="61">
        <f> CI$38</f>
        <v>18779.801827494317</v>
      </c>
      <c r="CJ45" s="61">
        <f> CJ$38</f>
        <v>18919.09296562044</v>
      </c>
      <c r="CK45" s="61">
        <f> CK$38</f>
        <v>19059.417236116045</v>
      </c>
      <c r="CL45" s="61">
        <f> CL$38</f>
        <v>19200.782301798077</v>
      </c>
      <c r="CM45" s="61">
        <f> CM$38</f>
        <v>19343.19588231914</v>
      </c>
      <c r="CN45" s="61">
        <f> CN$38</f>
        <v>0.0</v>
      </c>
      <c r="CO45" s="61">
        <f> CO$38</f>
        <v>0.0</v>
      </c>
    </row>
    <row r="46">
      <c r="E46" s="61" t="inlineStr">
        <is>
          <t>Cash paid out for invoices</t>
        </is>
      </c>
      <c r="G46" s="61" t="str">
        <f>SMU</f>
        <v>$ 000s</v>
      </c>
      <c r="J46" s="61">
        <f> (J44 - $F43) / J44 * J45</f>
        <v>0.0</v>
      </c>
      <c r="K46" s="61">
        <f> (K44 - $F43) / K44 * K45</f>
        <v>0.0</v>
      </c>
      <c r="L46" s="61">
        <f> (L44 - $F43) / L44 * L45</f>
        <v>6147.240840320512</v>
      </c>
      <c r="M46" s="61">
        <f> (M44 - $F43) / M44 * M45</f>
        <v>6116.005569331261</v>
      </c>
      <c r="N46" s="61">
        <f> (N44 - $F43) / N44 * N45</f>
        <v>6505.99711867208</v>
      </c>
      <c r="O46" s="61">
        <f> (O44 - $F43) / O44 * O45</f>
        <v>6377.998684782608</v>
      </c>
      <c r="P46" s="61">
        <f> (P44 - $F43) / P44 * P45</f>
        <v>6629.645039085051</v>
      </c>
      <c r="Q46" s="61">
        <f> (Q44 - $F43) / Q44 * Q45</f>
        <v>6491.404634564822</v>
      </c>
      <c r="R46" s="61">
        <f> (R44 - $F43) / R44 * R45</f>
        <v>6887.343983733837</v>
      </c>
      <c r="S46" s="61">
        <f> (S44 - $F43) / S44 * S45</f>
        <v>6696.898619021739</v>
      </c>
      <c r="T46" s="61">
        <f> (T44 - $F43) / T44 * T45</f>
        <v>6993.056546848631</v>
      </c>
      <c r="U46" s="61">
        <f> (U44 - $F43) / U44 * U45</f>
        <v>6783.440194295031</v>
      </c>
      <c r="V46" s="61">
        <f> (V44 - $F43) / V44 * V45</f>
        <v>7179.994363560015</v>
      </c>
      <c r="W46" s="61">
        <f> (W44 - $F43) / W44 * W45</f>
        <v>6964.774563782608</v>
      </c>
      <c r="X46" s="61">
        <f> (X44 - $F43) / X44 * X45</f>
        <v>7204.84921212622</v>
      </c>
      <c r="Y46" s="61">
        <f> (Y44 - $F43) / Y44 * Y45</f>
        <v>7020.778675011149</v>
      </c>
      <c r="Z46" s="61">
        <f> (Z44 - $F43) / Z44 * Z45</f>
        <v>7413.279196148572</v>
      </c>
      <c r="AA46" s="61">
        <f> (AA44 - $F43) / AA44 * AA45</f>
        <v>7173.717800696085</v>
      </c>
      <c r="AB46" s="61">
        <f> (AB44 - $F43) / AB44 * AB45</f>
        <v>7420.9946884900055</v>
      </c>
      <c r="AC46" s="61">
        <f> (AC44 - $F43) / AC44 * AC45</f>
        <v>7231.4020352614825</v>
      </c>
      <c r="AD46" s="61">
        <f> (AD44 - $F43) / AD44 * AD45</f>
        <v>7635.677572033029</v>
      </c>
      <c r="AE46" s="61">
        <f> (AE44 - $F43) / AE44 * AE45</f>
        <v>7388.929334716965</v>
      </c>
      <c r="AF46" s="61">
        <f> (AF44 - $F43) / AF44 * AF45</f>
        <v>7643.624529144703</v>
      </c>
      <c r="AG46" s="61">
        <f> (AG44 - $F43) / AG44 * AG45</f>
        <v>7448.344096319325</v>
      </c>
      <c r="AH46" s="61">
        <f> (AH44 - $F43) / AH44 * AH45</f>
        <v>7864.747899194015</v>
      </c>
      <c r="AI46" s="61">
        <f> (AI44 - $F43) / AI44 * AI45</f>
        <v>7610.597214758471</v>
      </c>
      <c r="AJ46" s="61">
        <f> (AJ44 - $F43) / AJ44 * AJ45</f>
        <v>7927.9887423967975</v>
      </c>
      <c r="AK46" s="61">
        <f> (AK44 - $F43) / AK44 * AK45</f>
        <v>7671.794419208903</v>
      </c>
      <c r="AL46" s="61">
        <f> (AL44 - $F43) / AL44 * AL45</f>
        <v>8100.690336169831</v>
      </c>
      <c r="AM46" s="61">
        <f> (AM44 - $F43) / AM44 * AM45</f>
        <v>7838.915131201222</v>
      </c>
      <c r="AN46" s="61">
        <f> (AN44 - $F43) / AN44 * AN45</f>
        <v>8109.121262969611</v>
      </c>
      <c r="AO46" s="61">
        <f> (AO44 - $F43) / AO44 * AO45</f>
        <v>7901.948251785166</v>
      </c>
      <c r="AP46" s="61">
        <f> (AP44 - $F43) / AP44 * AP45</f>
        <v>8343.711046254924</v>
      </c>
      <c r="AQ46" s="61">
        <f> (AQ44 - $F43) / AQ44 * AQ45</f>
        <v>8074.082585137256</v>
      </c>
      <c r="AR46" s="61">
        <f> (AR44 - $F43) / AR44 * AR45</f>
        <v>8352.394900858697</v>
      </c>
      <c r="AS46" s="61">
        <f> (AS44 - $F43) / AS44 * AS45</f>
        <v>8139.006699338718</v>
      </c>
      <c r="AT46" s="61">
        <f> (AT44 - $F43) / AT44 * AT45</f>
        <v>8594.02237764257</v>
      </c>
      <c r="AU46" s="61">
        <f> (AU44 - $F43) / AU44 * AU45</f>
        <v>8316.305062691372</v>
      </c>
      <c r="AV46" s="61">
        <f> (AV44 - $F43) / AV44 * AV45</f>
        <v>8602.966747884453</v>
      </c>
      <c r="AW46" s="61">
        <f> (AW44 - $F43) / AW44 * AW45</f>
        <v>8383.176900318878</v>
      </c>
      <c r="AX46" s="61">
        <f> (AX44 - $F43) / AX44 * AX45</f>
        <v>8851.843048971843</v>
      </c>
      <c r="AY46" s="61">
        <f> (AY44 - $F43) / AY44 * AY45</f>
        <v>8565.794214572108</v>
      </c>
      <c r="AZ46" s="61">
        <f> (AZ44 - $F43) / AZ44 * AZ45</f>
        <v>8923.021175148404</v>
      </c>
      <c r="BA46" s="61">
        <f> (BA44 - $F43) / BA44 * BA45</f>
        <v>8634.67220732844</v>
      </c>
      <c r="BB46" s="61">
        <f> (BB44 - $F43) / BB44 * BB45</f>
        <v>9117.398340440996</v>
      </c>
      <c r="BC46" s="61">
        <f> (BC44 - $F43) / BC44 * BC45</f>
        <v>8822.768041009269</v>
      </c>
      <c r="BD46" s="61">
        <f> (BD44 - $F43) / BD44 * BD45</f>
        <v>9126.88742283061</v>
      </c>
      <c r="BE46" s="61">
        <f> (BE44 - $F43) / BE44 * BE45</f>
        <v>8893.712373548291</v>
      </c>
      <c r="BF46" s="61">
        <f> (BF44 - $F43) / BF44 * BF45</f>
        <v>9390.920290654223</v>
      </c>
      <c r="BG46" s="61">
        <f> (BG44 - $F43) / BG44 * BG45</f>
        <v>9087.451082239544</v>
      </c>
      <c r="BH46" s="61">
        <f> (BH44 - $F43) / BH44 * BH45</f>
        <v>9029.933332849385</v>
      </c>
      <c r="BI46" s="61">
        <f> (BI44 - $F43) / BI44 * BI45</f>
        <v>9536.646378976735</v>
      </c>
      <c r="BJ46" s="61">
        <f> (BJ44 - $F43) / BJ44 * BJ45</f>
        <v>9291.161403677153</v>
      </c>
      <c r="BK46" s="61">
        <f> (BK44 - $F43) / BK44 * BK45</f>
        <v>9744.390623124238</v>
      </c>
      <c r="BL46" s="61">
        <f> (BL44 - $F43) / BL44 * BL45</f>
        <v>9300.831332834865</v>
      </c>
      <c r="BM46" s="61">
        <f> (BM44 - $F43) / BM44 * BM45</f>
        <v>9822.745770346035</v>
      </c>
      <c r="BN46" s="61">
        <f> (BN44 - $F43) / BN44 * BN45</f>
        <v>9569.896245787464</v>
      </c>
      <c r="BO46" s="61">
        <f> (BO44 - $F43) / BO44 * BO45</f>
        <v>10036.722341817964</v>
      </c>
      <c r="BP46" s="61">
        <f> (BP44 - $F43) / BP44 * BP45</f>
        <v>9646.84827472774</v>
      </c>
      <c r="BQ46" s="61">
        <f> (BQ44 - $F43) / BQ44 * BQ45</f>
        <v>9718.399640810294</v>
      </c>
      <c r="BR46" s="61">
        <f> (BR44 - $F43) / BR44 * BR45</f>
        <v>10261.712156445707</v>
      </c>
      <c r="BS46" s="61">
        <f> (BS44 - $F43) / BS44 * BS45</f>
        <v>9930.103158742362</v>
      </c>
      <c r="BT46" s="61">
        <f> (BT44 - $F43) / BT44 * BT45</f>
        <v>10272.392202274033</v>
      </c>
      <c r="BU46" s="61">
        <f> (BU44 - $F43) / BU44 * BU45</f>
        <v>10009.9516300346</v>
      </c>
      <c r="BV46" s="61">
        <f> (BV44 - $F43) / BV44 * BV45</f>
        <v>10569.563521139075</v>
      </c>
      <c r="BW46" s="61">
        <f> (BW44 - $F43) / BW44 * BW45</f>
        <v>10647.958732434672</v>
      </c>
      <c r="BX46" s="61">
        <f> (BX44 - $F43) / BX44 * BX45</f>
        <v>10580.563968342252</v>
      </c>
      <c r="BY46" s="61">
        <f> (BY44 - $F43) / BY44 * BY45</f>
        <v>10733.579517392904</v>
      </c>
      <c r="BZ46" s="61">
        <f> (BZ44 - $F43) / BZ44 * BZ45</f>
        <v>10886.650426773245</v>
      </c>
      <c r="CA46" s="61">
        <f> (CA44 - $F43) / CA44 * CA45</f>
        <v>10967.397494407705</v>
      </c>
      <c r="CB46" s="61">
        <f> (CB44 - $F43) / CB44 * CB45</f>
        <v>10897.980887392516</v>
      </c>
      <c r="CC46" s="61">
        <f> (CC44 - $F43) / CC44 * CC45</f>
        <v>11055.586902914689</v>
      </c>
      <c r="CD46" s="61">
        <f> (CD44 - $F43) / CD44 * CD45</f>
        <v>11213.249939576439</v>
      </c>
      <c r="CE46" s="61">
        <f> (CE44 - $F43) / CE44 * CE45</f>
        <v>11296.419419239935</v>
      </c>
      <c r="CF46" s="61">
        <f> (CF44 - $F43) / CF44 * CF45</f>
        <v>11303.416260266138</v>
      </c>
      <c r="CG46" s="61">
        <f> (CG44 - $F43) / CG44 * CG45</f>
        <v>11387.254510002123</v>
      </c>
      <c r="CH46" s="61">
        <f> (CH44 - $F43) / CH44 * CH45</f>
        <v>11549.64743776373</v>
      </c>
      <c r="CI46" s="61">
        <f> (CI44 - $F43) / CI44 * CI45</f>
        <v>11635.31200181713</v>
      </c>
      <c r="CJ46" s="61">
        <f> (CJ44 - $F43) / CJ44 * CJ45</f>
        <v>11561.667923434714</v>
      </c>
      <c r="CK46" s="61">
        <f> (CK44 - $F43) / CK44 * CK45</f>
        <v>11728.872145302183</v>
      </c>
      <c r="CL46" s="61">
        <f> (CL44 - $F43) / CL44 * CL45</f>
        <v>11896.136860896635</v>
      </c>
      <c r="CM46" s="61">
        <f> (CM44 - $F43) / CM44 * CM45</f>
        <v>11984.371361871641</v>
      </c>
      <c r="CN46" s="61">
        <f> (CN44 - $F43) / CN44 * CN45</f>
        <v>0.0</v>
      </c>
      <c r="CO46" s="61">
        <f> (CO44 - $F43) / CO44 * CO45</f>
        <v>0.0</v>
      </c>
    </row>
    <row r="47" customFormat="1" s="29"/>
    <row r="48" s="396">
      <c r="A48" s="355" t="n"/>
      <c r="B48" s="355" t="n"/>
      <c r="C48" s="356" t="n"/>
      <c r="D48" s="357" t="n"/>
      <c r="E48" s="29" t="str">
        <f> E$59</f>
        <v>Account payables balance BEG</v>
      </c>
      <c r="F48" s="29">
        <f> F$59</f>
        <v>0.0</v>
      </c>
      <c r="G48" s="29" t="str">
        <f> G$59</f>
        <v>$ 000s</v>
      </c>
      <c r="H48" s="29">
        <f> H$59</f>
        <v>0.0</v>
      </c>
      <c r="I48" s="29">
        <f> I$59</f>
        <v>0.0</v>
      </c>
      <c r="J48" s="29">
        <f> J$59</f>
        <v>0.0</v>
      </c>
      <c r="K48" s="29">
        <f> K$59</f>
        <v>0.0</v>
      </c>
      <c r="L48" s="29">
        <f> L$59</f>
        <v>0.0</v>
      </c>
      <c r="M48" s="29">
        <f> M$59</f>
        <v>3911.8805347494163</v>
      </c>
      <c r="N48" s="29">
        <f> N$59</f>
        <v>3822.503480832038</v>
      </c>
      <c r="O48" s="29">
        <f> O$59</f>
        <v>3994.910511465314</v>
      </c>
      <c r="P48" s="29">
        <f> P$59</f>
        <v>3916.3149818840575</v>
      </c>
      <c r="Q48" s="29">
        <f> Q$59</f>
        <v>4218.865024872304</v>
      </c>
      <c r="R48" s="29">
        <f> R$59</f>
        <v>4057.127896603013</v>
      </c>
      <c r="S48" s="29">
        <f> S$59</f>
        <v>4229.070867204988</v>
      </c>
      <c r="T48" s="29">
        <f> T$59</f>
        <v>4112.1307309782605</v>
      </c>
      <c r="U48" s="29">
        <f> U$59</f>
        <v>4370.660341780394</v>
      </c>
      <c r="V48" s="29">
        <f> V$59</f>
        <v>4239.650121434395</v>
      </c>
      <c r="W48" s="29">
        <f> W$59</f>
        <v>4408.768468852642</v>
      </c>
      <c r="X48" s="29">
        <f> X$59</f>
        <v>4276.615960217392</v>
      </c>
      <c r="Y48" s="29">
        <f> Y$59</f>
        <v>4584.904044080322</v>
      </c>
      <c r="Z48" s="29">
        <f> Z$59</f>
        <v>4387.9866718819685</v>
      </c>
      <c r="AA48" s="29">
        <f> AA$59</f>
        <v>4552.013541494738</v>
      </c>
      <c r="AB48" s="29">
        <f> AB$59</f>
        <v>4404.914439023913</v>
      </c>
      <c r="AC48" s="29">
        <f> AC$59</f>
        <v>4722.45116540273</v>
      </c>
      <c r="AD48" s="29">
        <f> AD$59</f>
        <v>4519.626272038426</v>
      </c>
      <c r="AE48" s="29">
        <f> AE$59</f>
        <v>4688.57394773958</v>
      </c>
      <c r="AF48" s="29">
        <f> AF$59</f>
        <v>4537.061872194627</v>
      </c>
      <c r="AG48" s="29">
        <f> AG$59</f>
        <v>4864.124700364808</v>
      </c>
      <c r="AH48" s="29">
        <f> AH$59</f>
        <v>4655.215060199578</v>
      </c>
      <c r="AI48" s="29">
        <f> AI$59</f>
        <v>4829.231166171765</v>
      </c>
      <c r="AJ48" s="29">
        <f> AJ$59</f>
        <v>4673.173728360465</v>
      </c>
      <c r="AK48" s="29">
        <f> AK$59</f>
        <v>4954.992963997996</v>
      </c>
      <c r="AL48" s="29">
        <f> AL$59</f>
        <v>4794.871512005564</v>
      </c>
      <c r="AM48" s="29">
        <f> AM$59</f>
        <v>4974.108101156915</v>
      </c>
      <c r="AN48" s="29">
        <f> AN$59</f>
        <v>4813.36894021128</v>
      </c>
      <c r="AO48" s="29">
        <f> AO$59</f>
        <v>5160.349894617024</v>
      </c>
      <c r="AP48" s="29">
        <f> AP$59</f>
        <v>4938.717657365727</v>
      </c>
      <c r="AQ48" s="29">
        <f> AQ$59</f>
        <v>5123.331344191618</v>
      </c>
      <c r="AR48" s="29">
        <f> AR$59</f>
        <v>4957.770008417612</v>
      </c>
      <c r="AS48" s="29">
        <f> AS$59</f>
        <v>5315.160391455533</v>
      </c>
      <c r="AT48" s="29">
        <f> AT$59</f>
        <v>5086.879187086699</v>
      </c>
      <c r="AU48" s="29">
        <f> AU$59</f>
        <v>5277.0312845173685</v>
      </c>
      <c r="AV48" s="29">
        <f> AV$59</f>
        <v>5106.503108670138</v>
      </c>
      <c r="AW48" s="29">
        <f> AW$59</f>
        <v>5474.615203199195</v>
      </c>
      <c r="AX48" s="29">
        <f> AX$59</f>
        <v>5239.485562699298</v>
      </c>
      <c r="AY48" s="29">
        <f> AY$59</f>
        <v>5435.342223052887</v>
      </c>
      <c r="AZ48" s="29">
        <f> AZ$59</f>
        <v>5259.698201930241</v>
      </c>
      <c r="BA48" s="29">
        <f> BA$59</f>
        <v>5576.8882344677495</v>
      </c>
      <c r="BB48" s="29">
        <f> BB$59</f>
        <v>5396.670129580276</v>
      </c>
      <c r="BC48" s="29">
        <f> BC$59</f>
        <v>5598.402489744471</v>
      </c>
      <c r="BD48" s="29">
        <f> BD$59</f>
        <v>5417.48914798815</v>
      </c>
      <c r="BE48" s="29">
        <f> BE$59</f>
        <v>5808.019269074026</v>
      </c>
      <c r="BF48" s="29">
        <f> BF$59</f>
        <v>5558.570233467681</v>
      </c>
      <c r="BG48" s="29">
        <f> BG$59</f>
        <v>5766.354564436804</v>
      </c>
      <c r="BH48" s="29">
        <f> BH$59</f>
        <v>5580.013822427791</v>
      </c>
      <c r="BI48" s="29">
        <f> BI$59</f>
        <v>5746.321211813247</v>
      </c>
      <c r="BJ48" s="29">
        <f> BJ$59</f>
        <v>5960.403986860458</v>
      </c>
      <c r="BK48" s="29">
        <f> BK$59</f>
        <v>5705.09910752106</v>
      </c>
      <c r="BL48" s="29">
        <f> BL$59</f>
        <v>5983.3977510412005</v>
      </c>
      <c r="BM48" s="29">
        <f> BM$59</f>
        <v>5918.710848167639</v>
      </c>
      <c r="BN48" s="29">
        <f> BN$59</f>
        <v>6139.2161064662705</v>
      </c>
      <c r="BO48" s="29">
        <f> BO$59</f>
        <v>5876.25208074669</v>
      </c>
      <c r="BP48" s="29">
        <f> BP$59</f>
        <v>6162.899683572436</v>
      </c>
      <c r="BQ48" s="29">
        <f> BQ$59</f>
        <v>6029.280171704837</v>
      </c>
      <c r="BR48" s="29">
        <f> BR$59</f>
        <v>6073.999775506434</v>
      </c>
      <c r="BS48" s="29">
        <f> BS$59</f>
        <v>6301.051324133328</v>
      </c>
      <c r="BT48" s="29">
        <f> BT$59</f>
        <v>6097.431764140047</v>
      </c>
      <c r="BU48" s="29">
        <f> BU$59</f>
        <v>6536.976855992563</v>
      </c>
      <c r="BV48" s="29">
        <f> BV$59</f>
        <v>6256.219768771622</v>
      </c>
      <c r="BW48" s="29">
        <f> BW$59</f>
        <v>6490.082863857329</v>
      </c>
      <c r="BX48" s="29">
        <f> BX$59</f>
        <v>6538.220274301992</v>
      </c>
      <c r="BY48" s="29">
        <f> BY$59</f>
        <v>6733.086161672341</v>
      </c>
      <c r="BZ48" s="29">
        <f> BZ$59</f>
        <v>6708.487198370563</v>
      </c>
      <c r="CA48" s="29">
        <f> CA$59</f>
        <v>6684.785349773047</v>
      </c>
      <c r="CB48" s="29">
        <f> CB$59</f>
        <v>6734.366882531049</v>
      </c>
      <c r="CC48" s="29">
        <f> CC$59</f>
        <v>6935.078746522508</v>
      </c>
      <c r="CD48" s="29">
        <f> CD$59</f>
        <v>6909.741814321678</v>
      </c>
      <c r="CE48" s="29">
        <f> CE$59</f>
        <v>6885.328910266235</v>
      </c>
      <c r="CF48" s="29">
        <f> CF$59</f>
        <v>6936.397889006981</v>
      </c>
      <c r="CG48" s="29">
        <f> CG$59</f>
        <v>7064.6351626663345</v>
      </c>
      <c r="CH48" s="29">
        <f> CH$59</f>
        <v>7117.034068751327</v>
      </c>
      <c r="CI48" s="29">
        <f> CI$59</f>
        <v>7091.888777574219</v>
      </c>
      <c r="CJ48" s="29">
        <f> CJ$59</f>
        <v>7144.489825677185</v>
      </c>
      <c r="CK48" s="29">
        <f> CK$59</f>
        <v>7357.425042185725</v>
      </c>
      <c r="CL48" s="29">
        <f> CL$59</f>
        <v>7330.545090813863</v>
      </c>
      <c r="CM48" s="29">
        <f> CM$59</f>
        <v>7304.645440901444</v>
      </c>
      <c r="CN48" s="29">
        <f> CN$59</f>
        <v>7358.824520447502</v>
      </c>
      <c r="CO48" s="29">
        <f> CO$59</f>
        <v>0.0</v>
      </c>
    </row>
    <row r="49" customFormat="1" s="365">
      <c r="E49" s="61" t="str">
        <f> E$46</f>
        <v>Cash paid out for invoices</v>
      </c>
      <c r="F49" s="61">
        <f> F$46</f>
        <v>0.0</v>
      </c>
      <c r="G49" s="61" t="str">
        <f> G$46</f>
        <v>$ 000s</v>
      </c>
      <c r="H49" s="61">
        <f> H$46</f>
        <v>0.0</v>
      </c>
      <c r="I49" s="61">
        <f> I$46</f>
        <v>0.0</v>
      </c>
      <c r="J49" s="61">
        <f> J$46</f>
        <v>0.0</v>
      </c>
      <c r="K49" s="61">
        <f> K$46</f>
        <v>0.0</v>
      </c>
      <c r="L49" s="61">
        <f> L$46</f>
        <v>6147.240840320512</v>
      </c>
      <c r="M49" s="61">
        <f> M$46</f>
        <v>6116.005569331261</v>
      </c>
      <c r="N49" s="61">
        <f> N$46</f>
        <v>6505.99711867208</v>
      </c>
      <c r="O49" s="61">
        <f> O$46</f>
        <v>6377.998684782608</v>
      </c>
      <c r="P49" s="61">
        <f> P$46</f>
        <v>6629.645039085051</v>
      </c>
      <c r="Q49" s="61">
        <f> Q$46</f>
        <v>6491.404634564822</v>
      </c>
      <c r="R49" s="61">
        <f> R$46</f>
        <v>6887.343983733837</v>
      </c>
      <c r="S49" s="61">
        <f> S$46</f>
        <v>6696.898619021739</v>
      </c>
      <c r="T49" s="61">
        <f> T$46</f>
        <v>6993.056546848631</v>
      </c>
      <c r="U49" s="61">
        <f> U$46</f>
        <v>6783.440194295031</v>
      </c>
      <c r="V49" s="61">
        <f> V$46</f>
        <v>7179.994363560015</v>
      </c>
      <c r="W49" s="61">
        <f> W$46</f>
        <v>6964.774563782608</v>
      </c>
      <c r="X49" s="61">
        <f> X$46</f>
        <v>7204.84921212622</v>
      </c>
      <c r="Y49" s="61">
        <f> Y$46</f>
        <v>7020.778675011149</v>
      </c>
      <c r="Z49" s="61">
        <f> Z$46</f>
        <v>7413.279196148572</v>
      </c>
      <c r="AA49" s="61">
        <f> AA$46</f>
        <v>7173.717800696085</v>
      </c>
      <c r="AB49" s="61">
        <f> AB$46</f>
        <v>7420.9946884900055</v>
      </c>
      <c r="AC49" s="61">
        <f> AC$46</f>
        <v>7231.4020352614825</v>
      </c>
      <c r="AD49" s="61">
        <f> AD$46</f>
        <v>7635.677572033029</v>
      </c>
      <c r="AE49" s="61">
        <f> AE$46</f>
        <v>7388.929334716965</v>
      </c>
      <c r="AF49" s="61">
        <f> AF$46</f>
        <v>7643.624529144703</v>
      </c>
      <c r="AG49" s="61">
        <f> AG$46</f>
        <v>7448.344096319325</v>
      </c>
      <c r="AH49" s="61">
        <f> AH$46</f>
        <v>7864.747899194015</v>
      </c>
      <c r="AI49" s="61">
        <f> AI$46</f>
        <v>7610.597214758471</v>
      </c>
      <c r="AJ49" s="61">
        <f> AJ$46</f>
        <v>7927.9887423967975</v>
      </c>
      <c r="AK49" s="61">
        <f> AK$46</f>
        <v>7671.794419208903</v>
      </c>
      <c r="AL49" s="61">
        <f> AL$46</f>
        <v>8100.690336169831</v>
      </c>
      <c r="AM49" s="61">
        <f> AM$46</f>
        <v>7838.915131201222</v>
      </c>
      <c r="AN49" s="61">
        <f> AN$46</f>
        <v>8109.121262969611</v>
      </c>
      <c r="AO49" s="61">
        <f> AO$46</f>
        <v>7901.948251785166</v>
      </c>
      <c r="AP49" s="61">
        <f> AP$46</f>
        <v>8343.711046254924</v>
      </c>
      <c r="AQ49" s="61">
        <f> AQ$46</f>
        <v>8074.082585137256</v>
      </c>
      <c r="AR49" s="61">
        <f> AR$46</f>
        <v>8352.394900858697</v>
      </c>
      <c r="AS49" s="61">
        <f> AS$46</f>
        <v>8139.006699338718</v>
      </c>
      <c r="AT49" s="61">
        <f> AT$46</f>
        <v>8594.02237764257</v>
      </c>
      <c r="AU49" s="61">
        <f> AU$46</f>
        <v>8316.305062691372</v>
      </c>
      <c r="AV49" s="61">
        <f> AV$46</f>
        <v>8602.966747884453</v>
      </c>
      <c r="AW49" s="61">
        <f> AW$46</f>
        <v>8383.176900318878</v>
      </c>
      <c r="AX49" s="61">
        <f> AX$46</f>
        <v>8851.843048971843</v>
      </c>
      <c r="AY49" s="61">
        <f> AY$46</f>
        <v>8565.794214572108</v>
      </c>
      <c r="AZ49" s="61">
        <f> AZ$46</f>
        <v>8923.021175148404</v>
      </c>
      <c r="BA49" s="61">
        <f> BA$46</f>
        <v>8634.67220732844</v>
      </c>
      <c r="BB49" s="61">
        <f> BB$46</f>
        <v>9117.398340440996</v>
      </c>
      <c r="BC49" s="61">
        <f> BC$46</f>
        <v>8822.768041009269</v>
      </c>
      <c r="BD49" s="61">
        <f> BD$46</f>
        <v>9126.88742283061</v>
      </c>
      <c r="BE49" s="61">
        <f> BE$46</f>
        <v>8893.712373548291</v>
      </c>
      <c r="BF49" s="61">
        <f> BF$46</f>
        <v>9390.920290654223</v>
      </c>
      <c r="BG49" s="61">
        <f> BG$46</f>
        <v>9087.451082239544</v>
      </c>
      <c r="BH49" s="61">
        <f> BH$46</f>
        <v>9029.933332849385</v>
      </c>
      <c r="BI49" s="61">
        <f> BI$46</f>
        <v>9536.646378976735</v>
      </c>
      <c r="BJ49" s="61">
        <f> BJ$46</f>
        <v>9291.161403677153</v>
      </c>
      <c r="BK49" s="61">
        <f> BK$46</f>
        <v>9744.390623124238</v>
      </c>
      <c r="BL49" s="61">
        <f> BL$46</f>
        <v>9300.831332834865</v>
      </c>
      <c r="BM49" s="61">
        <f> BM$46</f>
        <v>9822.745770346035</v>
      </c>
      <c r="BN49" s="61">
        <f> BN$46</f>
        <v>9569.896245787464</v>
      </c>
      <c r="BO49" s="61">
        <f> BO$46</f>
        <v>10036.722341817964</v>
      </c>
      <c r="BP49" s="61">
        <f> BP$46</f>
        <v>9646.84827472774</v>
      </c>
      <c r="BQ49" s="61">
        <f> BQ$46</f>
        <v>9718.399640810294</v>
      </c>
      <c r="BR49" s="61">
        <f> BR$46</f>
        <v>10261.712156445707</v>
      </c>
      <c r="BS49" s="61">
        <f> BS$46</f>
        <v>9930.103158742362</v>
      </c>
      <c r="BT49" s="61">
        <f> BT$46</f>
        <v>10272.392202274033</v>
      </c>
      <c r="BU49" s="61">
        <f> BU$46</f>
        <v>10009.9516300346</v>
      </c>
      <c r="BV49" s="61">
        <f> BV$46</f>
        <v>10569.563521139075</v>
      </c>
      <c r="BW49" s="61">
        <f> BW$46</f>
        <v>10647.958732434672</v>
      </c>
      <c r="BX49" s="61">
        <f> BX$46</f>
        <v>10580.563968342252</v>
      </c>
      <c r="BY49" s="61">
        <f> BY$46</f>
        <v>10733.579517392904</v>
      </c>
      <c r="BZ49" s="61">
        <f> BZ$46</f>
        <v>10886.650426773245</v>
      </c>
      <c r="CA49" s="61">
        <f> CA$46</f>
        <v>10967.397494407705</v>
      </c>
      <c r="CB49" s="61">
        <f> CB$46</f>
        <v>10897.980887392516</v>
      </c>
      <c r="CC49" s="61">
        <f> CC$46</f>
        <v>11055.586902914689</v>
      </c>
      <c r="CD49" s="61">
        <f> CD$46</f>
        <v>11213.249939576439</v>
      </c>
      <c r="CE49" s="61">
        <f> CE$46</f>
        <v>11296.419419239935</v>
      </c>
      <c r="CF49" s="61">
        <f> CF$46</f>
        <v>11303.416260266138</v>
      </c>
      <c r="CG49" s="61">
        <f> CG$46</f>
        <v>11387.254510002123</v>
      </c>
      <c r="CH49" s="61">
        <f> CH$46</f>
        <v>11549.64743776373</v>
      </c>
      <c r="CI49" s="61">
        <f> CI$46</f>
        <v>11635.31200181713</v>
      </c>
      <c r="CJ49" s="61">
        <f> CJ$46</f>
        <v>11561.667923434714</v>
      </c>
      <c r="CK49" s="61">
        <f> CK$46</f>
        <v>11728.872145302183</v>
      </c>
      <c r="CL49" s="61">
        <f> CL$46</f>
        <v>11896.136860896635</v>
      </c>
      <c r="CM49" s="61">
        <f> CM$46</f>
        <v>11984.371361871641</v>
      </c>
      <c r="CN49" s="61">
        <f> CN$46</f>
        <v>0.0</v>
      </c>
      <c r="CO49" s="61">
        <f> CO$46</f>
        <v>0.0</v>
      </c>
    </row>
    <row r="50" customFormat="1" s="150">
      <c r="A50" s="362" t="n"/>
      <c r="B50" s="362" t="n"/>
      <c r="C50" s="363" t="n"/>
      <c r="D50" s="364" t="n"/>
      <c r="E50" s="365" t="inlineStr">
        <is>
          <t>Operating cost paid POS</t>
        </is>
      </c>
      <c r="G50" s="365" t="str">
        <f>SMU</f>
        <v>$ 000s</v>
      </c>
      <c r="H50" s="365">
        <f> SUM(J50:CO50)</f>
        <v>1152373.432337585</v>
      </c>
      <c r="J50" s="365">
        <f>SUM(J48:J49)</f>
        <v>0.0</v>
      </c>
      <c r="K50" s="365">
        <f>SUM(K48:K49)</f>
        <v>0.0</v>
      </c>
      <c r="L50" s="365">
        <f>SUM(L48:L49)</f>
        <v>6147.240840320512</v>
      </c>
      <c r="M50" s="365">
        <f>SUM(M48:M49)</f>
        <v>10027.886104080677</v>
      </c>
      <c r="N50" s="365">
        <f>SUM(N48:N49)</f>
        <v>10328.500599504117</v>
      </c>
      <c r="O50" s="365">
        <f>SUM(O48:O49)</f>
        <v>10372.909196247921</v>
      </c>
      <c r="P50" s="365">
        <f>SUM(P48:P49)</f>
        <v>10545.960020969109</v>
      </c>
      <c r="Q50" s="365">
        <f>SUM(Q48:Q49)</f>
        <v>10710.269659437126</v>
      </c>
      <c r="R50" s="365">
        <f>SUM(R48:R49)</f>
        <v>10944.47188033685</v>
      </c>
      <c r="S50" s="365">
        <f>SUM(S48:S49)</f>
        <v>10925.969486226728</v>
      </c>
      <c r="T50" s="365">
        <f>SUM(T48:T49)</f>
        <v>11105.187277826892</v>
      </c>
      <c r="U50" s="365">
        <f>SUM(U48:U49)</f>
        <v>11154.100536075424</v>
      </c>
      <c r="V50" s="365">
        <f>SUM(V48:V49)</f>
        <v>11419.64448499441</v>
      </c>
      <c r="W50" s="365">
        <f>SUM(W48:W49)</f>
        <v>11373.54303263525</v>
      </c>
      <c r="X50" s="365">
        <f>SUM(X48:X49)</f>
        <v>11481.46517234361</v>
      </c>
      <c r="Y50" s="365">
        <f>SUM(Y48:Y49)</f>
        <v>11605.68271909147</v>
      </c>
      <c r="Z50" s="365">
        <f>SUM(Z48:Z49)</f>
        <v>11801.26586803054</v>
      </c>
      <c r="AA50" s="365">
        <f>SUM(AA48:AA49)</f>
        <v>11725.731342190822</v>
      </c>
      <c r="AB50" s="365">
        <f>SUM(AB48:AB49)</f>
        <v>11825.909127513918</v>
      </c>
      <c r="AC50" s="365">
        <f>SUM(AC48:AC49)</f>
        <v>11953.853200664213</v>
      </c>
      <c r="AD50" s="365">
        <f>SUM(AD48:AD49)</f>
        <v>12155.303844071455</v>
      </c>
      <c r="AE50" s="365">
        <f>SUM(AE48:AE49)</f>
        <v>12077.503282456546</v>
      </c>
      <c r="AF50" s="365">
        <f>SUM(AF48:AF49)</f>
        <v>12180.68640133933</v>
      </c>
      <c r="AG50" s="365">
        <f>SUM(AG48:AG49)</f>
        <v>12312.468796684134</v>
      </c>
      <c r="AH50" s="365">
        <f>SUM(AH48:AH49)</f>
        <v>12519.962959393593</v>
      </c>
      <c r="AI50" s="365">
        <f>SUM(AI48:AI49)</f>
        <v>12439.828380930236</v>
      </c>
      <c r="AJ50" s="365">
        <f>SUM(AJ48:AJ49)</f>
        <v>12601.162470757263</v>
      </c>
      <c r="AK50" s="365">
        <f>SUM(AK48:AK49)</f>
        <v>12626.787383206898</v>
      </c>
      <c r="AL50" s="365">
        <f>SUM(AL48:AL49)</f>
        <v>12895.561848175395</v>
      </c>
      <c r="AM50" s="365">
        <f>SUM(AM48:AM49)</f>
        <v>12813.023232358137</v>
      </c>
      <c r="AN50" s="365">
        <f>SUM(AN48:AN49)</f>
        <v>12922.49020318089</v>
      </c>
      <c r="AO50" s="365">
        <f>SUM(AO48:AO49)</f>
        <v>13062.29814640219</v>
      </c>
      <c r="AP50" s="365">
        <f>SUM(AP48:AP49)</f>
        <v>13282.428703620652</v>
      </c>
      <c r="AQ50" s="365">
        <f>SUM(AQ48:AQ49)</f>
        <v>13197.413929328874</v>
      </c>
      <c r="AR50" s="365">
        <f>SUM(AR48:AR49)</f>
        <v>13310.16490927631</v>
      </c>
      <c r="AS50" s="365">
        <f>SUM(AS48:AS49)</f>
        <v>13454.16709079425</v>
      </c>
      <c r="AT50" s="365">
        <f>SUM(AT48:AT49)</f>
        <v>13680.901564729269</v>
      </c>
      <c r="AU50" s="365">
        <f>SUM(AU48:AU49)</f>
        <v>13593.33634720874</v>
      </c>
      <c r="AV50" s="365">
        <f>SUM(AV48:AV49)</f>
        <v>13709.469856554591</v>
      </c>
      <c r="AW50" s="365">
        <f>SUM(AW48:AW49)</f>
        <v>13857.792103518073</v>
      </c>
      <c r="AX50" s="365">
        <f>SUM(AX48:AX49)</f>
        <v>14091.32861167114</v>
      </c>
      <c r="AY50" s="365">
        <f>SUM(AY48:AY49)</f>
        <v>14001.136437624995</v>
      </c>
      <c r="AZ50" s="365">
        <f>SUM(AZ48:AZ49)</f>
        <v>14182.719377078645</v>
      </c>
      <c r="BA50" s="365">
        <f>SUM(BA48:BA49)</f>
        <v>14211.56044179619</v>
      </c>
      <c r="BB50" s="365">
        <f>SUM(BB48:BB49)</f>
        <v>14514.068470021271</v>
      </c>
      <c r="BC50" s="365">
        <f>SUM(BC48:BC49)</f>
        <v>14421.17053075374</v>
      </c>
      <c r="BD50" s="365">
        <f>SUM(BD48:BD49)</f>
        <v>14544.37657081876</v>
      </c>
      <c r="BE50" s="365">
        <f>SUM(BE48:BE49)</f>
        <v>14701.731642622317</v>
      </c>
      <c r="BF50" s="365">
        <f>SUM(BF48:BF49)</f>
        <v>14949.490524121904</v>
      </c>
      <c r="BG50" s="365">
        <f>SUM(BG48:BG49)</f>
        <v>14853.805646676348</v>
      </c>
      <c r="BH50" s="365">
        <f>SUM(BH48:BH49)</f>
        <v>14609.947155277176</v>
      </c>
      <c r="BI50" s="365">
        <f>SUM(BI48:BI49)</f>
        <v>15282.967590789982</v>
      </c>
      <c r="BJ50" s="365">
        <f>SUM(BJ48:BJ49)</f>
        <v>15251.565390537611</v>
      </c>
      <c r="BK50" s="365">
        <f>SUM(BK48:BK49)</f>
        <v>15449.489730645299</v>
      </c>
      <c r="BL50" s="365">
        <f>SUM(BL48:BL49)</f>
        <v>15284.229083876065</v>
      </c>
      <c r="BM50" s="365">
        <f>SUM(BM48:BM49)</f>
        <v>15741.456618513674</v>
      </c>
      <c r="BN50" s="365">
        <f>SUM(BN48:BN49)</f>
        <v>15709.112352253735</v>
      </c>
      <c r="BO50" s="365">
        <f>SUM(BO48:BO49)</f>
        <v>15912.974422564654</v>
      </c>
      <c r="BP50" s="365">
        <f>SUM(BP48:BP49)</f>
        <v>15809.747958300175</v>
      </c>
      <c r="BQ50" s="365">
        <f>SUM(BQ48:BQ49)</f>
        <v>15747.67981251513</v>
      </c>
      <c r="BR50" s="365">
        <f>SUM(BR48:BR49)</f>
        <v>16335.71193195214</v>
      </c>
      <c r="BS50" s="365">
        <f>SUM(BS48:BS49)</f>
        <v>16231.15448287569</v>
      </c>
      <c r="BT50" s="365">
        <f>SUM(BT48:BT49)</f>
        <v>16369.82396641408</v>
      </c>
      <c r="BU50" s="365">
        <f>SUM(BU48:BU49)</f>
        <v>16546.928486027165</v>
      </c>
      <c r="BV50" s="365">
        <f>SUM(BV48:BV49)</f>
        <v>16825.783289910694</v>
      </c>
      <c r="BW50" s="365">
        <f>SUM(BW48:BW49)</f>
        <v>17138.041596292</v>
      </c>
      <c r="BX50" s="365">
        <f>SUM(BX48:BX49)</f>
        <v>17118.784242644244</v>
      </c>
      <c r="BY50" s="365">
        <f>SUM(BY48:BY49)</f>
        <v>17466.665679065245</v>
      </c>
      <c r="BZ50" s="365">
        <f>SUM(BZ48:BZ49)</f>
        <v>17595.13762514381</v>
      </c>
      <c r="CA50" s="365">
        <f>SUM(CA48:CA49)</f>
        <v>17652.182844180752</v>
      </c>
      <c r="CB50" s="365">
        <f>SUM(CB48:CB49)</f>
        <v>17632.347769923566</v>
      </c>
      <c r="CC50" s="365">
        <f>SUM(CC48:CC49)</f>
        <v>17990.665649437196</v>
      </c>
      <c r="CD50" s="365">
        <f>SUM(CD48:CD49)</f>
        <v>18122.991753898117</v>
      </c>
      <c r="CE50" s="365">
        <f>SUM(CE48:CE49)</f>
        <v>18181.74832950617</v>
      </c>
      <c r="CF50" s="365">
        <f>SUM(CF48:CF49)</f>
        <v>18239.81414927312</v>
      </c>
      <c r="CG50" s="365">
        <f>SUM(CG48:CG49)</f>
        <v>18451.889672668458</v>
      </c>
      <c r="CH50" s="365">
        <f>SUM(CH48:CH49)</f>
        <v>18666.68150651506</v>
      </c>
      <c r="CI50" s="365">
        <f>SUM(CI48:CI49)</f>
        <v>18727.20077939135</v>
      </c>
      <c r="CJ50" s="365">
        <f>SUM(CJ48:CJ49)</f>
        <v>18706.1577491119</v>
      </c>
      <c r="CK50" s="365">
        <f>SUM(CK48:CK49)</f>
        <v>19086.297187487908</v>
      </c>
      <c r="CL50" s="365">
        <f>SUM(CL48:CL49)</f>
        <v>19226.681951710496</v>
      </c>
      <c r="CM50" s="365">
        <f>SUM(CM48:CM49)</f>
        <v>19289.016802773083</v>
      </c>
      <c r="CN50" s="365">
        <f>SUM(CN48:CN49)</f>
        <v>7358.824520447502</v>
      </c>
      <c r="CO50" s="365">
        <f>SUM(CO48:CO49)</f>
        <v>0.0</v>
      </c>
    </row>
    <row r="51" s="396">
      <c r="A51" s="348" t="n"/>
      <c r="B51" s="348" t="n"/>
      <c r="C51" s="349" t="n"/>
      <c r="D51" s="193" t="n"/>
      <c r="E51" s="150" t="str">
        <f> LEFT(E50, LEN(E50) - 4)</f>
        <v>Operating cost paid</v>
      </c>
      <c r="F51" s="150" t="inlineStr">
        <is>
          <t>CF</t>
        </is>
      </c>
      <c r="G51" s="150" t="str">
        <f> G50</f>
        <v>$ 000s</v>
      </c>
      <c r="H51" s="150">
        <f> SUM(J51:CO51)</f>
        <v>-1152373.432337585</v>
      </c>
      <c r="I51" s="150" t="n"/>
      <c r="J51" s="150">
        <f> -1 * J50</f>
        <v>-0.0</v>
      </c>
      <c r="K51" s="150">
        <f> -1 * K50</f>
        <v>-0.0</v>
      </c>
      <c r="L51" s="150">
        <f> -1 * L50</f>
        <v>-6147.240840320512</v>
      </c>
      <c r="M51" s="150">
        <f> -1 * M50</f>
        <v>-10027.886104080677</v>
      </c>
      <c r="N51" s="150">
        <f> -1 * N50</f>
        <v>-10328.500599504117</v>
      </c>
      <c r="O51" s="150">
        <f> -1 * O50</f>
        <v>-10372.909196247921</v>
      </c>
      <c r="P51" s="150">
        <f> -1 * P50</f>
        <v>-10545.960020969109</v>
      </c>
      <c r="Q51" s="150">
        <f> -1 * Q50</f>
        <v>-10710.269659437126</v>
      </c>
      <c r="R51" s="150">
        <f> -1 * R50</f>
        <v>-10944.47188033685</v>
      </c>
      <c r="S51" s="150">
        <f> -1 * S50</f>
        <v>-10925.969486226728</v>
      </c>
      <c r="T51" s="150">
        <f> -1 * T50</f>
        <v>-11105.187277826892</v>
      </c>
      <c r="U51" s="150">
        <f> -1 * U50</f>
        <v>-11154.100536075424</v>
      </c>
      <c r="V51" s="150">
        <f> -1 * V50</f>
        <v>-11419.64448499441</v>
      </c>
      <c r="W51" s="150">
        <f> -1 * W50</f>
        <v>-11373.54303263525</v>
      </c>
      <c r="X51" s="150">
        <f> -1 * X50</f>
        <v>-11481.46517234361</v>
      </c>
      <c r="Y51" s="150">
        <f> -1 * Y50</f>
        <v>-11605.68271909147</v>
      </c>
      <c r="Z51" s="150">
        <f> -1 * Z50</f>
        <v>-11801.26586803054</v>
      </c>
      <c r="AA51" s="150">
        <f> -1 * AA50</f>
        <v>-11725.731342190822</v>
      </c>
      <c r="AB51" s="150">
        <f> -1 * AB50</f>
        <v>-11825.909127513918</v>
      </c>
      <c r="AC51" s="150">
        <f> -1 * AC50</f>
        <v>-11953.853200664213</v>
      </c>
      <c r="AD51" s="150">
        <f> -1 * AD50</f>
        <v>-12155.303844071455</v>
      </c>
      <c r="AE51" s="150">
        <f> -1 * AE50</f>
        <v>-12077.503282456546</v>
      </c>
      <c r="AF51" s="150">
        <f> -1 * AF50</f>
        <v>-12180.68640133933</v>
      </c>
      <c r="AG51" s="150">
        <f> -1 * AG50</f>
        <v>-12312.468796684134</v>
      </c>
      <c r="AH51" s="150">
        <f> -1 * AH50</f>
        <v>-12519.962959393593</v>
      </c>
      <c r="AI51" s="150">
        <f> -1 * AI50</f>
        <v>-12439.828380930236</v>
      </c>
      <c r="AJ51" s="150">
        <f> -1 * AJ50</f>
        <v>-12601.162470757263</v>
      </c>
      <c r="AK51" s="150">
        <f> -1 * AK50</f>
        <v>-12626.787383206898</v>
      </c>
      <c r="AL51" s="150">
        <f> -1 * AL50</f>
        <v>-12895.561848175395</v>
      </c>
      <c r="AM51" s="150">
        <f> -1 * AM50</f>
        <v>-12813.023232358137</v>
      </c>
      <c r="AN51" s="150">
        <f> -1 * AN50</f>
        <v>-12922.49020318089</v>
      </c>
      <c r="AO51" s="150">
        <f> -1 * AO50</f>
        <v>-13062.29814640219</v>
      </c>
      <c r="AP51" s="150">
        <f> -1 * AP50</f>
        <v>-13282.428703620652</v>
      </c>
      <c r="AQ51" s="150">
        <f> -1 * AQ50</f>
        <v>-13197.413929328874</v>
      </c>
      <c r="AR51" s="150">
        <f> -1 * AR50</f>
        <v>-13310.16490927631</v>
      </c>
      <c r="AS51" s="150">
        <f> -1 * AS50</f>
        <v>-13454.16709079425</v>
      </c>
      <c r="AT51" s="150">
        <f> -1 * AT50</f>
        <v>-13680.901564729269</v>
      </c>
      <c r="AU51" s="150">
        <f> -1 * AU50</f>
        <v>-13593.33634720874</v>
      </c>
      <c r="AV51" s="150">
        <f> -1 * AV50</f>
        <v>-13709.469856554591</v>
      </c>
      <c r="AW51" s="150">
        <f> -1 * AW50</f>
        <v>-13857.792103518073</v>
      </c>
      <c r="AX51" s="150">
        <f> -1 * AX50</f>
        <v>-14091.32861167114</v>
      </c>
      <c r="AY51" s="150">
        <f> -1 * AY50</f>
        <v>-14001.136437624995</v>
      </c>
      <c r="AZ51" s="150">
        <f> -1 * AZ50</f>
        <v>-14182.719377078645</v>
      </c>
      <c r="BA51" s="150">
        <f> -1 * BA50</f>
        <v>-14211.56044179619</v>
      </c>
      <c r="BB51" s="150">
        <f> -1 * BB50</f>
        <v>-14514.068470021271</v>
      </c>
      <c r="BC51" s="150">
        <f> -1 * BC50</f>
        <v>-14421.17053075374</v>
      </c>
      <c r="BD51" s="150">
        <f> -1 * BD50</f>
        <v>-14544.37657081876</v>
      </c>
      <c r="BE51" s="150">
        <f> -1 * BE50</f>
        <v>-14701.731642622317</v>
      </c>
      <c r="BF51" s="150">
        <f> -1 * BF50</f>
        <v>-14949.490524121904</v>
      </c>
      <c r="BG51" s="150">
        <f> -1 * BG50</f>
        <v>-14853.805646676348</v>
      </c>
      <c r="BH51" s="150">
        <f> -1 * BH50</f>
        <v>-14609.947155277176</v>
      </c>
      <c r="BI51" s="150">
        <f> -1 * BI50</f>
        <v>-15282.967590789982</v>
      </c>
      <c r="BJ51" s="150">
        <f> -1 * BJ50</f>
        <v>-15251.565390537611</v>
      </c>
      <c r="BK51" s="150">
        <f> -1 * BK50</f>
        <v>-15449.489730645299</v>
      </c>
      <c r="BL51" s="150">
        <f> -1 * BL50</f>
        <v>-15284.229083876065</v>
      </c>
      <c r="BM51" s="150">
        <f> -1 * BM50</f>
        <v>-15741.456618513674</v>
      </c>
      <c r="BN51" s="150">
        <f> -1 * BN50</f>
        <v>-15709.112352253735</v>
      </c>
      <c r="BO51" s="150">
        <f> -1 * BO50</f>
        <v>-15912.974422564654</v>
      </c>
      <c r="BP51" s="150">
        <f> -1 * BP50</f>
        <v>-15809.747958300175</v>
      </c>
      <c r="BQ51" s="150">
        <f> -1 * BQ50</f>
        <v>-15747.67981251513</v>
      </c>
      <c r="BR51" s="150">
        <f> -1 * BR50</f>
        <v>-16335.71193195214</v>
      </c>
      <c r="BS51" s="150">
        <f> -1 * BS50</f>
        <v>-16231.15448287569</v>
      </c>
      <c r="BT51" s="150">
        <f> -1 * BT50</f>
        <v>-16369.82396641408</v>
      </c>
      <c r="BU51" s="150">
        <f> -1 * BU50</f>
        <v>-16546.928486027165</v>
      </c>
      <c r="BV51" s="150">
        <f> -1 * BV50</f>
        <v>-16825.783289910694</v>
      </c>
      <c r="BW51" s="150">
        <f> -1 * BW50</f>
        <v>-17138.041596292</v>
      </c>
      <c r="BX51" s="150">
        <f> -1 * BX50</f>
        <v>-17118.784242644244</v>
      </c>
      <c r="BY51" s="150">
        <f> -1 * BY50</f>
        <v>-17466.665679065245</v>
      </c>
      <c r="BZ51" s="150">
        <f> -1 * BZ50</f>
        <v>-17595.13762514381</v>
      </c>
      <c r="CA51" s="150">
        <f> -1 * CA50</f>
        <v>-17652.182844180752</v>
      </c>
      <c r="CB51" s="150">
        <f> -1 * CB50</f>
        <v>-17632.347769923566</v>
      </c>
      <c r="CC51" s="150">
        <f> -1 * CC50</f>
        <v>-17990.665649437196</v>
      </c>
      <c r="CD51" s="150">
        <f> -1 * CD50</f>
        <v>-18122.991753898117</v>
      </c>
      <c r="CE51" s="150">
        <f> -1 * CE50</f>
        <v>-18181.74832950617</v>
      </c>
      <c r="CF51" s="150">
        <f> -1 * CF50</f>
        <v>-18239.81414927312</v>
      </c>
      <c r="CG51" s="150">
        <f> -1 * CG50</f>
        <v>-18451.889672668458</v>
      </c>
      <c r="CH51" s="150">
        <f> -1 * CH50</f>
        <v>-18666.68150651506</v>
      </c>
      <c r="CI51" s="150">
        <f> -1 * CI50</f>
        <v>-18727.20077939135</v>
      </c>
      <c r="CJ51" s="150">
        <f> -1 * CJ50</f>
        <v>-18706.1577491119</v>
      </c>
      <c r="CK51" s="150">
        <f> -1 * CK50</f>
        <v>-19086.297187487908</v>
      </c>
      <c r="CL51" s="150">
        <f> -1 * CL50</f>
        <v>-19226.681951710496</v>
      </c>
      <c r="CM51" s="150">
        <f> -1 * CM50</f>
        <v>-19289.016802773083</v>
      </c>
      <c r="CN51" s="150">
        <f> -1 * CN50</f>
        <v>-7358.824520447502</v>
      </c>
      <c r="CO51" s="150">
        <f> -1 * CO50</f>
        <v>-0.0</v>
      </c>
    </row>
    <row r="54">
      <c r="A54" s="294" t="inlineStr">
        <is>
          <t>ACCOUNT PAYABLES BALANCE</t>
        </is>
      </c>
    </row>
    <row r="55" customFormat="1" s="182"/>
    <row r="56" customFormat="1" s="100">
      <c r="A56" s="177" t="n"/>
      <c r="B56" s="177" t="n"/>
      <c r="C56" s="178" t="n"/>
      <c r="D56" s="179" t="n"/>
      <c r="E56" s="182" t="inlineStr">
        <is>
          <t>Account payables - initial balance</t>
        </is>
      </c>
      <c r="F56" s="182" t="n">
        <v>0</v>
      </c>
      <c r="G56" s="182" t="n"/>
    </row>
    <row r="57" customFormat="1" s="61">
      <c r="A57" s="294" t="n"/>
      <c r="B57" s="294" t="n"/>
      <c r="C57" s="212" t="n"/>
      <c r="D57" s="244" t="n"/>
      <c r="E57" s="325" t="str">
        <f> Time!E$45</f>
        <v>Acquisition / initial balance date flag</v>
      </c>
      <c r="F57" s="325">
        <f> Time!F$45</f>
        <v>0.0</v>
      </c>
      <c r="G57" s="325" t="str">
        <f> Time!G$45</f>
        <v>flag</v>
      </c>
      <c r="H57" s="325">
        <f> Time!H$45</f>
        <v>1.0</v>
      </c>
      <c r="I57" s="325">
        <f> Time!I$45</f>
        <v>0.0</v>
      </c>
      <c r="J57" s="325">
        <f> Time!J$45</f>
        <v>0.0</v>
      </c>
      <c r="K57" s="325">
        <f> Time!K$45</f>
        <v>1.0</v>
      </c>
      <c r="L57" s="325">
        <f> Time!L$45</f>
        <v>0.0</v>
      </c>
      <c r="M57" s="325">
        <f> Time!M$45</f>
        <v>0.0</v>
      </c>
      <c r="N57" s="325">
        <f> Time!N$45</f>
        <v>0.0</v>
      </c>
      <c r="O57" s="325">
        <f> Time!O$45</f>
        <v>0.0</v>
      </c>
      <c r="P57" s="325">
        <f> Time!P$45</f>
        <v>0.0</v>
      </c>
      <c r="Q57" s="325">
        <f> Time!Q$45</f>
        <v>0.0</v>
      </c>
      <c r="R57" s="325">
        <f> Time!R$45</f>
        <v>0.0</v>
      </c>
      <c r="S57" s="325">
        <f> Time!S$45</f>
        <v>0.0</v>
      </c>
      <c r="T57" s="325">
        <f> Time!T$45</f>
        <v>0.0</v>
      </c>
      <c r="U57" s="325">
        <f> Time!U$45</f>
        <v>0.0</v>
      </c>
      <c r="V57" s="325">
        <f> Time!V$45</f>
        <v>0.0</v>
      </c>
      <c r="W57" s="325">
        <f> Time!W$45</f>
        <v>0.0</v>
      </c>
      <c r="X57" s="325">
        <f> Time!X$45</f>
        <v>0.0</v>
      </c>
      <c r="Y57" s="325">
        <f> Time!Y$45</f>
        <v>0.0</v>
      </c>
      <c r="Z57" s="325">
        <f> Time!Z$45</f>
        <v>0.0</v>
      </c>
      <c r="AA57" s="325">
        <f> Time!AA$45</f>
        <v>0.0</v>
      </c>
      <c r="AB57" s="325">
        <f> Time!AB$45</f>
        <v>0.0</v>
      </c>
      <c r="AC57" s="325">
        <f> Time!AC$45</f>
        <v>0.0</v>
      </c>
      <c r="AD57" s="325">
        <f> Time!AD$45</f>
        <v>0.0</v>
      </c>
      <c r="AE57" s="325">
        <f> Time!AE$45</f>
        <v>0.0</v>
      </c>
      <c r="AF57" s="325">
        <f> Time!AF$45</f>
        <v>0.0</v>
      </c>
      <c r="AG57" s="325">
        <f> Time!AG$45</f>
        <v>0.0</v>
      </c>
      <c r="AH57" s="325">
        <f> Time!AH$45</f>
        <v>0.0</v>
      </c>
      <c r="AI57" s="325">
        <f> Time!AI$45</f>
        <v>0.0</v>
      </c>
      <c r="AJ57" s="325">
        <f> Time!AJ$45</f>
        <v>0.0</v>
      </c>
      <c r="AK57" s="325">
        <f> Time!AK$45</f>
        <v>0.0</v>
      </c>
      <c r="AL57" s="325">
        <f> Time!AL$45</f>
        <v>0.0</v>
      </c>
      <c r="AM57" s="325">
        <f> Time!AM$45</f>
        <v>0.0</v>
      </c>
      <c r="AN57" s="325">
        <f> Time!AN$45</f>
        <v>0.0</v>
      </c>
      <c r="AO57" s="325">
        <f> Time!AO$45</f>
        <v>0.0</v>
      </c>
      <c r="AP57" s="325">
        <f> Time!AP$45</f>
        <v>0.0</v>
      </c>
      <c r="AQ57" s="325">
        <f> Time!AQ$45</f>
        <v>0.0</v>
      </c>
      <c r="AR57" s="325">
        <f> Time!AR$45</f>
        <v>0.0</v>
      </c>
      <c r="AS57" s="325">
        <f> Time!AS$45</f>
        <v>0.0</v>
      </c>
      <c r="AT57" s="325">
        <f> Time!AT$45</f>
        <v>0.0</v>
      </c>
      <c r="AU57" s="325">
        <f> Time!AU$45</f>
        <v>0.0</v>
      </c>
      <c r="AV57" s="325">
        <f> Time!AV$45</f>
        <v>0.0</v>
      </c>
      <c r="AW57" s="325">
        <f> Time!AW$45</f>
        <v>0.0</v>
      </c>
      <c r="AX57" s="325">
        <f> Time!AX$45</f>
        <v>0.0</v>
      </c>
      <c r="AY57" s="325">
        <f> Time!AY$45</f>
        <v>0.0</v>
      </c>
      <c r="AZ57" s="325">
        <f> Time!AZ$45</f>
        <v>0.0</v>
      </c>
      <c r="BA57" s="325">
        <f> Time!BA$45</f>
        <v>0.0</v>
      </c>
      <c r="BB57" s="325">
        <f> Time!BB$45</f>
        <v>0.0</v>
      </c>
      <c r="BC57" s="325">
        <f> Time!BC$45</f>
        <v>0.0</v>
      </c>
      <c r="BD57" s="325">
        <f> Time!BD$45</f>
        <v>0.0</v>
      </c>
      <c r="BE57" s="325">
        <f> Time!BE$45</f>
        <v>0.0</v>
      </c>
      <c r="BF57" s="325">
        <f> Time!BF$45</f>
        <v>0.0</v>
      </c>
      <c r="BG57" s="325">
        <f> Time!BG$45</f>
        <v>0.0</v>
      </c>
      <c r="BH57" s="325">
        <f> Time!BH$45</f>
        <v>0.0</v>
      </c>
      <c r="BI57" s="325">
        <f> Time!BI$45</f>
        <v>0.0</v>
      </c>
      <c r="BJ57" s="325">
        <f> Time!BJ$45</f>
        <v>0.0</v>
      </c>
      <c r="BK57" s="325">
        <f> Time!BK$45</f>
        <v>0.0</v>
      </c>
      <c r="BL57" s="325">
        <f> Time!BL$45</f>
        <v>0.0</v>
      </c>
      <c r="BM57" s="325">
        <f> Time!BM$45</f>
        <v>0.0</v>
      </c>
      <c r="BN57" s="325">
        <f> Time!BN$45</f>
        <v>0.0</v>
      </c>
      <c r="BO57" s="325">
        <f> Time!BO$45</f>
        <v>0.0</v>
      </c>
      <c r="BP57" s="325">
        <f> Time!BP$45</f>
        <v>0.0</v>
      </c>
      <c r="BQ57" s="325">
        <f> Time!BQ$45</f>
        <v>0.0</v>
      </c>
      <c r="BR57" s="325">
        <f> Time!BR$45</f>
        <v>0.0</v>
      </c>
      <c r="BS57" s="325">
        <f> Time!BS$45</f>
        <v>0.0</v>
      </c>
      <c r="BT57" s="325">
        <f> Time!BT$45</f>
        <v>0.0</v>
      </c>
      <c r="BU57" s="325">
        <f> Time!BU$45</f>
        <v>0.0</v>
      </c>
      <c r="BV57" s="325">
        <f> Time!BV$45</f>
        <v>0.0</v>
      </c>
      <c r="BW57" s="325">
        <f> Time!BW$45</f>
        <v>0.0</v>
      </c>
      <c r="BX57" s="325">
        <f> Time!BX$45</f>
        <v>0.0</v>
      </c>
      <c r="BY57" s="325">
        <f> Time!BY$45</f>
        <v>0.0</v>
      </c>
      <c r="BZ57" s="325">
        <f> Time!BZ$45</f>
        <v>0.0</v>
      </c>
      <c r="CA57" s="325">
        <f> Time!CA$45</f>
        <v>0.0</v>
      </c>
      <c r="CB57" s="325">
        <f> Time!CB$45</f>
        <v>0.0</v>
      </c>
      <c r="CC57" s="325">
        <f> Time!CC$45</f>
        <v>0.0</v>
      </c>
      <c r="CD57" s="325">
        <f> Time!CD$45</f>
        <v>0.0</v>
      </c>
      <c r="CE57" s="325">
        <f> Time!CE$45</f>
        <v>0.0</v>
      </c>
      <c r="CF57" s="325">
        <f> Time!CF$45</f>
        <v>0.0</v>
      </c>
      <c r="CG57" s="325">
        <f> Time!CG$45</f>
        <v>0.0</v>
      </c>
      <c r="CH57" s="325">
        <f> Time!CH$45</f>
        <v>0.0</v>
      </c>
      <c r="CI57" s="325">
        <f> Time!CI$45</f>
        <v>0.0</v>
      </c>
      <c r="CJ57" s="325">
        <f> Time!CJ$45</f>
        <v>0.0</v>
      </c>
      <c r="CK57" s="325">
        <f> Time!CK$45</f>
        <v>0.0</v>
      </c>
      <c r="CL57" s="325">
        <f> Time!CL$45</f>
        <v>0.0</v>
      </c>
      <c r="CM57" s="325">
        <f> Time!CM$45</f>
        <v>0.0</v>
      </c>
      <c r="CN57" s="325">
        <f> Time!CN$45</f>
        <v>0.0</v>
      </c>
      <c r="CO57" s="325">
        <f> Time!CO$45</f>
        <v>0.0</v>
      </c>
    </row>
    <row r="58" customFormat="1" s="61">
      <c r="A58" s="294" t="n"/>
      <c r="B58" s="294" t="n"/>
      <c r="C58" s="212" t="n"/>
      <c r="D58" s="244" t="n"/>
    </row>
    <row r="59" customFormat="1" s="61">
      <c r="A59" s="294" t="n"/>
      <c r="B59" s="294" t="n"/>
      <c r="C59" s="212" t="n"/>
      <c r="D59" s="244" t="n"/>
      <c r="E59" s="61" t="inlineStr">
        <is>
          <t>Account payables balance BEG</t>
        </is>
      </c>
      <c r="G59" s="61" t="inlineStr">
        <is>
          <t>$ 000s</t>
        </is>
      </c>
      <c r="J59" s="61">
        <f> I62</f>
        <v>0.0</v>
      </c>
      <c r="K59" s="61">
        <f> J62</f>
        <v>0.0</v>
      </c>
      <c r="L59" s="61">
        <f> K62</f>
        <v>0.0</v>
      </c>
      <c r="M59" s="61">
        <f> L62</f>
        <v>3911.8805347494163</v>
      </c>
      <c r="N59" s="61">
        <f> M62</f>
        <v>3822.503480832038</v>
      </c>
      <c r="O59" s="61">
        <f> N62</f>
        <v>3994.910511465314</v>
      </c>
      <c r="P59" s="61">
        <f> O62</f>
        <v>3916.3149818840575</v>
      </c>
      <c r="Q59" s="61">
        <f> P62</f>
        <v>4218.865024872304</v>
      </c>
      <c r="R59" s="61">
        <f> Q62</f>
        <v>4057.127896603013</v>
      </c>
      <c r="S59" s="61">
        <f> R62</f>
        <v>4229.070867204988</v>
      </c>
      <c r="T59" s="61">
        <f> S62</f>
        <v>4112.1307309782605</v>
      </c>
      <c r="U59" s="61">
        <f> T62</f>
        <v>4370.660341780394</v>
      </c>
      <c r="V59" s="61">
        <f> U62</f>
        <v>4239.650121434395</v>
      </c>
      <c r="W59" s="61">
        <f> V62</f>
        <v>4408.768468852642</v>
      </c>
      <c r="X59" s="61">
        <f> W62</f>
        <v>4276.615960217392</v>
      </c>
      <c r="Y59" s="61">
        <f> X62</f>
        <v>4584.904044080322</v>
      </c>
      <c r="Z59" s="61">
        <f> Y62</f>
        <v>4387.9866718819685</v>
      </c>
      <c r="AA59" s="61">
        <f> Z62</f>
        <v>4552.013541494738</v>
      </c>
      <c r="AB59" s="61">
        <f> AA62</f>
        <v>4404.914439023913</v>
      </c>
      <c r="AC59" s="61">
        <f> AB62</f>
        <v>4722.45116540273</v>
      </c>
      <c r="AD59" s="61">
        <f> AC62</f>
        <v>4519.626272038426</v>
      </c>
      <c r="AE59" s="61">
        <f> AD62</f>
        <v>4688.57394773958</v>
      </c>
      <c r="AF59" s="61">
        <f> AE62</f>
        <v>4537.061872194627</v>
      </c>
      <c r="AG59" s="61">
        <f> AF62</f>
        <v>4864.124700364808</v>
      </c>
      <c r="AH59" s="61">
        <f> AG62</f>
        <v>4655.215060199578</v>
      </c>
      <c r="AI59" s="61">
        <f> AH62</f>
        <v>4829.231166171765</v>
      </c>
      <c r="AJ59" s="61">
        <f> AI62</f>
        <v>4673.173728360465</v>
      </c>
      <c r="AK59" s="61">
        <f> AJ62</f>
        <v>4954.992963997996</v>
      </c>
      <c r="AL59" s="61">
        <f> AK62</f>
        <v>4794.871512005564</v>
      </c>
      <c r="AM59" s="61">
        <f> AL62</f>
        <v>4974.108101156915</v>
      </c>
      <c r="AN59" s="61">
        <f> AM62</f>
        <v>4813.36894021128</v>
      </c>
      <c r="AO59" s="61">
        <f> AN62</f>
        <v>5160.349894617024</v>
      </c>
      <c r="AP59" s="61">
        <f> AO62</f>
        <v>4938.717657365727</v>
      </c>
      <c r="AQ59" s="61">
        <f> AP62</f>
        <v>5123.331344191618</v>
      </c>
      <c r="AR59" s="61">
        <f> AQ62</f>
        <v>4957.770008417612</v>
      </c>
      <c r="AS59" s="61">
        <f> AR62</f>
        <v>5315.160391455533</v>
      </c>
      <c r="AT59" s="61">
        <f> AS62</f>
        <v>5086.879187086699</v>
      </c>
      <c r="AU59" s="61">
        <f> AT62</f>
        <v>5277.0312845173685</v>
      </c>
      <c r="AV59" s="61">
        <f> AU62</f>
        <v>5106.503108670138</v>
      </c>
      <c r="AW59" s="61">
        <f> AV62</f>
        <v>5474.615203199195</v>
      </c>
      <c r="AX59" s="61">
        <f> AW62</f>
        <v>5239.485562699298</v>
      </c>
      <c r="AY59" s="61">
        <f> AX62</f>
        <v>5435.342223052887</v>
      </c>
      <c r="AZ59" s="61">
        <f> AY62</f>
        <v>5259.698201930241</v>
      </c>
      <c r="BA59" s="61">
        <f> AZ62</f>
        <v>5576.8882344677495</v>
      </c>
      <c r="BB59" s="61">
        <f> BA62</f>
        <v>5396.670129580276</v>
      </c>
      <c r="BC59" s="61">
        <f> BB62</f>
        <v>5598.402489744471</v>
      </c>
      <c r="BD59" s="61">
        <f> BC62</f>
        <v>5417.48914798815</v>
      </c>
      <c r="BE59" s="61">
        <f> BD62</f>
        <v>5808.019269074026</v>
      </c>
      <c r="BF59" s="61">
        <f> BE62</f>
        <v>5558.570233467681</v>
      </c>
      <c r="BG59" s="61">
        <f> BF62</f>
        <v>5766.354564436804</v>
      </c>
      <c r="BH59" s="61">
        <f> BG62</f>
        <v>5580.013822427791</v>
      </c>
      <c r="BI59" s="61">
        <f> BH62</f>
        <v>5746.321211813247</v>
      </c>
      <c r="BJ59" s="61">
        <f> BI62</f>
        <v>5960.403986860458</v>
      </c>
      <c r="BK59" s="61">
        <f> BJ62</f>
        <v>5705.09910752106</v>
      </c>
      <c r="BL59" s="61">
        <f> BK62</f>
        <v>5983.3977510412005</v>
      </c>
      <c r="BM59" s="61">
        <f> BL62</f>
        <v>5918.710848167639</v>
      </c>
      <c r="BN59" s="61">
        <f> BM62</f>
        <v>6139.2161064662705</v>
      </c>
      <c r="BO59" s="61">
        <f> BN62</f>
        <v>5876.25208074669</v>
      </c>
      <c r="BP59" s="61">
        <f> BO62</f>
        <v>6162.899683572436</v>
      </c>
      <c r="BQ59" s="61">
        <f> BP62</f>
        <v>6029.280171704837</v>
      </c>
      <c r="BR59" s="61">
        <f> BQ62</f>
        <v>6073.999775506434</v>
      </c>
      <c r="BS59" s="61">
        <f> BR62</f>
        <v>6301.051324133328</v>
      </c>
      <c r="BT59" s="61">
        <f> BS62</f>
        <v>6097.431764140047</v>
      </c>
      <c r="BU59" s="61">
        <f> BT62</f>
        <v>6536.976855992563</v>
      </c>
      <c r="BV59" s="61">
        <f> BU62</f>
        <v>6256.219768771622</v>
      </c>
      <c r="BW59" s="61">
        <f> BV62</f>
        <v>6490.082863857329</v>
      </c>
      <c r="BX59" s="61">
        <f> BW62</f>
        <v>6538.220274301992</v>
      </c>
      <c r="BY59" s="61">
        <f> BX62</f>
        <v>6733.086161672341</v>
      </c>
      <c r="BZ59" s="61">
        <f> BY62</f>
        <v>6708.487198370563</v>
      </c>
      <c r="CA59" s="61">
        <f> BZ62</f>
        <v>6684.785349773047</v>
      </c>
      <c r="CB59" s="61">
        <f> CA62</f>
        <v>6734.366882531049</v>
      </c>
      <c r="CC59" s="61">
        <f> CB62</f>
        <v>6935.078746522508</v>
      </c>
      <c r="CD59" s="61">
        <f> CC62</f>
        <v>6909.741814321678</v>
      </c>
      <c r="CE59" s="61">
        <f> CD62</f>
        <v>6885.328910266235</v>
      </c>
      <c r="CF59" s="61">
        <f> CE62</f>
        <v>6936.397889006981</v>
      </c>
      <c r="CG59" s="61">
        <f> CF62</f>
        <v>7064.6351626663345</v>
      </c>
      <c r="CH59" s="61">
        <f> CG62</f>
        <v>7117.034068751327</v>
      </c>
      <c r="CI59" s="61">
        <f> CH62</f>
        <v>7091.888777574219</v>
      </c>
      <c r="CJ59" s="61">
        <f> CI62</f>
        <v>7144.489825677185</v>
      </c>
      <c r="CK59" s="61">
        <f> CJ62</f>
        <v>7357.425042185725</v>
      </c>
      <c r="CL59" s="61">
        <f> CK62</f>
        <v>7330.545090813863</v>
      </c>
      <c r="CM59" s="61">
        <f> CL62</f>
        <v>7304.645440901444</v>
      </c>
      <c r="CN59" s="61">
        <f> CM62</f>
        <v>7358.824520447502</v>
      </c>
      <c r="CO59" s="61">
        <f> CN62</f>
        <v>0.0</v>
      </c>
    </row>
    <row r="60" customFormat="1" s="61">
      <c r="A60" s="294" t="n"/>
      <c r="B60" s="294" t="n"/>
      <c r="C60" s="212" t="n"/>
      <c r="D60" s="244" t="inlineStr">
        <is>
          <t>plus</t>
        </is>
      </c>
      <c r="E60" s="61" t="str">
        <f> E$38</f>
        <v>Operating cost POS</v>
      </c>
      <c r="F60" s="61">
        <f> F$38</f>
        <v>0.0</v>
      </c>
      <c r="G60" s="61" t="str">
        <f> G$38</f>
        <v>$ 000s</v>
      </c>
      <c r="H60" s="61">
        <f> H$38</f>
        <v>1152373.432337585</v>
      </c>
      <c r="I60" s="61">
        <f> I$38</f>
        <v>0.0</v>
      </c>
      <c r="J60" s="61">
        <f> J$38</f>
        <v>0.0</v>
      </c>
      <c r="K60" s="61">
        <f> K$38</f>
        <v>0.0</v>
      </c>
      <c r="L60" s="61">
        <f> L$38</f>
        <v>10059.121375069928</v>
      </c>
      <c r="M60" s="61">
        <f> M$38</f>
        <v>9938.509050163299</v>
      </c>
      <c r="N60" s="61">
        <f> N$38</f>
        <v>10500.907630137393</v>
      </c>
      <c r="O60" s="61">
        <f> O$38</f>
        <v>10294.313666666665</v>
      </c>
      <c r="P60" s="61">
        <f> P$38</f>
        <v>10848.510063957356</v>
      </c>
      <c r="Q60" s="61">
        <f> Q$38</f>
        <v>10548.532531167835</v>
      </c>
      <c r="R60" s="61">
        <f> R$38</f>
        <v>11116.414850938825</v>
      </c>
      <c r="S60" s="61">
        <f> S$38</f>
        <v>10809.02935</v>
      </c>
      <c r="T60" s="61">
        <f> T$38</f>
        <v>11363.716888629026</v>
      </c>
      <c r="U60" s="61">
        <f> U$38</f>
        <v>11023.090315729425</v>
      </c>
      <c r="V60" s="61">
        <f> V$38</f>
        <v>11588.762832412656</v>
      </c>
      <c r="W60" s="61">
        <f> W$38</f>
        <v>11241.390524</v>
      </c>
      <c r="X60" s="61">
        <f> X$38</f>
        <v>11789.75325620654</v>
      </c>
      <c r="Y60" s="61">
        <f> Y$38</f>
        <v>11408.765346893117</v>
      </c>
      <c r="Z60" s="61">
        <f> Z$38</f>
        <v>11965.292737643309</v>
      </c>
      <c r="AA60" s="61">
        <f> AA$38</f>
        <v>11578.632239719997</v>
      </c>
      <c r="AB60" s="61">
        <f> AB$38</f>
        <v>12143.445853892736</v>
      </c>
      <c r="AC60" s="61">
        <f> AC$38</f>
        <v>11751.028307299908</v>
      </c>
      <c r="AD60" s="61">
        <f> AD$38</f>
        <v>12324.251519772608</v>
      </c>
      <c r="AE60" s="61">
        <f> AE$38</f>
        <v>11925.991206911593</v>
      </c>
      <c r="AF60" s="61">
        <f> AF$38</f>
        <v>12507.749229509513</v>
      </c>
      <c r="AG60" s="61">
        <f> AG$38</f>
        <v>12103.559156518902</v>
      </c>
      <c r="AH60" s="61">
        <f> AH$38</f>
        <v>12693.97906536578</v>
      </c>
      <c r="AI60" s="61">
        <f> AI$38</f>
        <v>12283.770943118936</v>
      </c>
      <c r="AJ60" s="61">
        <f> AJ$38</f>
        <v>12882.981706394796</v>
      </c>
      <c r="AK60" s="61">
        <f> AK$38</f>
        <v>12466.665931214466</v>
      </c>
      <c r="AL60" s="61">
        <f> AL$38</f>
        <v>13074.798437326746</v>
      </c>
      <c r="AM60" s="61">
        <f> AM$38</f>
        <v>12652.2840714125</v>
      </c>
      <c r="AN60" s="61">
        <f> AN$38</f>
        <v>13269.471157586635</v>
      </c>
      <c r="AO60" s="61">
        <f> AO$38</f>
        <v>12840.665909150894</v>
      </c>
      <c r="AP60" s="61">
        <f> AP$38</f>
        <v>13467.042390446544</v>
      </c>
      <c r="AQ60" s="61">
        <f> AQ$38</f>
        <v>13031.85259355487</v>
      </c>
      <c r="AR60" s="61">
        <f> AR$38</f>
        <v>13667.55529231423</v>
      </c>
      <c r="AS60" s="61">
        <f> AS$38</f>
        <v>13225.885886425416</v>
      </c>
      <c r="AT60" s="61">
        <f> AT$38</f>
        <v>13871.053662159937</v>
      </c>
      <c r="AU60" s="61">
        <f> AU$38</f>
        <v>13422.808171361512</v>
      </c>
      <c r="AV60" s="61">
        <f> AV$38</f>
        <v>14077.58195108365</v>
      </c>
      <c r="AW60" s="61">
        <f> AW$38</f>
        <v>13622.662463018176</v>
      </c>
      <c r="AX60" s="61">
        <f> AX$38</f>
        <v>14287.18527202473</v>
      </c>
      <c r="AY60" s="61">
        <f> AY$38</f>
        <v>13825.492416502351</v>
      </c>
      <c r="AZ60" s="61">
        <f> AZ$38</f>
        <v>14499.909409616155</v>
      </c>
      <c r="BA60" s="61">
        <f> BA$38</f>
        <v>14031.342336908714</v>
      </c>
      <c r="BB60" s="61">
        <f> BB$38</f>
        <v>14715.800830185466</v>
      </c>
      <c r="BC60" s="61">
        <f> BC$38</f>
        <v>14240.257188997417</v>
      </c>
      <c r="BD60" s="61">
        <f> BD$38</f>
        <v>14934.906691904634</v>
      </c>
      <c r="BE60" s="61">
        <f> BE$38</f>
        <v>14452.282607015972</v>
      </c>
      <c r="BF60" s="61">
        <f> BF$38</f>
        <v>15157.274855091027</v>
      </c>
      <c r="BG60" s="61">
        <f> BG$38</f>
        <v>14667.464904667335</v>
      </c>
      <c r="BH60" s="61">
        <f> BH$38</f>
        <v>14776.25454466263</v>
      </c>
      <c r="BI60" s="61">
        <f> BI$38</f>
        <v>15497.050365837194</v>
      </c>
      <c r="BJ60" s="61">
        <f> BJ$38</f>
        <v>14996.260511198212</v>
      </c>
      <c r="BK60" s="61">
        <f> BK$38</f>
        <v>15727.788374165439</v>
      </c>
      <c r="BL60" s="61">
        <f> BL$38</f>
        <v>15219.542181002504</v>
      </c>
      <c r="BM60" s="61">
        <f> BM$38</f>
        <v>15961.961876812307</v>
      </c>
      <c r="BN60" s="61">
        <f> BN$38</f>
        <v>15446.148326534154</v>
      </c>
      <c r="BO60" s="61">
        <f> BO$38</f>
        <v>16199.622025390398</v>
      </c>
      <c r="BP60" s="61">
        <f> BP$38</f>
        <v>15676.128446432574</v>
      </c>
      <c r="BQ60" s="61">
        <f> BQ$38</f>
        <v>15792.399416316726</v>
      </c>
      <c r="BR60" s="61">
        <f> BR$38</f>
        <v>16562.763480579037</v>
      </c>
      <c r="BS60" s="61">
        <f> BS$38</f>
        <v>16027.534922882409</v>
      </c>
      <c r="BT60" s="61">
        <f> BT$38</f>
        <v>16809.3690582666</v>
      </c>
      <c r="BU60" s="61">
        <f> BU$38</f>
        <v>16266.171398806224</v>
      </c>
      <c r="BV60" s="61">
        <f> BV$38</f>
        <v>17059.646384996402</v>
      </c>
      <c r="BW60" s="61">
        <f> BW$38</f>
        <v>17186.179006736664</v>
      </c>
      <c r="BX60" s="61">
        <f> BX$38</f>
        <v>17313.650130014594</v>
      </c>
      <c r="BY60" s="61">
        <f> BY$38</f>
        <v>17442.066715763467</v>
      </c>
      <c r="BZ60" s="61">
        <f> BZ$38</f>
        <v>17571.435776546292</v>
      </c>
      <c r="CA60" s="61">
        <f> CA$38</f>
        <v>17701.764376938754</v>
      </c>
      <c r="CB60" s="61">
        <f> CB$38</f>
        <v>17833.059633915025</v>
      </c>
      <c r="CC60" s="61">
        <f> CC$38</f>
        <v>17965.328717236367</v>
      </c>
      <c r="CD60" s="61">
        <f> CD$38</f>
        <v>18098.578849842674</v>
      </c>
      <c r="CE60" s="61">
        <f> CE$38</f>
        <v>18232.817308246915</v>
      </c>
      <c r="CF60" s="61">
        <f> CF$38</f>
        <v>18368.051422932473</v>
      </c>
      <c r="CG60" s="61">
        <f> CG$38</f>
        <v>18504.28857875345</v>
      </c>
      <c r="CH60" s="61">
        <f> CH$38</f>
        <v>18641.53621533795</v>
      </c>
      <c r="CI60" s="61">
        <f> CI$38</f>
        <v>18779.801827494317</v>
      </c>
      <c r="CJ60" s="61">
        <f> CJ$38</f>
        <v>18919.09296562044</v>
      </c>
      <c r="CK60" s="61">
        <f> CK$38</f>
        <v>19059.417236116045</v>
      </c>
      <c r="CL60" s="61">
        <f> CL$38</f>
        <v>19200.782301798077</v>
      </c>
      <c r="CM60" s="61">
        <f> CM$38</f>
        <v>19343.19588231914</v>
      </c>
      <c r="CN60" s="61">
        <f> CN$38</f>
        <v>0.0</v>
      </c>
      <c r="CO60" s="61">
        <f> CO$38</f>
        <v>0.0</v>
      </c>
    </row>
    <row r="61" customFormat="1" s="322">
      <c r="A61" s="294" t="n"/>
      <c r="B61" s="294" t="n"/>
      <c r="C61" s="212" t="n"/>
      <c r="D61" s="244" t="inlineStr">
        <is>
          <t>less</t>
        </is>
      </c>
      <c r="E61" s="61" t="str">
        <f> E$50</f>
        <v>Operating cost paid POS</v>
      </c>
      <c r="F61" s="61">
        <f> F$50</f>
        <v>0.0</v>
      </c>
      <c r="G61" s="61" t="str">
        <f> G$50</f>
        <v>$ 000s</v>
      </c>
      <c r="H61" s="61">
        <f> H$50</f>
        <v>1152373.432337585</v>
      </c>
      <c r="I61" s="61">
        <f> I$50</f>
        <v>0.0</v>
      </c>
      <c r="J61" s="61">
        <f> J$50</f>
        <v>0.0</v>
      </c>
      <c r="K61" s="61">
        <f> K$50</f>
        <v>0.0</v>
      </c>
      <c r="L61" s="61">
        <f> L$50</f>
        <v>6147.240840320512</v>
      </c>
      <c r="M61" s="61">
        <f> M$50</f>
        <v>10027.886104080677</v>
      </c>
      <c r="N61" s="61">
        <f> N$50</f>
        <v>10328.500599504117</v>
      </c>
      <c r="O61" s="61">
        <f> O$50</f>
        <v>10372.909196247921</v>
      </c>
      <c r="P61" s="61">
        <f> P$50</f>
        <v>10545.960020969109</v>
      </c>
      <c r="Q61" s="61">
        <f> Q$50</f>
        <v>10710.269659437126</v>
      </c>
      <c r="R61" s="61">
        <f> R$50</f>
        <v>10944.47188033685</v>
      </c>
      <c r="S61" s="61">
        <f> S$50</f>
        <v>10925.969486226728</v>
      </c>
      <c r="T61" s="61">
        <f> T$50</f>
        <v>11105.187277826892</v>
      </c>
      <c r="U61" s="61">
        <f> U$50</f>
        <v>11154.100536075424</v>
      </c>
      <c r="V61" s="61">
        <f> V$50</f>
        <v>11419.64448499441</v>
      </c>
      <c r="W61" s="61">
        <f> W$50</f>
        <v>11373.54303263525</v>
      </c>
      <c r="X61" s="61">
        <f> X$50</f>
        <v>11481.46517234361</v>
      </c>
      <c r="Y61" s="61">
        <f> Y$50</f>
        <v>11605.68271909147</v>
      </c>
      <c r="Z61" s="61">
        <f> Z$50</f>
        <v>11801.26586803054</v>
      </c>
      <c r="AA61" s="61">
        <f> AA$50</f>
        <v>11725.731342190822</v>
      </c>
      <c r="AB61" s="61">
        <f> AB$50</f>
        <v>11825.909127513918</v>
      </c>
      <c r="AC61" s="61">
        <f> AC$50</f>
        <v>11953.853200664213</v>
      </c>
      <c r="AD61" s="61">
        <f> AD$50</f>
        <v>12155.303844071455</v>
      </c>
      <c r="AE61" s="61">
        <f> AE$50</f>
        <v>12077.503282456546</v>
      </c>
      <c r="AF61" s="61">
        <f> AF$50</f>
        <v>12180.68640133933</v>
      </c>
      <c r="AG61" s="61">
        <f> AG$50</f>
        <v>12312.468796684134</v>
      </c>
      <c r="AH61" s="61">
        <f> AH$50</f>
        <v>12519.962959393593</v>
      </c>
      <c r="AI61" s="61">
        <f> AI$50</f>
        <v>12439.828380930236</v>
      </c>
      <c r="AJ61" s="61">
        <f> AJ$50</f>
        <v>12601.162470757263</v>
      </c>
      <c r="AK61" s="61">
        <f> AK$50</f>
        <v>12626.787383206898</v>
      </c>
      <c r="AL61" s="61">
        <f> AL$50</f>
        <v>12895.561848175395</v>
      </c>
      <c r="AM61" s="61">
        <f> AM$50</f>
        <v>12813.023232358137</v>
      </c>
      <c r="AN61" s="61">
        <f> AN$50</f>
        <v>12922.49020318089</v>
      </c>
      <c r="AO61" s="61">
        <f> AO$50</f>
        <v>13062.29814640219</v>
      </c>
      <c r="AP61" s="61">
        <f> AP$50</f>
        <v>13282.428703620652</v>
      </c>
      <c r="AQ61" s="61">
        <f> AQ$50</f>
        <v>13197.413929328874</v>
      </c>
      <c r="AR61" s="61">
        <f> AR$50</f>
        <v>13310.16490927631</v>
      </c>
      <c r="AS61" s="61">
        <f> AS$50</f>
        <v>13454.16709079425</v>
      </c>
      <c r="AT61" s="61">
        <f> AT$50</f>
        <v>13680.901564729269</v>
      </c>
      <c r="AU61" s="61">
        <f> AU$50</f>
        <v>13593.33634720874</v>
      </c>
      <c r="AV61" s="61">
        <f> AV$50</f>
        <v>13709.469856554591</v>
      </c>
      <c r="AW61" s="61">
        <f> AW$50</f>
        <v>13857.792103518073</v>
      </c>
      <c r="AX61" s="61">
        <f> AX$50</f>
        <v>14091.32861167114</v>
      </c>
      <c r="AY61" s="61">
        <f> AY$50</f>
        <v>14001.136437624995</v>
      </c>
      <c r="AZ61" s="61">
        <f> AZ$50</f>
        <v>14182.719377078645</v>
      </c>
      <c r="BA61" s="61">
        <f> BA$50</f>
        <v>14211.56044179619</v>
      </c>
      <c r="BB61" s="61">
        <f> BB$50</f>
        <v>14514.068470021271</v>
      </c>
      <c r="BC61" s="61">
        <f> BC$50</f>
        <v>14421.17053075374</v>
      </c>
      <c r="BD61" s="61">
        <f> BD$50</f>
        <v>14544.37657081876</v>
      </c>
      <c r="BE61" s="61">
        <f> BE$50</f>
        <v>14701.731642622317</v>
      </c>
      <c r="BF61" s="61">
        <f> BF$50</f>
        <v>14949.490524121904</v>
      </c>
      <c r="BG61" s="61">
        <f> BG$50</f>
        <v>14853.805646676348</v>
      </c>
      <c r="BH61" s="61">
        <f> BH$50</f>
        <v>14609.947155277176</v>
      </c>
      <c r="BI61" s="61">
        <f> BI$50</f>
        <v>15282.967590789982</v>
      </c>
      <c r="BJ61" s="61">
        <f> BJ$50</f>
        <v>15251.565390537611</v>
      </c>
      <c r="BK61" s="61">
        <f> BK$50</f>
        <v>15449.489730645299</v>
      </c>
      <c r="BL61" s="61">
        <f> BL$50</f>
        <v>15284.229083876065</v>
      </c>
      <c r="BM61" s="61">
        <f> BM$50</f>
        <v>15741.456618513674</v>
      </c>
      <c r="BN61" s="61">
        <f> BN$50</f>
        <v>15709.112352253735</v>
      </c>
      <c r="BO61" s="61">
        <f> BO$50</f>
        <v>15912.974422564654</v>
      </c>
      <c r="BP61" s="61">
        <f> BP$50</f>
        <v>15809.747958300175</v>
      </c>
      <c r="BQ61" s="61">
        <f> BQ$50</f>
        <v>15747.67981251513</v>
      </c>
      <c r="BR61" s="61">
        <f> BR$50</f>
        <v>16335.71193195214</v>
      </c>
      <c r="BS61" s="61">
        <f> BS$50</f>
        <v>16231.15448287569</v>
      </c>
      <c r="BT61" s="61">
        <f> BT$50</f>
        <v>16369.82396641408</v>
      </c>
      <c r="BU61" s="61">
        <f> BU$50</f>
        <v>16546.928486027165</v>
      </c>
      <c r="BV61" s="61">
        <f> BV$50</f>
        <v>16825.783289910694</v>
      </c>
      <c r="BW61" s="61">
        <f> BW$50</f>
        <v>17138.041596292</v>
      </c>
      <c r="BX61" s="61">
        <f> BX$50</f>
        <v>17118.784242644244</v>
      </c>
      <c r="BY61" s="61">
        <f> BY$50</f>
        <v>17466.665679065245</v>
      </c>
      <c r="BZ61" s="61">
        <f> BZ$50</f>
        <v>17595.13762514381</v>
      </c>
      <c r="CA61" s="61">
        <f> CA$50</f>
        <v>17652.182844180752</v>
      </c>
      <c r="CB61" s="61">
        <f> CB$50</f>
        <v>17632.347769923566</v>
      </c>
      <c r="CC61" s="61">
        <f> CC$50</f>
        <v>17990.665649437196</v>
      </c>
      <c r="CD61" s="61">
        <f> CD$50</f>
        <v>18122.991753898117</v>
      </c>
      <c r="CE61" s="61">
        <f> CE$50</f>
        <v>18181.74832950617</v>
      </c>
      <c r="CF61" s="61">
        <f> CF$50</f>
        <v>18239.81414927312</v>
      </c>
      <c r="CG61" s="61">
        <f> CG$50</f>
        <v>18451.889672668458</v>
      </c>
      <c r="CH61" s="61">
        <f> CH$50</f>
        <v>18666.68150651506</v>
      </c>
      <c r="CI61" s="61">
        <f> CI$50</f>
        <v>18727.20077939135</v>
      </c>
      <c r="CJ61" s="61">
        <f> CJ$50</f>
        <v>18706.1577491119</v>
      </c>
      <c r="CK61" s="61">
        <f> CK$50</f>
        <v>19086.297187487908</v>
      </c>
      <c r="CL61" s="61">
        <f> CL$50</f>
        <v>19226.681951710496</v>
      </c>
      <c r="CM61" s="61">
        <f> CM$50</f>
        <v>19289.016802773083</v>
      </c>
      <c r="CN61" s="61">
        <f> CN$50</f>
        <v>7358.824520447502</v>
      </c>
      <c r="CO61" s="61">
        <f> CO$50</f>
        <v>0.0</v>
      </c>
    </row>
    <row r="62" s="396">
      <c r="A62" s="318" t="n"/>
      <c r="B62" s="318" t="n"/>
      <c r="C62" s="319" t="n"/>
      <c r="D62" s="320" t="n"/>
      <c r="E62" s="322" t="inlineStr">
        <is>
          <t>Account payables balance</t>
        </is>
      </c>
      <c r="F62" s="322" t="inlineStr">
        <is>
          <t>BS</t>
        </is>
      </c>
      <c r="G62" s="322" t="inlineStr">
        <is>
          <t>$ 000s</t>
        </is>
      </c>
      <c r="I62" s="323" t="n"/>
      <c r="J62" s="322">
        <f> IF(J57 = 1, $F56, J59 + J60 - J61)</f>
        <v>0.0</v>
      </c>
      <c r="K62" s="322">
        <f> IF(K57 = 1, $F56, K59 + K60 - K61)</f>
        <v>0.0</v>
      </c>
      <c r="L62" s="322">
        <f> IF(L57 = 1, $F56, L59 + L60 - L61)</f>
        <v>3911.8805347494163</v>
      </c>
      <c r="M62" s="322">
        <f> IF(M57 = 1, $F56, M59 + M60 - M61)</f>
        <v>3822.503480832038</v>
      </c>
      <c r="N62" s="322">
        <f> IF(N57 = 1, $F56, N59 + N60 - N61)</f>
        <v>3994.910511465314</v>
      </c>
      <c r="O62" s="322">
        <f> IF(O57 = 1, $F56, O59 + O60 - O61)</f>
        <v>3916.3149818840575</v>
      </c>
      <c r="P62" s="322">
        <f> IF(P57 = 1, $F56, P59 + P60 - P61)</f>
        <v>4218.865024872304</v>
      </c>
      <c r="Q62" s="322">
        <f> IF(Q57 = 1, $F56, Q59 + Q60 - Q61)</f>
        <v>4057.127896603013</v>
      </c>
      <c r="R62" s="322">
        <f> IF(R57 = 1, $F56, R59 + R60 - R61)</f>
        <v>4229.070867204988</v>
      </c>
      <c r="S62" s="322">
        <f> IF(S57 = 1, $F56, S59 + S60 - S61)</f>
        <v>4112.1307309782605</v>
      </c>
      <c r="T62" s="322">
        <f> IF(T57 = 1, $F56, T59 + T60 - T61)</f>
        <v>4370.660341780394</v>
      </c>
      <c r="U62" s="322">
        <f> IF(U57 = 1, $F56, U59 + U60 - U61)</f>
        <v>4239.650121434395</v>
      </c>
      <c r="V62" s="322">
        <f> IF(V57 = 1, $F56, V59 + V60 - V61)</f>
        <v>4408.768468852642</v>
      </c>
      <c r="W62" s="322">
        <f> IF(W57 = 1, $F56, W59 + W60 - W61)</f>
        <v>4276.615960217392</v>
      </c>
      <c r="X62" s="322">
        <f> IF(X57 = 1, $F56, X59 + X60 - X61)</f>
        <v>4584.904044080322</v>
      </c>
      <c r="Y62" s="322">
        <f> IF(Y57 = 1, $F56, Y59 + Y60 - Y61)</f>
        <v>4387.9866718819685</v>
      </c>
      <c r="Z62" s="322">
        <f> IF(Z57 = 1, $F56, Z59 + Z60 - Z61)</f>
        <v>4552.013541494738</v>
      </c>
      <c r="AA62" s="322">
        <f> IF(AA57 = 1, $F56, AA59 + AA60 - AA61)</f>
        <v>4404.914439023913</v>
      </c>
      <c r="AB62" s="322">
        <f> IF(AB57 = 1, $F56, AB59 + AB60 - AB61)</f>
        <v>4722.45116540273</v>
      </c>
      <c r="AC62" s="322">
        <f> IF(AC57 = 1, $F56, AC59 + AC60 - AC61)</f>
        <v>4519.626272038426</v>
      </c>
      <c r="AD62" s="322">
        <f> IF(AD57 = 1, $F56, AD59 + AD60 - AD61)</f>
        <v>4688.57394773958</v>
      </c>
      <c r="AE62" s="322">
        <f> IF(AE57 = 1, $F56, AE59 + AE60 - AE61)</f>
        <v>4537.061872194627</v>
      </c>
      <c r="AF62" s="322">
        <f> IF(AF57 = 1, $F56, AF59 + AF60 - AF61)</f>
        <v>4864.124700364808</v>
      </c>
      <c r="AG62" s="322">
        <f> IF(AG57 = 1, $F56, AG59 + AG60 - AG61)</f>
        <v>4655.215060199578</v>
      </c>
      <c r="AH62" s="322">
        <f> IF(AH57 = 1, $F56, AH59 + AH60 - AH61)</f>
        <v>4829.231166171765</v>
      </c>
      <c r="AI62" s="322">
        <f> IF(AI57 = 1, $F56, AI59 + AI60 - AI61)</f>
        <v>4673.173728360465</v>
      </c>
      <c r="AJ62" s="322">
        <f> IF(AJ57 = 1, $F56, AJ59 + AJ60 - AJ61)</f>
        <v>4954.992963997996</v>
      </c>
      <c r="AK62" s="322">
        <f> IF(AK57 = 1, $F56, AK59 + AK60 - AK61)</f>
        <v>4794.871512005564</v>
      </c>
      <c r="AL62" s="322">
        <f> IF(AL57 = 1, $F56, AL59 + AL60 - AL61)</f>
        <v>4974.108101156915</v>
      </c>
      <c r="AM62" s="322">
        <f> IF(AM57 = 1, $F56, AM59 + AM60 - AM61)</f>
        <v>4813.36894021128</v>
      </c>
      <c r="AN62" s="322">
        <f> IF(AN57 = 1, $F56, AN59 + AN60 - AN61)</f>
        <v>5160.349894617024</v>
      </c>
      <c r="AO62" s="322">
        <f> IF(AO57 = 1, $F56, AO59 + AO60 - AO61)</f>
        <v>4938.717657365727</v>
      </c>
      <c r="AP62" s="322">
        <f> IF(AP57 = 1, $F56, AP59 + AP60 - AP61)</f>
        <v>5123.331344191618</v>
      </c>
      <c r="AQ62" s="322">
        <f> IF(AQ57 = 1, $F56, AQ59 + AQ60 - AQ61)</f>
        <v>4957.770008417612</v>
      </c>
      <c r="AR62" s="322">
        <f> IF(AR57 = 1, $F56, AR59 + AR60 - AR61)</f>
        <v>5315.160391455533</v>
      </c>
      <c r="AS62" s="322">
        <f> IF(AS57 = 1, $F56, AS59 + AS60 - AS61)</f>
        <v>5086.879187086699</v>
      </c>
      <c r="AT62" s="322">
        <f> IF(AT57 = 1, $F56, AT59 + AT60 - AT61)</f>
        <v>5277.0312845173685</v>
      </c>
      <c r="AU62" s="322">
        <f> IF(AU57 = 1, $F56, AU59 + AU60 - AU61)</f>
        <v>5106.503108670138</v>
      </c>
      <c r="AV62" s="322">
        <f> IF(AV57 = 1, $F56, AV59 + AV60 - AV61)</f>
        <v>5474.615203199195</v>
      </c>
      <c r="AW62" s="322">
        <f> IF(AW57 = 1, $F56, AW59 + AW60 - AW61)</f>
        <v>5239.485562699298</v>
      </c>
      <c r="AX62" s="322">
        <f> IF(AX57 = 1, $F56, AX59 + AX60 - AX61)</f>
        <v>5435.342223052887</v>
      </c>
      <c r="AY62" s="322">
        <f> IF(AY57 = 1, $F56, AY59 + AY60 - AY61)</f>
        <v>5259.698201930241</v>
      </c>
      <c r="AZ62" s="322">
        <f> IF(AZ57 = 1, $F56, AZ59 + AZ60 - AZ61)</f>
        <v>5576.8882344677495</v>
      </c>
      <c r="BA62" s="322">
        <f> IF(BA57 = 1, $F56, BA59 + BA60 - BA61)</f>
        <v>5396.670129580276</v>
      </c>
      <c r="BB62" s="322">
        <f> IF(BB57 = 1, $F56, BB59 + BB60 - BB61)</f>
        <v>5598.402489744471</v>
      </c>
      <c r="BC62" s="322">
        <f> IF(BC57 = 1, $F56, BC59 + BC60 - BC61)</f>
        <v>5417.48914798815</v>
      </c>
      <c r="BD62" s="322">
        <f> IF(BD57 = 1, $F56, BD59 + BD60 - BD61)</f>
        <v>5808.019269074026</v>
      </c>
      <c r="BE62" s="322">
        <f> IF(BE57 = 1, $F56, BE59 + BE60 - BE61)</f>
        <v>5558.570233467681</v>
      </c>
      <c r="BF62" s="322">
        <f> IF(BF57 = 1, $F56, BF59 + BF60 - BF61)</f>
        <v>5766.354564436804</v>
      </c>
      <c r="BG62" s="322">
        <f> IF(BG57 = 1, $F56, BG59 + BG60 - BG61)</f>
        <v>5580.013822427791</v>
      </c>
      <c r="BH62" s="322">
        <f> IF(BH57 = 1, $F56, BH59 + BH60 - BH61)</f>
        <v>5746.321211813247</v>
      </c>
      <c r="BI62" s="322">
        <f> IF(BI57 = 1, $F56, BI59 + BI60 - BI61)</f>
        <v>5960.403986860458</v>
      </c>
      <c r="BJ62" s="322">
        <f> IF(BJ57 = 1, $F56, BJ59 + BJ60 - BJ61)</f>
        <v>5705.09910752106</v>
      </c>
      <c r="BK62" s="322">
        <f> IF(BK57 = 1, $F56, BK59 + BK60 - BK61)</f>
        <v>5983.3977510412005</v>
      </c>
      <c r="BL62" s="322">
        <f> IF(BL57 = 1, $F56, BL59 + BL60 - BL61)</f>
        <v>5918.710848167639</v>
      </c>
      <c r="BM62" s="322">
        <f> IF(BM57 = 1, $F56, BM59 + BM60 - BM61)</f>
        <v>6139.2161064662705</v>
      </c>
      <c r="BN62" s="322">
        <f> IF(BN57 = 1, $F56, BN59 + BN60 - BN61)</f>
        <v>5876.25208074669</v>
      </c>
      <c r="BO62" s="322">
        <f> IF(BO57 = 1, $F56, BO59 + BO60 - BO61)</f>
        <v>6162.899683572436</v>
      </c>
      <c r="BP62" s="322">
        <f> IF(BP57 = 1, $F56, BP59 + BP60 - BP61)</f>
        <v>6029.280171704837</v>
      </c>
      <c r="BQ62" s="322">
        <f> IF(BQ57 = 1, $F56, BQ59 + BQ60 - BQ61)</f>
        <v>6073.999775506434</v>
      </c>
      <c r="BR62" s="322">
        <f> IF(BR57 = 1, $F56, BR59 + BR60 - BR61)</f>
        <v>6301.051324133328</v>
      </c>
      <c r="BS62" s="322">
        <f> IF(BS57 = 1, $F56, BS59 + BS60 - BS61)</f>
        <v>6097.431764140047</v>
      </c>
      <c r="BT62" s="322">
        <f> IF(BT57 = 1, $F56, BT59 + BT60 - BT61)</f>
        <v>6536.976855992563</v>
      </c>
      <c r="BU62" s="322">
        <f> IF(BU57 = 1, $F56, BU59 + BU60 - BU61)</f>
        <v>6256.219768771622</v>
      </c>
      <c r="BV62" s="322">
        <f> IF(BV57 = 1, $F56, BV59 + BV60 - BV61)</f>
        <v>6490.082863857329</v>
      </c>
      <c r="BW62" s="322">
        <f> IF(BW57 = 1, $F56, BW59 + BW60 - BW61)</f>
        <v>6538.220274301992</v>
      </c>
      <c r="BX62" s="322">
        <f> IF(BX57 = 1, $F56, BX59 + BX60 - BX61)</f>
        <v>6733.086161672341</v>
      </c>
      <c r="BY62" s="322">
        <f> IF(BY57 = 1, $F56, BY59 + BY60 - BY61)</f>
        <v>6708.487198370563</v>
      </c>
      <c r="BZ62" s="322">
        <f> IF(BZ57 = 1, $F56, BZ59 + BZ60 - BZ61)</f>
        <v>6684.785349773047</v>
      </c>
      <c r="CA62" s="322">
        <f> IF(CA57 = 1, $F56, CA59 + CA60 - CA61)</f>
        <v>6734.366882531049</v>
      </c>
      <c r="CB62" s="322">
        <f> IF(CB57 = 1, $F56, CB59 + CB60 - CB61)</f>
        <v>6935.078746522508</v>
      </c>
      <c r="CC62" s="322">
        <f> IF(CC57 = 1, $F56, CC59 + CC60 - CC61)</f>
        <v>6909.741814321678</v>
      </c>
      <c r="CD62" s="322">
        <f> IF(CD57 = 1, $F56, CD59 + CD60 - CD61)</f>
        <v>6885.328910266235</v>
      </c>
      <c r="CE62" s="322">
        <f> IF(CE57 = 1, $F56, CE59 + CE60 - CE61)</f>
        <v>6936.397889006981</v>
      </c>
      <c r="CF62" s="322">
        <f> IF(CF57 = 1, $F56, CF59 + CF60 - CF61)</f>
        <v>7064.6351626663345</v>
      </c>
      <c r="CG62" s="322">
        <f> IF(CG57 = 1, $F56, CG59 + CG60 - CG61)</f>
        <v>7117.034068751327</v>
      </c>
      <c r="CH62" s="322">
        <f> IF(CH57 = 1, $F56, CH59 + CH60 - CH61)</f>
        <v>7091.888777574219</v>
      </c>
      <c r="CI62" s="322">
        <f> IF(CI57 = 1, $F56, CI59 + CI60 - CI61)</f>
        <v>7144.489825677185</v>
      </c>
      <c r="CJ62" s="322">
        <f> IF(CJ57 = 1, $F56, CJ59 + CJ60 - CJ61)</f>
        <v>7357.425042185725</v>
      </c>
      <c r="CK62" s="322">
        <f> IF(CK57 = 1, $F56, CK59 + CK60 - CK61)</f>
        <v>7330.545090813863</v>
      </c>
      <c r="CL62" s="322">
        <f> IF(CL57 = 1, $F56, CL59 + CL60 - CL61)</f>
        <v>7304.645440901444</v>
      </c>
      <c r="CM62" s="322">
        <f> IF(CM57 = 1, $F56, CM59 + CM60 - CM61)</f>
        <v>7358.824520447502</v>
      </c>
      <c r="CN62" s="322">
        <f> IF(CN57 = 1, $F56, CN59 + CN60 - CN61)</f>
        <v>0.0</v>
      </c>
      <c r="CO62" s="322">
        <f> IF(CO57 = 1, $F56, CO59 + CO60 - CO61)</f>
        <v>0.0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0.xml><?xml version="1.0" encoding="utf-8"?>
<worksheet xmlns="http://schemas.openxmlformats.org/spreadsheetml/2006/main">
  <sheetPr>
    <tabColor rgb="000B5E82"/>
    <outlinePr summaryBelow="0" summaryRight="0"/>
    <pageSetUpPr/>
  </sheetPr>
  <dimension ref="A1:CO53"/>
  <sheetViews>
    <sheetView showGridLines="0" defaultGridColor="0" colorId="22" zoomScaleNormal="100" workbookViewId="0">
      <pane xSplit="9" ySplit="5" topLeftCell="J33" activePane="bottomRight" state="frozen"/>
      <selection activeCell="I34" sqref="I34"/>
      <selection pane="topRight" activeCell="I34" sqref="I34"/>
      <selection pane="bottomLeft" activeCell="I34" sqref="I34"/>
      <selection pane="bottomRight" activeCell="J49" sqref="J49"/>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 xml:space="preserve">TAX DEPRECIATION </t>
        </is>
      </c>
    </row>
    <row r="8">
      <c r="E8" s="336" t="str">
        <f> InpC!E$84</f>
        <v>Tax depreciation rate</v>
      </c>
      <c r="F8" s="336">
        <f> InpC!F$84</f>
        <v>0.05</v>
      </c>
      <c r="G8" s="336" t="str">
        <f> InpC!G$84</f>
        <v>% TWDV</v>
      </c>
    </row>
    <row r="9">
      <c r="E9" s="29" t="str">
        <f> E$18</f>
        <v>Tax written down value balance BEG</v>
      </c>
      <c r="F9" s="29">
        <f> F$18</f>
        <v>0.0</v>
      </c>
      <c r="G9" s="29" t="str">
        <f> G$18</f>
        <v>$ 000s</v>
      </c>
      <c r="H9" s="29">
        <f> H$18</f>
        <v>0.0</v>
      </c>
      <c r="I9" s="29">
        <f> I$18</f>
        <v>0.0</v>
      </c>
      <c r="J9" s="29">
        <f> J$18</f>
        <v>0.0</v>
      </c>
      <c r="K9" s="29">
        <f> K$18</f>
        <v>0.0</v>
      </c>
      <c r="L9" s="29">
        <f> L$18</f>
        <v>101067.79924517678</v>
      </c>
      <c r="M9" s="29">
        <f> M$18</f>
        <v>96014.40928291794</v>
      </c>
      <c r="N9" s="29">
        <f> N$18</f>
        <v>91213.68881877205</v>
      </c>
      <c r="O9" s="29">
        <f> O$18</f>
        <v>86653.00437783345</v>
      </c>
      <c r="P9" s="29">
        <f> P$18</f>
        <v>82320.35415894177</v>
      </c>
      <c r="Q9" s="29">
        <f> Q$18</f>
        <v>78204.33645099468</v>
      </c>
      <c r="R9" s="29">
        <f> R$18</f>
        <v>74294.11962844495</v>
      </c>
      <c r="S9" s="29">
        <f> S$18</f>
        <v>70579.41364702271</v>
      </c>
      <c r="T9" s="29">
        <f> T$18</f>
        <v>69050.44296467157</v>
      </c>
      <c r="U9" s="29">
        <f> U$18</f>
        <v>65597.920816438</v>
      </c>
      <c r="V9" s="29">
        <f> V$18</f>
        <v>62318.0247756161</v>
      </c>
      <c r="W9" s="29">
        <f> W$18</f>
        <v>59202.12353683529</v>
      </c>
      <c r="X9" s="29">
        <f> X$18</f>
        <v>57242.01735999353</v>
      </c>
      <c r="Y9" s="29">
        <f> Y$18</f>
        <v>54379.916491993856</v>
      </c>
      <c r="Z9" s="29">
        <f> Z$18</f>
        <v>51660.920667394166</v>
      </c>
      <c r="AA9" s="29">
        <f> AA$18</f>
        <v>49077.874634024454</v>
      </c>
      <c r="AB9" s="29">
        <f> AB$18</f>
        <v>48123.98090232323</v>
      </c>
      <c r="AC9" s="29">
        <f> AC$18</f>
        <v>45717.78185720707</v>
      </c>
      <c r="AD9" s="29">
        <f> AD$18</f>
        <v>43431.89276434672</v>
      </c>
      <c r="AE9" s="29">
        <f> AE$18</f>
        <v>41260.29812612938</v>
      </c>
      <c r="AF9" s="29">
        <f> AF$18</f>
        <v>40197.283219822915</v>
      </c>
      <c r="AG9" s="29">
        <f> AG$18</f>
        <v>38187.41905883177</v>
      </c>
      <c r="AH9" s="29">
        <f> AH$18</f>
        <v>36278.048105890186</v>
      </c>
      <c r="AI9" s="29">
        <f> AI$18</f>
        <v>34464.145700595676</v>
      </c>
      <c r="AJ9" s="29">
        <f> AJ$18</f>
        <v>33240.93841556589</v>
      </c>
      <c r="AK9" s="29">
        <f> AK$18</f>
        <v>31578.891494787596</v>
      </c>
      <c r="AL9" s="29">
        <f> AL$18</f>
        <v>29999.946920048216</v>
      </c>
      <c r="AM9" s="29">
        <f> AM$18</f>
        <v>28499.949574045804</v>
      </c>
      <c r="AN9" s="29">
        <f> AN$18</f>
        <v>28074.952095343513</v>
      </c>
      <c r="AO9" s="29">
        <f> AO$18</f>
        <v>26671.204490576336</v>
      </c>
      <c r="AP9" s="29">
        <f> AP$18</f>
        <v>25337.64426604752</v>
      </c>
      <c r="AQ9" s="29">
        <f> AQ$18</f>
        <v>24070.762052745144</v>
      </c>
      <c r="AR9" s="29">
        <f> AR$18</f>
        <v>23867.223950107888</v>
      </c>
      <c r="AS9" s="29">
        <f> AS$18</f>
        <v>22673.862752602494</v>
      </c>
      <c r="AT9" s="29">
        <f> AT$18</f>
        <v>21540.16961497237</v>
      </c>
      <c r="AU9" s="29">
        <f> AU$18</f>
        <v>20463.16113422375</v>
      </c>
      <c r="AV9" s="29">
        <f> AV$18</f>
        <v>19440.00307751256</v>
      </c>
      <c r="AW9" s="29">
        <f> AW$18</f>
        <v>18468.00292363693</v>
      </c>
      <c r="AX9" s="29">
        <f> AX$18</f>
        <v>17544.602777455082</v>
      </c>
      <c r="AY9" s="29">
        <f> AY$18</f>
        <v>16667.37263858233</v>
      </c>
      <c r="AZ9" s="29">
        <f> AZ$18</f>
        <v>15834.004006653213</v>
      </c>
      <c r="BA9" s="29">
        <f> BA$18</f>
        <v>15042.303806320553</v>
      </c>
      <c r="BB9" s="29">
        <f> BB$18</f>
        <v>14290.188616004525</v>
      </c>
      <c r="BC9" s="29">
        <f> BC$18</f>
        <v>13575.679185204299</v>
      </c>
      <c r="BD9" s="29">
        <f> BD$18</f>
        <v>12896.895225944085</v>
      </c>
      <c r="BE9" s="29">
        <f> BE$18</f>
        <v>12252.05046464688</v>
      </c>
      <c r="BF9" s="29">
        <f> BF$18</f>
        <v>11639.447941414535</v>
      </c>
      <c r="BG9" s="29">
        <f> BG$18</f>
        <v>11057.475544343808</v>
      </c>
      <c r="BH9" s="29">
        <f> BH$18</f>
        <v>10504.601767126618</v>
      </c>
      <c r="BI9" s="29">
        <f> BI$18</f>
        <v>9979.371678770287</v>
      </c>
      <c r="BJ9" s="29">
        <f> BJ$18</f>
        <v>9480.403094831772</v>
      </c>
      <c r="BK9" s="29">
        <f> BK$18</f>
        <v>9006.382940090183</v>
      </c>
      <c r="BL9" s="29">
        <f> BL$18</f>
        <v>8556.063793085674</v>
      </c>
      <c r="BM9" s="29">
        <f> BM$18</f>
        <v>8128.26060343139</v>
      </c>
      <c r="BN9" s="29">
        <f> BN$18</f>
        <v>7721.847573259821</v>
      </c>
      <c r="BO9" s="29">
        <f> BO$18</f>
        <v>7335.75519459683</v>
      </c>
      <c r="BP9" s="29">
        <f> BP$18</f>
        <v>6968.967434866989</v>
      </c>
      <c r="BQ9" s="29">
        <f> BQ$18</f>
        <v>6620.519063123639</v>
      </c>
      <c r="BR9" s="29">
        <f> BR$18</f>
        <v>6289.493109967457</v>
      </c>
      <c r="BS9" s="29">
        <f> BS$18</f>
        <v>5975.018454469084</v>
      </c>
      <c r="BT9" s="29">
        <f> BT$18</f>
        <v>5676.26753174563</v>
      </c>
      <c r="BU9" s="29">
        <f> BU$18</f>
        <v>5392.454155158348</v>
      </c>
      <c r="BV9" s="29">
        <f> BV$18</f>
        <v>5122.831447400431</v>
      </c>
      <c r="BW9" s="29">
        <f> BW$18</f>
        <v>4866.68987503041</v>
      </c>
      <c r="BX9" s="29">
        <f> BX$18</f>
        <v>4623.35538127889</v>
      </c>
      <c r="BY9" s="29">
        <f> BY$18</f>
        <v>4392.187612214945</v>
      </c>
      <c r="BZ9" s="29">
        <f> BZ$18</f>
        <v>4172.578231604198</v>
      </c>
      <c r="CA9" s="29">
        <f> CA$18</f>
        <v>3963.9493200239876</v>
      </c>
      <c r="CB9" s="29">
        <f> CB$18</f>
        <v>3765.7518540227884</v>
      </c>
      <c r="CC9" s="29">
        <f> CC$18</f>
        <v>3577.464261321649</v>
      </c>
      <c r="CD9" s="29">
        <f> CD$18</f>
        <v>3398.5910482555664</v>
      </c>
      <c r="CE9" s="29">
        <f> CE$18</f>
        <v>3228.661495842788</v>
      </c>
      <c r="CF9" s="29">
        <f> CF$18</f>
        <v>3067.2284210506486</v>
      </c>
      <c r="CG9" s="29">
        <f> CG$18</f>
        <v>2913.866999998116</v>
      </c>
      <c r="CH9" s="29">
        <f> CH$18</f>
        <v>2768.1736499982103</v>
      </c>
      <c r="CI9" s="29">
        <f> CI$18</f>
        <v>2629.7649674983</v>
      </c>
      <c r="CJ9" s="29">
        <f> CJ$18</f>
        <v>2498.2767191233847</v>
      </c>
      <c r="CK9" s="29">
        <f> CK$18</f>
        <v>2373.3628831672154</v>
      </c>
      <c r="CL9" s="29">
        <f> CL$18</f>
        <v>2254.6947390088544</v>
      </c>
      <c r="CM9" s="29">
        <f> CM$18</f>
        <v>2141.9600020584116</v>
      </c>
      <c r="CN9" s="29">
        <f> CN$18</f>
        <v>0.0</v>
      </c>
      <c r="CO9" s="29">
        <f> CO$18</f>
        <v>0.0</v>
      </c>
    </row>
    <row r="10">
      <c r="E10" s="325" t="str">
        <f> Time!E$75</f>
        <v>Last forecast period flag</v>
      </c>
      <c r="F10" s="325">
        <f> Time!F$75</f>
        <v>0.0</v>
      </c>
      <c r="G10" s="325" t="str">
        <f> Time!G$75</f>
        <v>flag</v>
      </c>
      <c r="H10" s="325">
        <f> Time!H$75</f>
        <v>1.0</v>
      </c>
      <c r="I10" s="325">
        <f> Time!I$75</f>
        <v>0.0</v>
      </c>
      <c r="J10" s="325">
        <f> Time!J$75</f>
        <v>0.0</v>
      </c>
      <c r="K10" s="325">
        <f> Time!K$75</f>
        <v>0.0</v>
      </c>
      <c r="L10" s="325">
        <f> Time!L$75</f>
        <v>0.0</v>
      </c>
      <c r="M10" s="325">
        <f> Time!M$75</f>
        <v>0.0</v>
      </c>
      <c r="N10" s="325">
        <f> Time!N$75</f>
        <v>0.0</v>
      </c>
      <c r="O10" s="325">
        <f> Time!O$75</f>
        <v>0.0</v>
      </c>
      <c r="P10" s="325">
        <f> Time!P$75</f>
        <v>0.0</v>
      </c>
      <c r="Q10" s="325">
        <f> Time!Q$75</f>
        <v>0.0</v>
      </c>
      <c r="R10" s="325">
        <f> Time!R$75</f>
        <v>0.0</v>
      </c>
      <c r="S10" s="325">
        <f> Time!S$75</f>
        <v>0.0</v>
      </c>
      <c r="T10" s="325">
        <f> Time!T$75</f>
        <v>0.0</v>
      </c>
      <c r="U10" s="325">
        <f> Time!U$75</f>
        <v>0.0</v>
      </c>
      <c r="V10" s="325">
        <f> Time!V$75</f>
        <v>0.0</v>
      </c>
      <c r="W10" s="325">
        <f> Time!W$75</f>
        <v>0.0</v>
      </c>
      <c r="X10" s="325">
        <f> Time!X$75</f>
        <v>0.0</v>
      </c>
      <c r="Y10" s="325">
        <f> Time!Y$75</f>
        <v>0.0</v>
      </c>
      <c r="Z10" s="325">
        <f> Time!Z$75</f>
        <v>0.0</v>
      </c>
      <c r="AA10" s="325">
        <f> Time!AA$75</f>
        <v>0.0</v>
      </c>
      <c r="AB10" s="325">
        <f> Time!AB$75</f>
        <v>0.0</v>
      </c>
      <c r="AC10" s="325">
        <f> Time!AC$75</f>
        <v>0.0</v>
      </c>
      <c r="AD10" s="325">
        <f> Time!AD$75</f>
        <v>0.0</v>
      </c>
      <c r="AE10" s="325">
        <f> Time!AE$75</f>
        <v>0.0</v>
      </c>
      <c r="AF10" s="325">
        <f> Time!AF$75</f>
        <v>0.0</v>
      </c>
      <c r="AG10" s="325">
        <f> Time!AG$75</f>
        <v>0.0</v>
      </c>
      <c r="AH10" s="325">
        <f> Time!AH$75</f>
        <v>0.0</v>
      </c>
      <c r="AI10" s="325">
        <f> Time!AI$75</f>
        <v>0.0</v>
      </c>
      <c r="AJ10" s="325">
        <f> Time!AJ$75</f>
        <v>0.0</v>
      </c>
      <c r="AK10" s="325">
        <f> Time!AK$75</f>
        <v>0.0</v>
      </c>
      <c r="AL10" s="325">
        <f> Time!AL$75</f>
        <v>0.0</v>
      </c>
      <c r="AM10" s="325">
        <f> Time!AM$75</f>
        <v>0.0</v>
      </c>
      <c r="AN10" s="325">
        <f> Time!AN$75</f>
        <v>0.0</v>
      </c>
      <c r="AO10" s="325">
        <f> Time!AO$75</f>
        <v>0.0</v>
      </c>
      <c r="AP10" s="325">
        <f> Time!AP$75</f>
        <v>0.0</v>
      </c>
      <c r="AQ10" s="325">
        <f> Time!AQ$75</f>
        <v>0.0</v>
      </c>
      <c r="AR10" s="325">
        <f> Time!AR$75</f>
        <v>0.0</v>
      </c>
      <c r="AS10" s="325">
        <f> Time!AS$75</f>
        <v>0.0</v>
      </c>
      <c r="AT10" s="325">
        <f> Time!AT$75</f>
        <v>0.0</v>
      </c>
      <c r="AU10" s="325">
        <f> Time!AU$75</f>
        <v>0.0</v>
      </c>
      <c r="AV10" s="325">
        <f> Time!AV$75</f>
        <v>0.0</v>
      </c>
      <c r="AW10" s="325">
        <f> Time!AW$75</f>
        <v>0.0</v>
      </c>
      <c r="AX10" s="325">
        <f> Time!AX$75</f>
        <v>0.0</v>
      </c>
      <c r="AY10" s="325">
        <f> Time!AY$75</f>
        <v>0.0</v>
      </c>
      <c r="AZ10" s="325">
        <f> Time!AZ$75</f>
        <v>0.0</v>
      </c>
      <c r="BA10" s="325">
        <f> Time!BA$75</f>
        <v>0.0</v>
      </c>
      <c r="BB10" s="325">
        <f> Time!BB$75</f>
        <v>0.0</v>
      </c>
      <c r="BC10" s="325">
        <f> Time!BC$75</f>
        <v>0.0</v>
      </c>
      <c r="BD10" s="325">
        <f> Time!BD$75</f>
        <v>0.0</v>
      </c>
      <c r="BE10" s="325">
        <f> Time!BE$75</f>
        <v>0.0</v>
      </c>
      <c r="BF10" s="325">
        <f> Time!BF$75</f>
        <v>0.0</v>
      </c>
      <c r="BG10" s="325">
        <f> Time!BG$75</f>
        <v>0.0</v>
      </c>
      <c r="BH10" s="325">
        <f> Time!BH$75</f>
        <v>0.0</v>
      </c>
      <c r="BI10" s="325">
        <f> Time!BI$75</f>
        <v>0.0</v>
      </c>
      <c r="BJ10" s="325">
        <f> Time!BJ$75</f>
        <v>0.0</v>
      </c>
      <c r="BK10" s="325">
        <f> Time!BK$75</f>
        <v>0.0</v>
      </c>
      <c r="BL10" s="325">
        <f> Time!BL$75</f>
        <v>0.0</v>
      </c>
      <c r="BM10" s="325">
        <f> Time!BM$75</f>
        <v>0.0</v>
      </c>
      <c r="BN10" s="325">
        <f> Time!BN$75</f>
        <v>0.0</v>
      </c>
      <c r="BO10" s="325">
        <f> Time!BO$75</f>
        <v>0.0</v>
      </c>
      <c r="BP10" s="325">
        <f> Time!BP$75</f>
        <v>0.0</v>
      </c>
      <c r="BQ10" s="325">
        <f> Time!BQ$75</f>
        <v>0.0</v>
      </c>
      <c r="BR10" s="325">
        <f> Time!BR$75</f>
        <v>0.0</v>
      </c>
      <c r="BS10" s="325">
        <f> Time!BS$75</f>
        <v>0.0</v>
      </c>
      <c r="BT10" s="325">
        <f> Time!BT$75</f>
        <v>0.0</v>
      </c>
      <c r="BU10" s="325">
        <f> Time!BU$75</f>
        <v>0.0</v>
      </c>
      <c r="BV10" s="325">
        <f> Time!BV$75</f>
        <v>0.0</v>
      </c>
      <c r="BW10" s="325">
        <f> Time!BW$75</f>
        <v>0.0</v>
      </c>
      <c r="BX10" s="325">
        <f> Time!BX$75</f>
        <v>0.0</v>
      </c>
      <c r="BY10" s="325">
        <f> Time!BY$75</f>
        <v>0.0</v>
      </c>
      <c r="BZ10" s="325">
        <f> Time!BZ$75</f>
        <v>0.0</v>
      </c>
      <c r="CA10" s="325">
        <f> Time!CA$75</f>
        <v>0.0</v>
      </c>
      <c r="CB10" s="325">
        <f> Time!CB$75</f>
        <v>0.0</v>
      </c>
      <c r="CC10" s="325">
        <f> Time!CC$75</f>
        <v>0.0</v>
      </c>
      <c r="CD10" s="325">
        <f> Time!CD$75</f>
        <v>0.0</v>
      </c>
      <c r="CE10" s="325">
        <f> Time!CE$75</f>
        <v>0.0</v>
      </c>
      <c r="CF10" s="325">
        <f> Time!CF$75</f>
        <v>0.0</v>
      </c>
      <c r="CG10" s="325">
        <f> Time!CG$75</f>
        <v>0.0</v>
      </c>
      <c r="CH10" s="325">
        <f> Time!CH$75</f>
        <v>0.0</v>
      </c>
      <c r="CI10" s="325">
        <f> Time!CI$75</f>
        <v>0.0</v>
      </c>
      <c r="CJ10" s="325">
        <f> Time!CJ$75</f>
        <v>0.0</v>
      </c>
      <c r="CK10" s="325">
        <f> Time!CK$75</f>
        <v>0.0</v>
      </c>
      <c r="CL10" s="325">
        <f> Time!CL$75</f>
        <v>0.0</v>
      </c>
      <c r="CM10" s="325">
        <f> Time!CM$75</f>
        <v>1.0</v>
      </c>
      <c r="CN10" s="325">
        <f> Time!CN$75</f>
        <v>0.0</v>
      </c>
      <c r="CO10" s="325">
        <f> Time!CO$75</f>
        <v>0.0</v>
      </c>
    </row>
    <row r="11" customFormat="1" s="260">
      <c r="A11" s="263" t="n"/>
      <c r="B11" s="263" t="n"/>
      <c r="C11" s="264" t="n"/>
      <c r="D11" s="335" t="n"/>
      <c r="E11" s="260" t="inlineStr">
        <is>
          <t xml:space="preserve">Tax depreciation </t>
        </is>
      </c>
      <c r="G11" s="260" t="str">
        <f>SMU</f>
        <v>$ 000s</v>
      </c>
      <c r="H11" s="260">
        <f> SUM(J11:CO11)</f>
        <v>109067.7992451768</v>
      </c>
      <c r="J11" s="260">
        <f> IF(J10 = 1, J9, $F8 * J9)</f>
        <v>0.0</v>
      </c>
      <c r="K11" s="260">
        <f> IF(K10 = 1, K9, $F8 * K9)</f>
        <v>0.0</v>
      </c>
      <c r="L11" s="260">
        <f> IF(L10 = 1, L9, $F8 * L9)</f>
        <v>5053.38996225884</v>
      </c>
      <c r="M11" s="260">
        <f> IF(M10 = 1, M9, $F8 * M9)</f>
        <v>4800.7204641458975</v>
      </c>
      <c r="N11" s="260">
        <f> IF(N10 = 1, N9, $F8 * N9)</f>
        <v>4560.684440938602</v>
      </c>
      <c r="O11" s="260">
        <f> IF(O10 = 1, O9, $F8 * O9)</f>
        <v>4332.650218891673</v>
      </c>
      <c r="P11" s="260">
        <f> IF(P10 = 1, P9, $F8 * P9)</f>
        <v>4116.017707947089</v>
      </c>
      <c r="Q11" s="260">
        <f> IF(Q10 = 1, Q9, $F8 * Q9)</f>
        <v>3910.2168225497344</v>
      </c>
      <c r="R11" s="260">
        <f> IF(R10 = 1, R9, $F8 * R9)</f>
        <v>3714.705981422248</v>
      </c>
      <c r="S11" s="260">
        <f> IF(S10 = 1, S9, $F8 * S9)</f>
        <v>3528.9706823511356</v>
      </c>
      <c r="T11" s="260">
        <f> IF(T10 = 1, T9, $F8 * T9)</f>
        <v>3452.5221482335787</v>
      </c>
      <c r="U11" s="260">
        <f> IF(U10 = 1, U9, $F8 * U9)</f>
        <v>3279.8960408219</v>
      </c>
      <c r="V11" s="260">
        <f> IF(V10 = 1, V9, $F8 * V9)</f>
        <v>3115.901238780805</v>
      </c>
      <c r="W11" s="260">
        <f> IF(W10 = 1, W9, $F8 * W9)</f>
        <v>2960.106176841765</v>
      </c>
      <c r="X11" s="260">
        <f> IF(X10 = 1, X9, $F8 * X9)</f>
        <v>2862.1008679996767</v>
      </c>
      <c r="Y11" s="260">
        <f> IF(Y10 = 1, Y9, $F8 * Y9)</f>
        <v>2718.995824599693</v>
      </c>
      <c r="Z11" s="260">
        <f> IF(Z10 = 1, Z9, $F8 * Z9)</f>
        <v>2583.0460333697083</v>
      </c>
      <c r="AA11" s="260">
        <f> IF(AA10 = 1, AA9, $F8 * AA9)</f>
        <v>2453.893731701223</v>
      </c>
      <c r="AB11" s="260">
        <f> IF(AB10 = 1, AB9, $F8 * AB9)</f>
        <v>2406.1990451161614</v>
      </c>
      <c r="AC11" s="260">
        <f> IF(AC10 = 1, AC9, $F8 * AC9)</f>
        <v>2285.8890928603537</v>
      </c>
      <c r="AD11" s="260">
        <f> IF(AD10 = 1, AD9, $F8 * AD9)</f>
        <v>2171.594638217336</v>
      </c>
      <c r="AE11" s="260">
        <f> IF(AE10 = 1, AE9, $F8 * AE9)</f>
        <v>2063.014906306469</v>
      </c>
      <c r="AF11" s="260">
        <f> IF(AF10 = 1, AF9, $F8 * AF9)</f>
        <v>2009.8641609911458</v>
      </c>
      <c r="AG11" s="260">
        <f> IF(AG10 = 1, AG9, $F8 * AG9)</f>
        <v>1909.3709529415887</v>
      </c>
      <c r="AH11" s="260">
        <f> IF(AH10 = 1, AH9, $F8 * AH9)</f>
        <v>1813.9024052945094</v>
      </c>
      <c r="AI11" s="260">
        <f> IF(AI10 = 1, AI9, $F8 * AI9)</f>
        <v>1723.2072850297839</v>
      </c>
      <c r="AJ11" s="260">
        <f> IF(AJ10 = 1, AJ9, $F8 * AJ9)</f>
        <v>1662.0469207782946</v>
      </c>
      <c r="AK11" s="260">
        <f> IF(AK10 = 1, AK9, $F8 * AK9)</f>
        <v>1578.94457473938</v>
      </c>
      <c r="AL11" s="260">
        <f> IF(AL10 = 1, AL9, $F8 * AL9)</f>
        <v>1499.997346002411</v>
      </c>
      <c r="AM11" s="260">
        <f> IF(AM10 = 1, AM9, $F8 * AM9)</f>
        <v>1424.9974787022902</v>
      </c>
      <c r="AN11" s="260">
        <f> IF(AN10 = 1, AN9, $F8 * AN9)</f>
        <v>1403.7476047671757</v>
      </c>
      <c r="AO11" s="260">
        <f> IF(AO10 = 1, AO9, $F8 * AO9)</f>
        <v>1333.560224528817</v>
      </c>
      <c r="AP11" s="260">
        <f> IF(AP10 = 1, AP9, $F8 * AP9)</f>
        <v>1266.882213302376</v>
      </c>
      <c r="AQ11" s="260">
        <f> IF(AQ10 = 1, AQ9, $F8 * AQ9)</f>
        <v>1203.5381026372572</v>
      </c>
      <c r="AR11" s="260">
        <f> IF(AR10 = 1, AR9, $F8 * AR9)</f>
        <v>1193.3611975053943</v>
      </c>
      <c r="AS11" s="260">
        <f> IF(AS10 = 1, AS9, $F8 * AS9)</f>
        <v>1133.6931376301247</v>
      </c>
      <c r="AT11" s="260">
        <f> IF(AT10 = 1, AT9, $F8 * AT9)</f>
        <v>1077.0084807486185</v>
      </c>
      <c r="AU11" s="260">
        <f> IF(AU10 = 1, AU9, $F8 * AU9)</f>
        <v>1023.1580567111874</v>
      </c>
      <c r="AV11" s="260">
        <f> IF(AV10 = 1, AV9, $F8 * AV9)</f>
        <v>972.000153875628</v>
      </c>
      <c r="AW11" s="260">
        <f> IF(AW10 = 1, AW9, $F8 * AW9)</f>
        <v>923.4001461818466</v>
      </c>
      <c r="AX11" s="260">
        <f> IF(AX10 = 1, AX9, $F8 * AX9)</f>
        <v>877.2301388727542</v>
      </c>
      <c r="AY11" s="260">
        <f> IF(AY10 = 1, AY9, $F8 * AY9)</f>
        <v>833.3686319291164</v>
      </c>
      <c r="AZ11" s="260">
        <f> IF(AZ10 = 1, AZ9, $F8 * AZ9)</f>
        <v>791.7002003326606</v>
      </c>
      <c r="BA11" s="260">
        <f> IF(BA10 = 1, BA9, $F8 * BA9)</f>
        <v>752.1151903160277</v>
      </c>
      <c r="BB11" s="260">
        <f> IF(BB10 = 1, BB9, $F8 * BB9)</f>
        <v>714.5094308002263</v>
      </c>
      <c r="BC11" s="260">
        <f> IF(BC10 = 1, BC9, $F8 * BC9)</f>
        <v>678.7839592602149</v>
      </c>
      <c r="BD11" s="260">
        <f> IF(BD10 = 1, BD9, $F8 * BD9)</f>
        <v>644.8447612972043</v>
      </c>
      <c r="BE11" s="260">
        <f> IF(BE10 = 1, BE9, $F8 * BE9)</f>
        <v>612.602523232344</v>
      </c>
      <c r="BF11" s="260">
        <f> IF(BF10 = 1, BF9, $F8 * BF9)</f>
        <v>581.9723970707267</v>
      </c>
      <c r="BG11" s="260">
        <f> IF(BG10 = 1, BG9, $F8 * BG9)</f>
        <v>552.8737772171904</v>
      </c>
      <c r="BH11" s="260">
        <f> IF(BH10 = 1, BH9, $F8 * BH9)</f>
        <v>525.230088356331</v>
      </c>
      <c r="BI11" s="260">
        <f> IF(BI10 = 1, BI9, $F8 * BI9)</f>
        <v>498.96858393851437</v>
      </c>
      <c r="BJ11" s="260">
        <f> IF(BJ10 = 1, BJ9, $F8 * BJ9)</f>
        <v>474.0201547415886</v>
      </c>
      <c r="BK11" s="260">
        <f> IF(BK10 = 1, BK9, $F8 * BK9)</f>
        <v>450.3191470045092</v>
      </c>
      <c r="BL11" s="260">
        <f> IF(BL10 = 1, BL9, $F8 * BL9)</f>
        <v>427.8031896542837</v>
      </c>
      <c r="BM11" s="260">
        <f> IF(BM10 = 1, BM9, $F8 * BM9)</f>
        <v>406.4130301715695</v>
      </c>
      <c r="BN11" s="260">
        <f> IF(BN10 = 1, BN9, $F8 * BN9)</f>
        <v>386.09237866299105</v>
      </c>
      <c r="BO11" s="260">
        <f> IF(BO10 = 1, BO9, $F8 * BO9)</f>
        <v>366.7877597298415</v>
      </c>
      <c r="BP11" s="260">
        <f> IF(BP10 = 1, BP9, $F8 * BP9)</f>
        <v>348.44837174334947</v>
      </c>
      <c r="BQ11" s="260">
        <f> IF(BQ10 = 1, BQ9, $F8 * BQ9)</f>
        <v>331.02595315618197</v>
      </c>
      <c r="BR11" s="260">
        <f> IF(BR10 = 1, BR9, $F8 * BR9)</f>
        <v>314.47465549837284</v>
      </c>
      <c r="BS11" s="260">
        <f> IF(BS10 = 1, BS9, $F8 * BS9)</f>
        <v>298.7509227234542</v>
      </c>
      <c r="BT11" s="260">
        <f> IF(BT10 = 1, BT9, $F8 * BT9)</f>
        <v>283.8133765872815</v>
      </c>
      <c r="BU11" s="260">
        <f> IF(BU10 = 1, BU9, $F8 * BU9)</f>
        <v>269.6227077579174</v>
      </c>
      <c r="BV11" s="260">
        <f> IF(BV10 = 1, BV9, $F8 * BV9)</f>
        <v>256.14157237002155</v>
      </c>
      <c r="BW11" s="260">
        <f> IF(BW10 = 1, BW9, $F8 * BW9)</f>
        <v>243.3344937515205</v>
      </c>
      <c r="BX11" s="260">
        <f> IF(BX10 = 1, BX9, $F8 * BX9)</f>
        <v>231.1677690639445</v>
      </c>
      <c r="BY11" s="260">
        <f> IF(BY10 = 1, BY9, $F8 * BY9)</f>
        <v>219.60938061074728</v>
      </c>
      <c r="BZ11" s="260">
        <f> IF(BZ10 = 1, BZ9, $F8 * BZ9)</f>
        <v>208.6289115802099</v>
      </c>
      <c r="CA11" s="260">
        <f> IF(CA10 = 1, CA9, $F8 * CA9)</f>
        <v>198.1974660011994</v>
      </c>
      <c r="CB11" s="260">
        <f> IF(CB10 = 1, CB9, $F8 * CB9)</f>
        <v>188.28759270113943</v>
      </c>
      <c r="CC11" s="260">
        <f> IF(CC10 = 1, CC9, $F8 * CC9)</f>
        <v>178.87321306608246</v>
      </c>
      <c r="CD11" s="260">
        <f> IF(CD10 = 1, CD9, $F8 * CD9)</f>
        <v>169.92955241277832</v>
      </c>
      <c r="CE11" s="260">
        <f> IF(CE10 = 1, CE9, $F8 * CE9)</f>
        <v>161.43307479213942</v>
      </c>
      <c r="CF11" s="260">
        <f> IF(CF10 = 1, CF9, $F8 * CF9)</f>
        <v>153.36142105253245</v>
      </c>
      <c r="CG11" s="260">
        <f> IF(CG10 = 1, CG9, $F8 * CG9)</f>
        <v>145.69334999990582</v>
      </c>
      <c r="CH11" s="260">
        <f> IF(CH10 = 1, CH9, $F8 * CH9)</f>
        <v>138.40868249991053</v>
      </c>
      <c r="CI11" s="260">
        <f> IF(CI10 = 1, CI9, $F8 * CI9)</f>
        <v>131.488248374915</v>
      </c>
      <c r="CJ11" s="260">
        <f> IF(CJ10 = 1, CJ9, $F8 * CJ9)</f>
        <v>124.91383595616924</v>
      </c>
      <c r="CK11" s="260">
        <f> IF(CK10 = 1, CK9, $F8 * CK9)</f>
        <v>118.66814415836078</v>
      </c>
      <c r="CL11" s="260">
        <f> IF(CL10 = 1, CL9, $F8 * CL9)</f>
        <v>112.73473695044272</v>
      </c>
      <c r="CM11" s="260">
        <f> IF(CM10 = 1, CM9, $F8 * CM9)</f>
        <v>2141.9600020584116</v>
      </c>
      <c r="CN11" s="260">
        <f> IF(CN10 = 1, CN9, $F8 * CN9)</f>
        <v>0.0</v>
      </c>
      <c r="CO11" s="260">
        <f> IF(CO10 = 1, CO9, $F8 * CO9)</f>
        <v>0.0</v>
      </c>
    </row>
    <row r="13">
      <c r="A13" s="294" t="inlineStr">
        <is>
          <t>TAX WRITTEN DOWN VALUE BALANCE</t>
        </is>
      </c>
    </row>
    <row r="15" customFormat="1" s="182">
      <c r="A15" s="177" t="n"/>
      <c r="B15" s="177" t="n"/>
      <c r="C15" s="178" t="n"/>
      <c r="D15" s="179" t="n"/>
      <c r="E15" s="368" t="str">
        <f> InpC!E$64</f>
        <v>Non current asset - initial balance</v>
      </c>
      <c r="F15" s="368">
        <f> InpC!F$64</f>
        <v>101067.79924517678</v>
      </c>
      <c r="G15" s="368" t="str">
        <f> InpC!G$64</f>
        <v>$ 000s</v>
      </c>
    </row>
    <row r="16" customFormat="1" s="100">
      <c r="A16" s="294" t="n"/>
      <c r="B16" s="294" t="n"/>
      <c r="C16" s="212" t="n"/>
      <c r="D16" s="244" t="n"/>
      <c r="E16" s="325" t="str">
        <f> Time!E$45</f>
        <v>Acquisition / initial balance date flag</v>
      </c>
      <c r="F16" s="325">
        <f> Time!F$45</f>
        <v>0.0</v>
      </c>
      <c r="G16" s="325" t="str">
        <f> Time!G$45</f>
        <v>flag</v>
      </c>
      <c r="H16" s="325">
        <f> Time!H$45</f>
        <v>1.0</v>
      </c>
      <c r="I16" s="325">
        <f> Time!I$45</f>
        <v>0.0</v>
      </c>
      <c r="J16" s="325">
        <f> Time!J$45</f>
        <v>0.0</v>
      </c>
      <c r="K16" s="325">
        <f> Time!K$45</f>
        <v>1.0</v>
      </c>
      <c r="L16" s="325">
        <f> Time!L$45</f>
        <v>0.0</v>
      </c>
      <c r="M16" s="325">
        <f> Time!M$45</f>
        <v>0.0</v>
      </c>
      <c r="N16" s="325">
        <f> Time!N$45</f>
        <v>0.0</v>
      </c>
      <c r="O16" s="325">
        <f> Time!O$45</f>
        <v>0.0</v>
      </c>
      <c r="P16" s="325">
        <f> Time!P$45</f>
        <v>0.0</v>
      </c>
      <c r="Q16" s="325">
        <f> Time!Q$45</f>
        <v>0.0</v>
      </c>
      <c r="R16" s="325">
        <f> Time!R$45</f>
        <v>0.0</v>
      </c>
      <c r="S16" s="325">
        <f> Time!S$45</f>
        <v>0.0</v>
      </c>
      <c r="T16" s="325">
        <f> Time!T$45</f>
        <v>0.0</v>
      </c>
      <c r="U16" s="325">
        <f> Time!U$45</f>
        <v>0.0</v>
      </c>
      <c r="V16" s="325">
        <f> Time!V$45</f>
        <v>0.0</v>
      </c>
      <c r="W16" s="325">
        <f> Time!W$45</f>
        <v>0.0</v>
      </c>
      <c r="X16" s="325">
        <f> Time!X$45</f>
        <v>0.0</v>
      </c>
      <c r="Y16" s="325">
        <f> Time!Y$45</f>
        <v>0.0</v>
      </c>
      <c r="Z16" s="325">
        <f> Time!Z$45</f>
        <v>0.0</v>
      </c>
      <c r="AA16" s="325">
        <f> Time!AA$45</f>
        <v>0.0</v>
      </c>
      <c r="AB16" s="325">
        <f> Time!AB$45</f>
        <v>0.0</v>
      </c>
      <c r="AC16" s="325">
        <f> Time!AC$45</f>
        <v>0.0</v>
      </c>
      <c r="AD16" s="325">
        <f> Time!AD$45</f>
        <v>0.0</v>
      </c>
      <c r="AE16" s="325">
        <f> Time!AE$45</f>
        <v>0.0</v>
      </c>
      <c r="AF16" s="325">
        <f> Time!AF$45</f>
        <v>0.0</v>
      </c>
      <c r="AG16" s="325">
        <f> Time!AG$45</f>
        <v>0.0</v>
      </c>
      <c r="AH16" s="325">
        <f> Time!AH$45</f>
        <v>0.0</v>
      </c>
      <c r="AI16" s="325">
        <f> Time!AI$45</f>
        <v>0.0</v>
      </c>
      <c r="AJ16" s="325">
        <f> Time!AJ$45</f>
        <v>0.0</v>
      </c>
      <c r="AK16" s="325">
        <f> Time!AK$45</f>
        <v>0.0</v>
      </c>
      <c r="AL16" s="325">
        <f> Time!AL$45</f>
        <v>0.0</v>
      </c>
      <c r="AM16" s="325">
        <f> Time!AM$45</f>
        <v>0.0</v>
      </c>
      <c r="AN16" s="325">
        <f> Time!AN$45</f>
        <v>0.0</v>
      </c>
      <c r="AO16" s="325">
        <f> Time!AO$45</f>
        <v>0.0</v>
      </c>
      <c r="AP16" s="325">
        <f> Time!AP$45</f>
        <v>0.0</v>
      </c>
      <c r="AQ16" s="325">
        <f> Time!AQ$45</f>
        <v>0.0</v>
      </c>
      <c r="AR16" s="325">
        <f> Time!AR$45</f>
        <v>0.0</v>
      </c>
      <c r="AS16" s="325">
        <f> Time!AS$45</f>
        <v>0.0</v>
      </c>
      <c r="AT16" s="325">
        <f> Time!AT$45</f>
        <v>0.0</v>
      </c>
      <c r="AU16" s="325">
        <f> Time!AU$45</f>
        <v>0.0</v>
      </c>
      <c r="AV16" s="325">
        <f> Time!AV$45</f>
        <v>0.0</v>
      </c>
      <c r="AW16" s="325">
        <f> Time!AW$45</f>
        <v>0.0</v>
      </c>
      <c r="AX16" s="325">
        <f> Time!AX$45</f>
        <v>0.0</v>
      </c>
      <c r="AY16" s="325">
        <f> Time!AY$45</f>
        <v>0.0</v>
      </c>
      <c r="AZ16" s="325">
        <f> Time!AZ$45</f>
        <v>0.0</v>
      </c>
      <c r="BA16" s="325">
        <f> Time!BA$45</f>
        <v>0.0</v>
      </c>
      <c r="BB16" s="325">
        <f> Time!BB$45</f>
        <v>0.0</v>
      </c>
      <c r="BC16" s="325">
        <f> Time!BC$45</f>
        <v>0.0</v>
      </c>
      <c r="BD16" s="325">
        <f> Time!BD$45</f>
        <v>0.0</v>
      </c>
      <c r="BE16" s="325">
        <f> Time!BE$45</f>
        <v>0.0</v>
      </c>
      <c r="BF16" s="325">
        <f> Time!BF$45</f>
        <v>0.0</v>
      </c>
      <c r="BG16" s="325">
        <f> Time!BG$45</f>
        <v>0.0</v>
      </c>
      <c r="BH16" s="325">
        <f> Time!BH$45</f>
        <v>0.0</v>
      </c>
      <c r="BI16" s="325">
        <f> Time!BI$45</f>
        <v>0.0</v>
      </c>
      <c r="BJ16" s="325">
        <f> Time!BJ$45</f>
        <v>0.0</v>
      </c>
      <c r="BK16" s="325">
        <f> Time!BK$45</f>
        <v>0.0</v>
      </c>
      <c r="BL16" s="325">
        <f> Time!BL$45</f>
        <v>0.0</v>
      </c>
      <c r="BM16" s="325">
        <f> Time!BM$45</f>
        <v>0.0</v>
      </c>
      <c r="BN16" s="325">
        <f> Time!BN$45</f>
        <v>0.0</v>
      </c>
      <c r="BO16" s="325">
        <f> Time!BO$45</f>
        <v>0.0</v>
      </c>
      <c r="BP16" s="325">
        <f> Time!BP$45</f>
        <v>0.0</v>
      </c>
      <c r="BQ16" s="325">
        <f> Time!BQ$45</f>
        <v>0.0</v>
      </c>
      <c r="BR16" s="325">
        <f> Time!BR$45</f>
        <v>0.0</v>
      </c>
      <c r="BS16" s="325">
        <f> Time!BS$45</f>
        <v>0.0</v>
      </c>
      <c r="BT16" s="325">
        <f> Time!BT$45</f>
        <v>0.0</v>
      </c>
      <c r="BU16" s="325">
        <f> Time!BU$45</f>
        <v>0.0</v>
      </c>
      <c r="BV16" s="325">
        <f> Time!BV$45</f>
        <v>0.0</v>
      </c>
      <c r="BW16" s="325">
        <f> Time!BW$45</f>
        <v>0.0</v>
      </c>
      <c r="BX16" s="325">
        <f> Time!BX$45</f>
        <v>0.0</v>
      </c>
      <c r="BY16" s="325">
        <f> Time!BY$45</f>
        <v>0.0</v>
      </c>
      <c r="BZ16" s="325">
        <f> Time!BZ$45</f>
        <v>0.0</v>
      </c>
      <c r="CA16" s="325">
        <f> Time!CA$45</f>
        <v>0.0</v>
      </c>
      <c r="CB16" s="325">
        <f> Time!CB$45</f>
        <v>0.0</v>
      </c>
      <c r="CC16" s="325">
        <f> Time!CC$45</f>
        <v>0.0</v>
      </c>
      <c r="CD16" s="325">
        <f> Time!CD$45</f>
        <v>0.0</v>
      </c>
      <c r="CE16" s="325">
        <f> Time!CE$45</f>
        <v>0.0</v>
      </c>
      <c r="CF16" s="325">
        <f> Time!CF$45</f>
        <v>0.0</v>
      </c>
      <c r="CG16" s="325">
        <f> Time!CG$45</f>
        <v>0.0</v>
      </c>
      <c r="CH16" s="325">
        <f> Time!CH$45</f>
        <v>0.0</v>
      </c>
      <c r="CI16" s="325">
        <f> Time!CI$45</f>
        <v>0.0</v>
      </c>
      <c r="CJ16" s="325">
        <f> Time!CJ$45</f>
        <v>0.0</v>
      </c>
      <c r="CK16" s="325">
        <f> Time!CK$45</f>
        <v>0.0</v>
      </c>
      <c r="CL16" s="325">
        <f> Time!CL$45</f>
        <v>0.0</v>
      </c>
      <c r="CM16" s="325">
        <f> Time!CM$45</f>
        <v>0.0</v>
      </c>
      <c r="CN16" s="325">
        <f> Time!CN$45</f>
        <v>0.0</v>
      </c>
      <c r="CO16" s="325">
        <f> Time!CO$45</f>
        <v>0.0</v>
      </c>
    </row>
    <row r="17" customFormat="1" s="61">
      <c r="A17" s="294" t="n"/>
      <c r="B17" s="294" t="n"/>
      <c r="C17" s="212" t="n"/>
      <c r="D17" s="244" t="n"/>
    </row>
    <row r="18" customFormat="1" s="61">
      <c r="A18" s="294" t="n"/>
      <c r="B18" s="294" t="n"/>
      <c r="C18" s="212" t="n"/>
      <c r="D18" s="244" t="n"/>
      <c r="E18" s="61" t="inlineStr">
        <is>
          <t>Tax written down value balance BEG</t>
        </is>
      </c>
      <c r="G18" s="61" t="inlineStr">
        <is>
          <t>$ 000s</t>
        </is>
      </c>
      <c r="J18" s="61">
        <f> I21</f>
        <v>0.0</v>
      </c>
      <c r="K18" s="61">
        <f> J21</f>
        <v>0.0</v>
      </c>
      <c r="L18" s="61">
        <f> K21</f>
        <v>101067.79924517678</v>
      </c>
      <c r="M18" s="61">
        <f> L21</f>
        <v>96014.40928291794</v>
      </c>
      <c r="N18" s="61">
        <f> M21</f>
        <v>91213.68881877205</v>
      </c>
      <c r="O18" s="61">
        <f> N21</f>
        <v>86653.00437783345</v>
      </c>
      <c r="P18" s="61">
        <f> O21</f>
        <v>82320.35415894177</v>
      </c>
      <c r="Q18" s="61">
        <f> P21</f>
        <v>78204.33645099468</v>
      </c>
      <c r="R18" s="61">
        <f> Q21</f>
        <v>74294.11962844495</v>
      </c>
      <c r="S18" s="61">
        <f> R21</f>
        <v>70579.41364702271</v>
      </c>
      <c r="T18" s="61">
        <f> S21</f>
        <v>69050.44296467157</v>
      </c>
      <c r="U18" s="61">
        <f> T21</f>
        <v>65597.920816438</v>
      </c>
      <c r="V18" s="61">
        <f> U21</f>
        <v>62318.0247756161</v>
      </c>
      <c r="W18" s="61">
        <f> V21</f>
        <v>59202.12353683529</v>
      </c>
      <c r="X18" s="61">
        <f> W21</f>
        <v>57242.01735999353</v>
      </c>
      <c r="Y18" s="61">
        <f> X21</f>
        <v>54379.916491993856</v>
      </c>
      <c r="Z18" s="61">
        <f> Y21</f>
        <v>51660.920667394166</v>
      </c>
      <c r="AA18" s="61">
        <f> Z21</f>
        <v>49077.874634024454</v>
      </c>
      <c r="AB18" s="61">
        <f> AA21</f>
        <v>48123.98090232323</v>
      </c>
      <c r="AC18" s="61">
        <f> AB21</f>
        <v>45717.78185720707</v>
      </c>
      <c r="AD18" s="61">
        <f> AC21</f>
        <v>43431.89276434672</v>
      </c>
      <c r="AE18" s="61">
        <f> AD21</f>
        <v>41260.29812612938</v>
      </c>
      <c r="AF18" s="61">
        <f> AE21</f>
        <v>40197.283219822915</v>
      </c>
      <c r="AG18" s="61">
        <f> AF21</f>
        <v>38187.41905883177</v>
      </c>
      <c r="AH18" s="61">
        <f> AG21</f>
        <v>36278.048105890186</v>
      </c>
      <c r="AI18" s="61">
        <f> AH21</f>
        <v>34464.145700595676</v>
      </c>
      <c r="AJ18" s="61">
        <f> AI21</f>
        <v>33240.93841556589</v>
      </c>
      <c r="AK18" s="61">
        <f> AJ21</f>
        <v>31578.891494787596</v>
      </c>
      <c r="AL18" s="61">
        <f> AK21</f>
        <v>29999.946920048216</v>
      </c>
      <c r="AM18" s="61">
        <f> AL21</f>
        <v>28499.949574045804</v>
      </c>
      <c r="AN18" s="61">
        <f> AM21</f>
        <v>28074.952095343513</v>
      </c>
      <c r="AO18" s="61">
        <f> AN21</f>
        <v>26671.204490576336</v>
      </c>
      <c r="AP18" s="61">
        <f> AO21</f>
        <v>25337.64426604752</v>
      </c>
      <c r="AQ18" s="61">
        <f> AP21</f>
        <v>24070.762052745144</v>
      </c>
      <c r="AR18" s="61">
        <f> AQ21</f>
        <v>23867.223950107888</v>
      </c>
      <c r="AS18" s="61">
        <f> AR21</f>
        <v>22673.862752602494</v>
      </c>
      <c r="AT18" s="61">
        <f> AS21</f>
        <v>21540.16961497237</v>
      </c>
      <c r="AU18" s="61">
        <f> AT21</f>
        <v>20463.16113422375</v>
      </c>
      <c r="AV18" s="61">
        <f> AU21</f>
        <v>19440.00307751256</v>
      </c>
      <c r="AW18" s="61">
        <f> AV21</f>
        <v>18468.00292363693</v>
      </c>
      <c r="AX18" s="61">
        <f> AW21</f>
        <v>17544.602777455082</v>
      </c>
      <c r="AY18" s="61">
        <f> AX21</f>
        <v>16667.37263858233</v>
      </c>
      <c r="AZ18" s="61">
        <f> AY21</f>
        <v>15834.004006653213</v>
      </c>
      <c r="BA18" s="61">
        <f> AZ21</f>
        <v>15042.303806320553</v>
      </c>
      <c r="BB18" s="61">
        <f> BA21</f>
        <v>14290.188616004525</v>
      </c>
      <c r="BC18" s="61">
        <f> BB21</f>
        <v>13575.679185204299</v>
      </c>
      <c r="BD18" s="61">
        <f> BC21</f>
        <v>12896.895225944085</v>
      </c>
      <c r="BE18" s="61">
        <f> BD21</f>
        <v>12252.05046464688</v>
      </c>
      <c r="BF18" s="61">
        <f> BE21</f>
        <v>11639.447941414535</v>
      </c>
      <c r="BG18" s="61">
        <f> BF21</f>
        <v>11057.475544343808</v>
      </c>
      <c r="BH18" s="61">
        <f> BG21</f>
        <v>10504.601767126618</v>
      </c>
      <c r="BI18" s="61">
        <f> BH21</f>
        <v>9979.371678770287</v>
      </c>
      <c r="BJ18" s="61">
        <f> BI21</f>
        <v>9480.403094831772</v>
      </c>
      <c r="BK18" s="61">
        <f> BJ21</f>
        <v>9006.382940090183</v>
      </c>
      <c r="BL18" s="61">
        <f> BK21</f>
        <v>8556.063793085674</v>
      </c>
      <c r="BM18" s="61">
        <f> BL21</f>
        <v>8128.26060343139</v>
      </c>
      <c r="BN18" s="61">
        <f> BM21</f>
        <v>7721.847573259821</v>
      </c>
      <c r="BO18" s="61">
        <f> BN21</f>
        <v>7335.75519459683</v>
      </c>
      <c r="BP18" s="61">
        <f> BO21</f>
        <v>6968.967434866989</v>
      </c>
      <c r="BQ18" s="61">
        <f> BP21</f>
        <v>6620.519063123639</v>
      </c>
      <c r="BR18" s="61">
        <f> BQ21</f>
        <v>6289.493109967457</v>
      </c>
      <c r="BS18" s="61">
        <f> BR21</f>
        <v>5975.018454469084</v>
      </c>
      <c r="BT18" s="61">
        <f> BS21</f>
        <v>5676.26753174563</v>
      </c>
      <c r="BU18" s="61">
        <f> BT21</f>
        <v>5392.454155158348</v>
      </c>
      <c r="BV18" s="61">
        <f> BU21</f>
        <v>5122.831447400431</v>
      </c>
      <c r="BW18" s="61">
        <f> BV21</f>
        <v>4866.68987503041</v>
      </c>
      <c r="BX18" s="61">
        <f> BW21</f>
        <v>4623.35538127889</v>
      </c>
      <c r="BY18" s="61">
        <f> BX21</f>
        <v>4392.187612214945</v>
      </c>
      <c r="BZ18" s="61">
        <f> BY21</f>
        <v>4172.578231604198</v>
      </c>
      <c r="CA18" s="61">
        <f> BZ21</f>
        <v>3963.9493200239876</v>
      </c>
      <c r="CB18" s="61">
        <f> CA21</f>
        <v>3765.7518540227884</v>
      </c>
      <c r="CC18" s="61">
        <f> CB21</f>
        <v>3577.464261321649</v>
      </c>
      <c r="CD18" s="61">
        <f> CC21</f>
        <v>3398.5910482555664</v>
      </c>
      <c r="CE18" s="61">
        <f> CD21</f>
        <v>3228.661495842788</v>
      </c>
      <c r="CF18" s="61">
        <f> CE21</f>
        <v>3067.2284210506486</v>
      </c>
      <c r="CG18" s="61">
        <f> CF21</f>
        <v>2913.866999998116</v>
      </c>
      <c r="CH18" s="61">
        <f> CG21</f>
        <v>2768.1736499982103</v>
      </c>
      <c r="CI18" s="61">
        <f> CH21</f>
        <v>2629.7649674983</v>
      </c>
      <c r="CJ18" s="61">
        <f> CI21</f>
        <v>2498.2767191233847</v>
      </c>
      <c r="CK18" s="61">
        <f> CJ21</f>
        <v>2373.3628831672154</v>
      </c>
      <c r="CL18" s="61">
        <f> CK21</f>
        <v>2254.6947390088544</v>
      </c>
      <c r="CM18" s="61">
        <f> CL21</f>
        <v>2141.9600020584116</v>
      </c>
      <c r="CN18" s="61">
        <f> CM21</f>
        <v>0.0</v>
      </c>
      <c r="CO18" s="61">
        <f> CN21</f>
        <v>0.0</v>
      </c>
    </row>
    <row r="19" customFormat="1" s="183">
      <c r="A19" s="294" t="n"/>
      <c r="B19" s="294" t="n"/>
      <c r="C19" s="212" t="n"/>
      <c r="D19" s="244" t="inlineStr">
        <is>
          <t>plus</t>
        </is>
      </c>
      <c r="E19" s="325" t="str">
        <f> NCA!E$18</f>
        <v>Capital expenditure POS</v>
      </c>
      <c r="F19" s="325">
        <f> NCA!F$18</f>
        <v>0.0</v>
      </c>
      <c r="G19" s="325" t="str">
        <f> NCA!G$18</f>
        <v>$ 000s</v>
      </c>
      <c r="H19" s="325">
        <f> NCA!H$18</f>
        <v>8000.0</v>
      </c>
      <c r="I19" s="325">
        <f> NCA!I$18</f>
        <v>0.0</v>
      </c>
      <c r="J19" s="325">
        <f> NCA!J$18</f>
        <v>0.0</v>
      </c>
      <c r="K19" s="325">
        <f> NCA!K$18</f>
        <v>0.0</v>
      </c>
      <c r="L19" s="325">
        <f> NCA!L$18</f>
        <v>0.0</v>
      </c>
      <c r="M19" s="325">
        <f> NCA!M$18</f>
        <v>0.0</v>
      </c>
      <c r="N19" s="325">
        <f> NCA!N$18</f>
        <v>0.0</v>
      </c>
      <c r="O19" s="325">
        <f> NCA!O$18</f>
        <v>0.0</v>
      </c>
      <c r="P19" s="325">
        <f> NCA!P$18</f>
        <v>0.0</v>
      </c>
      <c r="Q19" s="325">
        <f> NCA!Q$18</f>
        <v>0.0</v>
      </c>
      <c r="R19" s="325">
        <f> NCA!R$18</f>
        <v>0.0</v>
      </c>
      <c r="S19" s="325">
        <f> NCA!S$18</f>
        <v>2000.0</v>
      </c>
      <c r="T19" s="325">
        <f> NCA!T$18</f>
        <v>0.0</v>
      </c>
      <c r="U19" s="325">
        <f> NCA!U$18</f>
        <v>0.0</v>
      </c>
      <c r="V19" s="325">
        <f> NCA!V$18</f>
        <v>0.0</v>
      </c>
      <c r="W19" s="325">
        <f> NCA!W$18</f>
        <v>1000.0</v>
      </c>
      <c r="X19" s="325">
        <f> NCA!X$18</f>
        <v>0.0</v>
      </c>
      <c r="Y19" s="325">
        <f> NCA!Y$18</f>
        <v>0.0</v>
      </c>
      <c r="Z19" s="325">
        <f> NCA!Z$18</f>
        <v>0.0</v>
      </c>
      <c r="AA19" s="325">
        <f> NCA!AA$18</f>
        <v>1500.0</v>
      </c>
      <c r="AB19" s="325">
        <f> NCA!AB$18</f>
        <v>0.0</v>
      </c>
      <c r="AC19" s="325">
        <f> NCA!AC$18</f>
        <v>0.0</v>
      </c>
      <c r="AD19" s="325">
        <f> NCA!AD$18</f>
        <v>0.0</v>
      </c>
      <c r="AE19" s="325">
        <f> NCA!AE$18</f>
        <v>1000.0</v>
      </c>
      <c r="AF19" s="325">
        <f> NCA!AF$18</f>
        <v>0.0</v>
      </c>
      <c r="AG19" s="325">
        <f> NCA!AG$18</f>
        <v>0.0</v>
      </c>
      <c r="AH19" s="325">
        <f> NCA!AH$18</f>
        <v>0.0</v>
      </c>
      <c r="AI19" s="325">
        <f> NCA!AI$18</f>
        <v>500.0</v>
      </c>
      <c r="AJ19" s="325">
        <f> NCA!AJ$18</f>
        <v>0.0</v>
      </c>
      <c r="AK19" s="325">
        <f> NCA!AK$18</f>
        <v>0.0</v>
      </c>
      <c r="AL19" s="325">
        <f> NCA!AL$18</f>
        <v>0.0</v>
      </c>
      <c r="AM19" s="325">
        <f> NCA!AM$18</f>
        <v>1000.0</v>
      </c>
      <c r="AN19" s="325">
        <f> NCA!AN$18</f>
        <v>0.0</v>
      </c>
      <c r="AO19" s="325">
        <f> NCA!AO$18</f>
        <v>0.0</v>
      </c>
      <c r="AP19" s="325">
        <f> NCA!AP$18</f>
        <v>0.0</v>
      </c>
      <c r="AQ19" s="325">
        <f> NCA!AQ$18</f>
        <v>1000.0</v>
      </c>
      <c r="AR19" s="325">
        <f> NCA!AR$18</f>
        <v>0.0</v>
      </c>
      <c r="AS19" s="325">
        <f> NCA!AS$18</f>
        <v>0.0</v>
      </c>
      <c r="AT19" s="325">
        <f> NCA!AT$18</f>
        <v>0.0</v>
      </c>
      <c r="AU19" s="325">
        <f> NCA!AU$18</f>
        <v>0.0</v>
      </c>
      <c r="AV19" s="325">
        <f> NCA!AV$18</f>
        <v>0.0</v>
      </c>
      <c r="AW19" s="325">
        <f> NCA!AW$18</f>
        <v>0.0</v>
      </c>
      <c r="AX19" s="325">
        <f> NCA!AX$18</f>
        <v>0.0</v>
      </c>
      <c r="AY19" s="325">
        <f> NCA!AY$18</f>
        <v>0.0</v>
      </c>
      <c r="AZ19" s="325">
        <f> NCA!AZ$18</f>
        <v>0.0</v>
      </c>
      <c r="BA19" s="325">
        <f> NCA!BA$18</f>
        <v>0.0</v>
      </c>
      <c r="BB19" s="325">
        <f> NCA!BB$18</f>
        <v>0.0</v>
      </c>
      <c r="BC19" s="325">
        <f> NCA!BC$18</f>
        <v>0.0</v>
      </c>
      <c r="BD19" s="325">
        <f> NCA!BD$18</f>
        <v>0.0</v>
      </c>
      <c r="BE19" s="325">
        <f> NCA!BE$18</f>
        <v>0.0</v>
      </c>
      <c r="BF19" s="325">
        <f> NCA!BF$18</f>
        <v>0.0</v>
      </c>
      <c r="BG19" s="325">
        <f> NCA!BG$18</f>
        <v>0.0</v>
      </c>
      <c r="BH19" s="325">
        <f> NCA!BH$18</f>
        <v>0.0</v>
      </c>
      <c r="BI19" s="325">
        <f> NCA!BI$18</f>
        <v>0.0</v>
      </c>
      <c r="BJ19" s="325">
        <f> NCA!BJ$18</f>
        <v>0.0</v>
      </c>
      <c r="BK19" s="325">
        <f> NCA!BK$18</f>
        <v>0.0</v>
      </c>
      <c r="BL19" s="325">
        <f> NCA!BL$18</f>
        <v>0.0</v>
      </c>
      <c r="BM19" s="325">
        <f> NCA!BM$18</f>
        <v>0.0</v>
      </c>
      <c r="BN19" s="325">
        <f> NCA!BN$18</f>
        <v>0.0</v>
      </c>
      <c r="BO19" s="325">
        <f> NCA!BO$18</f>
        <v>0.0</v>
      </c>
      <c r="BP19" s="325">
        <f> NCA!BP$18</f>
        <v>0.0</v>
      </c>
      <c r="BQ19" s="325">
        <f> NCA!BQ$18</f>
        <v>0.0</v>
      </c>
      <c r="BR19" s="325">
        <f> NCA!BR$18</f>
        <v>0.0</v>
      </c>
      <c r="BS19" s="325">
        <f> NCA!BS$18</f>
        <v>0.0</v>
      </c>
      <c r="BT19" s="325">
        <f> NCA!BT$18</f>
        <v>0.0</v>
      </c>
      <c r="BU19" s="325">
        <f> NCA!BU$18</f>
        <v>0.0</v>
      </c>
      <c r="BV19" s="325">
        <f> NCA!BV$18</f>
        <v>0.0</v>
      </c>
      <c r="BW19" s="325">
        <f> NCA!BW$18</f>
        <v>0.0</v>
      </c>
      <c r="BX19" s="325">
        <f> NCA!BX$18</f>
        <v>0.0</v>
      </c>
      <c r="BY19" s="325">
        <f> NCA!BY$18</f>
        <v>0.0</v>
      </c>
      <c r="BZ19" s="325">
        <f> NCA!BZ$18</f>
        <v>0.0</v>
      </c>
      <c r="CA19" s="325">
        <f> NCA!CA$18</f>
        <v>0.0</v>
      </c>
      <c r="CB19" s="325">
        <f> NCA!CB$18</f>
        <v>0.0</v>
      </c>
      <c r="CC19" s="325">
        <f> NCA!CC$18</f>
        <v>0.0</v>
      </c>
      <c r="CD19" s="325">
        <f> NCA!CD$18</f>
        <v>0.0</v>
      </c>
      <c r="CE19" s="325">
        <f> NCA!CE$18</f>
        <v>0.0</v>
      </c>
      <c r="CF19" s="325">
        <f> NCA!CF$18</f>
        <v>0.0</v>
      </c>
      <c r="CG19" s="325">
        <f> NCA!CG$18</f>
        <v>0.0</v>
      </c>
      <c r="CH19" s="325">
        <f> NCA!CH$18</f>
        <v>0.0</v>
      </c>
      <c r="CI19" s="325">
        <f> NCA!CI$18</f>
        <v>0.0</v>
      </c>
      <c r="CJ19" s="325">
        <f> NCA!CJ$18</f>
        <v>0.0</v>
      </c>
      <c r="CK19" s="325">
        <f> NCA!CK$18</f>
        <v>0.0</v>
      </c>
      <c r="CL19" s="325">
        <f> NCA!CL$18</f>
        <v>0.0</v>
      </c>
      <c r="CM19" s="325">
        <f> NCA!CM$18</f>
        <v>0.0</v>
      </c>
      <c r="CN19" s="325">
        <f> NCA!CN$18</f>
        <v>0.0</v>
      </c>
      <c r="CO19" s="325">
        <f> NCA!CO$18</f>
        <v>0.0</v>
      </c>
    </row>
    <row r="20" customFormat="1" s="183">
      <c r="A20" s="294" t="n"/>
      <c r="B20" s="294" t="n"/>
      <c r="C20" s="212" t="n"/>
      <c r="D20" s="244" t="inlineStr">
        <is>
          <t>less</t>
        </is>
      </c>
      <c r="E20" s="61" t="str">
        <f> E$11</f>
        <v>Tax depreciation </v>
      </c>
      <c r="F20" s="61">
        <f> F$11</f>
        <v>0.0</v>
      </c>
      <c r="G20" s="61" t="str">
        <f> G$11</f>
        <v>$ 000s</v>
      </c>
      <c r="H20" s="61">
        <f> H$11</f>
        <v>109067.7992451768</v>
      </c>
      <c r="I20" s="61">
        <f> I$11</f>
        <v>0.0</v>
      </c>
      <c r="J20" s="61">
        <f> J$11</f>
        <v>0.0</v>
      </c>
      <c r="K20" s="61">
        <f> K$11</f>
        <v>0.0</v>
      </c>
      <c r="L20" s="61">
        <f> L$11</f>
        <v>5053.38996225884</v>
      </c>
      <c r="M20" s="61">
        <f> M$11</f>
        <v>4800.7204641458975</v>
      </c>
      <c r="N20" s="61">
        <f> N$11</f>
        <v>4560.684440938602</v>
      </c>
      <c r="O20" s="61">
        <f> O$11</f>
        <v>4332.650218891673</v>
      </c>
      <c r="P20" s="61">
        <f> P$11</f>
        <v>4116.017707947089</v>
      </c>
      <c r="Q20" s="61">
        <f> Q$11</f>
        <v>3910.2168225497344</v>
      </c>
      <c r="R20" s="61">
        <f> R$11</f>
        <v>3714.705981422248</v>
      </c>
      <c r="S20" s="61">
        <f> S$11</f>
        <v>3528.9706823511356</v>
      </c>
      <c r="T20" s="61">
        <f> T$11</f>
        <v>3452.5221482335787</v>
      </c>
      <c r="U20" s="61">
        <f> U$11</f>
        <v>3279.8960408219</v>
      </c>
      <c r="V20" s="61">
        <f> V$11</f>
        <v>3115.901238780805</v>
      </c>
      <c r="W20" s="61">
        <f> W$11</f>
        <v>2960.106176841765</v>
      </c>
      <c r="X20" s="61">
        <f> X$11</f>
        <v>2862.1008679996767</v>
      </c>
      <c r="Y20" s="61">
        <f> Y$11</f>
        <v>2718.995824599693</v>
      </c>
      <c r="Z20" s="61">
        <f> Z$11</f>
        <v>2583.0460333697083</v>
      </c>
      <c r="AA20" s="61">
        <f> AA$11</f>
        <v>2453.893731701223</v>
      </c>
      <c r="AB20" s="61">
        <f> AB$11</f>
        <v>2406.1990451161614</v>
      </c>
      <c r="AC20" s="61">
        <f> AC$11</f>
        <v>2285.8890928603537</v>
      </c>
      <c r="AD20" s="61">
        <f> AD$11</f>
        <v>2171.594638217336</v>
      </c>
      <c r="AE20" s="61">
        <f> AE$11</f>
        <v>2063.014906306469</v>
      </c>
      <c r="AF20" s="61">
        <f> AF$11</f>
        <v>2009.8641609911458</v>
      </c>
      <c r="AG20" s="61">
        <f> AG$11</f>
        <v>1909.3709529415887</v>
      </c>
      <c r="AH20" s="61">
        <f> AH$11</f>
        <v>1813.9024052945094</v>
      </c>
      <c r="AI20" s="61">
        <f> AI$11</f>
        <v>1723.2072850297839</v>
      </c>
      <c r="AJ20" s="61">
        <f> AJ$11</f>
        <v>1662.0469207782946</v>
      </c>
      <c r="AK20" s="61">
        <f> AK$11</f>
        <v>1578.94457473938</v>
      </c>
      <c r="AL20" s="61">
        <f> AL$11</f>
        <v>1499.997346002411</v>
      </c>
      <c r="AM20" s="61">
        <f> AM$11</f>
        <v>1424.9974787022902</v>
      </c>
      <c r="AN20" s="61">
        <f> AN$11</f>
        <v>1403.7476047671757</v>
      </c>
      <c r="AO20" s="61">
        <f> AO$11</f>
        <v>1333.560224528817</v>
      </c>
      <c r="AP20" s="61">
        <f> AP$11</f>
        <v>1266.882213302376</v>
      </c>
      <c r="AQ20" s="61">
        <f> AQ$11</f>
        <v>1203.5381026372572</v>
      </c>
      <c r="AR20" s="61">
        <f> AR$11</f>
        <v>1193.3611975053943</v>
      </c>
      <c r="AS20" s="61">
        <f> AS$11</f>
        <v>1133.6931376301247</v>
      </c>
      <c r="AT20" s="61">
        <f> AT$11</f>
        <v>1077.0084807486185</v>
      </c>
      <c r="AU20" s="61">
        <f> AU$11</f>
        <v>1023.1580567111874</v>
      </c>
      <c r="AV20" s="61">
        <f> AV$11</f>
        <v>972.000153875628</v>
      </c>
      <c r="AW20" s="61">
        <f> AW$11</f>
        <v>923.4001461818466</v>
      </c>
      <c r="AX20" s="61">
        <f> AX$11</f>
        <v>877.2301388727542</v>
      </c>
      <c r="AY20" s="61">
        <f> AY$11</f>
        <v>833.3686319291164</v>
      </c>
      <c r="AZ20" s="61">
        <f> AZ$11</f>
        <v>791.7002003326606</v>
      </c>
      <c r="BA20" s="61">
        <f> BA$11</f>
        <v>752.1151903160277</v>
      </c>
      <c r="BB20" s="61">
        <f> BB$11</f>
        <v>714.5094308002263</v>
      </c>
      <c r="BC20" s="61">
        <f> BC$11</f>
        <v>678.7839592602149</v>
      </c>
      <c r="BD20" s="61">
        <f> BD$11</f>
        <v>644.8447612972043</v>
      </c>
      <c r="BE20" s="61">
        <f> BE$11</f>
        <v>612.602523232344</v>
      </c>
      <c r="BF20" s="61">
        <f> BF$11</f>
        <v>581.9723970707267</v>
      </c>
      <c r="BG20" s="61">
        <f> BG$11</f>
        <v>552.8737772171904</v>
      </c>
      <c r="BH20" s="61">
        <f> BH$11</f>
        <v>525.230088356331</v>
      </c>
      <c r="BI20" s="61">
        <f> BI$11</f>
        <v>498.96858393851437</v>
      </c>
      <c r="BJ20" s="61">
        <f> BJ$11</f>
        <v>474.0201547415886</v>
      </c>
      <c r="BK20" s="61">
        <f> BK$11</f>
        <v>450.3191470045092</v>
      </c>
      <c r="BL20" s="61">
        <f> BL$11</f>
        <v>427.8031896542837</v>
      </c>
      <c r="BM20" s="61">
        <f> BM$11</f>
        <v>406.4130301715695</v>
      </c>
      <c r="BN20" s="61">
        <f> BN$11</f>
        <v>386.09237866299105</v>
      </c>
      <c r="BO20" s="61">
        <f> BO$11</f>
        <v>366.7877597298415</v>
      </c>
      <c r="BP20" s="61">
        <f> BP$11</f>
        <v>348.44837174334947</v>
      </c>
      <c r="BQ20" s="61">
        <f> BQ$11</f>
        <v>331.02595315618197</v>
      </c>
      <c r="BR20" s="61">
        <f> BR$11</f>
        <v>314.47465549837284</v>
      </c>
      <c r="BS20" s="61">
        <f> BS$11</f>
        <v>298.7509227234542</v>
      </c>
      <c r="BT20" s="61">
        <f> BT$11</f>
        <v>283.8133765872815</v>
      </c>
      <c r="BU20" s="61">
        <f> BU$11</f>
        <v>269.6227077579174</v>
      </c>
      <c r="BV20" s="61">
        <f> BV$11</f>
        <v>256.14157237002155</v>
      </c>
      <c r="BW20" s="61">
        <f> BW$11</f>
        <v>243.3344937515205</v>
      </c>
      <c r="BX20" s="61">
        <f> BX$11</f>
        <v>231.1677690639445</v>
      </c>
      <c r="BY20" s="61">
        <f> BY$11</f>
        <v>219.60938061074728</v>
      </c>
      <c r="BZ20" s="61">
        <f> BZ$11</f>
        <v>208.6289115802099</v>
      </c>
      <c r="CA20" s="61">
        <f> CA$11</f>
        <v>198.1974660011994</v>
      </c>
      <c r="CB20" s="61">
        <f> CB$11</f>
        <v>188.28759270113943</v>
      </c>
      <c r="CC20" s="61">
        <f> CC$11</f>
        <v>178.87321306608246</v>
      </c>
      <c r="CD20" s="61">
        <f> CD$11</f>
        <v>169.92955241277832</v>
      </c>
      <c r="CE20" s="61">
        <f> CE$11</f>
        <v>161.43307479213942</v>
      </c>
      <c r="CF20" s="61">
        <f> CF$11</f>
        <v>153.36142105253245</v>
      </c>
      <c r="CG20" s="61">
        <f> CG$11</f>
        <v>145.69334999990582</v>
      </c>
      <c r="CH20" s="61">
        <f> CH$11</f>
        <v>138.40868249991053</v>
      </c>
      <c r="CI20" s="61">
        <f> CI$11</f>
        <v>131.488248374915</v>
      </c>
      <c r="CJ20" s="61">
        <f> CJ$11</f>
        <v>124.91383595616924</v>
      </c>
      <c r="CK20" s="61">
        <f> CK$11</f>
        <v>118.66814415836078</v>
      </c>
      <c r="CL20" s="61">
        <f> CL$11</f>
        <v>112.73473695044272</v>
      </c>
      <c r="CM20" s="61">
        <f> CM$11</f>
        <v>2141.9600020584116</v>
      </c>
      <c r="CN20" s="61">
        <f> CN$11</f>
        <v>0.0</v>
      </c>
      <c r="CO20" s="61">
        <f> CO$11</f>
        <v>0.0</v>
      </c>
    </row>
    <row r="21" customFormat="1" s="189">
      <c r="A21" s="184" t="n"/>
      <c r="B21" s="184" t="n"/>
      <c r="C21" s="185" t="n"/>
      <c r="D21" s="186" t="n"/>
      <c r="E21" s="189" t="inlineStr">
        <is>
          <t>Tax written down value balance</t>
        </is>
      </c>
      <c r="G21" s="189" t="inlineStr">
        <is>
          <t>$ 000s</t>
        </is>
      </c>
      <c r="I21" s="190" t="n"/>
      <c r="J21" s="189">
        <f> IF(J16 = 1, $F15, J18 + J19 - J20)</f>
        <v>0.0</v>
      </c>
      <c r="K21" s="189">
        <f> IF(K16 = 1, $F15, K18 + K19 - K20)</f>
        <v>101067.79924517678</v>
      </c>
      <c r="L21" s="189">
        <f> IF(L16 = 1, $F15, L18 + L19 - L20)</f>
        <v>96014.40928291794</v>
      </c>
      <c r="M21" s="189">
        <f> IF(M16 = 1, $F15, M18 + M19 - M20)</f>
        <v>91213.68881877205</v>
      </c>
      <c r="N21" s="189">
        <f> IF(N16 = 1, $F15, N18 + N19 - N20)</f>
        <v>86653.00437783345</v>
      </c>
      <c r="O21" s="189">
        <f> IF(O16 = 1, $F15, O18 + O19 - O20)</f>
        <v>82320.35415894177</v>
      </c>
      <c r="P21" s="189">
        <f> IF(P16 = 1, $F15, P18 + P19 - P20)</f>
        <v>78204.33645099468</v>
      </c>
      <c r="Q21" s="189">
        <f> IF(Q16 = 1, $F15, Q18 + Q19 - Q20)</f>
        <v>74294.11962844495</v>
      </c>
      <c r="R21" s="189">
        <f> IF(R16 = 1, $F15, R18 + R19 - R20)</f>
        <v>70579.41364702271</v>
      </c>
      <c r="S21" s="189">
        <f> IF(S16 = 1, $F15, S18 + S19 - S20)</f>
        <v>69050.44296467157</v>
      </c>
      <c r="T21" s="189">
        <f> IF(T16 = 1, $F15, T18 + T19 - T20)</f>
        <v>65597.920816438</v>
      </c>
      <c r="U21" s="189">
        <f> IF(U16 = 1, $F15, U18 + U19 - U20)</f>
        <v>62318.0247756161</v>
      </c>
      <c r="V21" s="189">
        <f> IF(V16 = 1, $F15, V18 + V19 - V20)</f>
        <v>59202.12353683529</v>
      </c>
      <c r="W21" s="189">
        <f> IF(W16 = 1, $F15, W18 + W19 - W20)</f>
        <v>57242.01735999353</v>
      </c>
      <c r="X21" s="189">
        <f> IF(X16 = 1, $F15, X18 + X19 - X20)</f>
        <v>54379.916491993856</v>
      </c>
      <c r="Y21" s="189">
        <f> IF(Y16 = 1, $F15, Y18 + Y19 - Y20)</f>
        <v>51660.920667394166</v>
      </c>
      <c r="Z21" s="189">
        <f> IF(Z16 = 1, $F15, Z18 + Z19 - Z20)</f>
        <v>49077.874634024454</v>
      </c>
      <c r="AA21" s="189">
        <f> IF(AA16 = 1, $F15, AA18 + AA19 - AA20)</f>
        <v>48123.98090232323</v>
      </c>
      <c r="AB21" s="189">
        <f> IF(AB16 = 1, $F15, AB18 + AB19 - AB20)</f>
        <v>45717.78185720707</v>
      </c>
      <c r="AC21" s="189">
        <f> IF(AC16 = 1, $F15, AC18 + AC19 - AC20)</f>
        <v>43431.89276434672</v>
      </c>
      <c r="AD21" s="189">
        <f> IF(AD16 = 1, $F15, AD18 + AD19 - AD20)</f>
        <v>41260.29812612938</v>
      </c>
      <c r="AE21" s="189">
        <f> IF(AE16 = 1, $F15, AE18 + AE19 - AE20)</f>
        <v>40197.283219822915</v>
      </c>
      <c r="AF21" s="189">
        <f> IF(AF16 = 1, $F15, AF18 + AF19 - AF20)</f>
        <v>38187.41905883177</v>
      </c>
      <c r="AG21" s="189">
        <f> IF(AG16 = 1, $F15, AG18 + AG19 - AG20)</f>
        <v>36278.048105890186</v>
      </c>
      <c r="AH21" s="189">
        <f> IF(AH16 = 1, $F15, AH18 + AH19 - AH20)</f>
        <v>34464.145700595676</v>
      </c>
      <c r="AI21" s="189">
        <f> IF(AI16 = 1, $F15, AI18 + AI19 - AI20)</f>
        <v>33240.93841556589</v>
      </c>
      <c r="AJ21" s="189">
        <f> IF(AJ16 = 1, $F15, AJ18 + AJ19 - AJ20)</f>
        <v>31578.891494787596</v>
      </c>
      <c r="AK21" s="189">
        <f> IF(AK16 = 1, $F15, AK18 + AK19 - AK20)</f>
        <v>29999.946920048216</v>
      </c>
      <c r="AL21" s="189">
        <f> IF(AL16 = 1, $F15, AL18 + AL19 - AL20)</f>
        <v>28499.949574045804</v>
      </c>
      <c r="AM21" s="189">
        <f> IF(AM16 = 1, $F15, AM18 + AM19 - AM20)</f>
        <v>28074.952095343513</v>
      </c>
      <c r="AN21" s="189">
        <f> IF(AN16 = 1, $F15, AN18 + AN19 - AN20)</f>
        <v>26671.204490576336</v>
      </c>
      <c r="AO21" s="189">
        <f> IF(AO16 = 1, $F15, AO18 + AO19 - AO20)</f>
        <v>25337.64426604752</v>
      </c>
      <c r="AP21" s="189">
        <f> IF(AP16 = 1, $F15, AP18 + AP19 - AP20)</f>
        <v>24070.762052745144</v>
      </c>
      <c r="AQ21" s="189">
        <f> IF(AQ16 = 1, $F15, AQ18 + AQ19 - AQ20)</f>
        <v>23867.223950107888</v>
      </c>
      <c r="AR21" s="189">
        <f> IF(AR16 = 1, $F15, AR18 + AR19 - AR20)</f>
        <v>22673.862752602494</v>
      </c>
      <c r="AS21" s="189">
        <f> IF(AS16 = 1, $F15, AS18 + AS19 - AS20)</f>
        <v>21540.16961497237</v>
      </c>
      <c r="AT21" s="189">
        <f> IF(AT16 = 1, $F15, AT18 + AT19 - AT20)</f>
        <v>20463.16113422375</v>
      </c>
      <c r="AU21" s="189">
        <f> IF(AU16 = 1, $F15, AU18 + AU19 - AU20)</f>
        <v>19440.00307751256</v>
      </c>
      <c r="AV21" s="189">
        <f> IF(AV16 = 1, $F15, AV18 + AV19 - AV20)</f>
        <v>18468.00292363693</v>
      </c>
      <c r="AW21" s="189">
        <f> IF(AW16 = 1, $F15, AW18 + AW19 - AW20)</f>
        <v>17544.602777455082</v>
      </c>
      <c r="AX21" s="189">
        <f> IF(AX16 = 1, $F15, AX18 + AX19 - AX20)</f>
        <v>16667.37263858233</v>
      </c>
      <c r="AY21" s="189">
        <f> IF(AY16 = 1, $F15, AY18 + AY19 - AY20)</f>
        <v>15834.004006653213</v>
      </c>
      <c r="AZ21" s="189">
        <f> IF(AZ16 = 1, $F15, AZ18 + AZ19 - AZ20)</f>
        <v>15042.303806320553</v>
      </c>
      <c r="BA21" s="189">
        <f> IF(BA16 = 1, $F15, BA18 + BA19 - BA20)</f>
        <v>14290.188616004525</v>
      </c>
      <c r="BB21" s="189">
        <f> IF(BB16 = 1, $F15, BB18 + BB19 - BB20)</f>
        <v>13575.679185204299</v>
      </c>
      <c r="BC21" s="189">
        <f> IF(BC16 = 1, $F15, BC18 + BC19 - BC20)</f>
        <v>12896.895225944085</v>
      </c>
      <c r="BD21" s="189">
        <f> IF(BD16 = 1, $F15, BD18 + BD19 - BD20)</f>
        <v>12252.05046464688</v>
      </c>
      <c r="BE21" s="189">
        <f> IF(BE16 = 1, $F15, BE18 + BE19 - BE20)</f>
        <v>11639.447941414535</v>
      </c>
      <c r="BF21" s="189">
        <f> IF(BF16 = 1, $F15, BF18 + BF19 - BF20)</f>
        <v>11057.475544343808</v>
      </c>
      <c r="BG21" s="189">
        <f> IF(BG16 = 1, $F15, BG18 + BG19 - BG20)</f>
        <v>10504.601767126618</v>
      </c>
      <c r="BH21" s="189">
        <f> IF(BH16 = 1, $F15, BH18 + BH19 - BH20)</f>
        <v>9979.371678770287</v>
      </c>
      <c r="BI21" s="189">
        <f> IF(BI16 = 1, $F15, BI18 + BI19 - BI20)</f>
        <v>9480.403094831772</v>
      </c>
      <c r="BJ21" s="189">
        <f> IF(BJ16 = 1, $F15, BJ18 + BJ19 - BJ20)</f>
        <v>9006.382940090183</v>
      </c>
      <c r="BK21" s="189">
        <f> IF(BK16 = 1, $F15, BK18 + BK19 - BK20)</f>
        <v>8556.063793085674</v>
      </c>
      <c r="BL21" s="189">
        <f> IF(BL16 = 1, $F15, BL18 + BL19 - BL20)</f>
        <v>8128.26060343139</v>
      </c>
      <c r="BM21" s="189">
        <f> IF(BM16 = 1, $F15, BM18 + BM19 - BM20)</f>
        <v>7721.847573259821</v>
      </c>
      <c r="BN21" s="189">
        <f> IF(BN16 = 1, $F15, BN18 + BN19 - BN20)</f>
        <v>7335.75519459683</v>
      </c>
      <c r="BO21" s="189">
        <f> IF(BO16 = 1, $F15, BO18 + BO19 - BO20)</f>
        <v>6968.967434866989</v>
      </c>
      <c r="BP21" s="189">
        <f> IF(BP16 = 1, $F15, BP18 + BP19 - BP20)</f>
        <v>6620.519063123639</v>
      </c>
      <c r="BQ21" s="189">
        <f> IF(BQ16 = 1, $F15, BQ18 + BQ19 - BQ20)</f>
        <v>6289.493109967457</v>
      </c>
      <c r="BR21" s="189">
        <f> IF(BR16 = 1, $F15, BR18 + BR19 - BR20)</f>
        <v>5975.018454469084</v>
      </c>
      <c r="BS21" s="189">
        <f> IF(BS16 = 1, $F15, BS18 + BS19 - BS20)</f>
        <v>5676.26753174563</v>
      </c>
      <c r="BT21" s="189">
        <f> IF(BT16 = 1, $F15, BT18 + BT19 - BT20)</f>
        <v>5392.454155158348</v>
      </c>
      <c r="BU21" s="189">
        <f> IF(BU16 = 1, $F15, BU18 + BU19 - BU20)</f>
        <v>5122.831447400431</v>
      </c>
      <c r="BV21" s="189">
        <f> IF(BV16 = 1, $F15, BV18 + BV19 - BV20)</f>
        <v>4866.68987503041</v>
      </c>
      <c r="BW21" s="189">
        <f> IF(BW16 = 1, $F15, BW18 + BW19 - BW20)</f>
        <v>4623.35538127889</v>
      </c>
      <c r="BX21" s="189">
        <f> IF(BX16 = 1, $F15, BX18 + BX19 - BX20)</f>
        <v>4392.187612214945</v>
      </c>
      <c r="BY21" s="189">
        <f> IF(BY16 = 1, $F15, BY18 + BY19 - BY20)</f>
        <v>4172.578231604198</v>
      </c>
      <c r="BZ21" s="189">
        <f> IF(BZ16 = 1, $F15, BZ18 + BZ19 - BZ20)</f>
        <v>3963.9493200239876</v>
      </c>
      <c r="CA21" s="189">
        <f> IF(CA16 = 1, $F15, CA18 + CA19 - CA20)</f>
        <v>3765.7518540227884</v>
      </c>
      <c r="CB21" s="189">
        <f> IF(CB16 = 1, $F15, CB18 + CB19 - CB20)</f>
        <v>3577.464261321649</v>
      </c>
      <c r="CC21" s="189">
        <f> IF(CC16 = 1, $F15, CC18 + CC19 - CC20)</f>
        <v>3398.5910482555664</v>
      </c>
      <c r="CD21" s="189">
        <f> IF(CD16 = 1, $F15, CD18 + CD19 - CD20)</f>
        <v>3228.661495842788</v>
      </c>
      <c r="CE21" s="189">
        <f> IF(CE16 = 1, $F15, CE18 + CE19 - CE20)</f>
        <v>3067.2284210506486</v>
      </c>
      <c r="CF21" s="189">
        <f> IF(CF16 = 1, $F15, CF18 + CF19 - CF20)</f>
        <v>2913.866999998116</v>
      </c>
      <c r="CG21" s="189">
        <f> IF(CG16 = 1, $F15, CG18 + CG19 - CG20)</f>
        <v>2768.1736499982103</v>
      </c>
      <c r="CH21" s="189">
        <f> IF(CH16 = 1, $F15, CH18 + CH19 - CH20)</f>
        <v>2629.7649674983</v>
      </c>
      <c r="CI21" s="189">
        <f> IF(CI16 = 1, $F15, CI18 + CI19 - CI20)</f>
        <v>2498.2767191233847</v>
      </c>
      <c r="CJ21" s="189">
        <f> IF(CJ16 = 1, $F15, CJ18 + CJ19 - CJ20)</f>
        <v>2373.3628831672154</v>
      </c>
      <c r="CK21" s="189">
        <f> IF(CK16 = 1, $F15, CK18 + CK19 - CK20)</f>
        <v>2254.6947390088544</v>
      </c>
      <c r="CL21" s="189">
        <f> IF(CL16 = 1, $F15, CL18 + CL19 - CL20)</f>
        <v>2141.9600020584116</v>
      </c>
      <c r="CM21" s="189">
        <f> IF(CM16 = 1, $F15, CM18 + CM19 - CM20)</f>
        <v>0.0</v>
      </c>
      <c r="CN21" s="189">
        <f> IF(CN16 = 1, $F15, CN18 + CN19 - CN20)</f>
        <v>0.0</v>
      </c>
      <c r="CO21" s="189">
        <f> IF(CO16 = 1, $F15, CO18 + CO19 - CO20)</f>
        <v>0.0</v>
      </c>
    </row>
    <row r="23" customFormat="1" s="169">
      <c r="A23" s="163" t="inlineStr">
        <is>
          <t>TAX PAID</t>
        </is>
      </c>
      <c r="B23" s="163" t="n"/>
      <c r="C23" s="172" t="n"/>
      <c r="D23" s="88" t="n"/>
      <c r="E23" s="169" t="n"/>
      <c r="F23" s="169" t="n"/>
      <c r="G23" s="169" t="n"/>
      <c r="H23" s="169" t="n"/>
      <c r="I23" s="169" t="n"/>
      <c r="J23" s="169" t="n"/>
      <c r="K23" s="169" t="n"/>
      <c r="L23" s="169" t="n"/>
      <c r="M23" s="169" t="n"/>
      <c r="N23" s="169" t="n"/>
      <c r="O23" s="169" t="n"/>
      <c r="P23" s="169" t="n"/>
      <c r="Q23" s="169" t="n"/>
      <c r="R23" s="169" t="n"/>
      <c r="S23" s="169" t="n"/>
      <c r="T23" s="169" t="n"/>
      <c r="U23" s="169" t="n"/>
      <c r="V23" s="169" t="n"/>
      <c r="W23" s="169" t="n"/>
      <c r="X23" s="169" t="n"/>
      <c r="Y23" s="169" t="n"/>
      <c r="Z23" s="169" t="n"/>
      <c r="AA23" s="169" t="n"/>
      <c r="AB23" s="169" t="n"/>
      <c r="AC23" s="169" t="n"/>
      <c r="AD23" s="169" t="n"/>
      <c r="AE23" s="169" t="n"/>
      <c r="AF23" s="169" t="n"/>
      <c r="AG23" s="169" t="n"/>
    </row>
    <row r="24">
      <c r="E24" s="367" t="str">
        <f> FinStat!E$11</f>
        <v>EBITDA</v>
      </c>
      <c r="F24" s="367">
        <f> FinStat!F$11</f>
        <v>0.0</v>
      </c>
      <c r="G24" s="367" t="str">
        <f> FinStat!G$11</f>
        <v>$ 000s</v>
      </c>
      <c r="H24" s="367">
        <f> FinStat!H$11</f>
        <v>789195.2008258444</v>
      </c>
      <c r="I24" s="367">
        <f> FinStat!I$11</f>
        <v>0.0</v>
      </c>
      <c r="J24" s="367">
        <f> FinStat!J$11</f>
        <v>0.0</v>
      </c>
      <c r="K24" s="367">
        <f> FinStat!K$11</f>
        <v>0.0</v>
      </c>
      <c r="L24" s="367">
        <f> FinStat!L$11</f>
        <v>5642.625103379305</v>
      </c>
      <c r="M24" s="367">
        <f> FinStat!M$11</f>
        <v>5246.757277305236</v>
      </c>
      <c r="N24" s="367">
        <f> FinStat!N$11</f>
        <v>5769.900110043365</v>
      </c>
      <c r="O24" s="367">
        <f> FinStat!O$11</f>
        <v>5384.894163333334</v>
      </c>
      <c r="P24" s="367">
        <f> FinStat!P$11</f>
        <v>5909.233981271236</v>
      </c>
      <c r="Q24" s="367">
        <f> FinStat!Q$11</f>
        <v>5517.874537157988</v>
      </c>
      <c r="R24" s="367">
        <f> FinStat!R$11</f>
        <v>6055.1629670621805</v>
      </c>
      <c r="S24" s="367">
        <f> FinStat!S$11</f>
        <v>5654.138871500003</v>
      </c>
      <c r="T24" s="367">
        <f> FinStat!T$11</f>
        <v>6502.082238625846</v>
      </c>
      <c r="U24" s="367">
        <f> FinStat!U$11</f>
        <v>6064.359293854139</v>
      </c>
      <c r="V24" s="367">
        <f> FinStat!V$11</f>
        <v>6630.848842747651</v>
      </c>
      <c r="W24" s="367">
        <f> FinStat!W$11</f>
        <v>6184.457275359999</v>
      </c>
      <c r="X24" s="367">
        <f> FinStat!X$11</f>
        <v>6745.851379108952</v>
      </c>
      <c r="Y24" s="367">
        <f> FinStat!Y$11</f>
        <v>6276.538627657432</v>
      </c>
      <c r="Z24" s="367">
        <f> FinStat!Z$11</f>
        <v>6846.291416080456</v>
      </c>
      <c r="AA24" s="367">
        <f> FinStat!AA$11</f>
        <v>6369.990993620797</v>
      </c>
      <c r="AB24" s="367">
        <f> FinStat!AB$11</f>
        <v>6948.226920482219</v>
      </c>
      <c r="AC24" s="367">
        <f> FinStat!AC$11</f>
        <v>6464.834786487154</v>
      </c>
      <c r="AD24" s="367">
        <f> FinStat!AD$11</f>
        <v>7728.8860185284375</v>
      </c>
      <c r="AE24" s="367">
        <f> FinStat!AE$11</f>
        <v>7206.442238437623</v>
      </c>
      <c r="AF24" s="367">
        <f> FinStat!AF$11</f>
        <v>7843.962612100246</v>
      </c>
      <c r="AG24" s="367">
        <f> FinStat!AG$11</f>
        <v>7313.740084800385</v>
      </c>
      <c r="AH24" s="367">
        <f> FinStat!AH$11</f>
        <v>7960.752599084291</v>
      </c>
      <c r="AI24" s="367">
        <f> FinStat!AI$11</f>
        <v>7422.635505590748</v>
      </c>
      <c r="AJ24" s="367">
        <f> FinStat!AJ$11</f>
        <v>8079.2814904632505</v>
      </c>
      <c r="AK24" s="367">
        <f> FinStat!AK$11</f>
        <v>7533.15228734439</v>
      </c>
      <c r="AL24" s="367">
        <f> FinStat!AL$11</f>
        <v>8199.575177056817</v>
      </c>
      <c r="AM24" s="367">
        <f> FinStat!AM$11</f>
        <v>8329.967993030665</v>
      </c>
      <c r="AN24" s="367">
        <f> FinStat!AN$11</f>
        <v>9050.804712216523</v>
      </c>
      <c r="AO24" s="367">
        <f> FinStat!AO$11</f>
        <v>8453.994190195705</v>
      </c>
      <c r="AP24" s="367">
        <f> FinStat!AP$11</f>
        <v>9185.563560111119</v>
      </c>
      <c r="AQ24" s="367">
        <f> FinStat!AQ$11</f>
        <v>8579.86703282158</v>
      </c>
      <c r="AR24" s="367">
        <f> FinStat!AR$11</f>
        <v>9322.328853583016</v>
      </c>
      <c r="AS24" s="367">
        <f> FinStat!AS$11</f>
        <v>8707.614015901572</v>
      </c>
      <c r="AT24" s="367">
        <f> FinStat!AT$11</f>
        <v>9461.13046691445</v>
      </c>
      <c r="AU24" s="367">
        <f> FinStat!AU$11</f>
        <v>8837.263043806224</v>
      </c>
      <c r="AV24" s="367">
        <f> FinStat!AV$11</f>
        <v>9601.998719190504</v>
      </c>
      <c r="AW24" s="367">
        <f> FinStat!AW$11</f>
        <v>8968.842436378614</v>
      </c>
      <c r="AX24" s="367">
        <f> FinStat!AX$11</f>
        <v>10636.727968517971</v>
      </c>
      <c r="AY24" s="367">
        <f> FinStat!AY$11</f>
        <v>9958.007981245373</v>
      </c>
      <c r="AZ24" s="367">
        <f> FinStat!AZ$11</f>
        <v>10795.099875987251</v>
      </c>
      <c r="BA24" s="367">
        <f> FinStat!BA$11</f>
        <v>10106.274320598211</v>
      </c>
      <c r="BB24" s="367">
        <f> FinStat!BB$11</f>
        <v>10955.829807573506</v>
      </c>
      <c r="BC24" s="367">
        <f> FinStat!BC$11</f>
        <v>10256.74822068273</v>
      </c>
      <c r="BD24" s="367">
        <f> FinStat!BD$11</f>
        <v>11118.952872266866</v>
      </c>
      <c r="BE24" s="367">
        <f> FinStat!BE$11</f>
        <v>10409.462550216158</v>
      </c>
      <c r="BF24" s="367">
        <f> FinStat!BF$11</f>
        <v>11284.504701800708</v>
      </c>
      <c r="BG24" s="367">
        <f> FinStat!BG$11</f>
        <v>10564.45066730321</v>
      </c>
      <c r="BH24" s="367">
        <f> FinStat!BH$11</f>
        <v>10642.807956194914</v>
      </c>
      <c r="BI24" s="367">
        <f> FinStat!BI$11</f>
        <v>11537.465632128105</v>
      </c>
      <c r="BJ24" s="367">
        <f> FinStat!BJ$11</f>
        <v>10801.27038955229</v>
      </c>
      <c r="BK24" s="367">
        <f> FinStat!BK$11</f>
        <v>11709.248763644626</v>
      </c>
      <c r="BL24" s="367">
        <f> FinStat!BL$11</f>
        <v>10962.092194880759</v>
      </c>
      <c r="BM24" s="367">
        <f> FinStat!BM$11</f>
        <v>11883.589601091942</v>
      </c>
      <c r="BN24" s="367">
        <f> FinStat!BN$11</f>
        <v>11125.308501238856</v>
      </c>
      <c r="BO24" s="367">
        <f> FinStat!BO$11</f>
        <v>12060.526226553962</v>
      </c>
      <c r="BP24" s="367">
        <f> FinStat!BP$11</f>
        <v>11290.954960727178</v>
      </c>
      <c r="BQ24" s="367">
        <f> FinStat!BQ$11</f>
        <v>11374.700784110039</v>
      </c>
      <c r="BR24" s="367">
        <f> FinStat!BR$11</f>
        <v>12330.882969284572</v>
      </c>
      <c r="BS24" s="367">
        <f> FinStat!BS$11</f>
        <v>11544.06048433022</v>
      </c>
      <c r="BT24" s="367">
        <f> FinStat!BT$11</f>
        <v>12514.479415711146</v>
      </c>
      <c r="BU24" s="367">
        <f> FinStat!BU$11</f>
        <v>11715.941807633337</v>
      </c>
      <c r="BV24" s="367">
        <f> FinStat!BV$11</f>
        <v>12700.809458363103</v>
      </c>
      <c r="BW24" s="367">
        <f> FinStat!BW$11</f>
        <v>12795.01227375109</v>
      </c>
      <c r="BX24" s="367">
        <f> FinStat!BX$11</f>
        <v>12889.913798182475</v>
      </c>
      <c r="BY24" s="367">
        <f> FinStat!BY$11</f>
        <v>12985.519214032385</v>
      </c>
      <c r="BZ24" s="367">
        <f> FinStat!BZ$11</f>
        <v>13081.833742113991</v>
      </c>
      <c r="CA24" s="367">
        <f> FinStat!CA$11</f>
        <v>13178.862641963624</v>
      </c>
      <c r="CB24" s="367">
        <f> FinStat!CB$11</f>
        <v>13276.611212127948</v>
      </c>
      <c r="CC24" s="367">
        <f> FinStat!CC$11</f>
        <v>13375.084790453351</v>
      </c>
      <c r="CD24" s="367">
        <f> FinStat!CD$11</f>
        <v>13474.288754377409</v>
      </c>
      <c r="CE24" s="367">
        <f> FinStat!CE$11</f>
        <v>13574.228521222522</v>
      </c>
      <c r="CF24" s="367">
        <f> FinStat!CF$11</f>
        <v>13674.909548491782</v>
      </c>
      <c r="CG24" s="367">
        <f> FinStat!CG$11</f>
        <v>13776.33733416695</v>
      </c>
      <c r="CH24" s="367">
        <f> FinStat!CH$11</f>
        <v>13878.517417008727</v>
      </c>
      <c r="CI24" s="367">
        <f> FinStat!CI$11</f>
        <v>13981.455376859194</v>
      </c>
      <c r="CJ24" s="367">
        <f> FinStat!CJ$11</f>
        <v>14085.15683494653</v>
      </c>
      <c r="CK24" s="367">
        <f> FinStat!CK$11</f>
        <v>14189.627454191956</v>
      </c>
      <c r="CL24" s="367">
        <f> FinStat!CL$11</f>
        <v>14294.872939518988</v>
      </c>
      <c r="CM24" s="367">
        <f> FinStat!CM$11</f>
        <v>14400.899038164967</v>
      </c>
      <c r="CN24" s="367">
        <f> FinStat!CN$11</f>
        <v>0.0</v>
      </c>
      <c r="CO24" s="367">
        <f> FinStat!CO$11</f>
        <v>0.0</v>
      </c>
    </row>
    <row r="25" customFormat="1" s="61">
      <c r="A25" s="294" t="n"/>
      <c r="B25" s="294" t="n"/>
      <c r="C25" s="212" t="n"/>
      <c r="D25" s="244" t="inlineStr">
        <is>
          <t>less</t>
        </is>
      </c>
      <c r="E25" s="61" t="str">
        <f> E$11</f>
        <v>Tax depreciation </v>
      </c>
      <c r="F25" s="61">
        <f> F$11</f>
        <v>0.0</v>
      </c>
      <c r="G25" s="61" t="str">
        <f> G$11</f>
        <v>$ 000s</v>
      </c>
      <c r="H25" s="61">
        <f> H$11</f>
        <v>109067.7992451768</v>
      </c>
      <c r="I25" s="61">
        <f> I$11</f>
        <v>0.0</v>
      </c>
      <c r="J25" s="61">
        <f> J$11</f>
        <v>0.0</v>
      </c>
      <c r="K25" s="61">
        <f> K$11</f>
        <v>0.0</v>
      </c>
      <c r="L25" s="61">
        <f> L$11</f>
        <v>5053.38996225884</v>
      </c>
      <c r="M25" s="61">
        <f> M$11</f>
        <v>4800.7204641458975</v>
      </c>
      <c r="N25" s="61">
        <f> N$11</f>
        <v>4560.684440938602</v>
      </c>
      <c r="O25" s="61">
        <f> O$11</f>
        <v>4332.650218891673</v>
      </c>
      <c r="P25" s="61">
        <f> P$11</f>
        <v>4116.017707947089</v>
      </c>
      <c r="Q25" s="61">
        <f> Q$11</f>
        <v>3910.2168225497344</v>
      </c>
      <c r="R25" s="61">
        <f> R$11</f>
        <v>3714.705981422248</v>
      </c>
      <c r="S25" s="61">
        <f> S$11</f>
        <v>3528.9706823511356</v>
      </c>
      <c r="T25" s="61">
        <f> T$11</f>
        <v>3452.5221482335787</v>
      </c>
      <c r="U25" s="61">
        <f> U$11</f>
        <v>3279.8960408219</v>
      </c>
      <c r="V25" s="61">
        <f> V$11</f>
        <v>3115.901238780805</v>
      </c>
      <c r="W25" s="61">
        <f> W$11</f>
        <v>2960.106176841765</v>
      </c>
      <c r="X25" s="61">
        <f> X$11</f>
        <v>2862.1008679996767</v>
      </c>
      <c r="Y25" s="61">
        <f> Y$11</f>
        <v>2718.995824599693</v>
      </c>
      <c r="Z25" s="61">
        <f> Z$11</f>
        <v>2583.0460333697083</v>
      </c>
      <c r="AA25" s="61">
        <f> AA$11</f>
        <v>2453.893731701223</v>
      </c>
      <c r="AB25" s="61">
        <f> AB$11</f>
        <v>2406.1990451161614</v>
      </c>
      <c r="AC25" s="61">
        <f> AC$11</f>
        <v>2285.8890928603537</v>
      </c>
      <c r="AD25" s="61">
        <f> AD$11</f>
        <v>2171.594638217336</v>
      </c>
      <c r="AE25" s="61">
        <f> AE$11</f>
        <v>2063.014906306469</v>
      </c>
      <c r="AF25" s="61">
        <f> AF$11</f>
        <v>2009.8641609911458</v>
      </c>
      <c r="AG25" s="61">
        <f> AG$11</f>
        <v>1909.3709529415887</v>
      </c>
      <c r="AH25" s="61">
        <f> AH$11</f>
        <v>1813.9024052945094</v>
      </c>
      <c r="AI25" s="61">
        <f> AI$11</f>
        <v>1723.2072850297839</v>
      </c>
      <c r="AJ25" s="61">
        <f> AJ$11</f>
        <v>1662.0469207782946</v>
      </c>
      <c r="AK25" s="61">
        <f> AK$11</f>
        <v>1578.94457473938</v>
      </c>
      <c r="AL25" s="61">
        <f> AL$11</f>
        <v>1499.997346002411</v>
      </c>
      <c r="AM25" s="61">
        <f> AM$11</f>
        <v>1424.9974787022902</v>
      </c>
      <c r="AN25" s="61">
        <f> AN$11</f>
        <v>1403.7476047671757</v>
      </c>
      <c r="AO25" s="61">
        <f> AO$11</f>
        <v>1333.560224528817</v>
      </c>
      <c r="AP25" s="61">
        <f> AP$11</f>
        <v>1266.882213302376</v>
      </c>
      <c r="AQ25" s="61">
        <f> AQ$11</f>
        <v>1203.5381026372572</v>
      </c>
      <c r="AR25" s="61">
        <f> AR$11</f>
        <v>1193.3611975053943</v>
      </c>
      <c r="AS25" s="61">
        <f> AS$11</f>
        <v>1133.6931376301247</v>
      </c>
      <c r="AT25" s="61">
        <f> AT$11</f>
        <v>1077.0084807486185</v>
      </c>
      <c r="AU25" s="61">
        <f> AU$11</f>
        <v>1023.1580567111874</v>
      </c>
      <c r="AV25" s="61">
        <f> AV$11</f>
        <v>972.000153875628</v>
      </c>
      <c r="AW25" s="61">
        <f> AW$11</f>
        <v>923.4001461818466</v>
      </c>
      <c r="AX25" s="61">
        <f> AX$11</f>
        <v>877.2301388727542</v>
      </c>
      <c r="AY25" s="61">
        <f> AY$11</f>
        <v>833.3686319291164</v>
      </c>
      <c r="AZ25" s="61">
        <f> AZ$11</f>
        <v>791.7002003326606</v>
      </c>
      <c r="BA25" s="61">
        <f> BA$11</f>
        <v>752.1151903160277</v>
      </c>
      <c r="BB25" s="61">
        <f> BB$11</f>
        <v>714.5094308002263</v>
      </c>
      <c r="BC25" s="61">
        <f> BC$11</f>
        <v>678.7839592602149</v>
      </c>
      <c r="BD25" s="61">
        <f> BD$11</f>
        <v>644.8447612972043</v>
      </c>
      <c r="BE25" s="61">
        <f> BE$11</f>
        <v>612.602523232344</v>
      </c>
      <c r="BF25" s="61">
        <f> BF$11</f>
        <v>581.9723970707267</v>
      </c>
      <c r="BG25" s="61">
        <f> BG$11</f>
        <v>552.8737772171904</v>
      </c>
      <c r="BH25" s="61">
        <f> BH$11</f>
        <v>525.230088356331</v>
      </c>
      <c r="BI25" s="61">
        <f> BI$11</f>
        <v>498.96858393851437</v>
      </c>
      <c r="BJ25" s="61">
        <f> BJ$11</f>
        <v>474.0201547415886</v>
      </c>
      <c r="BK25" s="61">
        <f> BK$11</f>
        <v>450.3191470045092</v>
      </c>
      <c r="BL25" s="61">
        <f> BL$11</f>
        <v>427.8031896542837</v>
      </c>
      <c r="BM25" s="61">
        <f> BM$11</f>
        <v>406.4130301715695</v>
      </c>
      <c r="BN25" s="61">
        <f> BN$11</f>
        <v>386.09237866299105</v>
      </c>
      <c r="BO25" s="61">
        <f> BO$11</f>
        <v>366.7877597298415</v>
      </c>
      <c r="BP25" s="61">
        <f> BP$11</f>
        <v>348.44837174334947</v>
      </c>
      <c r="BQ25" s="61">
        <f> BQ$11</f>
        <v>331.02595315618197</v>
      </c>
      <c r="BR25" s="61">
        <f> BR$11</f>
        <v>314.47465549837284</v>
      </c>
      <c r="BS25" s="61">
        <f> BS$11</f>
        <v>298.7509227234542</v>
      </c>
      <c r="BT25" s="61">
        <f> BT$11</f>
        <v>283.8133765872815</v>
      </c>
      <c r="BU25" s="61">
        <f> BU$11</f>
        <v>269.6227077579174</v>
      </c>
      <c r="BV25" s="61">
        <f> BV$11</f>
        <v>256.14157237002155</v>
      </c>
      <c r="BW25" s="61">
        <f> BW$11</f>
        <v>243.3344937515205</v>
      </c>
      <c r="BX25" s="61">
        <f> BX$11</f>
        <v>231.1677690639445</v>
      </c>
      <c r="BY25" s="61">
        <f> BY$11</f>
        <v>219.60938061074728</v>
      </c>
      <c r="BZ25" s="61">
        <f> BZ$11</f>
        <v>208.6289115802099</v>
      </c>
      <c r="CA25" s="61">
        <f> CA$11</f>
        <v>198.1974660011994</v>
      </c>
      <c r="CB25" s="61">
        <f> CB$11</f>
        <v>188.28759270113943</v>
      </c>
      <c r="CC25" s="61">
        <f> CC$11</f>
        <v>178.87321306608246</v>
      </c>
      <c r="CD25" s="61">
        <f> CD$11</f>
        <v>169.92955241277832</v>
      </c>
      <c r="CE25" s="61">
        <f> CE$11</f>
        <v>161.43307479213942</v>
      </c>
      <c r="CF25" s="61">
        <f> CF$11</f>
        <v>153.36142105253245</v>
      </c>
      <c r="CG25" s="61">
        <f> CG$11</f>
        <v>145.69334999990582</v>
      </c>
      <c r="CH25" s="61">
        <f> CH$11</f>
        <v>138.40868249991053</v>
      </c>
      <c r="CI25" s="61">
        <f> CI$11</f>
        <v>131.488248374915</v>
      </c>
      <c r="CJ25" s="61">
        <f> CJ$11</f>
        <v>124.91383595616924</v>
      </c>
      <c r="CK25" s="61">
        <f> CK$11</f>
        <v>118.66814415836078</v>
      </c>
      <c r="CL25" s="61">
        <f> CL$11</f>
        <v>112.73473695044272</v>
      </c>
      <c r="CM25" s="61">
        <f> CM$11</f>
        <v>2141.9600020584116</v>
      </c>
      <c r="CN25" s="61">
        <f> CN$11</f>
        <v>0.0</v>
      </c>
      <c r="CO25" s="61">
        <f> CO$11</f>
        <v>0.0</v>
      </c>
    </row>
    <row r="26" customFormat="1" s="351">
      <c r="A26" s="294" t="n"/>
      <c r="B26" s="294" t="n"/>
      <c r="C26" s="212" t="n"/>
      <c r="D26" s="244" t="inlineStr">
        <is>
          <t>less</t>
        </is>
      </c>
      <c r="E26" s="61" t="inlineStr">
        <is>
          <t>Interest due (senior debt and shareholder loan)</t>
        </is>
      </c>
      <c r="F26" s="61" t="n"/>
      <c r="G26" s="61" t="str">
        <f>SMU</f>
        <v>$ 000s</v>
      </c>
      <c r="H26" s="61">
        <f> SUM(J26:CO26)</f>
        <v>47907.65462982845</v>
      </c>
      <c r="I26" s="61" t="n"/>
      <c r="J26" s="61">
        <f>Debt!J$33+SHL!J$20</f>
        <v>0.0</v>
      </c>
      <c r="K26" s="61">
        <f>Debt!K$33+SHL!K$20</f>
        <v>0.0</v>
      </c>
      <c r="L26" s="61">
        <f>Debt!L$33+SHL!L$20</f>
        <v>1606.2097696300416</v>
      </c>
      <c r="M26" s="61">
        <f>Debt!M$33+SHL!M$20</f>
        <v>1617.6543368363039</v>
      </c>
      <c r="N26" s="61">
        <f>Debt!N$33+SHL!N$20</f>
        <v>1616.3463682927677</v>
      </c>
      <c r="O26" s="61">
        <f>Debt!O$33+SHL!O$20</f>
        <v>1596.2980070330118</v>
      </c>
      <c r="P26" s="61">
        <f>Debt!P$33+SHL!P$20</f>
        <v>1542.9468560306557</v>
      </c>
      <c r="Q26" s="61">
        <f>Debt!Q$33+SHL!Q$20</f>
        <v>1539.584331789268</v>
      </c>
      <c r="R26" s="61">
        <f>Debt!R$33+SHL!R$20</f>
        <v>1536.8485832980277</v>
      </c>
      <c r="S26" s="61">
        <f>Debt!S$33+SHL!S$20</f>
        <v>1515.9025312175959</v>
      </c>
      <c r="T26" s="61">
        <f>Debt!T$33+SHL!T$20</f>
        <v>1494.2856587266876</v>
      </c>
      <c r="U26" s="61">
        <f>Debt!U$33+SHL!U$20</f>
        <v>1471.936859736104</v>
      </c>
      <c r="V26" s="61">
        <f>Debt!V$33+SHL!V$20</f>
        <v>1465.8802173677877</v>
      </c>
      <c r="W26" s="61">
        <f>Debt!W$33+SHL!W$20</f>
        <v>1442.1589486225957</v>
      </c>
      <c r="X26" s="61">
        <f>Debt!X$33+SHL!X$20</f>
        <v>1395.7977603443703</v>
      </c>
      <c r="Y26" s="61">
        <f>Debt!Y$33+SHL!Y$20</f>
        <v>1386.9514002309206</v>
      </c>
      <c r="Z26" s="61">
        <f>Debt!Z$33+SHL!Z$20</f>
        <v>1378.6178442068963</v>
      </c>
      <c r="AA26" s="61">
        <f>Debt!AA$33+SHL!AA$20</f>
        <v>1353.5264487909944</v>
      </c>
      <c r="AB26" s="61">
        <f>Debt!AB$33+SHL!AB$20</f>
        <v>1311.393848830845</v>
      </c>
      <c r="AC26" s="61">
        <f>Debt!AC$33+SHL!AC$20</f>
        <v>1300.2101861795459</v>
      </c>
      <c r="AD26" s="61">
        <f>Debt!AD$33+SHL!AD$20</f>
        <v>1289.4480615712462</v>
      </c>
      <c r="AE26" s="61">
        <f>Debt!AE$33+SHL!AE$20</f>
        <v>1260.6039357386494</v>
      </c>
      <c r="AF26" s="61">
        <f>Debt!AF$33+SHL!AF$20</f>
        <v>1211.9070138549937</v>
      </c>
      <c r="AG26" s="61">
        <f>Debt!AG$33+SHL!AG$20</f>
        <v>1194.4100932842382</v>
      </c>
      <c r="AH26" s="61">
        <f>Debt!AH$33+SHL!AH$20</f>
        <v>1177.0723988873879</v>
      </c>
      <c r="AI26" s="61">
        <f>Debt!AI$33+SHL!AI$20</f>
        <v>1144.6882546641202</v>
      </c>
      <c r="AJ26" s="61">
        <f>Debt!AJ$33+SHL!AJ$20</f>
        <v>1104.7788167885471</v>
      </c>
      <c r="AK26" s="61">
        <f>Debt!AK$33+SHL!AK$20</f>
        <v>1071.4966535103686</v>
      </c>
      <c r="AL26" s="61">
        <f>Debt!AL$33+SHL!AL$20</f>
        <v>1050.4060620406058</v>
      </c>
      <c r="AM26" s="61">
        <f>Debt!AM$33+SHL!AM$20</f>
        <v>1015.4019709276176</v>
      </c>
      <c r="AN26" s="61">
        <f>Debt!AN$33+SHL!AN$20</f>
        <v>965.0535900941447</v>
      </c>
      <c r="AO26" s="61">
        <f>Debt!AO$33+SHL!AO$20</f>
        <v>936.093700774177</v>
      </c>
      <c r="AP26" s="61">
        <f>Debt!AP$33+SHL!AP$20</f>
        <v>906.8736201904096</v>
      </c>
      <c r="AQ26" s="61">
        <f>Debt!AQ$33+SHL!AQ$20</f>
        <v>865.0051641897307</v>
      </c>
      <c r="AR26" s="61">
        <f>Debt!AR$33+SHL!AR$20</f>
        <v>813.264111948108</v>
      </c>
      <c r="AS26" s="61">
        <f>Debt!AS$33+SHL!AS$20</f>
        <v>779.2297989297003</v>
      </c>
      <c r="AT26" s="61">
        <f>Debt!AT$33+SHL!AT$20</f>
        <v>744.7838339868749</v>
      </c>
      <c r="AU26" s="61">
        <f>Debt!AU$33+SHL!AU$20</f>
        <v>699.246075075282</v>
      </c>
      <c r="AV26" s="61">
        <f>Debt!AV$33+SHL!AV$20</f>
        <v>640.2568050266168</v>
      </c>
      <c r="AW26" s="61">
        <f>Debt!AW$33+SHL!AW$20</f>
        <v>600.5470928084059</v>
      </c>
      <c r="AX26" s="61">
        <f>Debt!AX$33+SHL!AX$20</f>
        <v>560.2559605892546</v>
      </c>
      <c r="AY26" s="61">
        <f>Debt!AY$33+SHL!AY$20</f>
        <v>507.83667942757904</v>
      </c>
      <c r="AZ26" s="61">
        <f>Debt!AZ$33+SHL!AZ$20</f>
        <v>449.48560998775304</v>
      </c>
      <c r="BA26" s="61">
        <f>Debt!BA$33+SHL!BA$20</f>
        <v>264.6959690819221</v>
      </c>
      <c r="BB26" s="61">
        <f>Debt!BB$33+SHL!BB$20</f>
        <v>82.26339928633956</v>
      </c>
      <c r="BC26" s="61">
        <f>Debt!BC$33+SHL!BC$20</f>
        <v>-8.882455727841483e-13</v>
      </c>
      <c r="BD26" s="61">
        <f>Debt!BD$33+SHL!BD$20</f>
        <v>-8.858248810782617e-13</v>
      </c>
      <c r="BE26" s="61">
        <f>Debt!BE$33+SHL!BE$20</f>
        <v>-9.126502939520154e-13</v>
      </c>
      <c r="BF26" s="61">
        <f>Debt!BF$33+SHL!BF$20</f>
        <v>-9.403218354243942e-13</v>
      </c>
      <c r="BG26" s="61">
        <f>Debt!BG$33+SHL!BG$20</f>
        <v>-9.584511856607709e-13</v>
      </c>
      <c r="BH26" s="61">
        <f>Debt!BH$33+SHL!BH$20</f>
        <v>-9.556451261885508e-13</v>
      </c>
      <c r="BI26" s="61">
        <f>Debt!BI$33+SHL!BI$20</f>
        <v>-9.84393504979717e-13</v>
      </c>
      <c r="BJ26" s="61">
        <f>Debt!BJ$33+SHL!BJ$20</f>
        <v>-1.0140451678363153e-12</v>
      </c>
      <c r="BK26" s="61">
        <f>Debt!BK$33+SHL!BK$20</f>
        <v>-1.033399144538868e-12</v>
      </c>
      <c r="BL26" s="61">
        <f>Debt!BL$33+SHL!BL$20</f>
        <v>-1.0301816859445451e-12</v>
      </c>
      <c r="BM26" s="61">
        <f>Debt!BM$33+SHL!BM$20</f>
        <v>-1.0609829258189909e-12</v>
      </c>
      <c r="BN26" s="61">
        <f>Debt!BN$33+SHL!BN$20</f>
        <v>-1.092748466042331e-12</v>
      </c>
      <c r="BO26" s="61">
        <f>Debt!BO$33+SHL!BO$20</f>
        <v>-1.1134097919761945e-12</v>
      </c>
      <c r="BP26" s="61">
        <f>Debt!BP$33+SHL!BP$20</f>
        <v>-1.1220837349963825e-12</v>
      </c>
      <c r="BQ26" s="61">
        <f>Debt!BQ$33+SHL!BQ$20</f>
        <v>-1.1429754947415495e-12</v>
      </c>
      <c r="BR26" s="61">
        <f>Debt!BR$33+SHL!BR$20</f>
        <v>-1.1770040398784547e-12</v>
      </c>
      <c r="BS26" s="61">
        <f>Debt!BS$33+SHL!BS$20</f>
        <v>-1.1990649445110405e-12</v>
      </c>
      <c r="BT26" s="61">
        <f>Debt!BT$33+SHL!BT$20</f>
        <v>-1.1949381247320879e-12</v>
      </c>
      <c r="BU26" s="61">
        <f>Debt!BU$33+SHL!BU$20</f>
        <v>-1.2302770315248071e-12</v>
      </c>
      <c r="BV26" s="61">
        <f>Debt!BV$33+SHL!BV$20</f>
        <v>-1.2667151097364587e-12</v>
      </c>
      <c r="BW26" s="61">
        <f>Debt!BW$33+SHL!BW$20</f>
        <v>-1.2902662149183525e-12</v>
      </c>
      <c r="BX26" s="61">
        <f>Debt!BX$33+SHL!BX$20</f>
        <v>-1.2856387794703161e-12</v>
      </c>
      <c r="BY26" s="61">
        <f>Debt!BY$33+SHL!BY$20</f>
        <v>-1.3234757334622841e-12</v>
      </c>
      <c r="BZ26" s="61">
        <f>Debt!BZ$33+SHL!BZ$20</f>
        <v>-1.3624861072269829e-12</v>
      </c>
      <c r="CA26" s="61">
        <f>Debt!CA$33+SHL!CA$20</f>
        <v>-1.3876280750894138e-12</v>
      </c>
      <c r="CB26" s="61">
        <f>Debt!CB$33+SHL!CB$20</f>
        <v>-1.3824662076915255e-12</v>
      </c>
      <c r="CC26" s="61">
        <f>Debt!CC$33+SHL!CC$20</f>
        <v>-1.4229699504357526e-12</v>
      </c>
      <c r="CD26" s="61">
        <f>Debt!CD$33+SHL!CD$20</f>
        <v>-1.464726376737175e-12</v>
      </c>
      <c r="CE26" s="61">
        <f>Debt!CE$33+SHL!CE$20</f>
        <v>-1.4915666690764695e-12</v>
      </c>
      <c r="CF26" s="61">
        <f>Debt!CF$33+SHL!CF$20</f>
        <v>-1.5023435388365228e-12</v>
      </c>
      <c r="CG26" s="61">
        <f>Debt!CG$33+SHL!CG$20</f>
        <v>-1.5294831784142299e-12</v>
      </c>
      <c r="CH26" s="61">
        <f>Debt!CH$33+SHL!CH$20</f>
        <v>-1.5741793828131364e-12</v>
      </c>
      <c r="CI26" s="61">
        <f>Debt!CI$33+SHL!CI$20</f>
        <v>-1.6028378111978039e-12</v>
      </c>
      <c r="CJ26" s="61">
        <f>Debt!CJ$33+SHL!CJ$20</f>
        <v>-1.5964946294875815e-12</v>
      </c>
      <c r="CK26" s="61">
        <f>Debt!CK$33+SHL!CK$20</f>
        <v>-1.6428930716821085e-12</v>
      </c>
      <c r="CL26" s="61">
        <f>Debt!CL$33+SHL!CL$20</f>
        <v>-1.69071940298257e-12</v>
      </c>
      <c r="CM26" s="61">
        <f>Debt!CM$33+SHL!CM$20</f>
        <v>-1.7213136905911632e-12</v>
      </c>
      <c r="CN26" s="61">
        <f>Debt!CN$33+SHL!CN$20</f>
        <v>-1.7143201793255752e-12</v>
      </c>
      <c r="CO26" s="61">
        <f>Debt!CO$33+SHL!CO$20</f>
        <v>-1.7639637335385567e-12</v>
      </c>
    </row>
    <row r="27" customFormat="1" s="260">
      <c r="A27" s="263" t="n"/>
      <c r="B27" s="263" t="n"/>
      <c r="C27" s="264" t="n"/>
      <c r="D27" s="335" t="n"/>
      <c r="E27" s="260" t="inlineStr">
        <is>
          <t xml:space="preserve">Taxable income </t>
        </is>
      </c>
      <c r="G27" s="260" t="str">
        <f>SMU</f>
        <v>$ 000s</v>
      </c>
      <c r="H27" s="260">
        <f> SUM(J27:CO27)</f>
        <v>632219.7469508391</v>
      </c>
      <c r="J27" s="260">
        <f> J24 - J25 - J26</f>
        <v>0.0</v>
      </c>
      <c r="K27" s="260">
        <f> K24 - K25 - K26</f>
        <v>0.0</v>
      </c>
      <c r="L27" s="260">
        <f> L24 - L25 - L26</f>
        <v>-1016.9746285095762</v>
      </c>
      <c r="M27" s="260">
        <f> M24 - M25 - M26</f>
        <v>-1171.6175236769652</v>
      </c>
      <c r="N27" s="260">
        <f> N24 - N25 - N26</f>
        <v>-407.13069918800466</v>
      </c>
      <c r="O27" s="260">
        <f> O24 - O25 - O26</f>
        <v>-544.0540625913504</v>
      </c>
      <c r="P27" s="260">
        <f> P24 - P25 - P26</f>
        <v>250.26941729349187</v>
      </c>
      <c r="Q27" s="260">
        <f> Q24 - Q25 - Q26</f>
        <v>68.07338281898569</v>
      </c>
      <c r="R27" s="260">
        <f> R24 - R25 - R26</f>
        <v>803.6084023419048</v>
      </c>
      <c r="S27" s="260">
        <f> S24 - S25 - S26</f>
        <v>609.2656579312716</v>
      </c>
      <c r="T27" s="260">
        <f> T24 - T25 - T26</f>
        <v>1555.2744316655796</v>
      </c>
      <c r="U27" s="260">
        <f> U24 - U25 - U26</f>
        <v>1312.5263932961348</v>
      </c>
      <c r="V27" s="260">
        <f> V24 - V25 - V26</f>
        <v>2049.0673865990584</v>
      </c>
      <c r="W27" s="260">
        <f> W24 - W25 - W26</f>
        <v>1782.192149895638</v>
      </c>
      <c r="X27" s="260">
        <f> X24 - X25 - X26</f>
        <v>2487.9527507649045</v>
      </c>
      <c r="Y27" s="260">
        <f> Y24 - Y25 - Y26</f>
        <v>2170.591402826818</v>
      </c>
      <c r="Z27" s="260">
        <f> Z24 - Z25 - Z26</f>
        <v>2884.627538503851</v>
      </c>
      <c r="AA27" s="260">
        <f> AA24 - AA25 - AA26</f>
        <v>2562.5708131285796</v>
      </c>
      <c r="AB27" s="260">
        <f> AB24 - AB25 - AB26</f>
        <v>3230.634026535212</v>
      </c>
      <c r="AC27" s="260">
        <f> AC24 - AC25 - AC26</f>
        <v>2878.735507447254</v>
      </c>
      <c r="AD27" s="260">
        <f> AD24 - AD25 - AD26</f>
        <v>4267.843318739855</v>
      </c>
      <c r="AE27" s="260">
        <f> AE24 - AE25 - AE26</f>
        <v>3882.8233963925045</v>
      </c>
      <c r="AF27" s="260">
        <f> AF24 - AF25 - AF26</f>
        <v>4622.191437254107</v>
      </c>
      <c r="AG27" s="260">
        <f> AG24 - AG25 - AG26</f>
        <v>4209.959038574559</v>
      </c>
      <c r="AH27" s="260">
        <f> AH24 - AH25 - AH26</f>
        <v>4969.777794902394</v>
      </c>
      <c r="AI27" s="260">
        <f> AI24 - AI25 - AI26</f>
        <v>4554.739965896844</v>
      </c>
      <c r="AJ27" s="260">
        <f> AJ24 - AJ25 - AJ26</f>
        <v>5312.455752896409</v>
      </c>
      <c r="AK27" s="260">
        <f> AK24 - AK25 - AK26</f>
        <v>4882.711059094641</v>
      </c>
      <c r="AL27" s="260">
        <f> AL24 - AL25 - AL26</f>
        <v>5649.171769013799</v>
      </c>
      <c r="AM27" s="260">
        <f> AM24 - AM25 - AM26</f>
        <v>5889.568543400757</v>
      </c>
      <c r="AN27" s="260">
        <f> AN24 - AN25 - AN26</f>
        <v>6682.003517355202</v>
      </c>
      <c r="AO27" s="260">
        <f> AO24 - AO25 - AO26</f>
        <v>6184.34026489271</v>
      </c>
      <c r="AP27" s="260">
        <f> AP24 - AP25 - AP26</f>
        <v>7011.807726618334</v>
      </c>
      <c r="AQ27" s="260">
        <f> AQ24 - AQ25 - AQ26</f>
        <v>6511.323765994592</v>
      </c>
      <c r="AR27" s="260">
        <f> AR24 - AR25 - AR26</f>
        <v>7315.703544129514</v>
      </c>
      <c r="AS27" s="260">
        <f> AS24 - AS25 - AS26</f>
        <v>6794.691079341747</v>
      </c>
      <c r="AT27" s="260">
        <f> AT24 - AT25 - AT26</f>
        <v>7639.338152178957</v>
      </c>
      <c r="AU27" s="260">
        <f> AU24 - AU25 - AU26</f>
        <v>7114.858912019755</v>
      </c>
      <c r="AV27" s="260">
        <f> AV24 - AV25 - AV26</f>
        <v>7989.74176028826</v>
      </c>
      <c r="AW27" s="260">
        <f> AW24 - AW25 - AW26</f>
        <v>7444.895197388362</v>
      </c>
      <c r="AX27" s="260">
        <f> AX24 - AX25 - AX26</f>
        <v>9199.241869055963</v>
      </c>
      <c r="AY27" s="260">
        <f> AY24 - AY25 - AY26</f>
        <v>8616.802669888679</v>
      </c>
      <c r="AZ27" s="260">
        <f> AZ24 - AZ25 - AZ26</f>
        <v>9553.914065666837</v>
      </c>
      <c r="BA27" s="260">
        <f> BA24 - BA25 - BA26</f>
        <v>9089.463161200261</v>
      </c>
      <c r="BB27" s="260">
        <f> BB24 - BB25 - BB26</f>
        <v>10159.05697748694</v>
      </c>
      <c r="BC27" s="260">
        <f> BC24 - BC25 - BC26</f>
        <v>9577.964261422516</v>
      </c>
      <c r="BD27" s="260">
        <f> BD24 - BD25 - BD26</f>
        <v>10474.10811096966</v>
      </c>
      <c r="BE27" s="260">
        <f> BE24 - BE25 - BE26</f>
        <v>9796.860026983815</v>
      </c>
      <c r="BF27" s="260">
        <f> BF24 - BF25 - BF26</f>
        <v>10702.532304729983</v>
      </c>
      <c r="BG27" s="260">
        <f> BG24 - BG25 - BG26</f>
        <v>10011.576890086022</v>
      </c>
      <c r="BH27" s="260">
        <f> BH24 - BH25 - BH26</f>
        <v>10117.577867838585</v>
      </c>
      <c r="BI27" s="260">
        <f> BI24 - BI25 - BI26</f>
        <v>11038.497048189593</v>
      </c>
      <c r="BJ27" s="260">
        <f> BJ24 - BJ25 - BJ26</f>
        <v>10327.250234810703</v>
      </c>
      <c r="BK27" s="260">
        <f> BK24 - BK25 - BK26</f>
        <v>11258.929616640118</v>
      </c>
      <c r="BL27" s="260">
        <f> BL24 - BL25 - BL26</f>
        <v>10534.289005226477</v>
      </c>
      <c r="BM27" s="260">
        <f> BM24 - BM25 - BM26</f>
        <v>11477.176570920374</v>
      </c>
      <c r="BN27" s="260">
        <f> BN24 - BN25 - BN26</f>
        <v>10739.216122575866</v>
      </c>
      <c r="BO27" s="260">
        <f> BO24 - BO25 - BO26</f>
        <v>11693.738466824123</v>
      </c>
      <c r="BP27" s="260">
        <f> BP24 - BP25 - BP26</f>
        <v>10942.506588983832</v>
      </c>
      <c r="BQ27" s="260">
        <f> BQ24 - BQ25 - BQ26</f>
        <v>11043.674830953858</v>
      </c>
      <c r="BR27" s="260">
        <f> BR24 - BR25 - BR26</f>
        <v>12016.408313786202</v>
      </c>
      <c r="BS27" s="260">
        <f> BS24 - BS25 - BS26</f>
        <v>11245.309561606768</v>
      </c>
      <c r="BT27" s="260">
        <f> BT24 - BT25 - BT26</f>
        <v>12230.666039123867</v>
      </c>
      <c r="BU27" s="260">
        <f> BU24 - BU25 - BU26</f>
        <v>11446.319099875422</v>
      </c>
      <c r="BV27" s="260">
        <f> BV24 - BV25 - BV26</f>
        <v>12444.667885993083</v>
      </c>
      <c r="BW27" s="260">
        <f> BW24 - BW25 - BW26</f>
        <v>12551.67777999957</v>
      </c>
      <c r="BX27" s="260">
        <f> BX24 - BX25 - BX26</f>
        <v>12658.746029118533</v>
      </c>
      <c r="BY27" s="260">
        <f> BY24 - BY25 - BY26</f>
        <v>12765.90983342164</v>
      </c>
      <c r="BZ27" s="260">
        <f> BZ24 - BZ25 - BZ26</f>
        <v>12873.204830533783</v>
      </c>
      <c r="CA27" s="260">
        <f> CA24 - CA25 - CA26</f>
        <v>12980.665175962426</v>
      </c>
      <c r="CB27" s="260">
        <f> CB24 - CB25 - CB26</f>
        <v>13088.32361942681</v>
      </c>
      <c r="CC27" s="260">
        <f> CC24 - CC25 - CC26</f>
        <v>13196.21157738727</v>
      </c>
      <c r="CD27" s="260">
        <f> CD24 - CD25 - CD26</f>
        <v>13304.359201964633</v>
      </c>
      <c r="CE27" s="260">
        <f> CE24 - CE25 - CE26</f>
        <v>13412.795446430384</v>
      </c>
      <c r="CF27" s="260">
        <f> CF24 - CF25 - CF26</f>
        <v>13521.548127439251</v>
      </c>
      <c r="CG27" s="260">
        <f> CG24 - CG25 - CG26</f>
        <v>13630.643984167047</v>
      </c>
      <c r="CH27" s="260">
        <f> CH24 - CH25 - CH26</f>
        <v>13740.108734508818</v>
      </c>
      <c r="CI27" s="260">
        <f> CI24 - CI25 - CI26</f>
        <v>13849.96712848428</v>
      </c>
      <c r="CJ27" s="260">
        <f> CJ24 - CJ25 - CJ26</f>
        <v>13960.242998990363</v>
      </c>
      <c r="CK27" s="260">
        <f> CK24 - CK25 - CK26</f>
        <v>14070.959310033597</v>
      </c>
      <c r="CL27" s="260">
        <f> CL24 - CL25 - CL26</f>
        <v>14182.138202568547</v>
      </c>
      <c r="CM27" s="260">
        <f> CM24 - CM25 - CM26</f>
        <v>12258.939036106558</v>
      </c>
      <c r="CN27" s="260">
        <f> CN24 - CN25 - CN26</f>
        <v>1.7143201793255752e-12</v>
      </c>
      <c r="CO27" s="260">
        <f> CO24 - CO25 - CO26</f>
        <v>1.7639637335385567e-12</v>
      </c>
    </row>
    <row r="28">
      <c r="C28" s="212" t="n"/>
    </row>
    <row r="29">
      <c r="E29" s="336" t="str">
        <f> InpC!E$86</f>
        <v>Corporation tax rate</v>
      </c>
      <c r="F29" s="336">
        <f> InpC!F$86</f>
        <v>0.3</v>
      </c>
      <c r="G29" s="336" t="str">
        <f> InpC!G$86</f>
        <v>%</v>
      </c>
    </row>
    <row r="30">
      <c r="E30" s="61" t="str">
        <f> E$27</f>
        <v>Taxable income </v>
      </c>
      <c r="F30" s="61">
        <f> F$27</f>
        <v>0.0</v>
      </c>
      <c r="G30" s="61" t="str">
        <f> G$27</f>
        <v>$ 000s</v>
      </c>
      <c r="H30" s="61">
        <f> H$27</f>
        <v>632219.7469508391</v>
      </c>
      <c r="I30" s="61">
        <f> I$27</f>
        <v>0.0</v>
      </c>
      <c r="J30" s="61">
        <f> J$27</f>
        <v>0.0</v>
      </c>
      <c r="K30" s="61">
        <f> K$27</f>
        <v>0.0</v>
      </c>
      <c r="L30" s="61">
        <f> L$27</f>
        <v>-1016.9746285095762</v>
      </c>
      <c r="M30" s="61">
        <f> M$27</f>
        <v>-1171.6175236769652</v>
      </c>
      <c r="N30" s="61">
        <f> N$27</f>
        <v>-407.13069918800466</v>
      </c>
      <c r="O30" s="61">
        <f> O$27</f>
        <v>-544.0540625913504</v>
      </c>
      <c r="P30" s="61">
        <f> P$27</f>
        <v>250.26941729349187</v>
      </c>
      <c r="Q30" s="61">
        <f> Q$27</f>
        <v>68.07338281898569</v>
      </c>
      <c r="R30" s="61">
        <f> R$27</f>
        <v>803.6084023419048</v>
      </c>
      <c r="S30" s="61">
        <f> S$27</f>
        <v>609.2656579312716</v>
      </c>
      <c r="T30" s="61">
        <f> T$27</f>
        <v>1555.2744316655796</v>
      </c>
      <c r="U30" s="61">
        <f> U$27</f>
        <v>1312.5263932961348</v>
      </c>
      <c r="V30" s="61">
        <f> V$27</f>
        <v>2049.0673865990584</v>
      </c>
      <c r="W30" s="61">
        <f> W$27</f>
        <v>1782.192149895638</v>
      </c>
      <c r="X30" s="61">
        <f> X$27</f>
        <v>2487.9527507649045</v>
      </c>
      <c r="Y30" s="61">
        <f> Y$27</f>
        <v>2170.591402826818</v>
      </c>
      <c r="Z30" s="61">
        <f> Z$27</f>
        <v>2884.627538503851</v>
      </c>
      <c r="AA30" s="61">
        <f> AA$27</f>
        <v>2562.5708131285796</v>
      </c>
      <c r="AB30" s="61">
        <f> AB$27</f>
        <v>3230.634026535212</v>
      </c>
      <c r="AC30" s="61">
        <f> AC$27</f>
        <v>2878.735507447254</v>
      </c>
      <c r="AD30" s="61">
        <f> AD$27</f>
        <v>4267.843318739855</v>
      </c>
      <c r="AE30" s="61">
        <f> AE$27</f>
        <v>3882.8233963925045</v>
      </c>
      <c r="AF30" s="61">
        <f> AF$27</f>
        <v>4622.191437254107</v>
      </c>
      <c r="AG30" s="61">
        <f> AG$27</f>
        <v>4209.959038574559</v>
      </c>
      <c r="AH30" s="61">
        <f> AH$27</f>
        <v>4969.777794902394</v>
      </c>
      <c r="AI30" s="61">
        <f> AI$27</f>
        <v>4554.739965896844</v>
      </c>
      <c r="AJ30" s="61">
        <f> AJ$27</f>
        <v>5312.455752896409</v>
      </c>
      <c r="AK30" s="61">
        <f> AK$27</f>
        <v>4882.711059094641</v>
      </c>
      <c r="AL30" s="61">
        <f> AL$27</f>
        <v>5649.171769013799</v>
      </c>
      <c r="AM30" s="61">
        <f> AM$27</f>
        <v>5889.568543400757</v>
      </c>
      <c r="AN30" s="61">
        <f> AN$27</f>
        <v>6682.003517355202</v>
      </c>
      <c r="AO30" s="61">
        <f> AO$27</f>
        <v>6184.34026489271</v>
      </c>
      <c r="AP30" s="61">
        <f> AP$27</f>
        <v>7011.807726618334</v>
      </c>
      <c r="AQ30" s="61">
        <f> AQ$27</f>
        <v>6511.323765994592</v>
      </c>
      <c r="AR30" s="61">
        <f> AR$27</f>
        <v>7315.703544129514</v>
      </c>
      <c r="AS30" s="61">
        <f> AS$27</f>
        <v>6794.691079341747</v>
      </c>
      <c r="AT30" s="61">
        <f> AT$27</f>
        <v>7639.338152178957</v>
      </c>
      <c r="AU30" s="61">
        <f> AU$27</f>
        <v>7114.858912019755</v>
      </c>
      <c r="AV30" s="61">
        <f> AV$27</f>
        <v>7989.74176028826</v>
      </c>
      <c r="AW30" s="61">
        <f> AW$27</f>
        <v>7444.895197388362</v>
      </c>
      <c r="AX30" s="61">
        <f> AX$27</f>
        <v>9199.241869055963</v>
      </c>
      <c r="AY30" s="61">
        <f> AY$27</f>
        <v>8616.802669888679</v>
      </c>
      <c r="AZ30" s="61">
        <f> AZ$27</f>
        <v>9553.914065666837</v>
      </c>
      <c r="BA30" s="61">
        <f> BA$27</f>
        <v>9089.463161200261</v>
      </c>
      <c r="BB30" s="61">
        <f> BB$27</f>
        <v>10159.05697748694</v>
      </c>
      <c r="BC30" s="61">
        <f> BC$27</f>
        <v>9577.964261422516</v>
      </c>
      <c r="BD30" s="61">
        <f> BD$27</f>
        <v>10474.10811096966</v>
      </c>
      <c r="BE30" s="61">
        <f> BE$27</f>
        <v>9796.860026983815</v>
      </c>
      <c r="BF30" s="61">
        <f> BF$27</f>
        <v>10702.532304729983</v>
      </c>
      <c r="BG30" s="61">
        <f> BG$27</f>
        <v>10011.576890086022</v>
      </c>
      <c r="BH30" s="61">
        <f> BH$27</f>
        <v>10117.577867838585</v>
      </c>
      <c r="BI30" s="61">
        <f> BI$27</f>
        <v>11038.497048189593</v>
      </c>
      <c r="BJ30" s="61">
        <f> BJ$27</f>
        <v>10327.250234810703</v>
      </c>
      <c r="BK30" s="61">
        <f> BK$27</f>
        <v>11258.929616640118</v>
      </c>
      <c r="BL30" s="61">
        <f> BL$27</f>
        <v>10534.289005226477</v>
      </c>
      <c r="BM30" s="61">
        <f> BM$27</f>
        <v>11477.176570920374</v>
      </c>
      <c r="BN30" s="61">
        <f> BN$27</f>
        <v>10739.216122575866</v>
      </c>
      <c r="BO30" s="61">
        <f> BO$27</f>
        <v>11693.738466824123</v>
      </c>
      <c r="BP30" s="61">
        <f> BP$27</f>
        <v>10942.506588983832</v>
      </c>
      <c r="BQ30" s="61">
        <f> BQ$27</f>
        <v>11043.674830953858</v>
      </c>
      <c r="BR30" s="61">
        <f> BR$27</f>
        <v>12016.408313786202</v>
      </c>
      <c r="BS30" s="61">
        <f> BS$27</f>
        <v>11245.309561606768</v>
      </c>
      <c r="BT30" s="61">
        <f> BT$27</f>
        <v>12230.666039123867</v>
      </c>
      <c r="BU30" s="61">
        <f> BU$27</f>
        <v>11446.319099875422</v>
      </c>
      <c r="BV30" s="61">
        <f> BV$27</f>
        <v>12444.667885993083</v>
      </c>
      <c r="BW30" s="61">
        <f> BW$27</f>
        <v>12551.67777999957</v>
      </c>
      <c r="BX30" s="61">
        <f> BX$27</f>
        <v>12658.746029118533</v>
      </c>
      <c r="BY30" s="61">
        <f> BY$27</f>
        <v>12765.90983342164</v>
      </c>
      <c r="BZ30" s="61">
        <f> BZ$27</f>
        <v>12873.204830533783</v>
      </c>
      <c r="CA30" s="61">
        <f> CA$27</f>
        <v>12980.665175962426</v>
      </c>
      <c r="CB30" s="61">
        <f> CB$27</f>
        <v>13088.32361942681</v>
      </c>
      <c r="CC30" s="61">
        <f> CC$27</f>
        <v>13196.21157738727</v>
      </c>
      <c r="CD30" s="61">
        <f> CD$27</f>
        <v>13304.359201964633</v>
      </c>
      <c r="CE30" s="61">
        <f> CE$27</f>
        <v>13412.795446430384</v>
      </c>
      <c r="CF30" s="61">
        <f> CF$27</f>
        <v>13521.548127439251</v>
      </c>
      <c r="CG30" s="61">
        <f> CG$27</f>
        <v>13630.643984167047</v>
      </c>
      <c r="CH30" s="61">
        <f> CH$27</f>
        <v>13740.108734508818</v>
      </c>
      <c r="CI30" s="61">
        <f> CI$27</f>
        <v>13849.96712848428</v>
      </c>
      <c r="CJ30" s="61">
        <f> CJ$27</f>
        <v>13960.242998990363</v>
      </c>
      <c r="CK30" s="61">
        <f> CK$27</f>
        <v>14070.959310033597</v>
      </c>
      <c r="CL30" s="61">
        <f> CL$27</f>
        <v>14182.138202568547</v>
      </c>
      <c r="CM30" s="61">
        <f> CM$27</f>
        <v>12258.939036106558</v>
      </c>
      <c r="CN30" s="61">
        <f> CN$27</f>
        <v>1.7143201793255752e-12</v>
      </c>
      <c r="CO30" s="61">
        <f> CO$27</f>
        <v>1.7639637335385567e-12</v>
      </c>
    </row>
    <row r="31" customFormat="1" s="260">
      <c r="A31" s="263" t="n"/>
      <c r="B31" s="263" t="n"/>
      <c r="C31" s="264" t="n"/>
      <c r="D31" s="335" t="n"/>
      <c r="E31" s="260" t="inlineStr">
        <is>
          <t>Tax paid POS</t>
        </is>
      </c>
      <c r="G31" s="260" t="str">
        <f>SMU</f>
        <v>$ 000s</v>
      </c>
      <c r="H31" s="260">
        <f> SUM(J31:CO31)</f>
        <v>189665.92408525173</v>
      </c>
      <c r="J31" s="260">
        <f> $F29 * J30</f>
        <v>0.0</v>
      </c>
      <c r="K31" s="260">
        <f> $F29 * K30</f>
        <v>0.0</v>
      </c>
      <c r="L31" s="260">
        <f> $F29 * L30</f>
        <v>-305.0923885528728</v>
      </c>
      <c r="M31" s="260">
        <f> $F29 * M30</f>
        <v>-351.48525710308957</v>
      </c>
      <c r="N31" s="260">
        <f> $F29 * N30</f>
        <v>-122.13920975640139</v>
      </c>
      <c r="O31" s="260">
        <f> $F29 * O30</f>
        <v>-163.21621877740512</v>
      </c>
      <c r="P31" s="260">
        <f> $F29 * P30</f>
        <v>75.08082518804756</v>
      </c>
      <c r="Q31" s="260">
        <f> $F29 * Q30</f>
        <v>20.422014845695706</v>
      </c>
      <c r="R31" s="260">
        <f> $F29 * R30</f>
        <v>241.08252070257143</v>
      </c>
      <c r="S31" s="260">
        <f> $F29 * S30</f>
        <v>182.77969737938147</v>
      </c>
      <c r="T31" s="260">
        <f> $F29 * T30</f>
        <v>466.58232949967385</v>
      </c>
      <c r="U31" s="260">
        <f> $F29 * U30</f>
        <v>393.7579179888404</v>
      </c>
      <c r="V31" s="260">
        <f> $F29 * V30</f>
        <v>614.7202159797175</v>
      </c>
      <c r="W31" s="260">
        <f> $F29 * W30</f>
        <v>534.6576449686914</v>
      </c>
      <c r="X31" s="260">
        <f> $F29 * X30</f>
        <v>746.3858252294714</v>
      </c>
      <c r="Y31" s="260">
        <f> $F29 * Y30</f>
        <v>651.1774208480454</v>
      </c>
      <c r="Z31" s="260">
        <f> $F29 * Z30</f>
        <v>865.3882615511553</v>
      </c>
      <c r="AA31" s="260">
        <f> $F29 * AA30</f>
        <v>768.7712439385739</v>
      </c>
      <c r="AB31" s="260">
        <f> $F29 * AB30</f>
        <v>969.1902079605635</v>
      </c>
      <c r="AC31" s="260">
        <f> $F29 * AC30</f>
        <v>863.6206522341762</v>
      </c>
      <c r="AD31" s="260">
        <f> $F29 * AD30</f>
        <v>1280.3529956219566</v>
      </c>
      <c r="AE31" s="260">
        <f> $F29 * AE30</f>
        <v>1164.8470189177513</v>
      </c>
      <c r="AF31" s="260">
        <f> $F29 * AF30</f>
        <v>1386.657431176232</v>
      </c>
      <c r="AG31" s="260">
        <f> $F29 * AG30</f>
        <v>1262.9877115723675</v>
      </c>
      <c r="AH31" s="260">
        <f> $F29 * AH30</f>
        <v>1490.9333384707181</v>
      </c>
      <c r="AI31" s="260">
        <f> $F29 * AI30</f>
        <v>1366.4219897690532</v>
      </c>
      <c r="AJ31" s="260">
        <f> $F29 * AJ30</f>
        <v>1593.7367258689226</v>
      </c>
      <c r="AK31" s="260">
        <f> $F29 * AK30</f>
        <v>1464.8133177283923</v>
      </c>
      <c r="AL31" s="260">
        <f> $F29 * AL30</f>
        <v>1694.7515307041397</v>
      </c>
      <c r="AM31" s="260">
        <f> $F29 * AM30</f>
        <v>1766.870563020227</v>
      </c>
      <c r="AN31" s="260">
        <f> $F29 * AN30</f>
        <v>2004.6010552065607</v>
      </c>
      <c r="AO31" s="260">
        <f> $F29 * AO30</f>
        <v>1855.302079467813</v>
      </c>
      <c r="AP31" s="260">
        <f> $F29 * AP30</f>
        <v>2103.5423179855</v>
      </c>
      <c r="AQ31" s="260">
        <f> $F29 * AQ30</f>
        <v>1953.3971297983774</v>
      </c>
      <c r="AR31" s="260">
        <f> $F29 * AR30</f>
        <v>2194.711063238854</v>
      </c>
      <c r="AS31" s="260">
        <f> $F29 * AS30</f>
        <v>2038.4073238025242</v>
      </c>
      <c r="AT31" s="260">
        <f> $F29 * AT30</f>
        <v>2291.801445653687</v>
      </c>
      <c r="AU31" s="260">
        <f> $F29 * AU30</f>
        <v>2134.457673605926</v>
      </c>
      <c r="AV31" s="260">
        <f> $F29 * AV30</f>
        <v>2396.922528086478</v>
      </c>
      <c r="AW31" s="260">
        <f> $F29 * AW30</f>
        <v>2233.4685592165088</v>
      </c>
      <c r="AX31" s="260">
        <f> $F29 * AX30</f>
        <v>2759.7725607167886</v>
      </c>
      <c r="AY31" s="260">
        <f> $F29 * AY30</f>
        <v>2585.0408009666035</v>
      </c>
      <c r="AZ31" s="260">
        <f> $F29 * AZ30</f>
        <v>2866.174219700051</v>
      </c>
      <c r="BA31" s="260">
        <f> $F29 * BA30</f>
        <v>2726.838948360078</v>
      </c>
      <c r="BB31" s="260">
        <f> $F29 * BB30</f>
        <v>3047.7170932460817</v>
      </c>
      <c r="BC31" s="260">
        <f> $F29 * BC30</f>
        <v>2873.3892784267546</v>
      </c>
      <c r="BD31" s="260">
        <f> $F29 * BD30</f>
        <v>3142.232433290898</v>
      </c>
      <c r="BE31" s="260">
        <f> $F29 * BE30</f>
        <v>2939.0580080951445</v>
      </c>
      <c r="BF31" s="260">
        <f> $F29 * BF30</f>
        <v>3210.759691418995</v>
      </c>
      <c r="BG31" s="260">
        <f> $F29 * BG30</f>
        <v>3003.4730670258064</v>
      </c>
      <c r="BH31" s="260">
        <f> $F29 * BH30</f>
        <v>3035.2733603515753</v>
      </c>
      <c r="BI31" s="260">
        <f> $F29 * BI30</f>
        <v>3311.5491144568778</v>
      </c>
      <c r="BJ31" s="260">
        <f> $F29 * BJ30</f>
        <v>3098.1750704432106</v>
      </c>
      <c r="BK31" s="260">
        <f> $F29 * BK30</f>
        <v>3377.6788849920354</v>
      </c>
      <c r="BL31" s="260">
        <f> $F29 * BL30</f>
        <v>3160.286701567943</v>
      </c>
      <c r="BM31" s="260">
        <f> $F29 * BM30</f>
        <v>3443.152971276112</v>
      </c>
      <c r="BN31" s="260">
        <f> $F29 * BN30</f>
        <v>3221.7648367727597</v>
      </c>
      <c r="BO31" s="260">
        <f> $F29 * BO30</f>
        <v>3508.121540047237</v>
      </c>
      <c r="BP31" s="260">
        <f> $F29 * BP30</f>
        <v>3282.7519766951496</v>
      </c>
      <c r="BQ31" s="260">
        <f> $F29 * BQ30</f>
        <v>3313.1024492861575</v>
      </c>
      <c r="BR31" s="260">
        <f> $F29 * BR30</f>
        <v>3604.9224941358602</v>
      </c>
      <c r="BS31" s="260">
        <f> $F29 * BS30</f>
        <v>3373.59286848203</v>
      </c>
      <c r="BT31" s="260">
        <f> $F29 * BT30</f>
        <v>3669.19981173716</v>
      </c>
      <c r="BU31" s="260">
        <f> $F29 * BU30</f>
        <v>3433.8957299626263</v>
      </c>
      <c r="BV31" s="260">
        <f> $F29 * BV30</f>
        <v>3733.4003657979247</v>
      </c>
      <c r="BW31" s="260">
        <f> $F29 * BW30</f>
        <v>3765.503333999871</v>
      </c>
      <c r="BX31" s="260">
        <f> $F29 * BX30</f>
        <v>3797.6238087355596</v>
      </c>
      <c r="BY31" s="260">
        <f> $F29 * BY30</f>
        <v>3829.772950026492</v>
      </c>
      <c r="BZ31" s="260">
        <f> $F29 * BZ30</f>
        <v>3861.9614491601346</v>
      </c>
      <c r="CA31" s="260">
        <f> $F29 * CA30</f>
        <v>3894.1995527887275</v>
      </c>
      <c r="CB31" s="260">
        <f> $F29 * CB30</f>
        <v>3926.497085828043</v>
      </c>
      <c r="CC31" s="260">
        <f> $F29 * CC30</f>
        <v>3958.863473216181</v>
      </c>
      <c r="CD31" s="260">
        <f> $F29 * CD30</f>
        <v>3991.3077605893895</v>
      </c>
      <c r="CE31" s="260">
        <f> $F29 * CE30</f>
        <v>4023.838633929115</v>
      </c>
      <c r="CF31" s="260">
        <f> $F29 * CF30</f>
        <v>4056.464438231775</v>
      </c>
      <c r="CG31" s="260">
        <f> $F29 * CG30</f>
        <v>4089.193195250114</v>
      </c>
      <c r="CH31" s="260">
        <f> $F29 * CH30</f>
        <v>4122.032620352646</v>
      </c>
      <c r="CI31" s="260">
        <f> $F29 * CI30</f>
        <v>4154.990138545284</v>
      </c>
      <c r="CJ31" s="260">
        <f> $F29 * CJ30</f>
        <v>4188.072899697108</v>
      </c>
      <c r="CK31" s="260">
        <f> $F29 * CK30</f>
        <v>4221.2877930100785</v>
      </c>
      <c r="CL31" s="260">
        <f> $F29 * CL30</f>
        <v>4254.641460770564</v>
      </c>
      <c r="CM31" s="260">
        <f> $F29 * CM30</f>
        <v>3677.6817108319674</v>
      </c>
      <c r="CN31" s="260">
        <f> $F29 * CN30</f>
        <v>5.142960537976725e-13</v>
      </c>
      <c r="CO31" s="260">
        <f> $F29 * CO30</f>
        <v>5.29189120061567e-13</v>
      </c>
    </row>
    <row r="32" customFormat="1" s="150">
      <c r="A32" s="348" t="n"/>
      <c r="B32" s="348" t="n"/>
      <c r="C32" s="349" t="n"/>
      <c r="D32" s="193" t="n"/>
      <c r="E32" s="150" t="str">
        <f> LEFT(E31, LEN(E31) - 4)</f>
        <v>Tax paid</v>
      </c>
      <c r="F32" s="150" t="inlineStr">
        <is>
          <t>CF</t>
        </is>
      </c>
      <c r="G32" s="150" t="str">
        <f> G31</f>
        <v>$ 000s</v>
      </c>
      <c r="H32" s="150">
        <f> SUM(J32:CO32)</f>
        <v>-189665.92408525173</v>
      </c>
      <c r="I32" s="150" t="n"/>
      <c r="J32" s="150">
        <f> -1 * J31</f>
        <v>-0.0</v>
      </c>
      <c r="K32" s="150">
        <f> -1 * K31</f>
        <v>-0.0</v>
      </c>
      <c r="L32" s="150">
        <f> -1 * L31</f>
        <v>305.0923885528728</v>
      </c>
      <c r="M32" s="150">
        <f> -1 * M31</f>
        <v>351.48525710308957</v>
      </c>
      <c r="N32" s="150">
        <f> -1 * N31</f>
        <v>122.13920975640139</v>
      </c>
      <c r="O32" s="150">
        <f> -1 * O31</f>
        <v>163.21621877740512</v>
      </c>
      <c r="P32" s="150">
        <f> -1 * P31</f>
        <v>-75.08082518804756</v>
      </c>
      <c r="Q32" s="150">
        <f> -1 * Q31</f>
        <v>-20.422014845695706</v>
      </c>
      <c r="R32" s="150">
        <f> -1 * R31</f>
        <v>-241.08252070257143</v>
      </c>
      <c r="S32" s="150">
        <f> -1 * S31</f>
        <v>-182.77969737938147</v>
      </c>
      <c r="T32" s="150">
        <f> -1 * T31</f>
        <v>-466.58232949967385</v>
      </c>
      <c r="U32" s="150">
        <f> -1 * U31</f>
        <v>-393.7579179888404</v>
      </c>
      <c r="V32" s="150">
        <f> -1 * V31</f>
        <v>-614.7202159797175</v>
      </c>
      <c r="W32" s="150">
        <f> -1 * W31</f>
        <v>-534.6576449686914</v>
      </c>
      <c r="X32" s="150">
        <f> -1 * X31</f>
        <v>-746.3858252294714</v>
      </c>
      <c r="Y32" s="150">
        <f> -1 * Y31</f>
        <v>-651.1774208480454</v>
      </c>
      <c r="Z32" s="150">
        <f> -1 * Z31</f>
        <v>-865.3882615511553</v>
      </c>
      <c r="AA32" s="150">
        <f> -1 * AA31</f>
        <v>-768.7712439385739</v>
      </c>
      <c r="AB32" s="150">
        <f> -1 * AB31</f>
        <v>-969.1902079605635</v>
      </c>
      <c r="AC32" s="150">
        <f> -1 * AC31</f>
        <v>-863.6206522341762</v>
      </c>
      <c r="AD32" s="150">
        <f> -1 * AD31</f>
        <v>-1280.3529956219566</v>
      </c>
      <c r="AE32" s="150">
        <f> -1 * AE31</f>
        <v>-1164.8470189177513</v>
      </c>
      <c r="AF32" s="150">
        <f> -1 * AF31</f>
        <v>-1386.657431176232</v>
      </c>
      <c r="AG32" s="150">
        <f> -1 * AG31</f>
        <v>-1262.9877115723675</v>
      </c>
      <c r="AH32" s="150">
        <f> -1 * AH31</f>
        <v>-1490.9333384707181</v>
      </c>
      <c r="AI32" s="150">
        <f> -1 * AI31</f>
        <v>-1366.4219897690532</v>
      </c>
      <c r="AJ32" s="150">
        <f> -1 * AJ31</f>
        <v>-1593.7367258689226</v>
      </c>
      <c r="AK32" s="150">
        <f> -1 * AK31</f>
        <v>-1464.8133177283923</v>
      </c>
      <c r="AL32" s="150">
        <f> -1 * AL31</f>
        <v>-1694.7515307041397</v>
      </c>
      <c r="AM32" s="150">
        <f> -1 * AM31</f>
        <v>-1766.870563020227</v>
      </c>
      <c r="AN32" s="150">
        <f> -1 * AN31</f>
        <v>-2004.6010552065607</v>
      </c>
      <c r="AO32" s="150">
        <f> -1 * AO31</f>
        <v>-1855.302079467813</v>
      </c>
      <c r="AP32" s="150">
        <f> -1 * AP31</f>
        <v>-2103.5423179855</v>
      </c>
      <c r="AQ32" s="150">
        <f> -1 * AQ31</f>
        <v>-1953.3971297983774</v>
      </c>
      <c r="AR32" s="150">
        <f> -1 * AR31</f>
        <v>-2194.711063238854</v>
      </c>
      <c r="AS32" s="150">
        <f> -1 * AS31</f>
        <v>-2038.4073238025242</v>
      </c>
      <c r="AT32" s="150">
        <f> -1 * AT31</f>
        <v>-2291.801445653687</v>
      </c>
      <c r="AU32" s="150">
        <f> -1 * AU31</f>
        <v>-2134.457673605926</v>
      </c>
      <c r="AV32" s="150">
        <f> -1 * AV31</f>
        <v>-2396.922528086478</v>
      </c>
      <c r="AW32" s="150">
        <f> -1 * AW31</f>
        <v>-2233.4685592165088</v>
      </c>
      <c r="AX32" s="150">
        <f> -1 * AX31</f>
        <v>-2759.7725607167886</v>
      </c>
      <c r="AY32" s="150">
        <f> -1 * AY31</f>
        <v>-2585.0408009666035</v>
      </c>
      <c r="AZ32" s="150">
        <f> -1 * AZ31</f>
        <v>-2866.174219700051</v>
      </c>
      <c r="BA32" s="150">
        <f> -1 * BA31</f>
        <v>-2726.838948360078</v>
      </c>
      <c r="BB32" s="150">
        <f> -1 * BB31</f>
        <v>-3047.7170932460817</v>
      </c>
      <c r="BC32" s="150">
        <f> -1 * BC31</f>
        <v>-2873.3892784267546</v>
      </c>
      <c r="BD32" s="150">
        <f> -1 * BD31</f>
        <v>-3142.232433290898</v>
      </c>
      <c r="BE32" s="150">
        <f> -1 * BE31</f>
        <v>-2939.0580080951445</v>
      </c>
      <c r="BF32" s="150">
        <f> -1 * BF31</f>
        <v>-3210.759691418995</v>
      </c>
      <c r="BG32" s="150">
        <f> -1 * BG31</f>
        <v>-3003.4730670258064</v>
      </c>
      <c r="BH32" s="150">
        <f> -1 * BH31</f>
        <v>-3035.2733603515753</v>
      </c>
      <c r="BI32" s="150">
        <f> -1 * BI31</f>
        <v>-3311.5491144568778</v>
      </c>
      <c r="BJ32" s="150">
        <f> -1 * BJ31</f>
        <v>-3098.1750704432106</v>
      </c>
      <c r="BK32" s="150">
        <f> -1 * BK31</f>
        <v>-3377.6788849920354</v>
      </c>
      <c r="BL32" s="150">
        <f> -1 * BL31</f>
        <v>-3160.286701567943</v>
      </c>
      <c r="BM32" s="150">
        <f> -1 * BM31</f>
        <v>-3443.152971276112</v>
      </c>
      <c r="BN32" s="150">
        <f> -1 * BN31</f>
        <v>-3221.7648367727597</v>
      </c>
      <c r="BO32" s="150">
        <f> -1 * BO31</f>
        <v>-3508.121540047237</v>
      </c>
      <c r="BP32" s="150">
        <f> -1 * BP31</f>
        <v>-3282.7519766951496</v>
      </c>
      <c r="BQ32" s="150">
        <f> -1 * BQ31</f>
        <v>-3313.1024492861575</v>
      </c>
      <c r="BR32" s="150">
        <f> -1 * BR31</f>
        <v>-3604.9224941358602</v>
      </c>
      <c r="BS32" s="150">
        <f> -1 * BS31</f>
        <v>-3373.59286848203</v>
      </c>
      <c r="BT32" s="150">
        <f> -1 * BT31</f>
        <v>-3669.19981173716</v>
      </c>
      <c r="BU32" s="150">
        <f> -1 * BU31</f>
        <v>-3433.8957299626263</v>
      </c>
      <c r="BV32" s="150">
        <f> -1 * BV31</f>
        <v>-3733.4003657979247</v>
      </c>
      <c r="BW32" s="150">
        <f> -1 * BW31</f>
        <v>-3765.503333999871</v>
      </c>
      <c r="BX32" s="150">
        <f> -1 * BX31</f>
        <v>-3797.6238087355596</v>
      </c>
      <c r="BY32" s="150">
        <f> -1 * BY31</f>
        <v>-3829.772950026492</v>
      </c>
      <c r="BZ32" s="150">
        <f> -1 * BZ31</f>
        <v>-3861.9614491601346</v>
      </c>
      <c r="CA32" s="150">
        <f> -1 * CA31</f>
        <v>-3894.1995527887275</v>
      </c>
      <c r="CB32" s="150">
        <f> -1 * CB31</f>
        <v>-3926.497085828043</v>
      </c>
      <c r="CC32" s="150">
        <f> -1 * CC31</f>
        <v>-3958.863473216181</v>
      </c>
      <c r="CD32" s="150">
        <f> -1 * CD31</f>
        <v>-3991.3077605893895</v>
      </c>
      <c r="CE32" s="150">
        <f> -1 * CE31</f>
        <v>-4023.838633929115</v>
      </c>
      <c r="CF32" s="150">
        <f> -1 * CF31</f>
        <v>-4056.464438231775</v>
      </c>
      <c r="CG32" s="150">
        <f> -1 * CG31</f>
        <v>-4089.193195250114</v>
      </c>
      <c r="CH32" s="150">
        <f> -1 * CH31</f>
        <v>-4122.032620352646</v>
      </c>
      <c r="CI32" s="150">
        <f> -1 * CI31</f>
        <v>-4154.990138545284</v>
      </c>
      <c r="CJ32" s="150">
        <f> -1 * CJ31</f>
        <v>-4188.072899697108</v>
      </c>
      <c r="CK32" s="150">
        <f> -1 * CK31</f>
        <v>-4221.2877930100785</v>
      </c>
      <c r="CL32" s="150">
        <f> -1 * CL31</f>
        <v>-4254.641460770564</v>
      </c>
      <c r="CM32" s="150">
        <f> -1 * CM31</f>
        <v>-3677.6817108319674</v>
      </c>
      <c r="CN32" s="150">
        <f> -1 * CN31</f>
        <v>-5.142960537976725e-13</v>
      </c>
      <c r="CO32" s="150">
        <f> -1 * CO31</f>
        <v>-5.29189120061567e-13</v>
      </c>
    </row>
    <row r="34">
      <c r="A34" s="294" t="inlineStr">
        <is>
          <t>TAX EXPENSE</t>
        </is>
      </c>
    </row>
    <row r="35">
      <c r="C35" s="212" t="n"/>
      <c r="E35" s="336" t="str">
        <f> InpC!E$86</f>
        <v>Corporation tax rate</v>
      </c>
      <c r="F35" s="336">
        <f> InpC!F$86</f>
        <v>0.3</v>
      </c>
      <c r="G35" s="336" t="str">
        <f> InpC!G$86</f>
        <v>%</v>
      </c>
    </row>
    <row r="36">
      <c r="E36" s="367" t="str">
        <f> FinStat!E$16</f>
        <v>Profit before tax</v>
      </c>
      <c r="F36" s="367">
        <f> FinStat!F$16</f>
        <v>0.0</v>
      </c>
      <c r="G36" s="367" t="str">
        <f> FinStat!G$16</f>
        <v>$ 000s</v>
      </c>
      <c r="H36" s="367">
        <f> FinStat!H$16</f>
        <v>632219.7469508392</v>
      </c>
      <c r="I36" s="367">
        <f> FinStat!I$16</f>
        <v>0.0</v>
      </c>
      <c r="J36" s="367">
        <f> FinStat!J$16</f>
        <v>0.0</v>
      </c>
      <c r="K36" s="367">
        <f> FinStat!K$16</f>
        <v>0.0</v>
      </c>
      <c r="L36" s="367">
        <f> FinStat!L$16</f>
        <v>2351.952012996317</v>
      </c>
      <c r="M36" s="367">
        <f> FinStat!M$16</f>
        <v>1944.639619715986</v>
      </c>
      <c r="N36" s="367">
        <f> FinStat!N$16</f>
        <v>2469.090420997651</v>
      </c>
      <c r="O36" s="367">
        <f> FinStat!O$16</f>
        <v>2104.132835547376</v>
      </c>
      <c r="P36" s="367">
        <f> FinStat!P$16</f>
        <v>2681.8238044876343</v>
      </c>
      <c r="Q36" s="367">
        <f> FinStat!Q$16</f>
        <v>2293.826884615774</v>
      </c>
      <c r="R36" s="367">
        <f> FinStat!R$16</f>
        <v>2833.8510630112064</v>
      </c>
      <c r="S36" s="367">
        <f> FinStat!S$16</f>
        <v>2453.7730195294607</v>
      </c>
      <c r="T36" s="367">
        <f> FinStat!T$16</f>
        <v>3223.3332591462117</v>
      </c>
      <c r="U36" s="367">
        <f> FinStat!U$16</f>
        <v>2807.9591133650883</v>
      </c>
      <c r="V36" s="367">
        <f> FinStat!V$16</f>
        <v>3380.505304626917</v>
      </c>
      <c r="W36" s="367">
        <f> FinStat!W$16</f>
        <v>2957.8350059844565</v>
      </c>
      <c r="X36" s="367">
        <f> FinStat!X$16</f>
        <v>3515.5902980116352</v>
      </c>
      <c r="Y36" s="367">
        <f> FinStat!Y$16</f>
        <v>3055.1239066735648</v>
      </c>
      <c r="Z36" s="367">
        <f> FinStat!Z$16</f>
        <v>3633.210251120613</v>
      </c>
      <c r="AA36" s="367">
        <f> FinStat!AA$16</f>
        <v>3182.001224076856</v>
      </c>
      <c r="AB36" s="367">
        <f> FinStat!AB$16</f>
        <v>3727.369750898428</v>
      </c>
      <c r="AC36" s="367">
        <f> FinStat!AC$16</f>
        <v>3255.1612795546616</v>
      </c>
      <c r="AD36" s="367">
        <f> FinStat!AD$16</f>
        <v>4529.974636204244</v>
      </c>
      <c r="AE36" s="367">
        <f> FinStat!AE$16</f>
        <v>4036.374981946027</v>
      </c>
      <c r="AF36" s="367">
        <f> FinStat!AF$16</f>
        <v>4672.592277492306</v>
      </c>
      <c r="AG36" s="367">
        <f> FinStat!AG$16</f>
        <v>4159.866670763201</v>
      </c>
      <c r="AH36" s="367">
        <f> FinStat!AH$16</f>
        <v>4824.216879443957</v>
      </c>
      <c r="AI36" s="367">
        <f> FinStat!AI$16</f>
        <v>4318.483930173681</v>
      </c>
      <c r="AJ36" s="367">
        <f> FinStat!AJ$16</f>
        <v>4990.039352921756</v>
      </c>
      <c r="AK36" s="367">
        <f> FinStat!AK$16</f>
        <v>4477.192313081076</v>
      </c>
      <c r="AL36" s="367">
        <f> FinStat!AL$16</f>
        <v>5164.705794263265</v>
      </c>
      <c r="AM36" s="367">
        <f> FinStat!AM$16</f>
        <v>5330.102701350101</v>
      </c>
      <c r="AN36" s="367">
        <f> FinStat!AN$16</f>
        <v>6151.287801369432</v>
      </c>
      <c r="AO36" s="367">
        <f> FinStat!AO$16</f>
        <v>5583.437168668581</v>
      </c>
      <c r="AP36" s="367">
        <f> FinStat!AP$16</f>
        <v>6344.226619167763</v>
      </c>
      <c r="AQ36" s="367">
        <f> FinStat!AQ$16</f>
        <v>5780.398547878902</v>
      </c>
      <c r="AR36" s="367">
        <f> FinStat!AR$16</f>
        <v>6574.6014208819615</v>
      </c>
      <c r="AS36" s="367">
        <f> FinStat!AS$16</f>
        <v>5993.920896218926</v>
      </c>
      <c r="AT36" s="367">
        <f> FinStat!AT$16</f>
        <v>6781.883312174628</v>
      </c>
      <c r="AU36" s="367">
        <f> FinStat!AU$16</f>
        <v>6203.553647977996</v>
      </c>
      <c r="AV36" s="367">
        <f> FinStat!AV$16</f>
        <v>7102.278593410941</v>
      </c>
      <c r="AW36" s="367">
        <f> FinStat!AW$16</f>
        <v>6508.8320228172615</v>
      </c>
      <c r="AX36" s="367">
        <f> FinStat!AX$16</f>
        <v>8217.00868717577</v>
      </c>
      <c r="AY36" s="367">
        <f> FinStat!AY$16</f>
        <v>7590.707981064848</v>
      </c>
      <c r="AZ36" s="367">
        <f> FinStat!AZ$16</f>
        <v>8536.15094524655</v>
      </c>
      <c r="BA36" s="367">
        <f> FinStat!BA$16</f>
        <v>8032.115030763343</v>
      </c>
      <c r="BB36" s="367">
        <f> FinStat!BB$16</f>
        <v>9064.10308753422</v>
      </c>
      <c r="BC36" s="367">
        <f> FinStat!BC$16</f>
        <v>8447.284899929784</v>
      </c>
      <c r="BD36" s="367">
        <f> FinStat!BD$16</f>
        <v>9334.48955151392</v>
      </c>
      <c r="BE36" s="367">
        <f> FinStat!BE$16</f>
        <v>8624.999229463212</v>
      </c>
      <c r="BF36" s="367">
        <f> FinStat!BF$16</f>
        <v>9500.041381047762</v>
      </c>
      <c r="BG36" s="367">
        <f> FinStat!BG$16</f>
        <v>8779.987346550264</v>
      </c>
      <c r="BH36" s="367">
        <f> FinStat!BH$16</f>
        <v>8908.344635441968</v>
      </c>
      <c r="BI36" s="367">
        <f> FinStat!BI$16</f>
        <v>9803.00231137516</v>
      </c>
      <c r="BJ36" s="367">
        <f> FinStat!BJ$16</f>
        <v>9066.807068799344</v>
      </c>
      <c r="BK36" s="367">
        <f> FinStat!BK$16</f>
        <v>9974.78544289168</v>
      </c>
      <c r="BL36" s="367">
        <f> FinStat!BL$16</f>
        <v>9277.628874127813</v>
      </c>
      <c r="BM36" s="367">
        <f> FinStat!BM$16</f>
        <v>10199.126280338996</v>
      </c>
      <c r="BN36" s="367">
        <f> FinStat!BN$16</f>
        <v>9440.84518048591</v>
      </c>
      <c r="BO36" s="367">
        <f> FinStat!BO$16</f>
        <v>10376.062905801016</v>
      </c>
      <c r="BP36" s="367">
        <f> FinStat!BP$16</f>
        <v>9606.491639974232</v>
      </c>
      <c r="BQ36" s="367">
        <f> FinStat!BQ$16</f>
        <v>9690.237463357093</v>
      </c>
      <c r="BR36" s="367">
        <f> FinStat!BR$16</f>
        <v>10646.419648531626</v>
      </c>
      <c r="BS36" s="367">
        <f> FinStat!BS$16</f>
        <v>9859.597163577275</v>
      </c>
      <c r="BT36" s="367">
        <f> FinStat!BT$16</f>
        <v>12514.479415711148</v>
      </c>
      <c r="BU36" s="367">
        <f> FinStat!BU$16</f>
        <v>11715.941807633339</v>
      </c>
      <c r="BV36" s="367">
        <f> FinStat!BV$16</f>
        <v>12700.809458363105</v>
      </c>
      <c r="BW36" s="367">
        <f> FinStat!BW$16</f>
        <v>12795.012273751092</v>
      </c>
      <c r="BX36" s="367">
        <f> FinStat!BX$16</f>
        <v>12889.913798182477</v>
      </c>
      <c r="BY36" s="367">
        <f> FinStat!BY$16</f>
        <v>12985.519214032387</v>
      </c>
      <c r="BZ36" s="367">
        <f> FinStat!BZ$16</f>
        <v>13081.833742113993</v>
      </c>
      <c r="CA36" s="367">
        <f> FinStat!CA$16</f>
        <v>13178.862641963626</v>
      </c>
      <c r="CB36" s="367">
        <f> FinStat!CB$16</f>
        <v>13276.61121212795</v>
      </c>
      <c r="CC36" s="367">
        <f> FinStat!CC$16</f>
        <v>13375.084790453353</v>
      </c>
      <c r="CD36" s="367">
        <f> FinStat!CD$16</f>
        <v>13474.28875437741</v>
      </c>
      <c r="CE36" s="367">
        <f> FinStat!CE$16</f>
        <v>13574.228521222523</v>
      </c>
      <c r="CF36" s="367">
        <f> FinStat!CF$16</f>
        <v>13674.909548491783</v>
      </c>
      <c r="CG36" s="367">
        <f> FinStat!CG$16</f>
        <v>13776.337334166952</v>
      </c>
      <c r="CH36" s="367">
        <f> FinStat!CH$16</f>
        <v>13878.517417008728</v>
      </c>
      <c r="CI36" s="367">
        <f> FinStat!CI$16</f>
        <v>13981.455376859196</v>
      </c>
      <c r="CJ36" s="367">
        <f> FinStat!CJ$16</f>
        <v>14085.156834946532</v>
      </c>
      <c r="CK36" s="367">
        <f> FinStat!CK$16</f>
        <v>14189.627454191957</v>
      </c>
      <c r="CL36" s="367">
        <f> FinStat!CL$16</f>
        <v>14294.87293951899</v>
      </c>
      <c r="CM36" s="367">
        <f> FinStat!CM$16</f>
        <v>14400.89903816497</v>
      </c>
      <c r="CN36" s="367">
        <f> FinStat!CN$16</f>
        <v>1.7143201793255752e-12</v>
      </c>
      <c r="CO36" s="367">
        <f> FinStat!CO$16</f>
        <v>1.7639637335385567e-12</v>
      </c>
    </row>
    <row r="37" customFormat="1" s="260">
      <c r="A37" s="263" t="n"/>
      <c r="B37" s="263" t="n"/>
      <c r="C37" s="264" t="n"/>
      <c r="D37" s="335" t="n"/>
      <c r="E37" s="260" t="inlineStr">
        <is>
          <t>Tax expense POS</t>
        </is>
      </c>
      <c r="G37" s="260" t="str">
        <f>SMU</f>
        <v>$ 000s</v>
      </c>
      <c r="H37" s="260">
        <f> SUM(J37:CO37)</f>
        <v>189665.92408525175</v>
      </c>
      <c r="J37" s="260">
        <f> $F35 * J36</f>
        <v>0.0</v>
      </c>
      <c r="K37" s="260">
        <f> $F35 * K36</f>
        <v>0.0</v>
      </c>
      <c r="L37" s="260">
        <f> $F35 * L36</f>
        <v>705.5856038988951</v>
      </c>
      <c r="M37" s="260">
        <f> $F35 * M36</f>
        <v>583.3918859147958</v>
      </c>
      <c r="N37" s="260">
        <f> $F35 * N36</f>
        <v>740.7271262992953</v>
      </c>
      <c r="O37" s="260">
        <f> $F35 * O36</f>
        <v>631.2398506642128</v>
      </c>
      <c r="P37" s="260">
        <f> $F35 * P36</f>
        <v>804.5471413462902</v>
      </c>
      <c r="Q37" s="260">
        <f> $F35 * Q36</f>
        <v>688.1480653847321</v>
      </c>
      <c r="R37" s="260">
        <f> $F35 * R36</f>
        <v>850.155318903362</v>
      </c>
      <c r="S37" s="260">
        <f> $F35 * S36</f>
        <v>736.1319058588382</v>
      </c>
      <c r="T37" s="260">
        <f> $F35 * T36</f>
        <v>966.9999777438635</v>
      </c>
      <c r="U37" s="260">
        <f> $F35 * U36</f>
        <v>842.3877340095265</v>
      </c>
      <c r="V37" s="260">
        <f> $F35 * V36</f>
        <v>1014.1515913880751</v>
      </c>
      <c r="W37" s="260">
        <f> $F35 * W36</f>
        <v>887.350501795337</v>
      </c>
      <c r="X37" s="260">
        <f> $F35 * X36</f>
        <v>1054.6770894034905</v>
      </c>
      <c r="Y37" s="260">
        <f> $F35 * Y36</f>
        <v>916.5371720020694</v>
      </c>
      <c r="Z37" s="260">
        <f> $F35 * Z36</f>
        <v>1089.963075336184</v>
      </c>
      <c r="AA37" s="260">
        <f> $F35 * AA36</f>
        <v>954.6003672230568</v>
      </c>
      <c r="AB37" s="260">
        <f> $F35 * AB36</f>
        <v>1118.2109252695284</v>
      </c>
      <c r="AC37" s="260">
        <f> $F35 * AC36</f>
        <v>976.5483838663985</v>
      </c>
      <c r="AD37" s="260">
        <f> $F35 * AD36</f>
        <v>1358.9923908612732</v>
      </c>
      <c r="AE37" s="260">
        <f> $F35 * AE36</f>
        <v>1210.9124945838082</v>
      </c>
      <c r="AF37" s="260">
        <f> $F35 * AF36</f>
        <v>1401.7776832476916</v>
      </c>
      <c r="AG37" s="260">
        <f> $F35 * AG36</f>
        <v>1247.9600012289602</v>
      </c>
      <c r="AH37" s="260">
        <f> $F35 * AH36</f>
        <v>1447.265063833187</v>
      </c>
      <c r="AI37" s="260">
        <f> $F35 * AI36</f>
        <v>1295.5451790521042</v>
      </c>
      <c r="AJ37" s="260">
        <f> $F35 * AJ36</f>
        <v>1497.0118058765268</v>
      </c>
      <c r="AK37" s="260">
        <f> $F35 * AK36</f>
        <v>1343.1576939243225</v>
      </c>
      <c r="AL37" s="260">
        <f> $F35 * AL36</f>
        <v>1549.4117382789793</v>
      </c>
      <c r="AM37" s="260">
        <f> $F35 * AM36</f>
        <v>1599.0308104050303</v>
      </c>
      <c r="AN37" s="260">
        <f> $F35 * AN36</f>
        <v>1845.3863404108295</v>
      </c>
      <c r="AO37" s="260">
        <f> $F35 * AO36</f>
        <v>1675.0311506005742</v>
      </c>
      <c r="AP37" s="260">
        <f> $F35 * AP36</f>
        <v>1903.2679857503288</v>
      </c>
      <c r="AQ37" s="260">
        <f> $F35 * AQ36</f>
        <v>1734.1195643636704</v>
      </c>
      <c r="AR37" s="260">
        <f> $F35 * AR36</f>
        <v>1972.3804262645883</v>
      </c>
      <c r="AS37" s="260">
        <f> $F35 * AS36</f>
        <v>1798.1762688656777</v>
      </c>
      <c r="AT37" s="260">
        <f> $F35 * AT36</f>
        <v>2034.5649936523885</v>
      </c>
      <c r="AU37" s="260">
        <f> $F35 * AU36</f>
        <v>1861.0660943933985</v>
      </c>
      <c r="AV37" s="260">
        <f> $F35 * AV36</f>
        <v>2130.6835780232823</v>
      </c>
      <c r="AW37" s="260">
        <f> $F35 * AW36</f>
        <v>1952.6496068451784</v>
      </c>
      <c r="AX37" s="260">
        <f> $F35 * AX36</f>
        <v>2465.102606152731</v>
      </c>
      <c r="AY37" s="260">
        <f> $F35 * AY36</f>
        <v>2277.2123943194542</v>
      </c>
      <c r="AZ37" s="260">
        <f> $F35 * AZ36</f>
        <v>2560.845283573965</v>
      </c>
      <c r="BA37" s="260">
        <f> $F35 * BA36</f>
        <v>2409.634509229003</v>
      </c>
      <c r="BB37" s="260">
        <f> $F35 * BB36</f>
        <v>2719.230926260266</v>
      </c>
      <c r="BC37" s="260">
        <f> $F35 * BC36</f>
        <v>2534.185469978935</v>
      </c>
      <c r="BD37" s="260">
        <f> $F35 * BD36</f>
        <v>2800.3468654541757</v>
      </c>
      <c r="BE37" s="260">
        <f> $F35 * BE36</f>
        <v>2587.4997688389635</v>
      </c>
      <c r="BF37" s="260">
        <f> $F35 * BF36</f>
        <v>2850.0124143143285</v>
      </c>
      <c r="BG37" s="260">
        <f> $F35 * BG36</f>
        <v>2633.996203965079</v>
      </c>
      <c r="BH37" s="260">
        <f> $F35 * BH36</f>
        <v>2672.5033906325903</v>
      </c>
      <c r="BI37" s="260">
        <f> $F35 * BI36</f>
        <v>2940.9006934125478</v>
      </c>
      <c r="BJ37" s="260">
        <f> $F35 * BJ36</f>
        <v>2720.042120639803</v>
      </c>
      <c r="BK37" s="260">
        <f> $F35 * BK36</f>
        <v>2992.435632867504</v>
      </c>
      <c r="BL37" s="260">
        <f> $F35 * BL36</f>
        <v>2783.288662238344</v>
      </c>
      <c r="BM37" s="260">
        <f> $F35 * BM36</f>
        <v>3059.737884101699</v>
      </c>
      <c r="BN37" s="260">
        <f> $F35 * BN36</f>
        <v>2832.2535541457733</v>
      </c>
      <c r="BO37" s="260">
        <f> $F35 * BO36</f>
        <v>3112.818871740305</v>
      </c>
      <c r="BP37" s="260">
        <f> $F35 * BP36</f>
        <v>2881.9474919922695</v>
      </c>
      <c r="BQ37" s="260">
        <f> $F35 * BQ36</f>
        <v>2907.0712390071276</v>
      </c>
      <c r="BR37" s="260">
        <f> $F35 * BR36</f>
        <v>3193.925894559488</v>
      </c>
      <c r="BS37" s="260">
        <f> $F35 * BS36</f>
        <v>2957.8791490731824</v>
      </c>
      <c r="BT37" s="260">
        <f> $F35 * BT36</f>
        <v>3754.3438247133445</v>
      </c>
      <c r="BU37" s="260">
        <f> $F35 * BU36</f>
        <v>3514.7825422900014</v>
      </c>
      <c r="BV37" s="260">
        <f> $F35 * BV36</f>
        <v>3810.242837508931</v>
      </c>
      <c r="BW37" s="260">
        <f> $F35 * BW36</f>
        <v>3838.5036821253275</v>
      </c>
      <c r="BX37" s="260">
        <f> $F35 * BX36</f>
        <v>3866.9741394547427</v>
      </c>
      <c r="BY37" s="260">
        <f> $F35 * BY36</f>
        <v>3895.655764209716</v>
      </c>
      <c r="BZ37" s="260">
        <f> $F35 * BZ36</f>
        <v>3924.5501226341976</v>
      </c>
      <c r="CA37" s="260">
        <f> $F35 * CA36</f>
        <v>3953.6587925890876</v>
      </c>
      <c r="CB37" s="260">
        <f> $F35 * CB36</f>
        <v>3982.9833636383846</v>
      </c>
      <c r="CC37" s="260">
        <f> $F35 * CC36</f>
        <v>4012.5254371360056</v>
      </c>
      <c r="CD37" s="260">
        <f> $F35 * CD36</f>
        <v>4042.2866263132228</v>
      </c>
      <c r="CE37" s="260">
        <f> $F35 * CE36</f>
        <v>4072.268556366757</v>
      </c>
      <c r="CF37" s="260">
        <f> $F35 * CF36</f>
        <v>4102.472864547535</v>
      </c>
      <c r="CG37" s="260">
        <f> $F35 * CG36</f>
        <v>4132.901200250086</v>
      </c>
      <c r="CH37" s="260">
        <f> $F35 * CH36</f>
        <v>4163.555225102618</v>
      </c>
      <c r="CI37" s="260">
        <f> $F35 * CI36</f>
        <v>4194.436613057758</v>
      </c>
      <c r="CJ37" s="260">
        <f> $F35 * CJ36</f>
        <v>4225.5470504839595</v>
      </c>
      <c r="CK37" s="260">
        <f> $F35 * CK36</f>
        <v>4256.888236257587</v>
      </c>
      <c r="CL37" s="260">
        <f> $F35 * CL36</f>
        <v>4288.461881855696</v>
      </c>
      <c r="CM37" s="260">
        <f> $F35 * CM36</f>
        <v>4320.26971144949</v>
      </c>
      <c r="CN37" s="260">
        <f> $F35 * CN36</f>
        <v>5.142960537976725e-13</v>
      </c>
      <c r="CO37" s="260">
        <f> $F35 * CO36</f>
        <v>5.29189120061567e-13</v>
      </c>
    </row>
    <row r="38" customFormat="1" s="150">
      <c r="A38" s="348" t="n"/>
      <c r="B38" s="348" t="n"/>
      <c r="C38" s="349" t="n"/>
      <c r="D38" s="193" t="n"/>
      <c r="E38" s="150" t="str">
        <f> LEFT(E37, LEN(E37) - 4)</f>
        <v>Tax expense</v>
      </c>
      <c r="F38" s="150" t="inlineStr">
        <is>
          <t>IS</t>
        </is>
      </c>
      <c r="G38" s="150" t="str">
        <f> G37</f>
        <v>$ 000s</v>
      </c>
      <c r="H38" s="150">
        <f> SUM(J38:CO38)</f>
        <v>-189665.92408525175</v>
      </c>
      <c r="I38" s="150" t="n"/>
      <c r="J38" s="150">
        <f> -1 * J37</f>
        <v>-0.0</v>
      </c>
      <c r="K38" s="150">
        <f> -1 * K37</f>
        <v>-0.0</v>
      </c>
      <c r="L38" s="150">
        <f> -1 * L37</f>
        <v>-705.5856038988951</v>
      </c>
      <c r="M38" s="150">
        <f> -1 * M37</f>
        <v>-583.3918859147958</v>
      </c>
      <c r="N38" s="150">
        <f> -1 * N37</f>
        <v>-740.7271262992953</v>
      </c>
      <c r="O38" s="150">
        <f> -1 * O37</f>
        <v>-631.2398506642128</v>
      </c>
      <c r="P38" s="150">
        <f> -1 * P37</f>
        <v>-804.5471413462902</v>
      </c>
      <c r="Q38" s="150">
        <f> -1 * Q37</f>
        <v>-688.1480653847321</v>
      </c>
      <c r="R38" s="150">
        <f> -1 * R37</f>
        <v>-850.155318903362</v>
      </c>
      <c r="S38" s="150">
        <f> -1 * S37</f>
        <v>-736.1319058588382</v>
      </c>
      <c r="T38" s="150">
        <f> -1 * T37</f>
        <v>-966.9999777438635</v>
      </c>
      <c r="U38" s="150">
        <f> -1 * U37</f>
        <v>-842.3877340095265</v>
      </c>
      <c r="V38" s="150">
        <f> -1 * V37</f>
        <v>-1014.1515913880751</v>
      </c>
      <c r="W38" s="150">
        <f> -1 * W37</f>
        <v>-887.350501795337</v>
      </c>
      <c r="X38" s="150">
        <f> -1 * X37</f>
        <v>-1054.6770894034905</v>
      </c>
      <c r="Y38" s="150">
        <f> -1 * Y37</f>
        <v>-916.5371720020694</v>
      </c>
      <c r="Z38" s="150">
        <f> -1 * Z37</f>
        <v>-1089.963075336184</v>
      </c>
      <c r="AA38" s="150">
        <f> -1 * AA37</f>
        <v>-954.6003672230568</v>
      </c>
      <c r="AB38" s="150">
        <f> -1 * AB37</f>
        <v>-1118.2109252695284</v>
      </c>
      <c r="AC38" s="150">
        <f> -1 * AC37</f>
        <v>-976.5483838663985</v>
      </c>
      <c r="AD38" s="150">
        <f> -1 * AD37</f>
        <v>-1358.9923908612732</v>
      </c>
      <c r="AE38" s="150">
        <f> -1 * AE37</f>
        <v>-1210.9124945838082</v>
      </c>
      <c r="AF38" s="150">
        <f> -1 * AF37</f>
        <v>-1401.7776832476916</v>
      </c>
      <c r="AG38" s="150">
        <f> -1 * AG37</f>
        <v>-1247.9600012289602</v>
      </c>
      <c r="AH38" s="150">
        <f> -1 * AH37</f>
        <v>-1447.265063833187</v>
      </c>
      <c r="AI38" s="150">
        <f> -1 * AI37</f>
        <v>-1295.5451790521042</v>
      </c>
      <c r="AJ38" s="150">
        <f> -1 * AJ37</f>
        <v>-1497.0118058765268</v>
      </c>
      <c r="AK38" s="150">
        <f> -1 * AK37</f>
        <v>-1343.1576939243225</v>
      </c>
      <c r="AL38" s="150">
        <f> -1 * AL37</f>
        <v>-1549.4117382789793</v>
      </c>
      <c r="AM38" s="150">
        <f> -1 * AM37</f>
        <v>-1599.0308104050303</v>
      </c>
      <c r="AN38" s="150">
        <f> -1 * AN37</f>
        <v>-1845.3863404108295</v>
      </c>
      <c r="AO38" s="150">
        <f> -1 * AO37</f>
        <v>-1675.0311506005742</v>
      </c>
      <c r="AP38" s="150">
        <f> -1 * AP37</f>
        <v>-1903.2679857503288</v>
      </c>
      <c r="AQ38" s="150">
        <f> -1 * AQ37</f>
        <v>-1734.1195643636704</v>
      </c>
      <c r="AR38" s="150">
        <f> -1 * AR37</f>
        <v>-1972.3804262645883</v>
      </c>
      <c r="AS38" s="150">
        <f> -1 * AS37</f>
        <v>-1798.1762688656777</v>
      </c>
      <c r="AT38" s="150">
        <f> -1 * AT37</f>
        <v>-2034.5649936523885</v>
      </c>
      <c r="AU38" s="150">
        <f> -1 * AU37</f>
        <v>-1861.0660943933985</v>
      </c>
      <c r="AV38" s="150">
        <f> -1 * AV37</f>
        <v>-2130.6835780232823</v>
      </c>
      <c r="AW38" s="150">
        <f> -1 * AW37</f>
        <v>-1952.6496068451784</v>
      </c>
      <c r="AX38" s="150">
        <f> -1 * AX37</f>
        <v>-2465.102606152731</v>
      </c>
      <c r="AY38" s="150">
        <f> -1 * AY37</f>
        <v>-2277.2123943194542</v>
      </c>
      <c r="AZ38" s="150">
        <f> -1 * AZ37</f>
        <v>-2560.845283573965</v>
      </c>
      <c r="BA38" s="150">
        <f> -1 * BA37</f>
        <v>-2409.634509229003</v>
      </c>
      <c r="BB38" s="150">
        <f> -1 * BB37</f>
        <v>-2719.230926260266</v>
      </c>
      <c r="BC38" s="150">
        <f> -1 * BC37</f>
        <v>-2534.185469978935</v>
      </c>
      <c r="BD38" s="150">
        <f> -1 * BD37</f>
        <v>-2800.3468654541757</v>
      </c>
      <c r="BE38" s="150">
        <f> -1 * BE37</f>
        <v>-2587.4997688389635</v>
      </c>
      <c r="BF38" s="150">
        <f> -1 * BF37</f>
        <v>-2850.0124143143285</v>
      </c>
      <c r="BG38" s="150">
        <f> -1 * BG37</f>
        <v>-2633.996203965079</v>
      </c>
      <c r="BH38" s="150">
        <f> -1 * BH37</f>
        <v>-2672.5033906325903</v>
      </c>
      <c r="BI38" s="150">
        <f> -1 * BI37</f>
        <v>-2940.9006934125478</v>
      </c>
      <c r="BJ38" s="150">
        <f> -1 * BJ37</f>
        <v>-2720.042120639803</v>
      </c>
      <c r="BK38" s="150">
        <f> -1 * BK37</f>
        <v>-2992.435632867504</v>
      </c>
      <c r="BL38" s="150">
        <f> -1 * BL37</f>
        <v>-2783.288662238344</v>
      </c>
      <c r="BM38" s="150">
        <f> -1 * BM37</f>
        <v>-3059.737884101699</v>
      </c>
      <c r="BN38" s="150">
        <f> -1 * BN37</f>
        <v>-2832.2535541457733</v>
      </c>
      <c r="BO38" s="150">
        <f> -1 * BO37</f>
        <v>-3112.818871740305</v>
      </c>
      <c r="BP38" s="150">
        <f> -1 * BP37</f>
        <v>-2881.9474919922695</v>
      </c>
      <c r="BQ38" s="150">
        <f> -1 * BQ37</f>
        <v>-2907.0712390071276</v>
      </c>
      <c r="BR38" s="150">
        <f> -1 * BR37</f>
        <v>-3193.925894559488</v>
      </c>
      <c r="BS38" s="150">
        <f> -1 * BS37</f>
        <v>-2957.8791490731824</v>
      </c>
      <c r="BT38" s="150">
        <f> -1 * BT37</f>
        <v>-3754.3438247133445</v>
      </c>
      <c r="BU38" s="150">
        <f> -1 * BU37</f>
        <v>-3514.7825422900014</v>
      </c>
      <c r="BV38" s="150">
        <f> -1 * BV37</f>
        <v>-3810.242837508931</v>
      </c>
      <c r="BW38" s="150">
        <f> -1 * BW37</f>
        <v>-3838.5036821253275</v>
      </c>
      <c r="BX38" s="150">
        <f> -1 * BX37</f>
        <v>-3866.9741394547427</v>
      </c>
      <c r="BY38" s="150">
        <f> -1 * BY37</f>
        <v>-3895.655764209716</v>
      </c>
      <c r="BZ38" s="150">
        <f> -1 * BZ37</f>
        <v>-3924.5501226341976</v>
      </c>
      <c r="CA38" s="150">
        <f> -1 * CA37</f>
        <v>-3953.6587925890876</v>
      </c>
      <c r="CB38" s="150">
        <f> -1 * CB37</f>
        <v>-3982.9833636383846</v>
      </c>
      <c r="CC38" s="150">
        <f> -1 * CC37</f>
        <v>-4012.5254371360056</v>
      </c>
      <c r="CD38" s="150">
        <f> -1 * CD37</f>
        <v>-4042.2866263132228</v>
      </c>
      <c r="CE38" s="150">
        <f> -1 * CE37</f>
        <v>-4072.268556366757</v>
      </c>
      <c r="CF38" s="150">
        <f> -1 * CF37</f>
        <v>-4102.472864547535</v>
      </c>
      <c r="CG38" s="150">
        <f> -1 * CG37</f>
        <v>-4132.901200250086</v>
      </c>
      <c r="CH38" s="150">
        <f> -1 * CH37</f>
        <v>-4163.555225102618</v>
      </c>
      <c r="CI38" s="150">
        <f> -1 * CI37</f>
        <v>-4194.436613057758</v>
      </c>
      <c r="CJ38" s="150">
        <f> -1 * CJ37</f>
        <v>-4225.5470504839595</v>
      </c>
      <c r="CK38" s="150">
        <f> -1 * CK37</f>
        <v>-4256.888236257587</v>
      </c>
      <c r="CL38" s="150">
        <f> -1 * CL37</f>
        <v>-4288.461881855696</v>
      </c>
      <c r="CM38" s="150">
        <f> -1 * CM37</f>
        <v>-4320.26971144949</v>
      </c>
      <c r="CN38" s="150">
        <f> -1 * CN37</f>
        <v>-5.142960537976725e-13</v>
      </c>
      <c r="CO38" s="150">
        <f> -1 * CO37</f>
        <v>-5.29189120061567e-13</v>
      </c>
    </row>
    <row r="41">
      <c r="A41" s="294" t="inlineStr">
        <is>
          <t>DEFERRED TAX BALANCE</t>
        </is>
      </c>
    </row>
    <row r="43" customFormat="1" s="182">
      <c r="A43" s="177" t="n"/>
      <c r="B43" s="177" t="n"/>
      <c r="C43" s="178" t="n"/>
      <c r="D43" s="179" t="n"/>
      <c r="E43" s="182" t="inlineStr">
        <is>
          <t>Deferred tax - initial balance</t>
        </is>
      </c>
      <c r="F43" s="182" t="n">
        <v>0</v>
      </c>
      <c r="G43" s="182" t="n"/>
    </row>
    <row r="44" customFormat="1" s="100">
      <c r="A44" s="294" t="n"/>
      <c r="B44" s="294" t="n"/>
      <c r="C44" s="212" t="n"/>
      <c r="D44" s="244" t="n"/>
      <c r="E44" s="325" t="str">
        <f> Time!E$45</f>
        <v>Acquisition / initial balance date flag</v>
      </c>
      <c r="F44" s="325">
        <f> Time!F$45</f>
        <v>0.0</v>
      </c>
      <c r="G44" s="325" t="str">
        <f> Time!G$45</f>
        <v>flag</v>
      </c>
      <c r="H44" s="325">
        <f> Time!H$45</f>
        <v>1.0</v>
      </c>
      <c r="I44" s="325">
        <f> Time!I$45</f>
        <v>0.0</v>
      </c>
      <c r="J44" s="325">
        <f> Time!J$45</f>
        <v>0.0</v>
      </c>
      <c r="K44" s="325">
        <f> Time!K$45</f>
        <v>1.0</v>
      </c>
      <c r="L44" s="325">
        <f> Time!L$45</f>
        <v>0.0</v>
      </c>
      <c r="M44" s="325">
        <f> Time!M$45</f>
        <v>0.0</v>
      </c>
      <c r="N44" s="325">
        <f> Time!N$45</f>
        <v>0.0</v>
      </c>
      <c r="O44" s="325">
        <f> Time!O$45</f>
        <v>0.0</v>
      </c>
      <c r="P44" s="325">
        <f> Time!P$45</f>
        <v>0.0</v>
      </c>
      <c r="Q44" s="325">
        <f> Time!Q$45</f>
        <v>0.0</v>
      </c>
      <c r="R44" s="325">
        <f> Time!R$45</f>
        <v>0.0</v>
      </c>
      <c r="S44" s="325">
        <f> Time!S$45</f>
        <v>0.0</v>
      </c>
      <c r="T44" s="325">
        <f> Time!T$45</f>
        <v>0.0</v>
      </c>
      <c r="U44" s="325">
        <f> Time!U$45</f>
        <v>0.0</v>
      </c>
      <c r="V44" s="325">
        <f> Time!V$45</f>
        <v>0.0</v>
      </c>
      <c r="W44" s="325">
        <f> Time!W$45</f>
        <v>0.0</v>
      </c>
      <c r="X44" s="325">
        <f> Time!X$45</f>
        <v>0.0</v>
      </c>
      <c r="Y44" s="325">
        <f> Time!Y$45</f>
        <v>0.0</v>
      </c>
      <c r="Z44" s="325">
        <f> Time!Z$45</f>
        <v>0.0</v>
      </c>
      <c r="AA44" s="325">
        <f> Time!AA$45</f>
        <v>0.0</v>
      </c>
      <c r="AB44" s="325">
        <f> Time!AB$45</f>
        <v>0.0</v>
      </c>
      <c r="AC44" s="325">
        <f> Time!AC$45</f>
        <v>0.0</v>
      </c>
      <c r="AD44" s="325">
        <f> Time!AD$45</f>
        <v>0.0</v>
      </c>
      <c r="AE44" s="325">
        <f> Time!AE$45</f>
        <v>0.0</v>
      </c>
      <c r="AF44" s="325">
        <f> Time!AF$45</f>
        <v>0.0</v>
      </c>
      <c r="AG44" s="325">
        <f> Time!AG$45</f>
        <v>0.0</v>
      </c>
      <c r="AH44" s="325">
        <f> Time!AH$45</f>
        <v>0.0</v>
      </c>
      <c r="AI44" s="325">
        <f> Time!AI$45</f>
        <v>0.0</v>
      </c>
      <c r="AJ44" s="325">
        <f> Time!AJ$45</f>
        <v>0.0</v>
      </c>
      <c r="AK44" s="325">
        <f> Time!AK$45</f>
        <v>0.0</v>
      </c>
      <c r="AL44" s="325">
        <f> Time!AL$45</f>
        <v>0.0</v>
      </c>
      <c r="AM44" s="325">
        <f> Time!AM$45</f>
        <v>0.0</v>
      </c>
      <c r="AN44" s="325">
        <f> Time!AN$45</f>
        <v>0.0</v>
      </c>
      <c r="AO44" s="325">
        <f> Time!AO$45</f>
        <v>0.0</v>
      </c>
      <c r="AP44" s="325">
        <f> Time!AP$45</f>
        <v>0.0</v>
      </c>
      <c r="AQ44" s="325">
        <f> Time!AQ$45</f>
        <v>0.0</v>
      </c>
      <c r="AR44" s="325">
        <f> Time!AR$45</f>
        <v>0.0</v>
      </c>
      <c r="AS44" s="325">
        <f> Time!AS$45</f>
        <v>0.0</v>
      </c>
      <c r="AT44" s="325">
        <f> Time!AT$45</f>
        <v>0.0</v>
      </c>
      <c r="AU44" s="325">
        <f> Time!AU$45</f>
        <v>0.0</v>
      </c>
      <c r="AV44" s="325">
        <f> Time!AV$45</f>
        <v>0.0</v>
      </c>
      <c r="AW44" s="325">
        <f> Time!AW$45</f>
        <v>0.0</v>
      </c>
      <c r="AX44" s="325">
        <f> Time!AX$45</f>
        <v>0.0</v>
      </c>
      <c r="AY44" s="325">
        <f> Time!AY$45</f>
        <v>0.0</v>
      </c>
      <c r="AZ44" s="325">
        <f> Time!AZ$45</f>
        <v>0.0</v>
      </c>
      <c r="BA44" s="325">
        <f> Time!BA$45</f>
        <v>0.0</v>
      </c>
      <c r="BB44" s="325">
        <f> Time!BB$45</f>
        <v>0.0</v>
      </c>
      <c r="BC44" s="325">
        <f> Time!BC$45</f>
        <v>0.0</v>
      </c>
      <c r="BD44" s="325">
        <f> Time!BD$45</f>
        <v>0.0</v>
      </c>
      <c r="BE44" s="325">
        <f> Time!BE$45</f>
        <v>0.0</v>
      </c>
      <c r="BF44" s="325">
        <f> Time!BF$45</f>
        <v>0.0</v>
      </c>
      <c r="BG44" s="325">
        <f> Time!BG$45</f>
        <v>0.0</v>
      </c>
      <c r="BH44" s="325">
        <f> Time!BH$45</f>
        <v>0.0</v>
      </c>
      <c r="BI44" s="325">
        <f> Time!BI$45</f>
        <v>0.0</v>
      </c>
      <c r="BJ44" s="325">
        <f> Time!BJ$45</f>
        <v>0.0</v>
      </c>
      <c r="BK44" s="325">
        <f> Time!BK$45</f>
        <v>0.0</v>
      </c>
      <c r="BL44" s="325">
        <f> Time!BL$45</f>
        <v>0.0</v>
      </c>
      <c r="BM44" s="325">
        <f> Time!BM$45</f>
        <v>0.0</v>
      </c>
      <c r="BN44" s="325">
        <f> Time!BN$45</f>
        <v>0.0</v>
      </c>
      <c r="BO44" s="325">
        <f> Time!BO$45</f>
        <v>0.0</v>
      </c>
      <c r="BP44" s="325">
        <f> Time!BP$45</f>
        <v>0.0</v>
      </c>
      <c r="BQ44" s="325">
        <f> Time!BQ$45</f>
        <v>0.0</v>
      </c>
      <c r="BR44" s="325">
        <f> Time!BR$45</f>
        <v>0.0</v>
      </c>
      <c r="BS44" s="325">
        <f> Time!BS$45</f>
        <v>0.0</v>
      </c>
      <c r="BT44" s="325">
        <f> Time!BT$45</f>
        <v>0.0</v>
      </c>
      <c r="BU44" s="325">
        <f> Time!BU$45</f>
        <v>0.0</v>
      </c>
      <c r="BV44" s="325">
        <f> Time!BV$45</f>
        <v>0.0</v>
      </c>
      <c r="BW44" s="325">
        <f> Time!BW$45</f>
        <v>0.0</v>
      </c>
      <c r="BX44" s="325">
        <f> Time!BX$45</f>
        <v>0.0</v>
      </c>
      <c r="BY44" s="325">
        <f> Time!BY$45</f>
        <v>0.0</v>
      </c>
      <c r="BZ44" s="325">
        <f> Time!BZ$45</f>
        <v>0.0</v>
      </c>
      <c r="CA44" s="325">
        <f> Time!CA$45</f>
        <v>0.0</v>
      </c>
      <c r="CB44" s="325">
        <f> Time!CB$45</f>
        <v>0.0</v>
      </c>
      <c r="CC44" s="325">
        <f> Time!CC$45</f>
        <v>0.0</v>
      </c>
      <c r="CD44" s="325">
        <f> Time!CD$45</f>
        <v>0.0</v>
      </c>
      <c r="CE44" s="325">
        <f> Time!CE$45</f>
        <v>0.0</v>
      </c>
      <c r="CF44" s="325">
        <f> Time!CF$45</f>
        <v>0.0</v>
      </c>
      <c r="CG44" s="325">
        <f> Time!CG$45</f>
        <v>0.0</v>
      </c>
      <c r="CH44" s="325">
        <f> Time!CH$45</f>
        <v>0.0</v>
      </c>
      <c r="CI44" s="325">
        <f> Time!CI$45</f>
        <v>0.0</v>
      </c>
      <c r="CJ44" s="325">
        <f> Time!CJ$45</f>
        <v>0.0</v>
      </c>
      <c r="CK44" s="325">
        <f> Time!CK$45</f>
        <v>0.0</v>
      </c>
      <c r="CL44" s="325">
        <f> Time!CL$45</f>
        <v>0.0</v>
      </c>
      <c r="CM44" s="325">
        <f> Time!CM$45</f>
        <v>0.0</v>
      </c>
      <c r="CN44" s="325">
        <f> Time!CN$45</f>
        <v>0.0</v>
      </c>
      <c r="CO44" s="325">
        <f> Time!CO$45</f>
        <v>0.0</v>
      </c>
    </row>
    <row r="45" customFormat="1" s="61">
      <c r="A45" s="294" t="n"/>
      <c r="B45" s="294" t="n"/>
      <c r="C45" s="212" t="n"/>
      <c r="D45" s="244" t="n"/>
    </row>
    <row r="46" customFormat="1" s="61">
      <c r="A46" s="294" t="n"/>
      <c r="B46" s="294" t="n"/>
      <c r="C46" s="212" t="n"/>
      <c r="D46" s="244" t="n"/>
      <c r="E46" s="61" t="inlineStr">
        <is>
          <t>Deferred tax balance BEG</t>
        </is>
      </c>
      <c r="G46" s="61" t="inlineStr">
        <is>
          <t>$ 000s</t>
        </is>
      </c>
      <c r="J46" s="61">
        <f> I49</f>
        <v>0.0</v>
      </c>
      <c r="K46" s="61">
        <f> J49</f>
        <v>0.0</v>
      </c>
      <c r="L46" s="61">
        <f> K49</f>
        <v>0.0</v>
      </c>
      <c r="M46" s="61">
        <f> L49</f>
        <v>1010.677992451768</v>
      </c>
      <c r="N46" s="61">
        <f> M49</f>
        <v>1945.5551354696536</v>
      </c>
      <c r="O46" s="61">
        <f> N49</f>
        <v>2808.42147152535</v>
      </c>
      <c r="P46" s="61">
        <f> O49</f>
        <v>3602.8775409669684</v>
      </c>
      <c r="Q46" s="61">
        <f> P49</f>
        <v>4332.343857125212</v>
      </c>
      <c r="R46" s="61">
        <f> Q49</f>
        <v>5000.069907664248</v>
      </c>
      <c r="S46" s="61">
        <f> R49</f>
        <v>5609.142705865038</v>
      </c>
      <c r="T46" s="61">
        <f> S49</f>
        <v>6162.494914344495</v>
      </c>
      <c r="U46" s="61">
        <f> T49</f>
        <v>6662.9125625886845</v>
      </c>
      <c r="V46" s="61">
        <f> U49</f>
        <v>7111.542378609371</v>
      </c>
      <c r="W46" s="61">
        <f> V49</f>
        <v>7510.973754017728</v>
      </c>
      <c r="X46" s="61">
        <f> W49</f>
        <v>7863.666610844374</v>
      </c>
      <c r="Y46" s="61">
        <f> X49</f>
        <v>8171.957875018393</v>
      </c>
      <c r="Z46" s="61">
        <f> Y49</f>
        <v>8437.317626172417</v>
      </c>
      <c r="AA46" s="61">
        <f> Z49</f>
        <v>8661.892439957444</v>
      </c>
      <c r="AB46" s="61">
        <f> AA49</f>
        <v>8847.721563241927</v>
      </c>
      <c r="AC46" s="61">
        <f> AB49</f>
        <v>8996.74228055089</v>
      </c>
      <c r="AD46" s="61">
        <f> AC49</f>
        <v>9109.670012183113</v>
      </c>
      <c r="AE46" s="61">
        <f> AD49</f>
        <v>9188.309407422428</v>
      </c>
      <c r="AF46" s="61">
        <f> AE49</f>
        <v>9234.374883088485</v>
      </c>
      <c r="AG46" s="61">
        <f> AF49</f>
        <v>9249.495135159945</v>
      </c>
      <c r="AH46" s="61">
        <f> AG49</f>
        <v>9234.467424816536</v>
      </c>
      <c r="AI46" s="61">
        <f> AH49</f>
        <v>9190.799150179004</v>
      </c>
      <c r="AJ46" s="61">
        <f> AI49</f>
        <v>9119.922339462055</v>
      </c>
      <c r="AK46" s="61">
        <f> AJ49</f>
        <v>9023.19741946966</v>
      </c>
      <c r="AL46" s="61">
        <f> AK49</f>
        <v>8901.54179566559</v>
      </c>
      <c r="AM46" s="61">
        <f> AL49</f>
        <v>8756.202003240429</v>
      </c>
      <c r="AN46" s="61">
        <f> AM49</f>
        <v>8588.362250625232</v>
      </c>
      <c r="AO46" s="61">
        <f> AN49</f>
        <v>8429.147535829501</v>
      </c>
      <c r="AP46" s="61">
        <f> AO49</f>
        <v>8248.876606962263</v>
      </c>
      <c r="AQ46" s="61">
        <f> AP49</f>
        <v>8048.602274727091</v>
      </c>
      <c r="AR46" s="61">
        <f> AQ49</f>
        <v>7829.324709292385</v>
      </c>
      <c r="AS46" s="61">
        <f> AR49</f>
        <v>7606.994072318119</v>
      </c>
      <c r="AT46" s="61">
        <f> AS49</f>
        <v>7366.763017381273</v>
      </c>
      <c r="AU46" s="61">
        <f> AT49</f>
        <v>7109.526565379974</v>
      </c>
      <c r="AV46" s="61">
        <f> AU49</f>
        <v>6836.134986167446</v>
      </c>
      <c r="AW46" s="61">
        <f> AV49</f>
        <v>6569.896036104252</v>
      </c>
      <c r="AX46" s="61">
        <f> AW49</f>
        <v>6289.077083732921</v>
      </c>
      <c r="AY46" s="61">
        <f> AX49</f>
        <v>5994.407129168863</v>
      </c>
      <c r="AZ46" s="61">
        <f> AY49</f>
        <v>5686.578722521715</v>
      </c>
      <c r="BA46" s="61">
        <f> AZ49</f>
        <v>5381.249786395629</v>
      </c>
      <c r="BB46" s="61">
        <f> BA49</f>
        <v>5064.045347264553</v>
      </c>
      <c r="BC46" s="61">
        <f> BB49</f>
        <v>4735.5591802787385</v>
      </c>
      <c r="BD46" s="61">
        <f> BC49</f>
        <v>4396.355371830919</v>
      </c>
      <c r="BE46" s="61">
        <f> BD49</f>
        <v>4054.4698039941964</v>
      </c>
      <c r="BF46" s="61">
        <f> BE49</f>
        <v>3702.9115647380154</v>
      </c>
      <c r="BG46" s="61">
        <f> BF49</f>
        <v>3342.1642876333494</v>
      </c>
      <c r="BH46" s="61">
        <f> BG49</f>
        <v>2972.6874245726217</v>
      </c>
      <c r="BI46" s="61">
        <f> BH49</f>
        <v>2609.9174548536366</v>
      </c>
      <c r="BJ46" s="61">
        <f> BI49</f>
        <v>2239.269033809306</v>
      </c>
      <c r="BK46" s="61">
        <f> BJ49</f>
        <v>1861.1360840058987</v>
      </c>
      <c r="BL46" s="61">
        <f> BK49</f>
        <v>1475.8928318813673</v>
      </c>
      <c r="BM46" s="61">
        <f> BL49</f>
        <v>1098.8947925517687</v>
      </c>
      <c r="BN46" s="61">
        <f> BM49</f>
        <v>715.4797053773555</v>
      </c>
      <c r="BO46" s="61">
        <f> BN49</f>
        <v>325.968422750369</v>
      </c>
      <c r="BP46" s="61">
        <f> BO49</f>
        <v>-69.33424555656302</v>
      </c>
      <c r="BQ46" s="61">
        <f> BP49</f>
        <v>-470.13873025944304</v>
      </c>
      <c r="BR46" s="61">
        <f> BQ49</f>
        <v>-876.1699405384729</v>
      </c>
      <c r="BS46" s="61">
        <f> BR49</f>
        <v>-1287.1665401148452</v>
      </c>
      <c r="BT46" s="61">
        <f> BS49</f>
        <v>-1702.880259523693</v>
      </c>
      <c r="BU46" s="61">
        <f> BT49</f>
        <v>-1617.7362465475085</v>
      </c>
      <c r="BV46" s="61">
        <f> BU49</f>
        <v>-1536.8494342201334</v>
      </c>
      <c r="BW46" s="61">
        <f> BV49</f>
        <v>-1460.0069625091269</v>
      </c>
      <c r="BX46" s="61">
        <f> BW49</f>
        <v>-1387.0066143836702</v>
      </c>
      <c r="BY46" s="61">
        <f> BX49</f>
        <v>-1317.656283664487</v>
      </c>
      <c r="BZ46" s="61">
        <f> BY49</f>
        <v>-1251.773469481263</v>
      </c>
      <c r="CA46" s="61">
        <f> BZ49</f>
        <v>-1189.1847960072</v>
      </c>
      <c r="CB46" s="61">
        <f> CA49</f>
        <v>-1129.7255562068399</v>
      </c>
      <c r="CC46" s="61">
        <f> CB49</f>
        <v>-1073.2392783964983</v>
      </c>
      <c r="CD46" s="61">
        <f> CC49</f>
        <v>-1019.5773144766736</v>
      </c>
      <c r="CE46" s="61">
        <f> CD49</f>
        <v>-968.5984487528403</v>
      </c>
      <c r="CF46" s="61">
        <f> CE49</f>
        <v>-920.1685263151985</v>
      </c>
      <c r="CG46" s="61">
        <f> CF49</f>
        <v>-874.1600999994384</v>
      </c>
      <c r="CH46" s="61">
        <f> CG49</f>
        <v>-830.4520949994667</v>
      </c>
      <c r="CI46" s="61">
        <f> CH49</f>
        <v>-788.9294902494939</v>
      </c>
      <c r="CJ46" s="61">
        <f> CI49</f>
        <v>-749.4830157370197</v>
      </c>
      <c r="CK46" s="61">
        <f> CJ49</f>
        <v>-712.0088649501686</v>
      </c>
      <c r="CL46" s="61">
        <f> CK49</f>
        <v>-676.4084217026602</v>
      </c>
      <c r="CM46" s="61">
        <f> CL49</f>
        <v>-642.5880006175275</v>
      </c>
      <c r="CN46" s="61">
        <f> CM49</f>
        <v>-4.547473508864641e-12</v>
      </c>
      <c r="CO46" s="61">
        <f> CN49</f>
        <v>-4.547473508864641e-12</v>
      </c>
    </row>
    <row r="47" customFormat="1" s="183">
      <c r="A47" s="294" t="n"/>
      <c r="B47" s="294" t="n"/>
      <c r="C47" s="212" t="n"/>
      <c r="D47" s="244" t="inlineStr">
        <is>
          <t>plus</t>
        </is>
      </c>
      <c r="E47" s="61" t="str">
        <f> E$37</f>
        <v>Tax expense POS</v>
      </c>
      <c r="F47" s="61">
        <f> F$37</f>
        <v>0.0</v>
      </c>
      <c r="G47" s="61" t="str">
        <f> G$37</f>
        <v>$ 000s</v>
      </c>
      <c r="H47" s="61">
        <f> H$37</f>
        <v>189665.92408525175</v>
      </c>
      <c r="I47" s="61">
        <f> I$37</f>
        <v>0.0</v>
      </c>
      <c r="J47" s="61">
        <f> J$37</f>
        <v>0.0</v>
      </c>
      <c r="K47" s="61">
        <f> K$37</f>
        <v>0.0</v>
      </c>
      <c r="L47" s="61">
        <f> L$37</f>
        <v>705.5856038988951</v>
      </c>
      <c r="M47" s="61">
        <f> M$37</f>
        <v>583.3918859147958</v>
      </c>
      <c r="N47" s="61">
        <f> N$37</f>
        <v>740.7271262992953</v>
      </c>
      <c r="O47" s="61">
        <f> O$37</f>
        <v>631.2398506642128</v>
      </c>
      <c r="P47" s="61">
        <f> P$37</f>
        <v>804.5471413462902</v>
      </c>
      <c r="Q47" s="61">
        <f> Q$37</f>
        <v>688.1480653847321</v>
      </c>
      <c r="R47" s="61">
        <f> R$37</f>
        <v>850.155318903362</v>
      </c>
      <c r="S47" s="61">
        <f> S$37</f>
        <v>736.1319058588382</v>
      </c>
      <c r="T47" s="61">
        <f> T$37</f>
        <v>966.9999777438635</v>
      </c>
      <c r="U47" s="61">
        <f> U$37</f>
        <v>842.3877340095265</v>
      </c>
      <c r="V47" s="61">
        <f> V$37</f>
        <v>1014.1515913880751</v>
      </c>
      <c r="W47" s="61">
        <f> W$37</f>
        <v>887.350501795337</v>
      </c>
      <c r="X47" s="61">
        <f> X$37</f>
        <v>1054.6770894034905</v>
      </c>
      <c r="Y47" s="61">
        <f> Y$37</f>
        <v>916.5371720020694</v>
      </c>
      <c r="Z47" s="61">
        <f> Z$37</f>
        <v>1089.963075336184</v>
      </c>
      <c r="AA47" s="61">
        <f> AA$37</f>
        <v>954.6003672230568</v>
      </c>
      <c r="AB47" s="61">
        <f> AB$37</f>
        <v>1118.2109252695284</v>
      </c>
      <c r="AC47" s="61">
        <f> AC$37</f>
        <v>976.5483838663985</v>
      </c>
      <c r="AD47" s="61">
        <f> AD$37</f>
        <v>1358.9923908612732</v>
      </c>
      <c r="AE47" s="61">
        <f> AE$37</f>
        <v>1210.9124945838082</v>
      </c>
      <c r="AF47" s="61">
        <f> AF$37</f>
        <v>1401.7776832476916</v>
      </c>
      <c r="AG47" s="61">
        <f> AG$37</f>
        <v>1247.9600012289602</v>
      </c>
      <c r="AH47" s="61">
        <f> AH$37</f>
        <v>1447.265063833187</v>
      </c>
      <c r="AI47" s="61">
        <f> AI$37</f>
        <v>1295.5451790521042</v>
      </c>
      <c r="AJ47" s="61">
        <f> AJ$37</f>
        <v>1497.0118058765268</v>
      </c>
      <c r="AK47" s="61">
        <f> AK$37</f>
        <v>1343.1576939243225</v>
      </c>
      <c r="AL47" s="61">
        <f> AL$37</f>
        <v>1549.4117382789793</v>
      </c>
      <c r="AM47" s="61">
        <f> AM$37</f>
        <v>1599.0308104050303</v>
      </c>
      <c r="AN47" s="61">
        <f> AN$37</f>
        <v>1845.3863404108295</v>
      </c>
      <c r="AO47" s="61">
        <f> AO$37</f>
        <v>1675.0311506005742</v>
      </c>
      <c r="AP47" s="61">
        <f> AP$37</f>
        <v>1903.2679857503288</v>
      </c>
      <c r="AQ47" s="61">
        <f> AQ$37</f>
        <v>1734.1195643636704</v>
      </c>
      <c r="AR47" s="61">
        <f> AR$37</f>
        <v>1972.3804262645883</v>
      </c>
      <c r="AS47" s="61">
        <f> AS$37</f>
        <v>1798.1762688656777</v>
      </c>
      <c r="AT47" s="61">
        <f> AT$37</f>
        <v>2034.5649936523885</v>
      </c>
      <c r="AU47" s="61">
        <f> AU$37</f>
        <v>1861.0660943933985</v>
      </c>
      <c r="AV47" s="61">
        <f> AV$37</f>
        <v>2130.6835780232823</v>
      </c>
      <c r="AW47" s="61">
        <f> AW$37</f>
        <v>1952.6496068451784</v>
      </c>
      <c r="AX47" s="61">
        <f> AX$37</f>
        <v>2465.102606152731</v>
      </c>
      <c r="AY47" s="61">
        <f> AY$37</f>
        <v>2277.2123943194542</v>
      </c>
      <c r="AZ47" s="61">
        <f> AZ$37</f>
        <v>2560.845283573965</v>
      </c>
      <c r="BA47" s="61">
        <f> BA$37</f>
        <v>2409.634509229003</v>
      </c>
      <c r="BB47" s="61">
        <f> BB$37</f>
        <v>2719.230926260266</v>
      </c>
      <c r="BC47" s="61">
        <f> BC$37</f>
        <v>2534.185469978935</v>
      </c>
      <c r="BD47" s="61">
        <f> BD$37</f>
        <v>2800.3468654541757</v>
      </c>
      <c r="BE47" s="61">
        <f> BE$37</f>
        <v>2587.4997688389635</v>
      </c>
      <c r="BF47" s="61">
        <f> BF$37</f>
        <v>2850.0124143143285</v>
      </c>
      <c r="BG47" s="61">
        <f> BG$37</f>
        <v>2633.996203965079</v>
      </c>
      <c r="BH47" s="61">
        <f> BH$37</f>
        <v>2672.5033906325903</v>
      </c>
      <c r="BI47" s="61">
        <f> BI$37</f>
        <v>2940.9006934125478</v>
      </c>
      <c r="BJ47" s="61">
        <f> BJ$37</f>
        <v>2720.042120639803</v>
      </c>
      <c r="BK47" s="61">
        <f> BK$37</f>
        <v>2992.435632867504</v>
      </c>
      <c r="BL47" s="61">
        <f> BL$37</f>
        <v>2783.288662238344</v>
      </c>
      <c r="BM47" s="61">
        <f> BM$37</f>
        <v>3059.737884101699</v>
      </c>
      <c r="BN47" s="61">
        <f> BN$37</f>
        <v>2832.2535541457733</v>
      </c>
      <c r="BO47" s="61">
        <f> BO$37</f>
        <v>3112.818871740305</v>
      </c>
      <c r="BP47" s="61">
        <f> BP$37</f>
        <v>2881.9474919922695</v>
      </c>
      <c r="BQ47" s="61">
        <f> BQ$37</f>
        <v>2907.0712390071276</v>
      </c>
      <c r="BR47" s="61">
        <f> BR$37</f>
        <v>3193.925894559488</v>
      </c>
      <c r="BS47" s="61">
        <f> BS$37</f>
        <v>2957.8791490731824</v>
      </c>
      <c r="BT47" s="61">
        <f> BT$37</f>
        <v>3754.3438247133445</v>
      </c>
      <c r="BU47" s="61">
        <f> BU$37</f>
        <v>3514.7825422900014</v>
      </c>
      <c r="BV47" s="61">
        <f> BV$37</f>
        <v>3810.242837508931</v>
      </c>
      <c r="BW47" s="61">
        <f> BW$37</f>
        <v>3838.5036821253275</v>
      </c>
      <c r="BX47" s="61">
        <f> BX$37</f>
        <v>3866.9741394547427</v>
      </c>
      <c r="BY47" s="61">
        <f> BY$37</f>
        <v>3895.655764209716</v>
      </c>
      <c r="BZ47" s="61">
        <f> BZ$37</f>
        <v>3924.5501226341976</v>
      </c>
      <c r="CA47" s="61">
        <f> CA$37</f>
        <v>3953.6587925890876</v>
      </c>
      <c r="CB47" s="61">
        <f> CB$37</f>
        <v>3982.9833636383846</v>
      </c>
      <c r="CC47" s="61">
        <f> CC$37</f>
        <v>4012.5254371360056</v>
      </c>
      <c r="CD47" s="61">
        <f> CD$37</f>
        <v>4042.2866263132228</v>
      </c>
      <c r="CE47" s="61">
        <f> CE$37</f>
        <v>4072.268556366757</v>
      </c>
      <c r="CF47" s="61">
        <f> CF$37</f>
        <v>4102.472864547535</v>
      </c>
      <c r="CG47" s="61">
        <f> CG$37</f>
        <v>4132.901200250086</v>
      </c>
      <c r="CH47" s="61">
        <f> CH$37</f>
        <v>4163.555225102618</v>
      </c>
      <c r="CI47" s="61">
        <f> CI$37</f>
        <v>4194.436613057758</v>
      </c>
      <c r="CJ47" s="61">
        <f> CJ$37</f>
        <v>4225.5470504839595</v>
      </c>
      <c r="CK47" s="61">
        <f> CK$37</f>
        <v>4256.888236257587</v>
      </c>
      <c r="CL47" s="61">
        <f> CL$37</f>
        <v>4288.461881855696</v>
      </c>
      <c r="CM47" s="61">
        <f> CM$37</f>
        <v>4320.26971144949</v>
      </c>
      <c r="CN47" s="61">
        <f> CN$37</f>
        <v>5.142960537976725e-13</v>
      </c>
      <c r="CO47" s="61">
        <f> CO$37</f>
        <v>5.29189120061567e-13</v>
      </c>
    </row>
    <row r="48" customFormat="1" s="183">
      <c r="A48" s="294" t="n"/>
      <c r="B48" s="294" t="n"/>
      <c r="C48" s="212" t="n"/>
      <c r="D48" s="244" t="inlineStr">
        <is>
          <t>less</t>
        </is>
      </c>
      <c r="E48" s="61" t="str">
        <f> E$31</f>
        <v>Tax paid POS</v>
      </c>
      <c r="F48" s="61">
        <f> F$31</f>
        <v>0.0</v>
      </c>
      <c r="G48" s="61" t="str">
        <f> G$31</f>
        <v>$ 000s</v>
      </c>
      <c r="H48" s="61">
        <f> H$31</f>
        <v>189665.92408525173</v>
      </c>
      <c r="I48" s="61">
        <f> I$31</f>
        <v>0.0</v>
      </c>
      <c r="J48" s="61">
        <f> J$31</f>
        <v>0.0</v>
      </c>
      <c r="K48" s="61">
        <f> K$31</f>
        <v>0.0</v>
      </c>
      <c r="L48" s="61">
        <f> L$31</f>
        <v>-305.0923885528728</v>
      </c>
      <c r="M48" s="61">
        <f> M$31</f>
        <v>-351.48525710308957</v>
      </c>
      <c r="N48" s="61">
        <f> N$31</f>
        <v>-122.13920975640139</v>
      </c>
      <c r="O48" s="61">
        <f> O$31</f>
        <v>-163.21621877740512</v>
      </c>
      <c r="P48" s="61">
        <f> P$31</f>
        <v>75.08082518804756</v>
      </c>
      <c r="Q48" s="61">
        <f> Q$31</f>
        <v>20.422014845695706</v>
      </c>
      <c r="R48" s="61">
        <f> R$31</f>
        <v>241.08252070257143</v>
      </c>
      <c r="S48" s="61">
        <f> S$31</f>
        <v>182.77969737938147</v>
      </c>
      <c r="T48" s="61">
        <f> T$31</f>
        <v>466.58232949967385</v>
      </c>
      <c r="U48" s="61">
        <f> U$31</f>
        <v>393.7579179888404</v>
      </c>
      <c r="V48" s="61">
        <f> V$31</f>
        <v>614.7202159797175</v>
      </c>
      <c r="W48" s="61">
        <f> W$31</f>
        <v>534.6576449686914</v>
      </c>
      <c r="X48" s="61">
        <f> X$31</f>
        <v>746.3858252294714</v>
      </c>
      <c r="Y48" s="61">
        <f> Y$31</f>
        <v>651.1774208480454</v>
      </c>
      <c r="Z48" s="61">
        <f> Z$31</f>
        <v>865.3882615511553</v>
      </c>
      <c r="AA48" s="61">
        <f> AA$31</f>
        <v>768.7712439385739</v>
      </c>
      <c r="AB48" s="61">
        <f> AB$31</f>
        <v>969.1902079605635</v>
      </c>
      <c r="AC48" s="61">
        <f> AC$31</f>
        <v>863.6206522341762</v>
      </c>
      <c r="AD48" s="61">
        <f> AD$31</f>
        <v>1280.3529956219566</v>
      </c>
      <c r="AE48" s="61">
        <f> AE$31</f>
        <v>1164.8470189177513</v>
      </c>
      <c r="AF48" s="61">
        <f> AF$31</f>
        <v>1386.657431176232</v>
      </c>
      <c r="AG48" s="61">
        <f> AG$31</f>
        <v>1262.9877115723675</v>
      </c>
      <c r="AH48" s="61">
        <f> AH$31</f>
        <v>1490.9333384707181</v>
      </c>
      <c r="AI48" s="61">
        <f> AI$31</f>
        <v>1366.4219897690532</v>
      </c>
      <c r="AJ48" s="61">
        <f> AJ$31</f>
        <v>1593.7367258689226</v>
      </c>
      <c r="AK48" s="61">
        <f> AK$31</f>
        <v>1464.8133177283923</v>
      </c>
      <c r="AL48" s="61">
        <f> AL$31</f>
        <v>1694.7515307041397</v>
      </c>
      <c r="AM48" s="61">
        <f> AM$31</f>
        <v>1766.870563020227</v>
      </c>
      <c r="AN48" s="61">
        <f> AN$31</f>
        <v>2004.6010552065607</v>
      </c>
      <c r="AO48" s="61">
        <f> AO$31</f>
        <v>1855.302079467813</v>
      </c>
      <c r="AP48" s="61">
        <f> AP$31</f>
        <v>2103.5423179855</v>
      </c>
      <c r="AQ48" s="61">
        <f> AQ$31</f>
        <v>1953.3971297983774</v>
      </c>
      <c r="AR48" s="61">
        <f> AR$31</f>
        <v>2194.711063238854</v>
      </c>
      <c r="AS48" s="61">
        <f> AS$31</f>
        <v>2038.4073238025242</v>
      </c>
      <c r="AT48" s="61">
        <f> AT$31</f>
        <v>2291.801445653687</v>
      </c>
      <c r="AU48" s="61">
        <f> AU$31</f>
        <v>2134.457673605926</v>
      </c>
      <c r="AV48" s="61">
        <f> AV$31</f>
        <v>2396.922528086478</v>
      </c>
      <c r="AW48" s="61">
        <f> AW$31</f>
        <v>2233.4685592165088</v>
      </c>
      <c r="AX48" s="61">
        <f> AX$31</f>
        <v>2759.7725607167886</v>
      </c>
      <c r="AY48" s="61">
        <f> AY$31</f>
        <v>2585.0408009666035</v>
      </c>
      <c r="AZ48" s="61">
        <f> AZ$31</f>
        <v>2866.174219700051</v>
      </c>
      <c r="BA48" s="61">
        <f> BA$31</f>
        <v>2726.838948360078</v>
      </c>
      <c r="BB48" s="61">
        <f> BB$31</f>
        <v>3047.7170932460817</v>
      </c>
      <c r="BC48" s="61">
        <f> BC$31</f>
        <v>2873.3892784267546</v>
      </c>
      <c r="BD48" s="61">
        <f> BD$31</f>
        <v>3142.232433290898</v>
      </c>
      <c r="BE48" s="61">
        <f> BE$31</f>
        <v>2939.0580080951445</v>
      </c>
      <c r="BF48" s="61">
        <f> BF$31</f>
        <v>3210.759691418995</v>
      </c>
      <c r="BG48" s="61">
        <f> BG$31</f>
        <v>3003.4730670258064</v>
      </c>
      <c r="BH48" s="61">
        <f> BH$31</f>
        <v>3035.2733603515753</v>
      </c>
      <c r="BI48" s="61">
        <f> BI$31</f>
        <v>3311.5491144568778</v>
      </c>
      <c r="BJ48" s="61">
        <f> BJ$31</f>
        <v>3098.1750704432106</v>
      </c>
      <c r="BK48" s="61">
        <f> BK$31</f>
        <v>3377.6788849920354</v>
      </c>
      <c r="BL48" s="61">
        <f> BL$31</f>
        <v>3160.286701567943</v>
      </c>
      <c r="BM48" s="61">
        <f> BM$31</f>
        <v>3443.152971276112</v>
      </c>
      <c r="BN48" s="61">
        <f> BN$31</f>
        <v>3221.7648367727597</v>
      </c>
      <c r="BO48" s="61">
        <f> BO$31</f>
        <v>3508.121540047237</v>
      </c>
      <c r="BP48" s="61">
        <f> BP$31</f>
        <v>3282.7519766951496</v>
      </c>
      <c r="BQ48" s="61">
        <f> BQ$31</f>
        <v>3313.1024492861575</v>
      </c>
      <c r="BR48" s="61">
        <f> BR$31</f>
        <v>3604.9224941358602</v>
      </c>
      <c r="BS48" s="61">
        <f> BS$31</f>
        <v>3373.59286848203</v>
      </c>
      <c r="BT48" s="61">
        <f> BT$31</f>
        <v>3669.19981173716</v>
      </c>
      <c r="BU48" s="61">
        <f> BU$31</f>
        <v>3433.8957299626263</v>
      </c>
      <c r="BV48" s="61">
        <f> BV$31</f>
        <v>3733.4003657979247</v>
      </c>
      <c r="BW48" s="61">
        <f> BW$31</f>
        <v>3765.503333999871</v>
      </c>
      <c r="BX48" s="61">
        <f> BX$31</f>
        <v>3797.6238087355596</v>
      </c>
      <c r="BY48" s="61">
        <f> BY$31</f>
        <v>3829.772950026492</v>
      </c>
      <c r="BZ48" s="61">
        <f> BZ$31</f>
        <v>3861.9614491601346</v>
      </c>
      <c r="CA48" s="61">
        <f> CA$31</f>
        <v>3894.1995527887275</v>
      </c>
      <c r="CB48" s="61">
        <f> CB$31</f>
        <v>3926.497085828043</v>
      </c>
      <c r="CC48" s="61">
        <f> CC$31</f>
        <v>3958.863473216181</v>
      </c>
      <c r="CD48" s="61">
        <f> CD$31</f>
        <v>3991.3077605893895</v>
      </c>
      <c r="CE48" s="61">
        <f> CE$31</f>
        <v>4023.838633929115</v>
      </c>
      <c r="CF48" s="61">
        <f> CF$31</f>
        <v>4056.464438231775</v>
      </c>
      <c r="CG48" s="61">
        <f> CG$31</f>
        <v>4089.193195250114</v>
      </c>
      <c r="CH48" s="61">
        <f> CH$31</f>
        <v>4122.032620352646</v>
      </c>
      <c r="CI48" s="61">
        <f> CI$31</f>
        <v>4154.990138545284</v>
      </c>
      <c r="CJ48" s="61">
        <f> CJ$31</f>
        <v>4188.072899697108</v>
      </c>
      <c r="CK48" s="61">
        <f> CK$31</f>
        <v>4221.2877930100785</v>
      </c>
      <c r="CL48" s="61">
        <f> CL$31</f>
        <v>4254.641460770564</v>
      </c>
      <c r="CM48" s="61">
        <f> CM$31</f>
        <v>3677.6817108319674</v>
      </c>
      <c r="CN48" s="61">
        <f> CN$31</f>
        <v>5.142960537976725e-13</v>
      </c>
      <c r="CO48" s="61">
        <f> CO$31</f>
        <v>5.29189120061567e-13</v>
      </c>
    </row>
    <row r="49" customFormat="1" s="322">
      <c r="A49" s="318" t="n"/>
      <c r="B49" s="318" t="n"/>
      <c r="C49" s="319" t="n"/>
      <c r="D49" s="320" t="n"/>
      <c r="E49" s="322" t="inlineStr">
        <is>
          <t>Deferred tax balance</t>
        </is>
      </c>
      <c r="F49" s="322" t="inlineStr">
        <is>
          <t>BS</t>
        </is>
      </c>
      <c r="G49" s="322" t="inlineStr">
        <is>
          <t>$ 000s</t>
        </is>
      </c>
      <c r="I49" s="323" t="n"/>
      <c r="J49" s="322">
        <f> IF(J44 = 1, $F43, J46 + J47 - J48)</f>
        <v>0.0</v>
      </c>
      <c r="K49" s="322">
        <f> IF(K44 = 1, $F43, K46 + K47 - K48)</f>
        <v>0.0</v>
      </c>
      <c r="L49" s="322">
        <f> IF(L44 = 1, $F43, L46 + L47 - L48)</f>
        <v>1010.677992451768</v>
      </c>
      <c r="M49" s="322">
        <f> IF(M44 = 1, $F43, M46 + M47 - M48)</f>
        <v>1945.5551354696536</v>
      </c>
      <c r="N49" s="322">
        <f> IF(N44 = 1, $F43, N46 + N47 - N48)</f>
        <v>2808.42147152535</v>
      </c>
      <c r="O49" s="322">
        <f> IF(O44 = 1, $F43, O46 + O47 - O48)</f>
        <v>3602.8775409669684</v>
      </c>
      <c r="P49" s="322">
        <f> IF(P44 = 1, $F43, P46 + P47 - P48)</f>
        <v>4332.343857125212</v>
      </c>
      <c r="Q49" s="322">
        <f> IF(Q44 = 1, $F43, Q46 + Q47 - Q48)</f>
        <v>5000.069907664248</v>
      </c>
      <c r="R49" s="322">
        <f> IF(R44 = 1, $F43, R46 + R47 - R48)</f>
        <v>5609.142705865038</v>
      </c>
      <c r="S49" s="322">
        <f> IF(S44 = 1, $F43, S46 + S47 - S48)</f>
        <v>6162.494914344495</v>
      </c>
      <c r="T49" s="322">
        <f> IF(T44 = 1, $F43, T46 + T47 - T48)</f>
        <v>6662.9125625886845</v>
      </c>
      <c r="U49" s="322">
        <f> IF(U44 = 1, $F43, U46 + U47 - U48)</f>
        <v>7111.542378609371</v>
      </c>
      <c r="V49" s="322">
        <f> IF(V44 = 1, $F43, V46 + V47 - V48)</f>
        <v>7510.973754017728</v>
      </c>
      <c r="W49" s="322">
        <f> IF(W44 = 1, $F43, W46 + W47 - W48)</f>
        <v>7863.666610844374</v>
      </c>
      <c r="X49" s="322">
        <f> IF(X44 = 1, $F43, X46 + X47 - X48)</f>
        <v>8171.957875018393</v>
      </c>
      <c r="Y49" s="322">
        <f> IF(Y44 = 1, $F43, Y46 + Y47 - Y48)</f>
        <v>8437.317626172417</v>
      </c>
      <c r="Z49" s="322">
        <f> IF(Z44 = 1, $F43, Z46 + Z47 - Z48)</f>
        <v>8661.892439957444</v>
      </c>
      <c r="AA49" s="322">
        <f> IF(AA44 = 1, $F43, AA46 + AA47 - AA48)</f>
        <v>8847.721563241927</v>
      </c>
      <c r="AB49" s="322">
        <f> IF(AB44 = 1, $F43, AB46 + AB47 - AB48)</f>
        <v>8996.74228055089</v>
      </c>
      <c r="AC49" s="322">
        <f> IF(AC44 = 1, $F43, AC46 + AC47 - AC48)</f>
        <v>9109.670012183113</v>
      </c>
      <c r="AD49" s="322">
        <f> IF(AD44 = 1, $F43, AD46 + AD47 - AD48)</f>
        <v>9188.309407422428</v>
      </c>
      <c r="AE49" s="322">
        <f> IF(AE44 = 1, $F43, AE46 + AE47 - AE48)</f>
        <v>9234.374883088485</v>
      </c>
      <c r="AF49" s="322">
        <f> IF(AF44 = 1, $F43, AF46 + AF47 - AF48)</f>
        <v>9249.495135159945</v>
      </c>
      <c r="AG49" s="322">
        <f> IF(AG44 = 1, $F43, AG46 + AG47 - AG48)</f>
        <v>9234.467424816536</v>
      </c>
      <c r="AH49" s="322">
        <f> IF(AH44 = 1, $F43, AH46 + AH47 - AH48)</f>
        <v>9190.799150179004</v>
      </c>
      <c r="AI49" s="322">
        <f> IF(AI44 = 1, $F43, AI46 + AI47 - AI48)</f>
        <v>9119.922339462055</v>
      </c>
      <c r="AJ49" s="322">
        <f> IF(AJ44 = 1, $F43, AJ46 + AJ47 - AJ48)</f>
        <v>9023.19741946966</v>
      </c>
      <c r="AK49" s="322">
        <f> IF(AK44 = 1, $F43, AK46 + AK47 - AK48)</f>
        <v>8901.54179566559</v>
      </c>
      <c r="AL49" s="322">
        <f> IF(AL44 = 1, $F43, AL46 + AL47 - AL48)</f>
        <v>8756.202003240429</v>
      </c>
      <c r="AM49" s="322">
        <f> IF(AM44 = 1, $F43, AM46 + AM47 - AM48)</f>
        <v>8588.362250625232</v>
      </c>
      <c r="AN49" s="322">
        <f> IF(AN44 = 1, $F43, AN46 + AN47 - AN48)</f>
        <v>8429.147535829501</v>
      </c>
      <c r="AO49" s="322">
        <f> IF(AO44 = 1, $F43, AO46 + AO47 - AO48)</f>
        <v>8248.876606962263</v>
      </c>
      <c r="AP49" s="322">
        <f> IF(AP44 = 1, $F43, AP46 + AP47 - AP48)</f>
        <v>8048.602274727091</v>
      </c>
      <c r="AQ49" s="322">
        <f> IF(AQ44 = 1, $F43, AQ46 + AQ47 - AQ48)</f>
        <v>7829.324709292385</v>
      </c>
      <c r="AR49" s="322">
        <f> IF(AR44 = 1, $F43, AR46 + AR47 - AR48)</f>
        <v>7606.994072318119</v>
      </c>
      <c r="AS49" s="322">
        <f> IF(AS44 = 1, $F43, AS46 + AS47 - AS48)</f>
        <v>7366.763017381273</v>
      </c>
      <c r="AT49" s="322">
        <f> IF(AT44 = 1, $F43, AT46 + AT47 - AT48)</f>
        <v>7109.526565379974</v>
      </c>
      <c r="AU49" s="322">
        <f> IF(AU44 = 1, $F43, AU46 + AU47 - AU48)</f>
        <v>6836.134986167446</v>
      </c>
      <c r="AV49" s="322">
        <f> IF(AV44 = 1, $F43, AV46 + AV47 - AV48)</f>
        <v>6569.896036104252</v>
      </c>
      <c r="AW49" s="322">
        <f> IF(AW44 = 1, $F43, AW46 + AW47 - AW48)</f>
        <v>6289.077083732921</v>
      </c>
      <c r="AX49" s="322">
        <f> IF(AX44 = 1, $F43, AX46 + AX47 - AX48)</f>
        <v>5994.407129168863</v>
      </c>
      <c r="AY49" s="322">
        <f> IF(AY44 = 1, $F43, AY46 + AY47 - AY48)</f>
        <v>5686.578722521715</v>
      </c>
      <c r="AZ49" s="322">
        <f> IF(AZ44 = 1, $F43, AZ46 + AZ47 - AZ48)</f>
        <v>5381.249786395629</v>
      </c>
      <c r="BA49" s="322">
        <f> IF(BA44 = 1, $F43, BA46 + BA47 - BA48)</f>
        <v>5064.045347264553</v>
      </c>
      <c r="BB49" s="322">
        <f> IF(BB44 = 1, $F43, BB46 + BB47 - BB48)</f>
        <v>4735.5591802787385</v>
      </c>
      <c r="BC49" s="322">
        <f> IF(BC44 = 1, $F43, BC46 + BC47 - BC48)</f>
        <v>4396.355371830919</v>
      </c>
      <c r="BD49" s="322">
        <f> IF(BD44 = 1, $F43, BD46 + BD47 - BD48)</f>
        <v>4054.4698039941964</v>
      </c>
      <c r="BE49" s="322">
        <f> IF(BE44 = 1, $F43, BE46 + BE47 - BE48)</f>
        <v>3702.9115647380154</v>
      </c>
      <c r="BF49" s="322">
        <f> IF(BF44 = 1, $F43, BF46 + BF47 - BF48)</f>
        <v>3342.1642876333494</v>
      </c>
      <c r="BG49" s="322">
        <f> IF(BG44 = 1, $F43, BG46 + BG47 - BG48)</f>
        <v>2972.6874245726217</v>
      </c>
      <c r="BH49" s="322">
        <f> IF(BH44 = 1, $F43, BH46 + BH47 - BH48)</f>
        <v>2609.9174548536366</v>
      </c>
      <c r="BI49" s="322">
        <f> IF(BI44 = 1, $F43, BI46 + BI47 - BI48)</f>
        <v>2239.269033809306</v>
      </c>
      <c r="BJ49" s="322">
        <f> IF(BJ44 = 1, $F43, BJ46 + BJ47 - BJ48)</f>
        <v>1861.1360840058987</v>
      </c>
      <c r="BK49" s="322">
        <f> IF(BK44 = 1, $F43, BK46 + BK47 - BK48)</f>
        <v>1475.8928318813673</v>
      </c>
      <c r="BL49" s="322">
        <f> IF(BL44 = 1, $F43, BL46 + BL47 - BL48)</f>
        <v>1098.8947925517687</v>
      </c>
      <c r="BM49" s="322">
        <f> IF(BM44 = 1, $F43, BM46 + BM47 - BM48)</f>
        <v>715.4797053773555</v>
      </c>
      <c r="BN49" s="322">
        <f> IF(BN44 = 1, $F43, BN46 + BN47 - BN48)</f>
        <v>325.968422750369</v>
      </c>
      <c r="BO49" s="322">
        <f> IF(BO44 = 1, $F43, BO46 + BO47 - BO48)</f>
        <v>-69.33424555656302</v>
      </c>
      <c r="BP49" s="322">
        <f> IF(BP44 = 1, $F43, BP46 + BP47 - BP48)</f>
        <v>-470.13873025944304</v>
      </c>
      <c r="BQ49" s="322">
        <f> IF(BQ44 = 1, $F43, BQ46 + BQ47 - BQ48)</f>
        <v>-876.1699405384729</v>
      </c>
      <c r="BR49" s="322">
        <f> IF(BR44 = 1, $F43, BR46 + BR47 - BR48)</f>
        <v>-1287.1665401148452</v>
      </c>
      <c r="BS49" s="322">
        <f> IF(BS44 = 1, $F43, BS46 + BS47 - BS48)</f>
        <v>-1702.880259523693</v>
      </c>
      <c r="BT49" s="322">
        <f> IF(BT44 = 1, $F43, BT46 + BT47 - BT48)</f>
        <v>-1617.7362465475085</v>
      </c>
      <c r="BU49" s="322">
        <f> IF(BU44 = 1, $F43, BU46 + BU47 - BU48)</f>
        <v>-1536.8494342201334</v>
      </c>
      <c r="BV49" s="322">
        <f> IF(BV44 = 1, $F43, BV46 + BV47 - BV48)</f>
        <v>-1460.0069625091269</v>
      </c>
      <c r="BW49" s="322">
        <f> IF(BW44 = 1, $F43, BW46 + BW47 - BW48)</f>
        <v>-1387.0066143836702</v>
      </c>
      <c r="BX49" s="322">
        <f> IF(BX44 = 1, $F43, BX46 + BX47 - BX48)</f>
        <v>-1317.656283664487</v>
      </c>
      <c r="BY49" s="322">
        <f> IF(BY44 = 1, $F43, BY46 + BY47 - BY48)</f>
        <v>-1251.773469481263</v>
      </c>
      <c r="BZ49" s="322">
        <f> IF(BZ44 = 1, $F43, BZ46 + BZ47 - BZ48)</f>
        <v>-1189.1847960072</v>
      </c>
      <c r="CA49" s="322">
        <f> IF(CA44 = 1, $F43, CA46 + CA47 - CA48)</f>
        <v>-1129.7255562068399</v>
      </c>
      <c r="CB49" s="322">
        <f> IF(CB44 = 1, $F43, CB46 + CB47 - CB48)</f>
        <v>-1073.2392783964983</v>
      </c>
      <c r="CC49" s="322">
        <f> IF(CC44 = 1, $F43, CC46 + CC47 - CC48)</f>
        <v>-1019.5773144766736</v>
      </c>
      <c r="CD49" s="322">
        <f> IF(CD44 = 1, $F43, CD46 + CD47 - CD48)</f>
        <v>-968.5984487528403</v>
      </c>
      <c r="CE49" s="322">
        <f> IF(CE44 = 1, $F43, CE46 + CE47 - CE48)</f>
        <v>-920.1685263151985</v>
      </c>
      <c r="CF49" s="322">
        <f> IF(CF44 = 1, $F43, CF46 + CF47 - CF48)</f>
        <v>-874.1600999994384</v>
      </c>
      <c r="CG49" s="322">
        <f> IF(CG44 = 1, $F43, CG46 + CG47 - CG48)</f>
        <v>-830.4520949994667</v>
      </c>
      <c r="CH49" s="322">
        <f> IF(CH44 = 1, $F43, CH46 + CH47 - CH48)</f>
        <v>-788.9294902494939</v>
      </c>
      <c r="CI49" s="322">
        <f> IF(CI44 = 1, $F43, CI46 + CI47 - CI48)</f>
        <v>-749.4830157370197</v>
      </c>
      <c r="CJ49" s="322">
        <f> IF(CJ44 = 1, $F43, CJ46 + CJ47 - CJ48)</f>
        <v>-712.0088649501686</v>
      </c>
      <c r="CK49" s="322">
        <f> IF(CK44 = 1, $F43, CK46 + CK47 - CK48)</f>
        <v>-676.4084217026602</v>
      </c>
      <c r="CL49" s="322">
        <f> IF(CL44 = 1, $F43, CL46 + CL47 - CL48)</f>
        <v>-642.5880006175275</v>
      </c>
      <c r="CM49" s="322">
        <f> IF(CM44 = 1, $F43, CM46 + CM47 - CM48)</f>
        <v>-4.547473508864641e-12</v>
      </c>
      <c r="CN49" s="322">
        <f> IF(CN44 = 1, $F43, CN46 + CN47 - CN48)</f>
        <v>-4.547473508864641e-12</v>
      </c>
      <c r="CO49" s="322">
        <f> IF(CO44 = 1, $F43, CO46 + CO47 - CO48)</f>
        <v>-4.547473508864641e-12</v>
      </c>
    </row>
    <row r="51">
      <c r="A51" s="294" t="inlineStr">
        <is>
          <t>TAX BEFORE INTEREST DEDUCTION (used only for sizing debt)</t>
        </is>
      </c>
    </row>
    <row r="52">
      <c r="A52" s="263" t="n"/>
      <c r="B52" s="263" t="n"/>
      <c r="C52" s="264" t="n"/>
      <c r="D52" s="335" t="n"/>
      <c r="E52" s="260" t="inlineStr">
        <is>
          <t>Taxable income before interest deduction</t>
        </is>
      </c>
      <c r="G52" s="260" t="str">
        <f>SMU</f>
        <v>$ 000s</v>
      </c>
      <c r="H52" s="260">
        <f> SUM(J52:CO52)</f>
        <v>680127.4015806675</v>
      </c>
      <c r="J52" s="260">
        <f>J24-J25</f>
        <v>0.0</v>
      </c>
      <c r="K52" s="260">
        <f>K24-K25</f>
        <v>0.0</v>
      </c>
      <c r="L52" s="260">
        <f>L24-L25</f>
        <v>589.2351411204654</v>
      </c>
      <c r="M52" s="260">
        <f>M24-M25</f>
        <v>446.03681315933864</v>
      </c>
      <c r="N52" s="260">
        <f>N24-N25</f>
        <v>1209.215669104763</v>
      </c>
      <c r="O52" s="260">
        <f>O24-O25</f>
        <v>1052.2439444416614</v>
      </c>
      <c r="P52" s="260">
        <f>P24-P25</f>
        <v>1793.2162733241476</v>
      </c>
      <c r="Q52" s="260">
        <f>Q24-Q25</f>
        <v>1607.6577146082536</v>
      </c>
      <c r="R52" s="260">
        <f>R24-R25</f>
        <v>2340.4569856399326</v>
      </c>
      <c r="S52" s="260">
        <f>S24-S25</f>
        <v>2125.1681891488674</v>
      </c>
      <c r="T52" s="260">
        <f>T24-T25</f>
        <v>3049.5600903922673</v>
      </c>
      <c r="U52" s="260">
        <f>U24-U25</f>
        <v>2784.4632530322388</v>
      </c>
      <c r="V52" s="260">
        <f>V24-V25</f>
        <v>3514.947603966846</v>
      </c>
      <c r="W52" s="260">
        <f>W24-W25</f>
        <v>3224.351098518234</v>
      </c>
      <c r="X52" s="260">
        <f>X24-X25</f>
        <v>3883.750511109275</v>
      </c>
      <c r="Y52" s="260">
        <f>Y24-Y25</f>
        <v>3557.5428030577386</v>
      </c>
      <c r="Z52" s="260">
        <f>Z24-Z25</f>
        <v>4263.245382710747</v>
      </c>
      <c r="AA52" s="260">
        <f>AA24-AA25</f>
        <v>3916.097261919574</v>
      </c>
      <c r="AB52" s="260">
        <f>AB24-AB25</f>
        <v>4542.027875366057</v>
      </c>
      <c r="AC52" s="260">
        <f>AC24-AC25</f>
        <v>4178.9456936268</v>
      </c>
      <c r="AD52" s="260">
        <f>AD24-AD25</f>
        <v>5557.291380311101</v>
      </c>
      <c r="AE52" s="260">
        <f>AE24-AE25</f>
        <v>5143.427332131154</v>
      </c>
      <c r="AF52" s="260">
        <f>AF24-AF25</f>
        <v>5834.0984511091</v>
      </c>
      <c r="AG52" s="260">
        <f>AG24-AG25</f>
        <v>5404.369131858797</v>
      </c>
      <c r="AH52" s="260">
        <f>AH24-AH25</f>
        <v>6146.850193789782</v>
      </c>
      <c r="AI52" s="260">
        <f>AI24-AI25</f>
        <v>5699.428220560964</v>
      </c>
      <c r="AJ52" s="260">
        <f>AJ24-AJ25</f>
        <v>6417.234569684956</v>
      </c>
      <c r="AK52" s="260">
        <f>AK24-AK25</f>
        <v>5954.20771260501</v>
      </c>
      <c r="AL52" s="260">
        <f>AL24-AL25</f>
        <v>6699.577831054406</v>
      </c>
      <c r="AM52" s="260">
        <f>AM24-AM25</f>
        <v>6904.9705143283745</v>
      </c>
      <c r="AN52" s="260">
        <f>AN24-AN25</f>
        <v>7647.057107449347</v>
      </c>
      <c r="AO52" s="260">
        <f>AO24-AO25</f>
        <v>7120.433965666887</v>
      </c>
      <c r="AP52" s="260">
        <f>AP24-AP25</f>
        <v>7918.681346808743</v>
      </c>
      <c r="AQ52" s="260">
        <f>AQ24-AQ25</f>
        <v>7376.328930184322</v>
      </c>
      <c r="AR52" s="260">
        <f>AR24-AR25</f>
        <v>8128.9676560776215</v>
      </c>
      <c r="AS52" s="260">
        <f>AS24-AS25</f>
        <v>7573.920878271448</v>
      </c>
      <c r="AT52" s="260">
        <f>AT24-AT25</f>
        <v>8384.121986165832</v>
      </c>
      <c r="AU52" s="260">
        <f>AU24-AU25</f>
        <v>7814.104987095036</v>
      </c>
      <c r="AV52" s="260">
        <f>AV24-AV25</f>
        <v>8629.998565314876</v>
      </c>
      <c r="AW52" s="260">
        <f>AW24-AW25</f>
        <v>8045.442290196768</v>
      </c>
      <c r="AX52" s="260">
        <f>AX24-AX25</f>
        <v>9759.497829645217</v>
      </c>
      <c r="AY52" s="260">
        <f>AY24-AY25</f>
        <v>9124.639349316258</v>
      </c>
      <c r="AZ52" s="260">
        <f>AZ24-AZ25</f>
        <v>10003.39967565459</v>
      </c>
      <c r="BA52" s="260">
        <f>BA24-BA25</f>
        <v>9354.159130282183</v>
      </c>
      <c r="BB52" s="260">
        <f>BB24-BB25</f>
        <v>10241.32037677328</v>
      </c>
      <c r="BC52" s="260">
        <f>BC24-BC25</f>
        <v>9577.964261422516</v>
      </c>
      <c r="BD52" s="260">
        <f>BD24-BD25</f>
        <v>10474.10811096966</v>
      </c>
      <c r="BE52" s="260">
        <f>BE24-BE25</f>
        <v>9796.860026983813</v>
      </c>
      <c r="BF52" s="260">
        <f>BF24-BF25</f>
        <v>10702.53230472998</v>
      </c>
      <c r="BG52" s="260">
        <f>BG24-BG25</f>
        <v>10011.57689008602</v>
      </c>
      <c r="BH52" s="260">
        <f>BH24-BH25</f>
        <v>10117.577867838583</v>
      </c>
      <c r="BI52" s="260">
        <f>BI24-BI25</f>
        <v>11038.49704818959</v>
      </c>
      <c r="BJ52" s="260">
        <f>BJ24-BJ25</f>
        <v>10327.250234810701</v>
      </c>
      <c r="BK52" s="260">
        <f>BK24-BK25</f>
        <v>11258.929616640116</v>
      </c>
      <c r="BL52" s="260">
        <f>BL24-BL25</f>
        <v>10534.289005226476</v>
      </c>
      <c r="BM52" s="260">
        <f>BM24-BM25</f>
        <v>11477.176570920372</v>
      </c>
      <c r="BN52" s="260">
        <f>BN24-BN25</f>
        <v>10739.216122575865</v>
      </c>
      <c r="BO52" s="260">
        <f>BO24-BO25</f>
        <v>11693.738466824121</v>
      </c>
      <c r="BP52" s="260">
        <f>BP24-BP25</f>
        <v>10942.50658898383</v>
      </c>
      <c r="BQ52" s="260">
        <f>BQ24-BQ25</f>
        <v>11043.674830953856</v>
      </c>
      <c r="BR52" s="260">
        <f>BR24-BR25</f>
        <v>12016.4083137862</v>
      </c>
      <c r="BS52" s="260">
        <f>BS24-BS25</f>
        <v>11245.309561606766</v>
      </c>
      <c r="BT52" s="260">
        <f>BT24-BT25</f>
        <v>12230.666039123866</v>
      </c>
      <c r="BU52" s="260">
        <f>BU24-BU25</f>
        <v>11446.31909987542</v>
      </c>
      <c r="BV52" s="260">
        <f>BV24-BV25</f>
        <v>12444.667885993082</v>
      </c>
      <c r="BW52" s="260">
        <f>BW24-BW25</f>
        <v>12551.677779999569</v>
      </c>
      <c r="BX52" s="260">
        <f>BX24-BX25</f>
        <v>12658.74602911853</v>
      </c>
      <c r="BY52" s="260">
        <f>BY24-BY25</f>
        <v>12765.909833421638</v>
      </c>
      <c r="BZ52" s="260">
        <f>BZ24-BZ25</f>
        <v>12873.204830533781</v>
      </c>
      <c r="CA52" s="260">
        <f>CA24-CA25</f>
        <v>12980.665175962424</v>
      </c>
      <c r="CB52" s="260">
        <f>CB24-CB25</f>
        <v>13088.323619426808</v>
      </c>
      <c r="CC52" s="260">
        <f>CC24-CC25</f>
        <v>13196.211577387268</v>
      </c>
      <c r="CD52" s="260">
        <f>CD24-CD25</f>
        <v>13304.359201964631</v>
      </c>
      <c r="CE52" s="260">
        <f>CE24-CE25</f>
        <v>13412.795446430382</v>
      </c>
      <c r="CF52" s="260">
        <f>CF24-CF25</f>
        <v>13521.54812743925</v>
      </c>
      <c r="CG52" s="260">
        <f>CG24-CG25</f>
        <v>13630.643984167045</v>
      </c>
      <c r="CH52" s="260">
        <f>CH24-CH25</f>
        <v>13740.108734508816</v>
      </c>
      <c r="CI52" s="260">
        <f>CI24-CI25</f>
        <v>13849.967128484279</v>
      </c>
      <c r="CJ52" s="260">
        <f>CJ24-CJ25</f>
        <v>13960.242998990361</v>
      </c>
      <c r="CK52" s="260">
        <f>CK24-CK25</f>
        <v>14070.959310033595</v>
      </c>
      <c r="CL52" s="260">
        <f>CL24-CL25</f>
        <v>14182.138202568545</v>
      </c>
      <c r="CM52" s="260">
        <f>CM24-CM25</f>
        <v>12258.939036106556</v>
      </c>
      <c r="CN52" s="260">
        <f>CN24-CN25</f>
        <v>0.0</v>
      </c>
      <c r="CO52" s="260">
        <f>CO24-CO25</f>
        <v>0.0</v>
      </c>
    </row>
    <row r="53">
      <c r="A53" s="263" t="n"/>
      <c r="B53" s="263" t="n"/>
      <c r="C53" s="264" t="n"/>
      <c r="D53" s="335" t="n"/>
      <c r="E53" s="260" t="inlineStr">
        <is>
          <t>Tax paid before interest deduction POS (for debt sizing)</t>
        </is>
      </c>
      <c r="G53" s="260" t="str">
        <f>SMU</f>
        <v>$ 000s</v>
      </c>
      <c r="H53" s="260">
        <f> SUM(J53:CO53)</f>
        <v>204038.22047420027</v>
      </c>
      <c r="J53" s="260">
        <f>$F29*J52</f>
        <v>0.0</v>
      </c>
      <c r="K53" s="260">
        <f>$F29*K52</f>
        <v>0.0</v>
      </c>
      <c r="L53" s="260">
        <f>$F29*L52</f>
        <v>176.7705423361396</v>
      </c>
      <c r="M53" s="260">
        <f>$F29*M52</f>
        <v>133.81104394780158</v>
      </c>
      <c r="N53" s="260">
        <f>$F29*N52</f>
        <v>362.7647007314289</v>
      </c>
      <c r="O53" s="260">
        <f>$F29*O52</f>
        <v>315.6731833324984</v>
      </c>
      <c r="P53" s="260">
        <f>$F29*P52</f>
        <v>537.9648819972442</v>
      </c>
      <c r="Q53" s="260">
        <f>$F29*Q52</f>
        <v>482.2973143824761</v>
      </c>
      <c r="R53" s="260">
        <f>$F29*R52</f>
        <v>702.1370956919798</v>
      </c>
      <c r="S53" s="260">
        <f>$F29*S52</f>
        <v>637.5504567446602</v>
      </c>
      <c r="T53" s="260">
        <f>$F29*T52</f>
        <v>914.8680271176802</v>
      </c>
      <c r="U53" s="260">
        <f>$F29*U52</f>
        <v>835.3389759096716</v>
      </c>
      <c r="V53" s="260">
        <f>$F29*V52</f>
        <v>1054.4842811900537</v>
      </c>
      <c r="W53" s="260">
        <f>$F29*W52</f>
        <v>967.30532955547</v>
      </c>
      <c r="X53" s="260">
        <f>$F29*X52</f>
        <v>1165.1251533327825</v>
      </c>
      <c r="Y53" s="260">
        <f>$F29*Y52</f>
        <v>1067.2628409173215</v>
      </c>
      <c r="Z53" s="260">
        <f>$F29*Z52</f>
        <v>1278.9736148132242</v>
      </c>
      <c r="AA53" s="260">
        <f>$F29*AA52</f>
        <v>1174.8291785758722</v>
      </c>
      <c r="AB53" s="260">
        <f>$F29*AB52</f>
        <v>1362.608362609817</v>
      </c>
      <c r="AC53" s="260">
        <f>$F29*AC52</f>
        <v>1253.6837080880398</v>
      </c>
      <c r="AD53" s="260">
        <f>$F29*AD52</f>
        <v>1667.1874140933303</v>
      </c>
      <c r="AE53" s="260">
        <f>$F29*AE52</f>
        <v>1543.0281996393462</v>
      </c>
      <c r="AF53" s="260">
        <f>$F29*AF52</f>
        <v>1750.22953533273</v>
      </c>
      <c r="AG53" s="260">
        <f>$F29*AG52</f>
        <v>1621.3107395576392</v>
      </c>
      <c r="AH53" s="260">
        <f>$F29*AH52</f>
        <v>1844.0550581369343</v>
      </c>
      <c r="AI53" s="260">
        <f>$F29*AI52</f>
        <v>1709.8284661682892</v>
      </c>
      <c r="AJ53" s="260">
        <f>$F29*AJ52</f>
        <v>1925.1703709054868</v>
      </c>
      <c r="AK53" s="260">
        <f>$F29*AK52</f>
        <v>1786.2623137815028</v>
      </c>
      <c r="AL53" s="260">
        <f>$F29*AL52</f>
        <v>2009.8733493163215</v>
      </c>
      <c r="AM53" s="260">
        <f>$F29*AM52</f>
        <v>2071.4911542985124</v>
      </c>
      <c r="AN53" s="260">
        <f>$F29*AN52</f>
        <v>2294.117132234804</v>
      </c>
      <c r="AO53" s="260">
        <f>$F29*AO52</f>
        <v>2136.1301897000662</v>
      </c>
      <c r="AP53" s="260">
        <f>$F29*AP52</f>
        <v>2375.6044040426227</v>
      </c>
      <c r="AQ53" s="260">
        <f>$F29*AQ52</f>
        <v>2212.8986790552967</v>
      </c>
      <c r="AR53" s="260">
        <f>$F29*AR52</f>
        <v>2438.690296823286</v>
      </c>
      <c r="AS53" s="260">
        <f>$F29*AS52</f>
        <v>2272.176263481434</v>
      </c>
      <c r="AT53" s="260">
        <f>$F29*AT52</f>
        <v>2515.2365958497494</v>
      </c>
      <c r="AU53" s="260">
        <f>$F29*AU52</f>
        <v>2344.231496128511</v>
      </c>
      <c r="AV53" s="260">
        <f>$F29*AV52</f>
        <v>2588.9995695944626</v>
      </c>
      <c r="AW53" s="260">
        <f>$F29*AW52</f>
        <v>2413.6326870590306</v>
      </c>
      <c r="AX53" s="260">
        <f>$F29*AX52</f>
        <v>2927.849348893565</v>
      </c>
      <c r="AY53" s="260">
        <f>$F29*AY52</f>
        <v>2737.3918047948773</v>
      </c>
      <c r="AZ53" s="260">
        <f>$F29*AZ52</f>
        <v>3001.019902696377</v>
      </c>
      <c r="BA53" s="260">
        <f>$F29*BA52</f>
        <v>2806.2477390846548</v>
      </c>
      <c r="BB53" s="260">
        <f>$F29*BB52</f>
        <v>3072.3961130319835</v>
      </c>
      <c r="BC53" s="260">
        <f>$F29*BC52</f>
        <v>2873.3892784267546</v>
      </c>
      <c r="BD53" s="260">
        <f>$F29*BD52</f>
        <v>3142.232433290898</v>
      </c>
      <c r="BE53" s="260">
        <f>$F29*BE52</f>
        <v>2939.058008095144</v>
      </c>
      <c r="BF53" s="260">
        <f>$F29*BF52</f>
        <v>3210.759691418994</v>
      </c>
      <c r="BG53" s="260">
        <f>$F29*BG52</f>
        <v>3003.473067025806</v>
      </c>
      <c r="BH53" s="260">
        <f>$F29*BH52</f>
        <v>3035.273360351575</v>
      </c>
      <c r="BI53" s="260">
        <f>$F29*BI52</f>
        <v>3311.5491144568773</v>
      </c>
      <c r="BJ53" s="260">
        <f>$F29*BJ52</f>
        <v>3098.17507044321</v>
      </c>
      <c r="BK53" s="260">
        <f>$F29*BK52</f>
        <v>3377.678884992035</v>
      </c>
      <c r="BL53" s="260">
        <f>$F29*BL52</f>
        <v>3160.2867015679426</v>
      </c>
      <c r="BM53" s="260">
        <f>$F29*BM52</f>
        <v>3443.1529712761117</v>
      </c>
      <c r="BN53" s="260">
        <f>$F29*BN52</f>
        <v>3221.7648367727593</v>
      </c>
      <c r="BO53" s="260">
        <f>$F29*BO52</f>
        <v>3508.121540047236</v>
      </c>
      <c r="BP53" s="260">
        <f>$F29*BP52</f>
        <v>3282.7519766951486</v>
      </c>
      <c r="BQ53" s="260">
        <f>$F29*BQ52</f>
        <v>3313.1024492861566</v>
      </c>
      <c r="BR53" s="260">
        <f>$F29*BR52</f>
        <v>3604.92249413586</v>
      </c>
      <c r="BS53" s="260">
        <f>$F29*BS52</f>
        <v>3373.5928684820296</v>
      </c>
      <c r="BT53" s="260">
        <f>$F29*BT52</f>
        <v>3669.1998117371595</v>
      </c>
      <c r="BU53" s="260">
        <f>$F29*BU52</f>
        <v>3433.895729962626</v>
      </c>
      <c r="BV53" s="260">
        <f>$F29*BV52</f>
        <v>3733.400365797924</v>
      </c>
      <c r="BW53" s="260">
        <f>$F29*BW52</f>
        <v>3765.5033339998704</v>
      </c>
      <c r="BX53" s="260">
        <f>$F29*BX52</f>
        <v>3797.623808735559</v>
      </c>
      <c r="BY53" s="260">
        <f>$F29*BY52</f>
        <v>3829.7729500264913</v>
      </c>
      <c r="BZ53" s="260">
        <f>$F29*BZ52</f>
        <v>3861.961449160134</v>
      </c>
      <c r="CA53" s="260">
        <f>$F29*CA52</f>
        <v>3894.199552788727</v>
      </c>
      <c r="CB53" s="260">
        <f>$F29*CB52</f>
        <v>3926.497085828042</v>
      </c>
      <c r="CC53" s="260">
        <f>$F29*CC52</f>
        <v>3958.8634732161804</v>
      </c>
      <c r="CD53" s="260">
        <f>$F29*CD52</f>
        <v>3991.307760589389</v>
      </c>
      <c r="CE53" s="260">
        <f>$F29*CE52</f>
        <v>4023.8386339291146</v>
      </c>
      <c r="CF53" s="260">
        <f>$F29*CF52</f>
        <v>4056.4644382317747</v>
      </c>
      <c r="CG53" s="260">
        <f>$F29*CG52</f>
        <v>4089.1931952501136</v>
      </c>
      <c r="CH53" s="260">
        <f>$F29*CH52</f>
        <v>4122.032620352645</v>
      </c>
      <c r="CI53" s="260">
        <f>$F29*CI52</f>
        <v>4154.990138545283</v>
      </c>
      <c r="CJ53" s="260">
        <f>$F29*CJ52</f>
        <v>4188.072899697108</v>
      </c>
      <c r="CK53" s="260">
        <f>$F29*CK52</f>
        <v>4221.2877930100785</v>
      </c>
      <c r="CL53" s="260">
        <f>$F29*CL52</f>
        <v>4254.641460770564</v>
      </c>
      <c r="CM53" s="260">
        <f>$F29*CM52</f>
        <v>3677.681710831967</v>
      </c>
      <c r="CN53" s="260">
        <f>$F29*CN52</f>
        <v>0.0</v>
      </c>
      <c r="CO53" s="260">
        <f>$F29*CO52</f>
        <v>0.0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1.xml><?xml version="1.0" encoding="utf-8"?>
<worksheet xmlns="http://schemas.openxmlformats.org/spreadsheetml/2006/main">
  <sheetPr>
    <tabColor rgb="000B5E82"/>
    <outlinePr summaryBelow="0" summaryRight="0"/>
    <pageSetUpPr/>
  </sheetPr>
  <dimension ref="A1:CO64"/>
  <sheetViews>
    <sheetView showGridLines="0" defaultGridColor="0" colorId="22" zoomScaleNormal="100" workbookViewId="0">
      <pane xSplit="9" ySplit="5" topLeftCell="J6" activePane="bottomRight" state="frozen"/>
      <selection activeCell="I34" sqref="I34"/>
      <selection pane="topRight" activeCell="I34" sqref="I34"/>
      <selection pane="bottomLeft" activeCell="I34" sqref="I34"/>
      <selection pane="bottomRight" activeCell="E19" sqref="A19:XFD19"/>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CAPITAL EXPENDITURE</t>
        </is>
      </c>
    </row>
    <row r="9">
      <c r="E9" s="339" t="str">
        <f> InpC!E$55</f>
        <v>Investment / addition date</v>
      </c>
      <c r="F9" s="339" t="str">
        <f> InpC!F$55</f>
        <v>$000s</v>
      </c>
      <c r="G9" s="325">
        <f> InpC!G$55</f>
        <v>0.0</v>
      </c>
    </row>
    <row r="10">
      <c r="E10" s="338">
        <f> InpC!E$56</f>
        <v>45291.0</v>
      </c>
      <c r="F10" s="325">
        <f> InpC!F$56</f>
        <v>2000.0</v>
      </c>
      <c r="G10" s="325" t="str">
        <f> InpC!G$56</f>
        <v>$ 000s</v>
      </c>
    </row>
    <row r="11">
      <c r="E11" s="338">
        <f> InpC!E$57</f>
        <v>45657.0</v>
      </c>
      <c r="F11" s="325">
        <f> InpC!F$57</f>
        <v>1000.0</v>
      </c>
      <c r="G11" s="325" t="str">
        <f> InpC!G$57</f>
        <v>$ 000s</v>
      </c>
    </row>
    <row r="12">
      <c r="E12" s="338">
        <f> InpC!E$58</f>
        <v>46022.0</v>
      </c>
      <c r="F12" s="325">
        <f> InpC!F$58</f>
        <v>1500.0</v>
      </c>
      <c r="G12" s="325" t="str">
        <f> InpC!G$58</f>
        <v>$ 000s</v>
      </c>
    </row>
    <row r="13">
      <c r="E13" s="338">
        <f> InpC!E$59</f>
        <v>46387.0</v>
      </c>
      <c r="F13" s="325">
        <f> InpC!F$59</f>
        <v>1000.0</v>
      </c>
      <c r="G13" s="325" t="str">
        <f> InpC!G$59</f>
        <v>$ 000s</v>
      </c>
    </row>
    <row r="14">
      <c r="E14" s="338">
        <f> InpC!E$60</f>
        <v>46752.0</v>
      </c>
      <c r="F14" s="325">
        <f> InpC!F$60</f>
        <v>500.0</v>
      </c>
      <c r="G14" s="325" t="str">
        <f> InpC!G$60</f>
        <v>$ 000s</v>
      </c>
    </row>
    <row r="15">
      <c r="E15" s="338">
        <f> InpC!E$61</f>
        <v>47118.0</v>
      </c>
      <c r="F15" s="325">
        <f> InpC!F$61</f>
        <v>1000.0</v>
      </c>
      <c r="G15" s="325" t="str">
        <f> InpC!G$61</f>
        <v>$ 000s</v>
      </c>
    </row>
    <row r="16">
      <c r="E16" s="338">
        <f> InpC!E$62</f>
        <v>47483.0</v>
      </c>
      <c r="F16" s="325">
        <f> InpC!F$62</f>
        <v>1000.0</v>
      </c>
      <c r="G16" s="325" t="str">
        <f> InpC!G$62</f>
        <v>$ 000s</v>
      </c>
    </row>
    <row r="17" customFormat="1" s="340">
      <c r="C17" s="341" t="n"/>
      <c r="D17" s="342" t="n"/>
      <c r="E17" s="343" t="str">
        <f> Time!E$25</f>
        <v>Model period ending </v>
      </c>
      <c r="F17" s="343">
        <f> Time!F$25</f>
        <v>0.0</v>
      </c>
      <c r="G17" s="343" t="str">
        <f> Time!G$25</f>
        <v>date</v>
      </c>
      <c r="H17" s="343">
        <f> Time!H$25</f>
        <v>0.0</v>
      </c>
      <c r="I17" s="343">
        <f> Time!I$25</f>
        <v>0.0</v>
      </c>
      <c r="J17" s="343">
        <f> Time!J$25</f>
        <v>44469.0</v>
      </c>
      <c r="K17" s="340">
        <f> Time!K$25</f>
        <v>44561.0</v>
      </c>
      <c r="L17" s="340">
        <f> Time!L$25</f>
        <v>44651.0</v>
      </c>
      <c r="M17" s="340">
        <f> Time!M$25</f>
        <v>44742.0</v>
      </c>
      <c r="N17" s="340">
        <f> Time!N$25</f>
        <v>44834.0</v>
      </c>
      <c r="O17" s="340">
        <f> Time!O$25</f>
        <v>44926.0</v>
      </c>
      <c r="P17" s="340">
        <f> Time!P$25</f>
        <v>45016.0</v>
      </c>
      <c r="Q17" s="340">
        <f> Time!Q$25</f>
        <v>45107.0</v>
      </c>
      <c r="R17" s="340">
        <f> Time!R$25</f>
        <v>45199.0</v>
      </c>
      <c r="S17" s="340">
        <f> Time!S$25</f>
        <v>45291.0</v>
      </c>
      <c r="T17" s="340">
        <f> Time!T$25</f>
        <v>45382.0</v>
      </c>
      <c r="U17" s="340">
        <f> Time!U$25</f>
        <v>45473.0</v>
      </c>
      <c r="V17" s="340">
        <f> Time!V$25</f>
        <v>45565.0</v>
      </c>
      <c r="W17" s="340">
        <f> Time!W$25</f>
        <v>45657.0</v>
      </c>
      <c r="X17" s="340">
        <f> Time!X$25</f>
        <v>45747.0</v>
      </c>
      <c r="Y17" s="340">
        <f> Time!Y$25</f>
        <v>45838.0</v>
      </c>
      <c r="Z17" s="340">
        <f> Time!Z$25</f>
        <v>45930.0</v>
      </c>
      <c r="AA17" s="340">
        <f> Time!AA$25</f>
        <v>46022.0</v>
      </c>
      <c r="AB17" s="340">
        <f> Time!AB$25</f>
        <v>46112.0</v>
      </c>
      <c r="AC17" s="340">
        <f> Time!AC$25</f>
        <v>46203.0</v>
      </c>
      <c r="AD17" s="340">
        <f> Time!AD$25</f>
        <v>46295.0</v>
      </c>
      <c r="AE17" s="340">
        <f> Time!AE$25</f>
        <v>46387.0</v>
      </c>
      <c r="AF17" s="340">
        <f> Time!AF$25</f>
        <v>46477.0</v>
      </c>
      <c r="AG17" s="340">
        <f> Time!AG$25</f>
        <v>46568.0</v>
      </c>
      <c r="AH17" s="340">
        <f> Time!AH$25</f>
        <v>46660.0</v>
      </c>
      <c r="AI17" s="340">
        <f> Time!AI$25</f>
        <v>46752.0</v>
      </c>
      <c r="AJ17" s="340">
        <f> Time!AJ$25</f>
        <v>46843.0</v>
      </c>
      <c r="AK17" s="340">
        <f> Time!AK$25</f>
        <v>46934.0</v>
      </c>
      <c r="AL17" s="340">
        <f> Time!AL$25</f>
        <v>47026.0</v>
      </c>
      <c r="AM17" s="340">
        <f> Time!AM$25</f>
        <v>47118.0</v>
      </c>
      <c r="AN17" s="340">
        <f> Time!AN$25</f>
        <v>47208.0</v>
      </c>
      <c r="AO17" s="340">
        <f> Time!AO$25</f>
        <v>47299.0</v>
      </c>
      <c r="AP17" s="340">
        <f> Time!AP$25</f>
        <v>47391.0</v>
      </c>
      <c r="AQ17" s="340">
        <f> Time!AQ$25</f>
        <v>47483.0</v>
      </c>
      <c r="AR17" s="340">
        <f> Time!AR$25</f>
        <v>47573.0</v>
      </c>
      <c r="AS17" s="340">
        <f> Time!AS$25</f>
        <v>47664.0</v>
      </c>
      <c r="AT17" s="340">
        <f> Time!AT$25</f>
        <v>47756.0</v>
      </c>
      <c r="AU17" s="340">
        <f> Time!AU$25</f>
        <v>47848.0</v>
      </c>
      <c r="AV17" s="340">
        <f> Time!AV$25</f>
        <v>47938.0</v>
      </c>
      <c r="AW17" s="340">
        <f> Time!AW$25</f>
        <v>48029.0</v>
      </c>
      <c r="AX17" s="340">
        <f> Time!AX$25</f>
        <v>48121.0</v>
      </c>
      <c r="AY17" s="340">
        <f> Time!AY$25</f>
        <v>48213.0</v>
      </c>
      <c r="AZ17" s="340">
        <f> Time!AZ$25</f>
        <v>48304.0</v>
      </c>
      <c r="BA17" s="340">
        <f> Time!BA$25</f>
        <v>48395.0</v>
      </c>
      <c r="BB17" s="340">
        <f> Time!BB$25</f>
        <v>48487.0</v>
      </c>
      <c r="BC17" s="340">
        <f> Time!BC$25</f>
        <v>48579.0</v>
      </c>
      <c r="BD17" s="340">
        <f> Time!BD$25</f>
        <v>48669.0</v>
      </c>
      <c r="BE17" s="340">
        <f> Time!BE$25</f>
        <v>48760.0</v>
      </c>
      <c r="BF17" s="340">
        <f> Time!BF$25</f>
        <v>48852.0</v>
      </c>
      <c r="BG17" s="340">
        <f> Time!BG$25</f>
        <v>48944.0</v>
      </c>
      <c r="BH17" s="340">
        <f> Time!BH$25</f>
        <v>49034.0</v>
      </c>
      <c r="BI17" s="340">
        <f> Time!BI$25</f>
        <v>49125.0</v>
      </c>
      <c r="BJ17" s="340">
        <f> Time!BJ$25</f>
        <v>49217.0</v>
      </c>
      <c r="BK17" s="340">
        <f> Time!BK$25</f>
        <v>49309.0</v>
      </c>
      <c r="BL17" s="340">
        <f> Time!BL$25</f>
        <v>49399.0</v>
      </c>
      <c r="BM17" s="340">
        <f> Time!BM$25</f>
        <v>49490.0</v>
      </c>
      <c r="BN17" s="340">
        <f> Time!BN$25</f>
        <v>49582.0</v>
      </c>
      <c r="BO17" s="340">
        <f> Time!BO$25</f>
        <v>49674.0</v>
      </c>
      <c r="BP17" s="340">
        <f> Time!BP$25</f>
        <v>49765.0</v>
      </c>
      <c r="BQ17" s="340">
        <f> Time!BQ$25</f>
        <v>49856.0</v>
      </c>
      <c r="BR17" s="340">
        <f> Time!BR$25</f>
        <v>49948.0</v>
      </c>
      <c r="BS17" s="340">
        <f> Time!BS$25</f>
        <v>50040.0</v>
      </c>
      <c r="BT17" s="340">
        <f> Time!BT$25</f>
        <v>50130.0</v>
      </c>
      <c r="BU17" s="340">
        <f> Time!BU$25</f>
        <v>50221.0</v>
      </c>
      <c r="BV17" s="340">
        <f> Time!BV$25</f>
        <v>50313.0</v>
      </c>
      <c r="BW17" s="340">
        <f> Time!BW$25</f>
        <v>50405.0</v>
      </c>
      <c r="BX17" s="340">
        <f> Time!BX$25</f>
        <v>50495.0</v>
      </c>
      <c r="BY17" s="340">
        <f> Time!BY$25</f>
        <v>50586.0</v>
      </c>
      <c r="BZ17" s="340">
        <f> Time!BZ$25</f>
        <v>50678.0</v>
      </c>
      <c r="CA17" s="340">
        <f> Time!CA$25</f>
        <v>50770.0</v>
      </c>
      <c r="CB17" s="340">
        <f> Time!CB$25</f>
        <v>50860.0</v>
      </c>
      <c r="CC17" s="340">
        <f> Time!CC$25</f>
        <v>50951.0</v>
      </c>
      <c r="CD17" s="340">
        <f> Time!CD$25</f>
        <v>51043.0</v>
      </c>
      <c r="CE17" s="340">
        <f> Time!CE$25</f>
        <v>51135.0</v>
      </c>
      <c r="CF17" s="340">
        <f> Time!CF$25</f>
        <v>51226.0</v>
      </c>
      <c r="CG17" s="340">
        <f> Time!CG$25</f>
        <v>51317.0</v>
      </c>
      <c r="CH17" s="340">
        <f> Time!CH$25</f>
        <v>51409.0</v>
      </c>
      <c r="CI17" s="340">
        <f> Time!CI$25</f>
        <v>51501.0</v>
      </c>
      <c r="CJ17" s="340">
        <f> Time!CJ$25</f>
        <v>51591.0</v>
      </c>
      <c r="CK17" s="340">
        <f> Time!CK$25</f>
        <v>51682.0</v>
      </c>
      <c r="CL17" s="340">
        <f> Time!CL$25</f>
        <v>51774.0</v>
      </c>
      <c r="CM17" s="340">
        <f> Time!CM$25</f>
        <v>51866.0</v>
      </c>
      <c r="CN17" s="340">
        <f> Time!CN$25</f>
        <v>51956.0</v>
      </c>
      <c r="CO17" s="340">
        <f> Time!CO$25</f>
        <v>52047.0</v>
      </c>
    </row>
    <row r="18" customFormat="1" s="345">
      <c r="A18" s="326" t="n"/>
      <c r="B18" s="326" t="n"/>
      <c r="C18" s="327" t="n"/>
      <c r="D18" s="328" t="n"/>
      <c r="E18" s="345" t="inlineStr">
        <is>
          <t>Capital expenditure POS</t>
        </is>
      </c>
      <c r="G18" s="345" t="str">
        <f>SMU</f>
        <v>$ 000s</v>
      </c>
      <c r="H18" s="345">
        <f> SUM(J18:CO18)</f>
        <v>8000.0</v>
      </c>
      <c r="J18" s="345">
        <f>_xlfn.IFNA(VLOOKUP(J17, $E10:$F16, 2,FALSE),0)</f>
        <v>0.0</v>
      </c>
      <c r="K18" s="345">
        <f>_xlfn.IFNA(VLOOKUP(K17, $E10:$F16, 2,FALSE),0)</f>
        <v>0.0</v>
      </c>
      <c r="L18" s="345">
        <f>_xlfn.IFNA(VLOOKUP(L17, $E10:$F16, 2,FALSE),0)</f>
        <v>0.0</v>
      </c>
      <c r="M18" s="345">
        <f>_xlfn.IFNA(VLOOKUP(M17, $E10:$F16, 2,FALSE),0)</f>
        <v>0.0</v>
      </c>
      <c r="N18" s="345">
        <f>_xlfn.IFNA(VLOOKUP(N17, $E10:$F16, 2,FALSE),0)</f>
        <v>0.0</v>
      </c>
      <c r="O18" s="345">
        <f>_xlfn.IFNA(VLOOKUP(O17, $E10:$F16, 2,FALSE),0)</f>
        <v>0.0</v>
      </c>
      <c r="P18" s="345">
        <f>_xlfn.IFNA(VLOOKUP(P17, $E10:$F16, 2,FALSE),0)</f>
        <v>0.0</v>
      </c>
      <c r="Q18" s="345">
        <f>_xlfn.IFNA(VLOOKUP(Q17, $E10:$F16, 2,FALSE),0)</f>
        <v>0.0</v>
      </c>
      <c r="R18" s="345">
        <f>_xlfn.IFNA(VLOOKUP(R17, $E10:$F16, 2,FALSE),0)</f>
        <v>0.0</v>
      </c>
      <c r="S18" s="345">
        <f>_xlfn.IFNA(VLOOKUP(S17, $E10:$F16, 2,FALSE),0)</f>
        <v>2000.0</v>
      </c>
      <c r="T18" s="345">
        <f>_xlfn.IFNA(VLOOKUP(T17, $E10:$F16, 2,FALSE),0)</f>
        <v>0.0</v>
      </c>
      <c r="U18" s="345">
        <f>_xlfn.IFNA(VLOOKUP(U17, $E10:$F16, 2,FALSE),0)</f>
        <v>0.0</v>
      </c>
      <c r="V18" s="345">
        <f>_xlfn.IFNA(VLOOKUP(V17, $E10:$F16, 2,FALSE),0)</f>
        <v>0.0</v>
      </c>
      <c r="W18" s="345">
        <f>_xlfn.IFNA(VLOOKUP(W17, $E10:$F16, 2,FALSE),0)</f>
        <v>1000.0</v>
      </c>
      <c r="X18" s="345">
        <f>_xlfn.IFNA(VLOOKUP(X17, $E10:$F16, 2,FALSE),0)</f>
        <v>0.0</v>
      </c>
      <c r="Y18" s="345">
        <f>_xlfn.IFNA(VLOOKUP(Y17, $E10:$F16, 2,FALSE),0)</f>
        <v>0.0</v>
      </c>
      <c r="Z18" s="345">
        <f>_xlfn.IFNA(VLOOKUP(Z17, $E10:$F16, 2,FALSE),0)</f>
        <v>0.0</v>
      </c>
      <c r="AA18" s="345">
        <f>_xlfn.IFNA(VLOOKUP(AA17, $E10:$F16, 2,FALSE),0)</f>
        <v>1500.0</v>
      </c>
      <c r="AB18" s="345">
        <f>_xlfn.IFNA(VLOOKUP(AB17, $E10:$F16, 2,FALSE),0)</f>
        <v>0.0</v>
      </c>
      <c r="AC18" s="345">
        <f>_xlfn.IFNA(VLOOKUP(AC17, $E10:$F16, 2,FALSE),0)</f>
        <v>0.0</v>
      </c>
      <c r="AD18" s="345">
        <f>_xlfn.IFNA(VLOOKUP(AD17, $E10:$F16, 2,FALSE),0)</f>
        <v>0.0</v>
      </c>
      <c r="AE18" s="345">
        <f>_xlfn.IFNA(VLOOKUP(AE17, $E10:$F16, 2,FALSE),0)</f>
        <v>1000.0</v>
      </c>
      <c r="AF18" s="345">
        <f>_xlfn.IFNA(VLOOKUP(AF17, $E10:$F16, 2,FALSE),0)</f>
        <v>0.0</v>
      </c>
      <c r="AG18" s="345">
        <f>_xlfn.IFNA(VLOOKUP(AG17, $E10:$F16, 2,FALSE),0)</f>
        <v>0.0</v>
      </c>
      <c r="AH18" s="345">
        <f>_xlfn.IFNA(VLOOKUP(AH17, $E10:$F16, 2,FALSE),0)</f>
        <v>0.0</v>
      </c>
      <c r="AI18" s="345">
        <f>_xlfn.IFNA(VLOOKUP(AI17, $E10:$F16, 2,FALSE),0)</f>
        <v>500.0</v>
      </c>
      <c r="AJ18" s="345">
        <f>_xlfn.IFNA(VLOOKUP(AJ17, $E10:$F16, 2,FALSE),0)</f>
        <v>0.0</v>
      </c>
      <c r="AK18" s="345">
        <f>_xlfn.IFNA(VLOOKUP(AK17, $E10:$F16, 2,FALSE),0)</f>
        <v>0.0</v>
      </c>
      <c r="AL18" s="345">
        <f>_xlfn.IFNA(VLOOKUP(AL17, $E10:$F16, 2,FALSE),0)</f>
        <v>0.0</v>
      </c>
      <c r="AM18" s="345">
        <f>_xlfn.IFNA(VLOOKUP(AM17, $E10:$F16, 2,FALSE),0)</f>
        <v>1000.0</v>
      </c>
      <c r="AN18" s="345">
        <f>_xlfn.IFNA(VLOOKUP(AN17, $E10:$F16, 2,FALSE),0)</f>
        <v>0.0</v>
      </c>
      <c r="AO18" s="345">
        <f>_xlfn.IFNA(VLOOKUP(AO17, $E10:$F16, 2,FALSE),0)</f>
        <v>0.0</v>
      </c>
      <c r="AP18" s="345">
        <f>_xlfn.IFNA(VLOOKUP(AP17, $E10:$F16, 2,FALSE),0)</f>
        <v>0.0</v>
      </c>
      <c r="AQ18" s="345">
        <f>_xlfn.IFNA(VLOOKUP(AQ17, $E10:$F16, 2,FALSE),0)</f>
        <v>1000.0</v>
      </c>
      <c r="AR18" s="345">
        <f>_xlfn.IFNA(VLOOKUP(AR17, $E10:$F16, 2,FALSE),0)</f>
        <v>0.0</v>
      </c>
      <c r="AS18" s="345">
        <f>_xlfn.IFNA(VLOOKUP(AS17, $E10:$F16, 2,FALSE),0)</f>
        <v>0.0</v>
      </c>
      <c r="AT18" s="345">
        <f>_xlfn.IFNA(VLOOKUP(AT17, $E10:$F16, 2,FALSE),0)</f>
        <v>0.0</v>
      </c>
      <c r="AU18" s="345">
        <f>_xlfn.IFNA(VLOOKUP(AU17, $E10:$F16, 2,FALSE),0)</f>
        <v>0.0</v>
      </c>
      <c r="AV18" s="345">
        <f>_xlfn.IFNA(VLOOKUP(AV17, $E10:$F16, 2,FALSE),0)</f>
        <v>0.0</v>
      </c>
      <c r="AW18" s="345">
        <f>_xlfn.IFNA(VLOOKUP(AW17, $E10:$F16, 2,FALSE),0)</f>
        <v>0.0</v>
      </c>
      <c r="AX18" s="345">
        <f>_xlfn.IFNA(VLOOKUP(AX17, $E10:$F16, 2,FALSE),0)</f>
        <v>0.0</v>
      </c>
      <c r="AY18" s="345">
        <f>_xlfn.IFNA(VLOOKUP(AY17, $E10:$F16, 2,FALSE),0)</f>
        <v>0.0</v>
      </c>
      <c r="AZ18" s="345">
        <f>_xlfn.IFNA(VLOOKUP(AZ17, $E10:$F16, 2,FALSE),0)</f>
        <v>0.0</v>
      </c>
      <c r="BA18" s="345">
        <f>_xlfn.IFNA(VLOOKUP(BA17, $E10:$F16, 2,FALSE),0)</f>
        <v>0.0</v>
      </c>
      <c r="BB18" s="345">
        <f>_xlfn.IFNA(VLOOKUP(BB17, $E10:$F16, 2,FALSE),0)</f>
        <v>0.0</v>
      </c>
      <c r="BC18" s="345">
        <f>_xlfn.IFNA(VLOOKUP(BC17, $E10:$F16, 2,FALSE),0)</f>
        <v>0.0</v>
      </c>
      <c r="BD18" s="345">
        <f>_xlfn.IFNA(VLOOKUP(BD17, $E10:$F16, 2,FALSE),0)</f>
        <v>0.0</v>
      </c>
      <c r="BE18" s="345">
        <f>_xlfn.IFNA(VLOOKUP(BE17, $E10:$F16, 2,FALSE),0)</f>
        <v>0.0</v>
      </c>
      <c r="BF18" s="345">
        <f>_xlfn.IFNA(VLOOKUP(BF17, $E10:$F16, 2,FALSE),0)</f>
        <v>0.0</v>
      </c>
      <c r="BG18" s="345">
        <f>_xlfn.IFNA(VLOOKUP(BG17, $E10:$F16, 2,FALSE),0)</f>
        <v>0.0</v>
      </c>
      <c r="BH18" s="345">
        <f>_xlfn.IFNA(VLOOKUP(BH17, $E10:$F16, 2,FALSE),0)</f>
        <v>0.0</v>
      </c>
      <c r="BI18" s="345">
        <f>_xlfn.IFNA(VLOOKUP(BI17, $E10:$F16, 2,FALSE),0)</f>
        <v>0.0</v>
      </c>
      <c r="BJ18" s="345">
        <f>_xlfn.IFNA(VLOOKUP(BJ17, $E10:$F16, 2,FALSE),0)</f>
        <v>0.0</v>
      </c>
      <c r="BK18" s="345">
        <f>_xlfn.IFNA(VLOOKUP(BK17, $E10:$F16, 2,FALSE),0)</f>
        <v>0.0</v>
      </c>
      <c r="BL18" s="345">
        <f>_xlfn.IFNA(VLOOKUP(BL17, $E10:$F16, 2,FALSE),0)</f>
        <v>0.0</v>
      </c>
      <c r="BM18" s="345">
        <f>_xlfn.IFNA(VLOOKUP(BM17, $E10:$F16, 2,FALSE),0)</f>
        <v>0.0</v>
      </c>
      <c r="BN18" s="345">
        <f>_xlfn.IFNA(VLOOKUP(BN17, $E10:$F16, 2,FALSE),0)</f>
        <v>0.0</v>
      </c>
      <c r="BO18" s="345">
        <f>_xlfn.IFNA(VLOOKUP(BO17, $E10:$F16, 2,FALSE),0)</f>
        <v>0.0</v>
      </c>
      <c r="BP18" s="345">
        <f>_xlfn.IFNA(VLOOKUP(BP17, $E10:$F16, 2,FALSE),0)</f>
        <v>0.0</v>
      </c>
      <c r="BQ18" s="345">
        <f>_xlfn.IFNA(VLOOKUP(BQ17, $E10:$F16, 2,FALSE),0)</f>
        <v>0.0</v>
      </c>
      <c r="BR18" s="345">
        <f>_xlfn.IFNA(VLOOKUP(BR17, $E10:$F16, 2,FALSE),0)</f>
        <v>0.0</v>
      </c>
      <c r="BS18" s="345">
        <f>_xlfn.IFNA(VLOOKUP(BS17, $E10:$F16, 2,FALSE),0)</f>
        <v>0.0</v>
      </c>
      <c r="BT18" s="345">
        <f>_xlfn.IFNA(VLOOKUP(BT17, $E10:$F16, 2,FALSE),0)</f>
        <v>0.0</v>
      </c>
      <c r="BU18" s="345">
        <f>_xlfn.IFNA(VLOOKUP(BU17, $E10:$F16, 2,FALSE),0)</f>
        <v>0.0</v>
      </c>
      <c r="BV18" s="345">
        <f>_xlfn.IFNA(VLOOKUP(BV17, $E10:$F16, 2,FALSE),0)</f>
        <v>0.0</v>
      </c>
      <c r="BW18" s="345">
        <f>_xlfn.IFNA(VLOOKUP(BW17, $E10:$F16, 2,FALSE),0)</f>
        <v>0.0</v>
      </c>
      <c r="BX18" s="345">
        <f>_xlfn.IFNA(VLOOKUP(BX17, $E10:$F16, 2,FALSE),0)</f>
        <v>0.0</v>
      </c>
      <c r="BY18" s="345">
        <f>_xlfn.IFNA(VLOOKUP(BY17, $E10:$F16, 2,FALSE),0)</f>
        <v>0.0</v>
      </c>
      <c r="BZ18" s="345">
        <f>_xlfn.IFNA(VLOOKUP(BZ17, $E10:$F16, 2,FALSE),0)</f>
        <v>0.0</v>
      </c>
      <c r="CA18" s="345">
        <f>_xlfn.IFNA(VLOOKUP(CA17, $E10:$F16, 2,FALSE),0)</f>
        <v>0.0</v>
      </c>
      <c r="CB18" s="345">
        <f>_xlfn.IFNA(VLOOKUP(CB17, $E10:$F16, 2,FALSE),0)</f>
        <v>0.0</v>
      </c>
      <c r="CC18" s="345">
        <f>_xlfn.IFNA(VLOOKUP(CC17, $E10:$F16, 2,FALSE),0)</f>
        <v>0.0</v>
      </c>
      <c r="CD18" s="345">
        <f>_xlfn.IFNA(VLOOKUP(CD17, $E10:$F16, 2,FALSE),0)</f>
        <v>0.0</v>
      </c>
      <c r="CE18" s="345">
        <f>_xlfn.IFNA(VLOOKUP(CE17, $E10:$F16, 2,FALSE),0)</f>
        <v>0.0</v>
      </c>
      <c r="CF18" s="345">
        <f>_xlfn.IFNA(VLOOKUP(CF17, $E10:$F16, 2,FALSE),0)</f>
        <v>0.0</v>
      </c>
      <c r="CG18" s="345">
        <f>_xlfn.IFNA(VLOOKUP(CG17, $E10:$F16, 2,FALSE),0)</f>
        <v>0.0</v>
      </c>
      <c r="CH18" s="345">
        <f>_xlfn.IFNA(VLOOKUP(CH17, $E10:$F16, 2,FALSE),0)</f>
        <v>0.0</v>
      </c>
      <c r="CI18" s="345">
        <f>_xlfn.IFNA(VLOOKUP(CI17, $E10:$F16, 2,FALSE),0)</f>
        <v>0.0</v>
      </c>
      <c r="CJ18" s="345">
        <f>_xlfn.IFNA(VLOOKUP(CJ17, $E10:$F16, 2,FALSE),0)</f>
        <v>0.0</v>
      </c>
      <c r="CK18" s="345">
        <f>_xlfn.IFNA(VLOOKUP(CK17, $E10:$F16, 2,FALSE),0)</f>
        <v>0.0</v>
      </c>
      <c r="CL18" s="345">
        <f>_xlfn.IFNA(VLOOKUP(CL17, $E10:$F16, 2,FALSE),0)</f>
        <v>0.0</v>
      </c>
      <c r="CM18" s="345">
        <f>_xlfn.IFNA(VLOOKUP(CM17, $E10:$F16, 2,FALSE),0)</f>
        <v>0.0</v>
      </c>
      <c r="CN18" s="345">
        <f>_xlfn.IFNA(VLOOKUP(CN17, $E10:$F16, 2,FALSE),0)</f>
        <v>0.0</v>
      </c>
      <c r="CO18" s="345">
        <f>_xlfn.IFNA(VLOOKUP(CO17, $E10:$F16, 2,FALSE),0)</f>
        <v>0.0</v>
      </c>
    </row>
    <row r="19" customFormat="1" s="150">
      <c r="A19" s="348" t="n"/>
      <c r="B19" s="348" t="n"/>
      <c r="C19" s="349" t="n"/>
      <c r="D19" s="193" t="n"/>
      <c r="E19" s="150" t="str">
        <f> LEFT(E18, LEN(E18) - 4)</f>
        <v>Capital expenditure</v>
      </c>
      <c r="F19" s="150" t="inlineStr">
        <is>
          <t>CF</t>
        </is>
      </c>
      <c r="G19" s="150" t="str">
        <f> G18</f>
        <v>$ 000s</v>
      </c>
      <c r="H19" s="150">
        <f> SUM(J19:CO19)</f>
        <v>-8000.0</v>
      </c>
      <c r="I19" s="150" t="n"/>
      <c r="J19" s="150">
        <f> -1 * J18</f>
        <v>-0.0</v>
      </c>
      <c r="K19" s="150">
        <f> -1 * K18</f>
        <v>-0.0</v>
      </c>
      <c r="L19" s="150">
        <f> -1 * L18</f>
        <v>-0.0</v>
      </c>
      <c r="M19" s="150">
        <f> -1 * M18</f>
        <v>-0.0</v>
      </c>
      <c r="N19" s="150">
        <f> -1 * N18</f>
        <v>-0.0</v>
      </c>
      <c r="O19" s="150">
        <f> -1 * O18</f>
        <v>-0.0</v>
      </c>
      <c r="P19" s="150">
        <f> -1 * P18</f>
        <v>-0.0</v>
      </c>
      <c r="Q19" s="150">
        <f> -1 * Q18</f>
        <v>-0.0</v>
      </c>
      <c r="R19" s="150">
        <f> -1 * R18</f>
        <v>-0.0</v>
      </c>
      <c r="S19" s="150">
        <f> -1 * S18</f>
        <v>-2000.0</v>
      </c>
      <c r="T19" s="150">
        <f> -1 * T18</f>
        <v>-0.0</v>
      </c>
      <c r="U19" s="150">
        <f> -1 * U18</f>
        <v>-0.0</v>
      </c>
      <c r="V19" s="150">
        <f> -1 * V18</f>
        <v>-0.0</v>
      </c>
      <c r="W19" s="150">
        <f> -1 * W18</f>
        <v>-1000.0</v>
      </c>
      <c r="X19" s="150">
        <f> -1 * X18</f>
        <v>-0.0</v>
      </c>
      <c r="Y19" s="150">
        <f> -1 * Y18</f>
        <v>-0.0</v>
      </c>
      <c r="Z19" s="150">
        <f> -1 * Z18</f>
        <v>-0.0</v>
      </c>
      <c r="AA19" s="150">
        <f> -1 * AA18</f>
        <v>-1500.0</v>
      </c>
      <c r="AB19" s="150">
        <f> -1 * AB18</f>
        <v>-0.0</v>
      </c>
      <c r="AC19" s="150">
        <f> -1 * AC18</f>
        <v>-0.0</v>
      </c>
      <c r="AD19" s="150">
        <f> -1 * AD18</f>
        <v>-0.0</v>
      </c>
      <c r="AE19" s="150">
        <f> -1 * AE18</f>
        <v>-1000.0</v>
      </c>
      <c r="AF19" s="150">
        <f> -1 * AF18</f>
        <v>-0.0</v>
      </c>
      <c r="AG19" s="150">
        <f> -1 * AG18</f>
        <v>-0.0</v>
      </c>
      <c r="AH19" s="150">
        <f> -1 * AH18</f>
        <v>-0.0</v>
      </c>
      <c r="AI19" s="150">
        <f> -1 * AI18</f>
        <v>-500.0</v>
      </c>
      <c r="AJ19" s="150">
        <f> -1 * AJ18</f>
        <v>-0.0</v>
      </c>
      <c r="AK19" s="150">
        <f> -1 * AK18</f>
        <v>-0.0</v>
      </c>
      <c r="AL19" s="150">
        <f> -1 * AL18</f>
        <v>-0.0</v>
      </c>
      <c r="AM19" s="150">
        <f> -1 * AM18</f>
        <v>-1000.0</v>
      </c>
      <c r="AN19" s="150">
        <f> -1 * AN18</f>
        <v>-0.0</v>
      </c>
      <c r="AO19" s="150">
        <f> -1 * AO18</f>
        <v>-0.0</v>
      </c>
      <c r="AP19" s="150">
        <f> -1 * AP18</f>
        <v>-0.0</v>
      </c>
      <c r="AQ19" s="150">
        <f> -1 * AQ18</f>
        <v>-1000.0</v>
      </c>
      <c r="AR19" s="150">
        <f> -1 * AR18</f>
        <v>-0.0</v>
      </c>
      <c r="AS19" s="150">
        <f> -1 * AS18</f>
        <v>-0.0</v>
      </c>
      <c r="AT19" s="150">
        <f> -1 * AT18</f>
        <v>-0.0</v>
      </c>
      <c r="AU19" s="150">
        <f> -1 * AU18</f>
        <v>-0.0</v>
      </c>
      <c r="AV19" s="150">
        <f> -1 * AV18</f>
        <v>-0.0</v>
      </c>
      <c r="AW19" s="150">
        <f> -1 * AW18</f>
        <v>-0.0</v>
      </c>
      <c r="AX19" s="150">
        <f> -1 * AX18</f>
        <v>-0.0</v>
      </c>
      <c r="AY19" s="150">
        <f> -1 * AY18</f>
        <v>-0.0</v>
      </c>
      <c r="AZ19" s="150">
        <f> -1 * AZ18</f>
        <v>-0.0</v>
      </c>
      <c r="BA19" s="150">
        <f> -1 * BA18</f>
        <v>-0.0</v>
      </c>
      <c r="BB19" s="150">
        <f> -1 * BB18</f>
        <v>-0.0</v>
      </c>
      <c r="BC19" s="150">
        <f> -1 * BC18</f>
        <v>-0.0</v>
      </c>
      <c r="BD19" s="150">
        <f> -1 * BD18</f>
        <v>-0.0</v>
      </c>
      <c r="BE19" s="150">
        <f> -1 * BE18</f>
        <v>-0.0</v>
      </c>
      <c r="BF19" s="150">
        <f> -1 * BF18</f>
        <v>-0.0</v>
      </c>
      <c r="BG19" s="150">
        <f> -1 * BG18</f>
        <v>-0.0</v>
      </c>
      <c r="BH19" s="150">
        <f> -1 * BH18</f>
        <v>-0.0</v>
      </c>
      <c r="BI19" s="150">
        <f> -1 * BI18</f>
        <v>-0.0</v>
      </c>
      <c r="BJ19" s="150">
        <f> -1 * BJ18</f>
        <v>-0.0</v>
      </c>
      <c r="BK19" s="150">
        <f> -1 * BK18</f>
        <v>-0.0</v>
      </c>
      <c r="BL19" s="150">
        <f> -1 * BL18</f>
        <v>-0.0</v>
      </c>
      <c r="BM19" s="150">
        <f> -1 * BM18</f>
        <v>-0.0</v>
      </c>
      <c r="BN19" s="150">
        <f> -1 * BN18</f>
        <v>-0.0</v>
      </c>
      <c r="BO19" s="150">
        <f> -1 * BO18</f>
        <v>-0.0</v>
      </c>
      <c r="BP19" s="150">
        <f> -1 * BP18</f>
        <v>-0.0</v>
      </c>
      <c r="BQ19" s="150">
        <f> -1 * BQ18</f>
        <v>-0.0</v>
      </c>
      <c r="BR19" s="150">
        <f> -1 * BR18</f>
        <v>-0.0</v>
      </c>
      <c r="BS19" s="150">
        <f> -1 * BS18</f>
        <v>-0.0</v>
      </c>
      <c r="BT19" s="150">
        <f> -1 * BT18</f>
        <v>-0.0</v>
      </c>
      <c r="BU19" s="150">
        <f> -1 * BU18</f>
        <v>-0.0</v>
      </c>
      <c r="BV19" s="150">
        <f> -1 * BV18</f>
        <v>-0.0</v>
      </c>
      <c r="BW19" s="150">
        <f> -1 * BW18</f>
        <v>-0.0</v>
      </c>
      <c r="BX19" s="150">
        <f> -1 * BX18</f>
        <v>-0.0</v>
      </c>
      <c r="BY19" s="150">
        <f> -1 * BY18</f>
        <v>-0.0</v>
      </c>
      <c r="BZ19" s="150">
        <f> -1 * BZ18</f>
        <v>-0.0</v>
      </c>
      <c r="CA19" s="150">
        <f> -1 * CA18</f>
        <v>-0.0</v>
      </c>
      <c r="CB19" s="150">
        <f> -1 * CB18</f>
        <v>-0.0</v>
      </c>
      <c r="CC19" s="150">
        <f> -1 * CC18</f>
        <v>-0.0</v>
      </c>
      <c r="CD19" s="150">
        <f> -1 * CD18</f>
        <v>-0.0</v>
      </c>
      <c r="CE19" s="150">
        <f> -1 * CE18</f>
        <v>-0.0</v>
      </c>
      <c r="CF19" s="150">
        <f> -1 * CF18</f>
        <v>-0.0</v>
      </c>
      <c r="CG19" s="150">
        <f> -1 * CG18</f>
        <v>-0.0</v>
      </c>
      <c r="CH19" s="150">
        <f> -1 * CH18</f>
        <v>-0.0</v>
      </c>
      <c r="CI19" s="150">
        <f> -1 * CI18</f>
        <v>-0.0</v>
      </c>
      <c r="CJ19" s="150">
        <f> -1 * CJ18</f>
        <v>-0.0</v>
      </c>
      <c r="CK19" s="150">
        <f> -1 * CK18</f>
        <v>-0.0</v>
      </c>
      <c r="CL19" s="150">
        <f> -1 * CL18</f>
        <v>-0.0</v>
      </c>
      <c r="CM19" s="150">
        <f> -1 * CM18</f>
        <v>-0.0</v>
      </c>
      <c r="CN19" s="150">
        <f> -1 * CN18</f>
        <v>-0.0</v>
      </c>
      <c r="CO19" s="150">
        <f> -1 * CO18</f>
        <v>-0.0</v>
      </c>
    </row>
    <row r="22">
      <c r="A22" s="294" t="inlineStr">
        <is>
          <t>ACCOUNTING DEPRECIATION</t>
        </is>
      </c>
    </row>
    <row r="24">
      <c r="C24" s="212" t="inlineStr">
        <is>
          <t>Accounting depreciation - Initial balance</t>
        </is>
      </c>
    </row>
    <row r="25">
      <c r="E25" s="325" t="str">
        <f> InpC!E$64</f>
        <v>Non current asset - initial balance</v>
      </c>
      <c r="F25" s="325">
        <f> InpC!F$64</f>
        <v>101067.79924517678</v>
      </c>
      <c r="G25" s="325" t="str">
        <f> InpC!G$64</f>
        <v>$ 000s</v>
      </c>
    </row>
    <row r="26">
      <c r="E26" s="325" t="str">
        <f> InpC!E$65</f>
        <v>Useful life of NCA at acquisition </v>
      </c>
      <c r="F26" s="325">
        <f> InpC!F$65</f>
        <v>15.0</v>
      </c>
      <c r="G26" s="325" t="str">
        <f> InpC!G$65</f>
        <v>years</v>
      </c>
    </row>
    <row r="27">
      <c r="E27" s="325" t="str">
        <f> InpC!E$99</f>
        <v>No of periods in a year</v>
      </c>
      <c r="F27" s="325">
        <f> InpC!F$99</f>
        <v>4.0</v>
      </c>
      <c r="G27" s="325" t="str">
        <f> InpC!G$99</f>
        <v>periods</v>
      </c>
    </row>
    <row r="28">
      <c r="E28" s="324" t="str">
        <f> Time!E$95</f>
        <v>Depreciation period flag</v>
      </c>
      <c r="F28" s="324">
        <f> Time!F$95</f>
        <v>0.0</v>
      </c>
      <c r="G28" s="324" t="str">
        <f> Time!G$95</f>
        <v>flag</v>
      </c>
      <c r="H28" s="324">
        <f> Time!H$95</f>
        <v>60.0</v>
      </c>
      <c r="I28" s="324">
        <f> Time!I$95</f>
        <v>0.0</v>
      </c>
      <c r="J28" s="324">
        <f> Time!J$95</f>
        <v>0.0</v>
      </c>
      <c r="K28" s="324">
        <f> Time!K$95</f>
        <v>0.0</v>
      </c>
      <c r="L28" s="324">
        <f> Time!L$95</f>
        <v>1.0</v>
      </c>
      <c r="M28" s="324">
        <f> Time!M$95</f>
        <v>1.0</v>
      </c>
      <c r="N28" s="324">
        <f> Time!N$95</f>
        <v>1.0</v>
      </c>
      <c r="O28" s="324">
        <f> Time!O$95</f>
        <v>1.0</v>
      </c>
      <c r="P28" s="324">
        <f> Time!P$95</f>
        <v>1.0</v>
      </c>
      <c r="Q28" s="324">
        <f> Time!Q$95</f>
        <v>1.0</v>
      </c>
      <c r="R28" s="324">
        <f> Time!R$95</f>
        <v>1.0</v>
      </c>
      <c r="S28" s="324">
        <f> Time!S$95</f>
        <v>1.0</v>
      </c>
      <c r="T28" s="324">
        <f> Time!T$95</f>
        <v>1.0</v>
      </c>
      <c r="U28" s="324">
        <f> Time!U$95</f>
        <v>1.0</v>
      </c>
      <c r="V28" s="324">
        <f> Time!V$95</f>
        <v>1.0</v>
      </c>
      <c r="W28" s="324">
        <f> Time!W$95</f>
        <v>1.0</v>
      </c>
      <c r="X28" s="324">
        <f> Time!X$95</f>
        <v>1.0</v>
      </c>
      <c r="Y28" s="324">
        <f> Time!Y$95</f>
        <v>1.0</v>
      </c>
      <c r="Z28" s="324">
        <f> Time!Z$95</f>
        <v>1.0</v>
      </c>
      <c r="AA28" s="324">
        <f> Time!AA$95</f>
        <v>1.0</v>
      </c>
      <c r="AB28" s="324">
        <f> Time!AB$95</f>
        <v>1.0</v>
      </c>
      <c r="AC28" s="324">
        <f> Time!AC$95</f>
        <v>1.0</v>
      </c>
      <c r="AD28" s="324">
        <f> Time!AD$95</f>
        <v>1.0</v>
      </c>
      <c r="AE28" s="324">
        <f> Time!AE$95</f>
        <v>1.0</v>
      </c>
      <c r="AF28" s="324">
        <f> Time!AF$95</f>
        <v>1.0</v>
      </c>
      <c r="AG28" s="324">
        <f> Time!AG$95</f>
        <v>1.0</v>
      </c>
      <c r="AH28" s="324">
        <f> Time!AH$95</f>
        <v>1.0</v>
      </c>
      <c r="AI28" s="324">
        <f> Time!AI$95</f>
        <v>1.0</v>
      </c>
      <c r="AJ28" s="324">
        <f> Time!AJ$95</f>
        <v>1.0</v>
      </c>
      <c r="AK28" s="324">
        <f> Time!AK$95</f>
        <v>1.0</v>
      </c>
      <c r="AL28" s="324">
        <f> Time!AL$95</f>
        <v>1.0</v>
      </c>
      <c r="AM28" s="324">
        <f> Time!AM$95</f>
        <v>1.0</v>
      </c>
      <c r="AN28" s="324">
        <f> Time!AN$95</f>
        <v>1.0</v>
      </c>
      <c r="AO28" s="324">
        <f> Time!AO$95</f>
        <v>1.0</v>
      </c>
      <c r="AP28" s="324">
        <f> Time!AP$95</f>
        <v>1.0</v>
      </c>
      <c r="AQ28" s="324">
        <f> Time!AQ$95</f>
        <v>1.0</v>
      </c>
      <c r="AR28" s="324">
        <f> Time!AR$95</f>
        <v>1.0</v>
      </c>
      <c r="AS28" s="324">
        <f> Time!AS$95</f>
        <v>1.0</v>
      </c>
      <c r="AT28" s="324">
        <f> Time!AT$95</f>
        <v>1.0</v>
      </c>
      <c r="AU28" s="324">
        <f> Time!AU$95</f>
        <v>1.0</v>
      </c>
      <c r="AV28" s="324">
        <f> Time!AV$95</f>
        <v>1.0</v>
      </c>
      <c r="AW28" s="324">
        <f> Time!AW$95</f>
        <v>1.0</v>
      </c>
      <c r="AX28" s="324">
        <f> Time!AX$95</f>
        <v>1.0</v>
      </c>
      <c r="AY28" s="324">
        <f> Time!AY$95</f>
        <v>1.0</v>
      </c>
      <c r="AZ28" s="324">
        <f> Time!AZ$95</f>
        <v>1.0</v>
      </c>
      <c r="BA28" s="324">
        <f> Time!BA$95</f>
        <v>1.0</v>
      </c>
      <c r="BB28" s="324">
        <f> Time!BB$95</f>
        <v>1.0</v>
      </c>
      <c r="BC28" s="324">
        <f> Time!BC$95</f>
        <v>1.0</v>
      </c>
      <c r="BD28" s="324">
        <f> Time!BD$95</f>
        <v>1.0</v>
      </c>
      <c r="BE28" s="324">
        <f> Time!BE$95</f>
        <v>1.0</v>
      </c>
      <c r="BF28" s="324">
        <f> Time!BF$95</f>
        <v>1.0</v>
      </c>
      <c r="BG28" s="324">
        <f> Time!BG$95</f>
        <v>1.0</v>
      </c>
      <c r="BH28" s="324">
        <f> Time!BH$95</f>
        <v>1.0</v>
      </c>
      <c r="BI28" s="324">
        <f> Time!BI$95</f>
        <v>1.0</v>
      </c>
      <c r="BJ28" s="324">
        <f> Time!BJ$95</f>
        <v>1.0</v>
      </c>
      <c r="BK28" s="324">
        <f> Time!BK$95</f>
        <v>1.0</v>
      </c>
      <c r="BL28" s="324">
        <f> Time!BL$95</f>
        <v>1.0</v>
      </c>
      <c r="BM28" s="324">
        <f> Time!BM$95</f>
        <v>1.0</v>
      </c>
      <c r="BN28" s="324">
        <f> Time!BN$95</f>
        <v>1.0</v>
      </c>
      <c r="BO28" s="324">
        <f> Time!BO$95</f>
        <v>1.0</v>
      </c>
      <c r="BP28" s="324">
        <f> Time!BP$95</f>
        <v>1.0</v>
      </c>
      <c r="BQ28" s="324">
        <f> Time!BQ$95</f>
        <v>1.0</v>
      </c>
      <c r="BR28" s="324">
        <f> Time!BR$95</f>
        <v>1.0</v>
      </c>
      <c r="BS28" s="324">
        <f> Time!BS$95</f>
        <v>1.0</v>
      </c>
      <c r="BT28" s="324">
        <f> Time!BT$95</f>
        <v>0.0</v>
      </c>
      <c r="BU28" s="324">
        <f> Time!BU$95</f>
        <v>0.0</v>
      </c>
      <c r="BV28" s="324">
        <f> Time!BV$95</f>
        <v>0.0</v>
      </c>
      <c r="BW28" s="324">
        <f> Time!BW$95</f>
        <v>0.0</v>
      </c>
      <c r="BX28" s="324">
        <f> Time!BX$95</f>
        <v>0.0</v>
      </c>
      <c r="BY28" s="324">
        <f> Time!BY$95</f>
        <v>0.0</v>
      </c>
      <c r="BZ28" s="324">
        <f> Time!BZ$95</f>
        <v>0.0</v>
      </c>
      <c r="CA28" s="324">
        <f> Time!CA$95</f>
        <v>0.0</v>
      </c>
      <c r="CB28" s="324">
        <f> Time!CB$95</f>
        <v>0.0</v>
      </c>
      <c r="CC28" s="324">
        <f> Time!CC$95</f>
        <v>0.0</v>
      </c>
      <c r="CD28" s="324">
        <f> Time!CD$95</f>
        <v>0.0</v>
      </c>
      <c r="CE28" s="324">
        <f> Time!CE$95</f>
        <v>0.0</v>
      </c>
      <c r="CF28" s="324">
        <f> Time!CF$95</f>
        <v>0.0</v>
      </c>
      <c r="CG28" s="324">
        <f> Time!CG$95</f>
        <v>0.0</v>
      </c>
      <c r="CH28" s="324">
        <f> Time!CH$95</f>
        <v>0.0</v>
      </c>
      <c r="CI28" s="324">
        <f> Time!CI$95</f>
        <v>0.0</v>
      </c>
      <c r="CJ28" s="324">
        <f> Time!CJ$95</f>
        <v>0.0</v>
      </c>
      <c r="CK28" s="324">
        <f> Time!CK$95</f>
        <v>0.0</v>
      </c>
      <c r="CL28" s="324">
        <f> Time!CL$95</f>
        <v>0.0</v>
      </c>
      <c r="CM28" s="324">
        <f> Time!CM$95</f>
        <v>0.0</v>
      </c>
      <c r="CN28" s="324">
        <f> Time!CN$95</f>
        <v>0.0</v>
      </c>
      <c r="CO28" s="324">
        <f> Time!CO$95</f>
        <v>0.0</v>
      </c>
    </row>
    <row r="29" customFormat="1" s="260">
      <c r="A29" s="263" t="n"/>
      <c r="B29" s="263" t="n"/>
      <c r="C29" s="264" t="n"/>
      <c r="D29" s="335" t="n"/>
      <c r="E29" s="260" t="inlineStr">
        <is>
          <t>Accounting depreciation - Initial balance</t>
        </is>
      </c>
      <c r="G29" s="260" t="str">
        <f>SMU</f>
        <v>$ 000s</v>
      </c>
      <c r="H29" s="260">
        <f> SUM(J29:CO29)</f>
        <v>101067.79924517678</v>
      </c>
      <c r="J29" s="260">
        <f> IF(J28 = 1, $F25 / ( $F26 * $F27),0)</f>
        <v>0.0</v>
      </c>
      <c r="K29" s="260">
        <f> IF(K28 = 1, $F25 / ( $F26 * $F27),0)</f>
        <v>0.0</v>
      </c>
      <c r="L29" s="260">
        <f> IF(L28 = 1, $F25 / ( $F26 * $F27),0)</f>
        <v>1684.4633207529464</v>
      </c>
      <c r="M29" s="260">
        <f> IF(M28 = 1, $F25 / ( $F26 * $F27),0)</f>
        <v>1684.4633207529464</v>
      </c>
      <c r="N29" s="260">
        <f> IF(N28 = 1, $F25 / ( $F26 * $F27),0)</f>
        <v>1684.4633207529464</v>
      </c>
      <c r="O29" s="260">
        <f> IF(O28 = 1, $F25 / ( $F26 * $F27),0)</f>
        <v>1684.4633207529464</v>
      </c>
      <c r="P29" s="260">
        <f> IF(P28 = 1, $F25 / ( $F26 * $F27),0)</f>
        <v>1684.4633207529464</v>
      </c>
      <c r="Q29" s="260">
        <f> IF(Q28 = 1, $F25 / ( $F26 * $F27),0)</f>
        <v>1684.4633207529464</v>
      </c>
      <c r="R29" s="260">
        <f> IF(R28 = 1, $F25 / ( $F26 * $F27),0)</f>
        <v>1684.4633207529464</v>
      </c>
      <c r="S29" s="260">
        <f> IF(S28 = 1, $F25 / ( $F26 * $F27),0)</f>
        <v>1684.4633207529464</v>
      </c>
      <c r="T29" s="260">
        <f> IF(T28 = 1, $F25 / ( $F26 * $F27),0)</f>
        <v>1684.4633207529464</v>
      </c>
      <c r="U29" s="260">
        <f> IF(U28 = 1, $F25 / ( $F26 * $F27),0)</f>
        <v>1684.4633207529464</v>
      </c>
      <c r="V29" s="260">
        <f> IF(V28 = 1, $F25 / ( $F26 * $F27),0)</f>
        <v>1684.4633207529464</v>
      </c>
      <c r="W29" s="260">
        <f> IF(W28 = 1, $F25 / ( $F26 * $F27),0)</f>
        <v>1684.4633207529464</v>
      </c>
      <c r="X29" s="260">
        <f> IF(X28 = 1, $F25 / ( $F26 * $F27),0)</f>
        <v>1684.4633207529464</v>
      </c>
      <c r="Y29" s="260">
        <f> IF(Y28 = 1, $F25 / ( $F26 * $F27),0)</f>
        <v>1684.4633207529464</v>
      </c>
      <c r="Z29" s="260">
        <f> IF(Z28 = 1, $F25 / ( $F26 * $F27),0)</f>
        <v>1684.4633207529464</v>
      </c>
      <c r="AA29" s="260">
        <f> IF(AA28 = 1, $F25 / ( $F26 * $F27),0)</f>
        <v>1684.4633207529464</v>
      </c>
      <c r="AB29" s="260">
        <f> IF(AB28 = 1, $F25 / ( $F26 * $F27),0)</f>
        <v>1684.4633207529464</v>
      </c>
      <c r="AC29" s="260">
        <f> IF(AC28 = 1, $F25 / ( $F26 * $F27),0)</f>
        <v>1684.4633207529464</v>
      </c>
      <c r="AD29" s="260">
        <f> IF(AD28 = 1, $F25 / ( $F26 * $F27),0)</f>
        <v>1684.4633207529464</v>
      </c>
      <c r="AE29" s="260">
        <f> IF(AE28 = 1, $F25 / ( $F26 * $F27),0)</f>
        <v>1684.4633207529464</v>
      </c>
      <c r="AF29" s="260">
        <f> IF(AF28 = 1, $F25 / ( $F26 * $F27),0)</f>
        <v>1684.4633207529464</v>
      </c>
      <c r="AG29" s="260">
        <f> IF(AG28 = 1, $F25 / ( $F26 * $F27),0)</f>
        <v>1684.4633207529464</v>
      </c>
      <c r="AH29" s="260">
        <f> IF(AH28 = 1, $F25 / ( $F26 * $F27),0)</f>
        <v>1684.4633207529464</v>
      </c>
      <c r="AI29" s="260">
        <f> IF(AI28 = 1, $F25 / ( $F26 * $F27),0)</f>
        <v>1684.4633207529464</v>
      </c>
      <c r="AJ29" s="260">
        <f> IF(AJ28 = 1, $F25 / ( $F26 * $F27),0)</f>
        <v>1684.4633207529464</v>
      </c>
      <c r="AK29" s="260">
        <f> IF(AK28 = 1, $F25 / ( $F26 * $F27),0)</f>
        <v>1684.4633207529464</v>
      </c>
      <c r="AL29" s="260">
        <f> IF(AL28 = 1, $F25 / ( $F26 * $F27),0)</f>
        <v>1684.4633207529464</v>
      </c>
      <c r="AM29" s="260">
        <f> IF(AM28 = 1, $F25 / ( $F26 * $F27),0)</f>
        <v>1684.4633207529464</v>
      </c>
      <c r="AN29" s="260">
        <f> IF(AN28 = 1, $F25 / ( $F26 * $F27),0)</f>
        <v>1684.4633207529464</v>
      </c>
      <c r="AO29" s="260">
        <f> IF(AO28 = 1, $F25 / ( $F26 * $F27),0)</f>
        <v>1684.4633207529464</v>
      </c>
      <c r="AP29" s="260">
        <f> IF(AP28 = 1, $F25 / ( $F26 * $F27),0)</f>
        <v>1684.4633207529464</v>
      </c>
      <c r="AQ29" s="260">
        <f> IF(AQ28 = 1, $F25 / ( $F26 * $F27),0)</f>
        <v>1684.4633207529464</v>
      </c>
      <c r="AR29" s="260">
        <f> IF(AR28 = 1, $F25 / ( $F26 * $F27),0)</f>
        <v>1684.4633207529464</v>
      </c>
      <c r="AS29" s="260">
        <f> IF(AS28 = 1, $F25 / ( $F26 * $F27),0)</f>
        <v>1684.4633207529464</v>
      </c>
      <c r="AT29" s="260">
        <f> IF(AT28 = 1, $F25 / ( $F26 * $F27),0)</f>
        <v>1684.4633207529464</v>
      </c>
      <c r="AU29" s="260">
        <f> IF(AU28 = 1, $F25 / ( $F26 * $F27),0)</f>
        <v>1684.4633207529464</v>
      </c>
      <c r="AV29" s="260">
        <f> IF(AV28 = 1, $F25 / ( $F26 * $F27),0)</f>
        <v>1684.4633207529464</v>
      </c>
      <c r="AW29" s="260">
        <f> IF(AW28 = 1, $F25 / ( $F26 * $F27),0)</f>
        <v>1684.4633207529464</v>
      </c>
      <c r="AX29" s="260">
        <f> IF(AX28 = 1, $F25 / ( $F26 * $F27),0)</f>
        <v>1684.4633207529464</v>
      </c>
      <c r="AY29" s="260">
        <f> IF(AY28 = 1, $F25 / ( $F26 * $F27),0)</f>
        <v>1684.4633207529464</v>
      </c>
      <c r="AZ29" s="260">
        <f> IF(AZ28 = 1, $F25 / ( $F26 * $F27),0)</f>
        <v>1684.4633207529464</v>
      </c>
      <c r="BA29" s="260">
        <f> IF(BA28 = 1, $F25 / ( $F26 * $F27),0)</f>
        <v>1684.4633207529464</v>
      </c>
      <c r="BB29" s="260">
        <f> IF(BB28 = 1, $F25 / ( $F26 * $F27),0)</f>
        <v>1684.4633207529464</v>
      </c>
      <c r="BC29" s="260">
        <f> IF(BC28 = 1, $F25 / ( $F26 * $F27),0)</f>
        <v>1684.4633207529464</v>
      </c>
      <c r="BD29" s="260">
        <f> IF(BD28 = 1, $F25 / ( $F26 * $F27),0)</f>
        <v>1684.4633207529464</v>
      </c>
      <c r="BE29" s="260">
        <f> IF(BE28 = 1, $F25 / ( $F26 * $F27),0)</f>
        <v>1684.4633207529464</v>
      </c>
      <c r="BF29" s="260">
        <f> IF(BF28 = 1, $F25 / ( $F26 * $F27),0)</f>
        <v>1684.4633207529464</v>
      </c>
      <c r="BG29" s="260">
        <f> IF(BG28 = 1, $F25 / ( $F26 * $F27),0)</f>
        <v>1684.4633207529464</v>
      </c>
      <c r="BH29" s="260">
        <f> IF(BH28 = 1, $F25 / ( $F26 * $F27),0)</f>
        <v>1684.4633207529464</v>
      </c>
      <c r="BI29" s="260">
        <f> IF(BI28 = 1, $F25 / ( $F26 * $F27),0)</f>
        <v>1684.4633207529464</v>
      </c>
      <c r="BJ29" s="260">
        <f> IF(BJ28 = 1, $F25 / ( $F26 * $F27),0)</f>
        <v>1684.4633207529464</v>
      </c>
      <c r="BK29" s="260">
        <f> IF(BK28 = 1, $F25 / ( $F26 * $F27),0)</f>
        <v>1684.4633207529464</v>
      </c>
      <c r="BL29" s="260">
        <f> IF(BL28 = 1, $F25 / ( $F26 * $F27),0)</f>
        <v>1684.4633207529464</v>
      </c>
      <c r="BM29" s="260">
        <f> IF(BM28 = 1, $F25 / ( $F26 * $F27),0)</f>
        <v>1684.4633207529464</v>
      </c>
      <c r="BN29" s="260">
        <f> IF(BN28 = 1, $F25 / ( $F26 * $F27),0)</f>
        <v>1684.4633207529464</v>
      </c>
      <c r="BO29" s="260">
        <f> IF(BO28 = 1, $F25 / ( $F26 * $F27),0)</f>
        <v>1684.4633207529464</v>
      </c>
      <c r="BP29" s="260">
        <f> IF(BP28 = 1, $F25 / ( $F26 * $F27),0)</f>
        <v>1684.4633207529464</v>
      </c>
      <c r="BQ29" s="260">
        <f> IF(BQ28 = 1, $F25 / ( $F26 * $F27),0)</f>
        <v>1684.4633207529464</v>
      </c>
      <c r="BR29" s="260">
        <f> IF(BR28 = 1, $F25 / ( $F26 * $F27),0)</f>
        <v>1684.4633207529464</v>
      </c>
      <c r="BS29" s="260">
        <f> IF(BS28 = 1, $F25 / ( $F26 * $F27),0)</f>
        <v>1684.4633207529464</v>
      </c>
      <c r="BT29" s="260">
        <f> IF(BT28 = 1, $F25 / ( $F26 * $F27),0)</f>
        <v>0.0</v>
      </c>
      <c r="BU29" s="260">
        <f> IF(BU28 = 1, $F25 / ( $F26 * $F27),0)</f>
        <v>0.0</v>
      </c>
      <c r="BV29" s="260">
        <f> IF(BV28 = 1, $F25 / ( $F26 * $F27),0)</f>
        <v>0.0</v>
      </c>
      <c r="BW29" s="260">
        <f> IF(BW28 = 1, $F25 / ( $F26 * $F27),0)</f>
        <v>0.0</v>
      </c>
      <c r="BX29" s="260">
        <f> IF(BX28 = 1, $F25 / ( $F26 * $F27),0)</f>
        <v>0.0</v>
      </c>
      <c r="BY29" s="260">
        <f> IF(BY28 = 1, $F25 / ( $F26 * $F27),0)</f>
        <v>0.0</v>
      </c>
      <c r="BZ29" s="260">
        <f> IF(BZ28 = 1, $F25 / ( $F26 * $F27),0)</f>
        <v>0.0</v>
      </c>
      <c r="CA29" s="260">
        <f> IF(CA28 = 1, $F25 / ( $F26 * $F27),0)</f>
        <v>0.0</v>
      </c>
      <c r="CB29" s="260">
        <f> IF(CB28 = 1, $F25 / ( $F26 * $F27),0)</f>
        <v>0.0</v>
      </c>
      <c r="CC29" s="260">
        <f> IF(CC28 = 1, $F25 / ( $F26 * $F27),0)</f>
        <v>0.0</v>
      </c>
      <c r="CD29" s="260">
        <f> IF(CD28 = 1, $F25 / ( $F26 * $F27),0)</f>
        <v>0.0</v>
      </c>
      <c r="CE29" s="260">
        <f> IF(CE28 = 1, $F25 / ( $F26 * $F27),0)</f>
        <v>0.0</v>
      </c>
      <c r="CF29" s="260">
        <f> IF(CF28 = 1, $F25 / ( $F26 * $F27),0)</f>
        <v>0.0</v>
      </c>
      <c r="CG29" s="260">
        <f> IF(CG28 = 1, $F25 / ( $F26 * $F27),0)</f>
        <v>0.0</v>
      </c>
      <c r="CH29" s="260">
        <f> IF(CH28 = 1, $F25 / ( $F26 * $F27),0)</f>
        <v>0.0</v>
      </c>
      <c r="CI29" s="260">
        <f> IF(CI28 = 1, $F25 / ( $F26 * $F27),0)</f>
        <v>0.0</v>
      </c>
      <c r="CJ29" s="260">
        <f> IF(CJ28 = 1, $F25 / ( $F26 * $F27),0)</f>
        <v>0.0</v>
      </c>
      <c r="CK29" s="260">
        <f> IF(CK28 = 1, $F25 / ( $F26 * $F27),0)</f>
        <v>0.0</v>
      </c>
      <c r="CL29" s="260">
        <f> IF(CL28 = 1, $F25 / ( $F26 * $F27),0)</f>
        <v>0.0</v>
      </c>
      <c r="CM29" s="260">
        <f> IF(CM28 = 1, $F25 / ( $F26 * $F27),0)</f>
        <v>0.0</v>
      </c>
      <c r="CN29" s="260">
        <f> IF(CN28 = 1, $F25 / ( $F26 * $F27),0)</f>
        <v>0.0</v>
      </c>
      <c r="CO29" s="260">
        <f> IF(CO28 = 1, $F25 / ( $F26 * $F27),0)</f>
        <v>0.0</v>
      </c>
    </row>
    <row r="30" customFormat="1" s="61">
      <c r="A30" s="294" t="n"/>
      <c r="B30" s="294" t="n"/>
      <c r="C30" s="212" t="n"/>
      <c r="D30" s="244" t="n"/>
      <c r="E30" s="61" t="n"/>
    </row>
    <row r="31" customFormat="1" s="61">
      <c r="A31" s="294" t="n"/>
      <c r="B31" s="294" t="n"/>
      <c r="C31" s="212" t="inlineStr">
        <is>
          <t>Accounting depreciation - capex</t>
        </is>
      </c>
      <c r="D31" s="244" t="n"/>
      <c r="E31" s="61" t="n"/>
    </row>
    <row r="32" customFormat="1" s="61">
      <c r="A32" s="294" t="n"/>
      <c r="B32" s="294" t="n"/>
      <c r="C32" s="212" t="n"/>
      <c r="D32" s="244" t="n"/>
      <c r="E32" s="325" t="str">
        <f> InpC!E$67</f>
        <v>Useful life -capex</v>
      </c>
      <c r="F32" s="325">
        <f> InpC!F$67</f>
        <v>5.0</v>
      </c>
      <c r="G32" s="325" t="str">
        <f> InpC!G$67</f>
        <v>yrs</v>
      </c>
    </row>
    <row r="33">
      <c r="E33" s="325" t="str">
        <f> InpC!E$99</f>
        <v>No of periods in a year</v>
      </c>
      <c r="F33" s="325">
        <f> InpC!F$99</f>
        <v>4.0</v>
      </c>
      <c r="G33" s="325" t="str">
        <f> InpC!G$99</f>
        <v>periods</v>
      </c>
    </row>
    <row r="34" customFormat="1" s="61">
      <c r="A34" s="294" t="n"/>
      <c r="B34" s="294" t="n"/>
      <c r="C34" s="212" t="n"/>
      <c r="D34" s="244" t="n"/>
      <c r="E34" s="61" t="inlineStr">
        <is>
          <t>Periodic useful life</t>
        </is>
      </c>
      <c r="F34" s="61">
        <f> F32 * F33</f>
        <v>20.0</v>
      </c>
      <c r="G34" s="61" t="inlineStr">
        <is>
          <t>periods</t>
        </is>
      </c>
    </row>
    <row r="35" customFormat="1" s="61">
      <c r="A35" s="294" t="n"/>
      <c r="B35" s="294" t="n"/>
      <c r="C35" s="212" t="n"/>
      <c r="D35" s="244" t="n"/>
      <c r="E35" s="61" t="n"/>
    </row>
    <row r="36" customFormat="1" s="61">
      <c r="A36" s="294" t="n"/>
      <c r="B36" s="294" t="n"/>
      <c r="C36" s="212" t="n"/>
      <c r="D36" s="244" t="n"/>
      <c r="E36" s="61" t="str">
        <f> E$34</f>
        <v>Periodic useful life</v>
      </c>
      <c r="F36" s="61">
        <f> F$34</f>
        <v>20.0</v>
      </c>
      <c r="G36" s="61" t="str">
        <f> G$34</f>
        <v>periods</v>
      </c>
    </row>
    <row r="37" customFormat="1" s="61">
      <c r="A37" s="294" t="n"/>
      <c r="B37" s="294" t="n"/>
      <c r="C37" s="212" t="n"/>
      <c r="D37" s="244" t="n"/>
      <c r="E37" s="377" t="str">
        <f> Time!E$10</f>
        <v>Model column counter</v>
      </c>
      <c r="F37" s="377">
        <f> Time!F$10</f>
        <v>0.0</v>
      </c>
      <c r="G37" s="377" t="str">
        <f> Time!G$10</f>
        <v>counter</v>
      </c>
      <c r="H37" s="377">
        <f> Time!H$10</f>
        <v>0.0</v>
      </c>
      <c r="I37" s="377">
        <f> Time!I$10</f>
        <v>0.0</v>
      </c>
      <c r="J37" s="377">
        <f> Time!J$10</f>
        <v>1.0</v>
      </c>
      <c r="K37" s="377">
        <f> Time!K$10</f>
        <v>2.0</v>
      </c>
      <c r="L37" s="377">
        <f> Time!L$10</f>
        <v>3.0</v>
      </c>
      <c r="M37" s="377">
        <f> Time!M$10</f>
        <v>4.0</v>
      </c>
      <c r="N37" s="377">
        <f> Time!N$10</f>
        <v>5.0</v>
      </c>
      <c r="O37" s="377">
        <f> Time!O$10</f>
        <v>6.0</v>
      </c>
      <c r="P37" s="377">
        <f> Time!P$10</f>
        <v>7.0</v>
      </c>
      <c r="Q37" s="377">
        <f> Time!Q$10</f>
        <v>8.0</v>
      </c>
      <c r="R37" s="377">
        <f> Time!R$10</f>
        <v>9.0</v>
      </c>
      <c r="S37" s="377">
        <f> Time!S$10</f>
        <v>10.0</v>
      </c>
      <c r="T37" s="377">
        <f> Time!T$10</f>
        <v>11.0</v>
      </c>
      <c r="U37" s="377">
        <f> Time!U$10</f>
        <v>12.0</v>
      </c>
      <c r="V37" s="377">
        <f> Time!V$10</f>
        <v>13.0</v>
      </c>
      <c r="W37" s="377">
        <f> Time!W$10</f>
        <v>14.0</v>
      </c>
      <c r="X37" s="377">
        <f> Time!X$10</f>
        <v>15.0</v>
      </c>
      <c r="Y37" s="377">
        <f> Time!Y$10</f>
        <v>16.0</v>
      </c>
      <c r="Z37" s="377">
        <f> Time!Z$10</f>
        <v>17.0</v>
      </c>
      <c r="AA37" s="377">
        <f> Time!AA$10</f>
        <v>18.0</v>
      </c>
      <c r="AB37" s="377">
        <f> Time!AB$10</f>
        <v>19.0</v>
      </c>
      <c r="AC37" s="377">
        <f> Time!AC$10</f>
        <v>20.0</v>
      </c>
      <c r="AD37" s="377">
        <f> Time!AD$10</f>
        <v>21.0</v>
      </c>
      <c r="AE37" s="377">
        <f> Time!AE$10</f>
        <v>22.0</v>
      </c>
      <c r="AF37" s="377">
        <f> Time!AF$10</f>
        <v>23.0</v>
      </c>
      <c r="AG37" s="377">
        <f> Time!AG$10</f>
        <v>24.0</v>
      </c>
      <c r="AH37" s="377">
        <f> Time!AH$10</f>
        <v>25.0</v>
      </c>
      <c r="AI37" s="377">
        <f> Time!AI$10</f>
        <v>26.0</v>
      </c>
      <c r="AJ37" s="377">
        <f> Time!AJ$10</f>
        <v>27.0</v>
      </c>
      <c r="AK37" s="377">
        <f> Time!AK$10</f>
        <v>28.0</v>
      </c>
      <c r="AL37" s="377">
        <f> Time!AL$10</f>
        <v>29.0</v>
      </c>
      <c r="AM37" s="377">
        <f> Time!AM$10</f>
        <v>30.0</v>
      </c>
      <c r="AN37" s="377">
        <f> Time!AN$10</f>
        <v>31.0</v>
      </c>
      <c r="AO37" s="377">
        <f> Time!AO$10</f>
        <v>32.0</v>
      </c>
      <c r="AP37" s="377">
        <f> Time!AP$10</f>
        <v>33.0</v>
      </c>
      <c r="AQ37" s="377">
        <f> Time!AQ$10</f>
        <v>34.0</v>
      </c>
      <c r="AR37" s="377">
        <f> Time!AR$10</f>
        <v>35.0</v>
      </c>
      <c r="AS37" s="377">
        <f> Time!AS$10</f>
        <v>36.0</v>
      </c>
      <c r="AT37" s="377">
        <f> Time!AT$10</f>
        <v>37.0</v>
      </c>
      <c r="AU37" s="377">
        <f> Time!AU$10</f>
        <v>38.0</v>
      </c>
      <c r="AV37" s="377">
        <f> Time!AV$10</f>
        <v>39.0</v>
      </c>
      <c r="AW37" s="377">
        <f> Time!AW$10</f>
        <v>40.0</v>
      </c>
      <c r="AX37" s="377">
        <f> Time!AX$10</f>
        <v>41.0</v>
      </c>
      <c r="AY37" s="377">
        <f> Time!AY$10</f>
        <v>42.0</v>
      </c>
      <c r="AZ37" s="377">
        <f> Time!AZ$10</f>
        <v>43.0</v>
      </c>
      <c r="BA37" s="377">
        <f> Time!BA$10</f>
        <v>44.0</v>
      </c>
      <c r="BB37" s="377">
        <f> Time!BB$10</f>
        <v>45.0</v>
      </c>
      <c r="BC37" s="377">
        <f> Time!BC$10</f>
        <v>46.0</v>
      </c>
      <c r="BD37" s="377">
        <f> Time!BD$10</f>
        <v>47.0</v>
      </c>
      <c r="BE37" s="377">
        <f> Time!BE$10</f>
        <v>48.0</v>
      </c>
      <c r="BF37" s="377">
        <f> Time!BF$10</f>
        <v>49.0</v>
      </c>
      <c r="BG37" s="377">
        <f> Time!BG$10</f>
        <v>50.0</v>
      </c>
      <c r="BH37" s="377">
        <f> Time!BH$10</f>
        <v>51.0</v>
      </c>
      <c r="BI37" s="377">
        <f> Time!BI$10</f>
        <v>52.0</v>
      </c>
      <c r="BJ37" s="377">
        <f> Time!BJ$10</f>
        <v>53.0</v>
      </c>
      <c r="BK37" s="377">
        <f> Time!BK$10</f>
        <v>54.0</v>
      </c>
      <c r="BL37" s="377">
        <f> Time!BL$10</f>
        <v>55.0</v>
      </c>
      <c r="BM37" s="377">
        <f> Time!BM$10</f>
        <v>56.0</v>
      </c>
      <c r="BN37" s="377">
        <f> Time!BN$10</f>
        <v>57.0</v>
      </c>
      <c r="BO37" s="377">
        <f> Time!BO$10</f>
        <v>58.0</v>
      </c>
      <c r="BP37" s="377">
        <f> Time!BP$10</f>
        <v>59.0</v>
      </c>
      <c r="BQ37" s="377">
        <f> Time!BQ$10</f>
        <v>60.0</v>
      </c>
      <c r="BR37" s="377">
        <f> Time!BR$10</f>
        <v>61.0</v>
      </c>
      <c r="BS37" s="377">
        <f> Time!BS$10</f>
        <v>62.0</v>
      </c>
      <c r="BT37" s="377">
        <f> Time!BT$10</f>
        <v>63.0</v>
      </c>
      <c r="BU37" s="377">
        <f> Time!BU$10</f>
        <v>64.0</v>
      </c>
      <c r="BV37" s="377">
        <f> Time!BV$10</f>
        <v>65.0</v>
      </c>
      <c r="BW37" s="377">
        <f> Time!BW$10</f>
        <v>66.0</v>
      </c>
      <c r="BX37" s="377">
        <f> Time!BX$10</f>
        <v>67.0</v>
      </c>
      <c r="BY37" s="377">
        <f> Time!BY$10</f>
        <v>68.0</v>
      </c>
      <c r="BZ37" s="377">
        <f> Time!BZ$10</f>
        <v>69.0</v>
      </c>
      <c r="CA37" s="377">
        <f> Time!CA$10</f>
        <v>70.0</v>
      </c>
      <c r="CB37" s="377">
        <f> Time!CB$10</f>
        <v>71.0</v>
      </c>
      <c r="CC37" s="377">
        <f> Time!CC$10</f>
        <v>72.0</v>
      </c>
      <c r="CD37" s="377">
        <f> Time!CD$10</f>
        <v>73.0</v>
      </c>
      <c r="CE37" s="377">
        <f> Time!CE$10</f>
        <v>74.0</v>
      </c>
      <c r="CF37" s="377">
        <f> Time!CF$10</f>
        <v>75.0</v>
      </c>
      <c r="CG37" s="377">
        <f> Time!CG$10</f>
        <v>76.0</v>
      </c>
      <c r="CH37" s="377">
        <f> Time!CH$10</f>
        <v>77.0</v>
      </c>
      <c r="CI37" s="377">
        <f> Time!CI$10</f>
        <v>78.0</v>
      </c>
      <c r="CJ37" s="377">
        <f> Time!CJ$10</f>
        <v>79.0</v>
      </c>
      <c r="CK37" s="377">
        <f> Time!CK$10</f>
        <v>80.0</v>
      </c>
      <c r="CL37" s="377">
        <f> Time!CL$10</f>
        <v>81.0</v>
      </c>
      <c r="CM37" s="377">
        <f> Time!CM$10</f>
        <v>82.0</v>
      </c>
      <c r="CN37" s="377">
        <f> Time!CN$10</f>
        <v>83.0</v>
      </c>
      <c r="CO37" s="377">
        <f> Time!CO$10</f>
        <v>84.0</v>
      </c>
    </row>
    <row r="38" customFormat="1" s="61">
      <c r="A38" s="294" t="n"/>
      <c r="B38" s="294" t="n"/>
      <c r="C38" s="212" t="n"/>
      <c r="D38" s="244" t="n"/>
      <c r="E38" s="61" t="str">
        <f> E$18</f>
        <v>Capital expenditure POS</v>
      </c>
      <c r="F38" s="61">
        <f> F$18</f>
        <v>0.0</v>
      </c>
      <c r="G38" s="61" t="str">
        <f> G$18</f>
        <v>$ 000s</v>
      </c>
      <c r="H38" s="61">
        <f> H$18</f>
        <v>8000.0</v>
      </c>
      <c r="I38" s="61">
        <f> I$18</f>
        <v>0.0</v>
      </c>
      <c r="J38" s="61">
        <f> J$18</f>
        <v>0.0</v>
      </c>
      <c r="K38" s="61">
        <f> K$18</f>
        <v>0.0</v>
      </c>
      <c r="L38" s="61">
        <f> L$18</f>
        <v>0.0</v>
      </c>
      <c r="M38" s="61">
        <f> M$18</f>
        <v>0.0</v>
      </c>
      <c r="N38" s="61">
        <f> N$18</f>
        <v>0.0</v>
      </c>
      <c r="O38" s="61">
        <f> O$18</f>
        <v>0.0</v>
      </c>
      <c r="P38" s="61">
        <f> P$18</f>
        <v>0.0</v>
      </c>
      <c r="Q38" s="61">
        <f> Q$18</f>
        <v>0.0</v>
      </c>
      <c r="R38" s="61">
        <f> R$18</f>
        <v>0.0</v>
      </c>
      <c r="S38" s="61">
        <f> S$18</f>
        <v>2000.0</v>
      </c>
      <c r="T38" s="61">
        <f> T$18</f>
        <v>0.0</v>
      </c>
      <c r="U38" s="61">
        <f> U$18</f>
        <v>0.0</v>
      </c>
      <c r="V38" s="61">
        <f> V$18</f>
        <v>0.0</v>
      </c>
      <c r="W38" s="61">
        <f> W$18</f>
        <v>1000.0</v>
      </c>
      <c r="X38" s="61">
        <f> X$18</f>
        <v>0.0</v>
      </c>
      <c r="Y38" s="61">
        <f> Y$18</f>
        <v>0.0</v>
      </c>
      <c r="Z38" s="61">
        <f> Z$18</f>
        <v>0.0</v>
      </c>
      <c r="AA38" s="61">
        <f> AA$18</f>
        <v>1500.0</v>
      </c>
      <c r="AB38" s="61">
        <f> AB$18</f>
        <v>0.0</v>
      </c>
      <c r="AC38" s="61">
        <f> AC$18</f>
        <v>0.0</v>
      </c>
      <c r="AD38" s="61">
        <f> AD$18</f>
        <v>0.0</v>
      </c>
      <c r="AE38" s="61">
        <f> AE$18</f>
        <v>1000.0</v>
      </c>
      <c r="AF38" s="61">
        <f> AF$18</f>
        <v>0.0</v>
      </c>
      <c r="AG38" s="61">
        <f> AG$18</f>
        <v>0.0</v>
      </c>
      <c r="AH38" s="61">
        <f> AH$18</f>
        <v>0.0</v>
      </c>
      <c r="AI38" s="61">
        <f> AI$18</f>
        <v>500.0</v>
      </c>
      <c r="AJ38" s="61">
        <f> AJ$18</f>
        <v>0.0</v>
      </c>
      <c r="AK38" s="61">
        <f> AK$18</f>
        <v>0.0</v>
      </c>
      <c r="AL38" s="61">
        <f> AL$18</f>
        <v>0.0</v>
      </c>
      <c r="AM38" s="61">
        <f> AM$18</f>
        <v>1000.0</v>
      </c>
      <c r="AN38" s="61">
        <f> AN$18</f>
        <v>0.0</v>
      </c>
      <c r="AO38" s="61">
        <f> AO$18</f>
        <v>0.0</v>
      </c>
      <c r="AP38" s="61">
        <f> AP$18</f>
        <v>0.0</v>
      </c>
      <c r="AQ38" s="61">
        <f> AQ$18</f>
        <v>1000.0</v>
      </c>
      <c r="AR38" s="61">
        <f> AR$18</f>
        <v>0.0</v>
      </c>
      <c r="AS38" s="61">
        <f> AS$18</f>
        <v>0.0</v>
      </c>
      <c r="AT38" s="61">
        <f> AT$18</f>
        <v>0.0</v>
      </c>
      <c r="AU38" s="61">
        <f> AU$18</f>
        <v>0.0</v>
      </c>
      <c r="AV38" s="61">
        <f> AV$18</f>
        <v>0.0</v>
      </c>
      <c r="AW38" s="61">
        <f> AW$18</f>
        <v>0.0</v>
      </c>
      <c r="AX38" s="61">
        <f> AX$18</f>
        <v>0.0</v>
      </c>
      <c r="AY38" s="61">
        <f> AY$18</f>
        <v>0.0</v>
      </c>
      <c r="AZ38" s="61">
        <f> AZ$18</f>
        <v>0.0</v>
      </c>
      <c r="BA38" s="61">
        <f> BA$18</f>
        <v>0.0</v>
      </c>
      <c r="BB38" s="61">
        <f> BB$18</f>
        <v>0.0</v>
      </c>
      <c r="BC38" s="61">
        <f> BC$18</f>
        <v>0.0</v>
      </c>
      <c r="BD38" s="61">
        <f> BD$18</f>
        <v>0.0</v>
      </c>
      <c r="BE38" s="61">
        <f> BE$18</f>
        <v>0.0</v>
      </c>
      <c r="BF38" s="61">
        <f> BF$18</f>
        <v>0.0</v>
      </c>
      <c r="BG38" s="61">
        <f> BG$18</f>
        <v>0.0</v>
      </c>
      <c r="BH38" s="61">
        <f> BH$18</f>
        <v>0.0</v>
      </c>
      <c r="BI38" s="61">
        <f> BI$18</f>
        <v>0.0</v>
      </c>
      <c r="BJ38" s="61">
        <f> BJ$18</f>
        <v>0.0</v>
      </c>
      <c r="BK38" s="61">
        <f> BK$18</f>
        <v>0.0</v>
      </c>
      <c r="BL38" s="61">
        <f> BL$18</f>
        <v>0.0</v>
      </c>
      <c r="BM38" s="61">
        <f> BM$18</f>
        <v>0.0</v>
      </c>
      <c r="BN38" s="61">
        <f> BN$18</f>
        <v>0.0</v>
      </c>
      <c r="BO38" s="61">
        <f> BO$18</f>
        <v>0.0</v>
      </c>
      <c r="BP38" s="61">
        <f> BP$18</f>
        <v>0.0</v>
      </c>
      <c r="BQ38" s="61">
        <f> BQ$18</f>
        <v>0.0</v>
      </c>
      <c r="BR38" s="61">
        <f> BR$18</f>
        <v>0.0</v>
      </c>
      <c r="BS38" s="61">
        <f> BS$18</f>
        <v>0.0</v>
      </c>
      <c r="BT38" s="61">
        <f> BT$18</f>
        <v>0.0</v>
      </c>
      <c r="BU38" s="61">
        <f> BU$18</f>
        <v>0.0</v>
      </c>
      <c r="BV38" s="61">
        <f> BV$18</f>
        <v>0.0</v>
      </c>
      <c r="BW38" s="61">
        <f> BW$18</f>
        <v>0.0</v>
      </c>
      <c r="BX38" s="61">
        <f> BX$18</f>
        <v>0.0</v>
      </c>
      <c r="BY38" s="61">
        <f> BY$18</f>
        <v>0.0</v>
      </c>
      <c r="BZ38" s="61">
        <f> BZ$18</f>
        <v>0.0</v>
      </c>
      <c r="CA38" s="61">
        <f> CA$18</f>
        <v>0.0</v>
      </c>
      <c r="CB38" s="61">
        <f> CB$18</f>
        <v>0.0</v>
      </c>
      <c r="CC38" s="61">
        <f> CC$18</f>
        <v>0.0</v>
      </c>
      <c r="CD38" s="61">
        <f> CD$18</f>
        <v>0.0</v>
      </c>
      <c r="CE38" s="61">
        <f> CE$18</f>
        <v>0.0</v>
      </c>
      <c r="CF38" s="61">
        <f> CF$18</f>
        <v>0.0</v>
      </c>
      <c r="CG38" s="61">
        <f> CG$18</f>
        <v>0.0</v>
      </c>
      <c r="CH38" s="61">
        <f> CH$18</f>
        <v>0.0</v>
      </c>
      <c r="CI38" s="61">
        <f> CI$18</f>
        <v>0.0</v>
      </c>
      <c r="CJ38" s="61">
        <f> CJ$18</f>
        <v>0.0</v>
      </c>
      <c r="CK38" s="61">
        <f> CK$18</f>
        <v>0.0</v>
      </c>
      <c r="CL38" s="61">
        <f> CL$18</f>
        <v>0.0</v>
      </c>
      <c r="CM38" s="61">
        <f> CM$18</f>
        <v>0.0</v>
      </c>
      <c r="CN38" s="61">
        <f> CN$18</f>
        <v>0.0</v>
      </c>
      <c r="CO38" s="61">
        <f> CO$18</f>
        <v>0.0</v>
      </c>
    </row>
    <row r="39" customFormat="1" s="61">
      <c r="A39" s="294" t="n"/>
      <c r="B39" s="294" t="n"/>
      <c r="C39" s="212" t="n"/>
      <c r="D39" s="244" t="n"/>
      <c r="E39" s="61" t="inlineStr">
        <is>
          <t>Retirement of capex</t>
        </is>
      </c>
      <c r="G39" s="61" t="str">
        <f>SMU</f>
        <v>$ 000s</v>
      </c>
      <c r="H39" s="61">
        <f> SUM(J39:CO39)</f>
        <v>8000.0</v>
      </c>
      <c r="J39" s="61">
        <f> SUMIFS($J38:J38, $J37:J37, J37 - $F36)</f>
        <v>0.0</v>
      </c>
      <c r="K39" s="61">
        <f> SUMIFS($J38:K38, $J37:K37, K37 - $F36)</f>
        <v>0.0</v>
      </c>
      <c r="L39" s="61">
        <f> SUMIFS($J38:L38, $J37:L37, L37 - $F36)</f>
        <v>0.0</v>
      </c>
      <c r="M39" s="61">
        <f> SUMIFS($J38:M38, $J37:M37, M37 - $F36)</f>
        <v>0.0</v>
      </c>
      <c r="N39" s="61">
        <f> SUMIFS($J38:N38, $J37:N37, N37 - $F36)</f>
        <v>0.0</v>
      </c>
      <c r="O39" s="61">
        <f> SUMIFS($J38:O38, $J37:O37, O37 - $F36)</f>
        <v>0.0</v>
      </c>
      <c r="P39" s="61">
        <f> SUMIFS($J38:P38, $J37:P37, P37 - $F36)</f>
        <v>0.0</v>
      </c>
      <c r="Q39" s="61">
        <f> SUMIFS($J38:Q38, $J37:Q37, Q37 - $F36)</f>
        <v>0.0</v>
      </c>
      <c r="R39" s="61">
        <f> SUMIFS($J38:R38, $J37:R37, R37 - $F36)</f>
        <v>0.0</v>
      </c>
      <c r="S39" s="61">
        <f> SUMIFS($J38:S38, $J37:S37, S37 - $F36)</f>
        <v>0.0</v>
      </c>
      <c r="T39" s="61">
        <f> SUMIFS($J38:T38, $J37:T37, T37 - $F36)</f>
        <v>0.0</v>
      </c>
      <c r="U39" s="61">
        <f> SUMIFS($J38:U38, $J37:U37, U37 - $F36)</f>
        <v>0.0</v>
      </c>
      <c r="V39" s="61">
        <f> SUMIFS($J38:V38, $J37:V37, V37 - $F36)</f>
        <v>0.0</v>
      </c>
      <c r="W39" s="61">
        <f> SUMIFS($J38:W38, $J37:W37, W37 - $F36)</f>
        <v>0.0</v>
      </c>
      <c r="X39" s="61">
        <f> SUMIFS($J38:X38, $J37:X37, X37 - $F36)</f>
        <v>0.0</v>
      </c>
      <c r="Y39" s="61">
        <f> SUMIFS($J38:Y38, $J37:Y37, Y37 - $F36)</f>
        <v>0.0</v>
      </c>
      <c r="Z39" s="61">
        <f> SUMIFS($J38:Z38, $J37:Z37, Z37 - $F36)</f>
        <v>0.0</v>
      </c>
      <c r="AA39" s="61">
        <f> SUMIFS($J38:AA38, $J37:AA37, AA37 - $F36)</f>
        <v>0.0</v>
      </c>
      <c r="AB39" s="61">
        <f> SUMIFS($J38:AB38, $J37:AB37, AB37 - $F36)</f>
        <v>0.0</v>
      </c>
      <c r="AC39" s="61">
        <f> SUMIFS($J38:AC38, $J37:AC37, AC37 - $F36)</f>
        <v>0.0</v>
      </c>
      <c r="AD39" s="61">
        <f> SUMIFS($J38:AD38, $J37:AD37, AD37 - $F36)</f>
        <v>0.0</v>
      </c>
      <c r="AE39" s="61">
        <f> SUMIFS($J38:AE38, $J37:AE37, AE37 - $F36)</f>
        <v>0.0</v>
      </c>
      <c r="AF39" s="61">
        <f> SUMIFS($J38:AF38, $J37:AF37, AF37 - $F36)</f>
        <v>0.0</v>
      </c>
      <c r="AG39" s="61">
        <f> SUMIFS($J38:AG38, $J37:AG37, AG37 - $F36)</f>
        <v>0.0</v>
      </c>
      <c r="AH39" s="61">
        <f> SUMIFS($J38:AH38, $J37:AH37, AH37 - $F36)</f>
        <v>0.0</v>
      </c>
      <c r="AI39" s="61">
        <f> SUMIFS($J38:AI38, $J37:AI37, AI37 - $F36)</f>
        <v>0.0</v>
      </c>
      <c r="AJ39" s="61">
        <f> SUMIFS($J38:AJ38, $J37:AJ37, AJ37 - $F36)</f>
        <v>0.0</v>
      </c>
      <c r="AK39" s="61">
        <f> SUMIFS($J38:AK38, $J37:AK37, AK37 - $F36)</f>
        <v>0.0</v>
      </c>
      <c r="AL39" s="61">
        <f> SUMIFS($J38:AL38, $J37:AL37, AL37 - $F36)</f>
        <v>0.0</v>
      </c>
      <c r="AM39" s="61">
        <f> SUMIFS($J38:AM38, $J37:AM37, AM37 - $F36)</f>
        <v>2000.0</v>
      </c>
      <c r="AN39" s="61">
        <f> SUMIFS($J38:AN38, $J37:AN37, AN37 - $F36)</f>
        <v>0.0</v>
      </c>
      <c r="AO39" s="61">
        <f> SUMIFS($J38:AO38, $J37:AO37, AO37 - $F36)</f>
        <v>0.0</v>
      </c>
      <c r="AP39" s="61">
        <f> SUMIFS($J38:AP38, $J37:AP37, AP37 - $F36)</f>
        <v>0.0</v>
      </c>
      <c r="AQ39" s="61">
        <f> SUMIFS($J38:AQ38, $J37:AQ37, AQ37 - $F36)</f>
        <v>1000.0</v>
      </c>
      <c r="AR39" s="61">
        <f> SUMIFS($J38:AR38, $J37:AR37, AR37 - $F36)</f>
        <v>0.0</v>
      </c>
      <c r="AS39" s="61">
        <f> SUMIFS($J38:AS38, $J37:AS37, AS37 - $F36)</f>
        <v>0.0</v>
      </c>
      <c r="AT39" s="61">
        <f> SUMIFS($J38:AT38, $J37:AT37, AT37 - $F36)</f>
        <v>0.0</v>
      </c>
      <c r="AU39" s="61">
        <f> SUMIFS($J38:AU38, $J37:AU37, AU37 - $F36)</f>
        <v>1500.0</v>
      </c>
      <c r="AV39" s="61">
        <f> SUMIFS($J38:AV38, $J37:AV37, AV37 - $F36)</f>
        <v>0.0</v>
      </c>
      <c r="AW39" s="61">
        <f> SUMIFS($J38:AW38, $J37:AW37, AW37 - $F36)</f>
        <v>0.0</v>
      </c>
      <c r="AX39" s="61">
        <f> SUMIFS($J38:AX38, $J37:AX37, AX37 - $F36)</f>
        <v>0.0</v>
      </c>
      <c r="AY39" s="61">
        <f> SUMIFS($J38:AY38, $J37:AY37, AY37 - $F36)</f>
        <v>1000.0</v>
      </c>
      <c r="AZ39" s="61">
        <f> SUMIFS($J38:AZ38, $J37:AZ37, AZ37 - $F36)</f>
        <v>0.0</v>
      </c>
      <c r="BA39" s="61">
        <f> SUMIFS($J38:BA38, $J37:BA37, BA37 - $F36)</f>
        <v>0.0</v>
      </c>
      <c r="BB39" s="61">
        <f> SUMIFS($J38:BB38, $J37:BB37, BB37 - $F36)</f>
        <v>0.0</v>
      </c>
      <c r="BC39" s="61">
        <f> SUMIFS($J38:BC38, $J37:BC37, BC37 - $F36)</f>
        <v>500.0</v>
      </c>
      <c r="BD39" s="61">
        <f> SUMIFS($J38:BD38, $J37:BD37, BD37 - $F36)</f>
        <v>0.0</v>
      </c>
      <c r="BE39" s="61">
        <f> SUMIFS($J38:BE38, $J37:BE37, BE37 - $F36)</f>
        <v>0.0</v>
      </c>
      <c r="BF39" s="61">
        <f> SUMIFS($J38:BF38, $J37:BF37, BF37 - $F36)</f>
        <v>0.0</v>
      </c>
      <c r="BG39" s="61">
        <f> SUMIFS($J38:BG38, $J37:BG37, BG37 - $F36)</f>
        <v>1000.0</v>
      </c>
      <c r="BH39" s="61">
        <f> SUMIFS($J38:BH38, $J37:BH37, BH37 - $F36)</f>
        <v>0.0</v>
      </c>
      <c r="BI39" s="61">
        <f> SUMIFS($J38:BI38, $J37:BI37, BI37 - $F36)</f>
        <v>0.0</v>
      </c>
      <c r="BJ39" s="61">
        <f> SUMIFS($J38:BJ38, $J37:BJ37, BJ37 - $F36)</f>
        <v>0.0</v>
      </c>
      <c r="BK39" s="61">
        <f> SUMIFS($J38:BK38, $J37:BK37, BK37 - $F36)</f>
        <v>1000.0</v>
      </c>
      <c r="BL39" s="61">
        <f> SUMIFS($J38:BL38, $J37:BL37, BL37 - $F36)</f>
        <v>0.0</v>
      </c>
      <c r="BM39" s="61">
        <f> SUMIFS($J38:BM38, $J37:BM37, BM37 - $F36)</f>
        <v>0.0</v>
      </c>
      <c r="BN39" s="61">
        <f> SUMIFS($J38:BN38, $J37:BN37, BN37 - $F36)</f>
        <v>0.0</v>
      </c>
      <c r="BO39" s="61">
        <f> SUMIFS($J38:BO38, $J37:BO37, BO37 - $F36)</f>
        <v>0.0</v>
      </c>
      <c r="BP39" s="61">
        <f> SUMIFS($J38:BP38, $J37:BP37, BP37 - $F36)</f>
        <v>0.0</v>
      </c>
      <c r="BQ39" s="61">
        <f> SUMIFS($J38:BQ38, $J37:BQ37, BQ37 - $F36)</f>
        <v>0.0</v>
      </c>
      <c r="BR39" s="61">
        <f> SUMIFS($J38:BR38, $J37:BR37, BR37 - $F36)</f>
        <v>0.0</v>
      </c>
      <c r="BS39" s="61">
        <f> SUMIFS($J38:BS38, $J37:BS37, BS37 - $F36)</f>
        <v>0.0</v>
      </c>
      <c r="BT39" s="61">
        <f> SUMIFS($J38:BT38, $J37:BT37, BT37 - $F36)</f>
        <v>0.0</v>
      </c>
      <c r="BU39" s="61">
        <f> SUMIFS($J38:BU38, $J37:BU37, BU37 - $F36)</f>
        <v>0.0</v>
      </c>
      <c r="BV39" s="61">
        <f> SUMIFS($J38:BV38, $J37:BV37, BV37 - $F36)</f>
        <v>0.0</v>
      </c>
      <c r="BW39" s="61">
        <f> SUMIFS($J38:BW38, $J37:BW37, BW37 - $F36)</f>
        <v>0.0</v>
      </c>
      <c r="BX39" s="61">
        <f> SUMIFS($J38:BX38, $J37:BX37, BX37 - $F36)</f>
        <v>0.0</v>
      </c>
      <c r="BY39" s="61">
        <f> SUMIFS($J38:BY38, $J37:BY37, BY37 - $F36)</f>
        <v>0.0</v>
      </c>
      <c r="BZ39" s="61">
        <f> SUMIFS($J38:BZ38, $J37:BZ37, BZ37 - $F36)</f>
        <v>0.0</v>
      </c>
      <c r="CA39" s="61">
        <f> SUMIFS($J38:CA38, $J37:CA37, CA37 - $F36)</f>
        <v>0.0</v>
      </c>
      <c r="CB39" s="61">
        <f> SUMIFS($J38:CB38, $J37:CB37, CB37 - $F36)</f>
        <v>0.0</v>
      </c>
      <c r="CC39" s="61">
        <f> SUMIFS($J38:CC38, $J37:CC37, CC37 - $F36)</f>
        <v>0.0</v>
      </c>
      <c r="CD39" s="61">
        <f> SUMIFS($J38:CD38, $J37:CD37, CD37 - $F36)</f>
        <v>0.0</v>
      </c>
      <c r="CE39" s="61">
        <f> SUMIFS($J38:CE38, $J37:CE37, CE37 - $F36)</f>
        <v>0.0</v>
      </c>
      <c r="CF39" s="61">
        <f> SUMIFS($J38:CF38, $J37:CF37, CF37 - $F36)</f>
        <v>0.0</v>
      </c>
      <c r="CG39" s="61">
        <f> SUMIFS($J38:CG38, $J37:CG37, CG37 - $F36)</f>
        <v>0.0</v>
      </c>
      <c r="CH39" s="61">
        <f> SUMIFS($J38:CH38, $J37:CH37, CH37 - $F36)</f>
        <v>0.0</v>
      </c>
      <c r="CI39" s="61">
        <f> SUMIFS($J38:CI38, $J37:CI37, CI37 - $F36)</f>
        <v>0.0</v>
      </c>
      <c r="CJ39" s="61">
        <f> SUMIFS($J38:CJ38, $J37:CJ37, CJ37 - $F36)</f>
        <v>0.0</v>
      </c>
      <c r="CK39" s="61">
        <f> SUMIFS($J38:CK38, $J37:CK37, CK37 - $F36)</f>
        <v>0.0</v>
      </c>
      <c r="CL39" s="61">
        <f> SUMIFS($J38:CL38, $J37:CL37, CL37 - $F36)</f>
        <v>0.0</v>
      </c>
      <c r="CM39" s="61">
        <f> SUMIFS($J38:CM38, $J37:CM37, CM37 - $F36)</f>
        <v>0.0</v>
      </c>
      <c r="CN39" s="61">
        <f> SUMIFS($J38:CN38, $J37:CN37, CN37 - $F36)</f>
        <v>0.0</v>
      </c>
      <c r="CO39" s="61">
        <f> SUMIFS($J38:CO38, $J37:CO37, CO37 - $F36)</f>
        <v>0.0</v>
      </c>
    </row>
    <row r="40" customFormat="1" s="61">
      <c r="A40" s="294" t="n"/>
      <c r="B40" s="294" t="n"/>
      <c r="C40" s="212" t="n"/>
      <c r="D40" s="244" t="n"/>
      <c r="E40" s="61" t="n"/>
    </row>
    <row r="41" customFormat="1" s="370">
      <c r="A41" s="331" t="n"/>
      <c r="B41" s="331" t="n"/>
      <c r="C41" s="332" t="n"/>
      <c r="D41" s="333" t="n"/>
      <c r="E41" s="370" t="inlineStr">
        <is>
          <t>Capex depreciable balance BEG</t>
        </is>
      </c>
      <c r="G41" s="370" t="str">
        <f>SMU</f>
        <v>$ 000s</v>
      </c>
      <c r="J41" s="370">
        <f>I44</f>
        <v>0.0</v>
      </c>
      <c r="K41" s="370">
        <f>J44</f>
        <v>0.0</v>
      </c>
      <c r="L41" s="370">
        <f>K44</f>
        <v>0.0</v>
      </c>
      <c r="M41" s="370">
        <f>L44</f>
        <v>0.0</v>
      </c>
      <c r="N41" s="370">
        <f>M44</f>
        <v>0.0</v>
      </c>
      <c r="O41" s="370">
        <f>N44</f>
        <v>0.0</v>
      </c>
      <c r="P41" s="370">
        <f>O44</f>
        <v>0.0</v>
      </c>
      <c r="Q41" s="370">
        <f>P44</f>
        <v>0.0</v>
      </c>
      <c r="R41" s="370">
        <f>Q44</f>
        <v>0.0</v>
      </c>
      <c r="S41" s="370">
        <f>R44</f>
        <v>0.0</v>
      </c>
      <c r="T41" s="370">
        <f>S44</f>
        <v>2000.0</v>
      </c>
      <c r="U41" s="370">
        <f>T44</f>
        <v>2000.0</v>
      </c>
      <c r="V41" s="370">
        <f>U44</f>
        <v>2000.0</v>
      </c>
      <c r="W41" s="370">
        <f>V44</f>
        <v>2000.0</v>
      </c>
      <c r="X41" s="370">
        <f>W44</f>
        <v>3000.0</v>
      </c>
      <c r="Y41" s="370">
        <f>X44</f>
        <v>3000.0</v>
      </c>
      <c r="Z41" s="370">
        <f>Y44</f>
        <v>3000.0</v>
      </c>
      <c r="AA41" s="370">
        <f>Z44</f>
        <v>3000.0</v>
      </c>
      <c r="AB41" s="370">
        <f>AA44</f>
        <v>4500.0</v>
      </c>
      <c r="AC41" s="370">
        <f>AB44</f>
        <v>4500.0</v>
      </c>
      <c r="AD41" s="370">
        <f>AC44</f>
        <v>4500.0</v>
      </c>
      <c r="AE41" s="370">
        <f>AD44</f>
        <v>4500.0</v>
      </c>
      <c r="AF41" s="370">
        <f>AE44</f>
        <v>5500.0</v>
      </c>
      <c r="AG41" s="370">
        <f>AF44</f>
        <v>5500.0</v>
      </c>
      <c r="AH41" s="370">
        <f>AG44</f>
        <v>5500.0</v>
      </c>
      <c r="AI41" s="370">
        <f>AH44</f>
        <v>5500.0</v>
      </c>
      <c r="AJ41" s="370">
        <f>AI44</f>
        <v>6000.0</v>
      </c>
      <c r="AK41" s="370">
        <f>AJ44</f>
        <v>6000.0</v>
      </c>
      <c r="AL41" s="370">
        <f>AK44</f>
        <v>6000.0</v>
      </c>
      <c r="AM41" s="370">
        <f>AL44</f>
        <v>6000.0</v>
      </c>
      <c r="AN41" s="370">
        <f>AM44</f>
        <v>5000.0</v>
      </c>
      <c r="AO41" s="370">
        <f>AN44</f>
        <v>5000.0</v>
      </c>
      <c r="AP41" s="370">
        <f>AO44</f>
        <v>5000.0</v>
      </c>
      <c r="AQ41" s="370">
        <f>AP44</f>
        <v>5000.0</v>
      </c>
      <c r="AR41" s="370">
        <f>AQ44</f>
        <v>5000.0</v>
      </c>
      <c r="AS41" s="370">
        <f>AR44</f>
        <v>5000.0</v>
      </c>
      <c r="AT41" s="370">
        <f>AS44</f>
        <v>5000.0</v>
      </c>
      <c r="AU41" s="370">
        <f>AT44</f>
        <v>5000.0</v>
      </c>
      <c r="AV41" s="370">
        <f>AU44</f>
        <v>3500.0</v>
      </c>
      <c r="AW41" s="370">
        <f>AV44</f>
        <v>3500.0</v>
      </c>
      <c r="AX41" s="370">
        <f>AW44</f>
        <v>3500.0</v>
      </c>
      <c r="AY41" s="370">
        <f>AX44</f>
        <v>3500.0</v>
      </c>
      <c r="AZ41" s="370">
        <f>AY44</f>
        <v>2500.0</v>
      </c>
      <c r="BA41" s="370">
        <f>AZ44</f>
        <v>2500.0</v>
      </c>
      <c r="BB41" s="370">
        <f>BA44</f>
        <v>2500.0</v>
      </c>
      <c r="BC41" s="370">
        <f>BB44</f>
        <v>2500.0</v>
      </c>
      <c r="BD41" s="370">
        <f>BC44</f>
        <v>2000.0</v>
      </c>
      <c r="BE41" s="370">
        <f>BD44</f>
        <v>2000.0</v>
      </c>
      <c r="BF41" s="370">
        <f>BE44</f>
        <v>2000.0</v>
      </c>
      <c r="BG41" s="370">
        <f>BF44</f>
        <v>2000.0</v>
      </c>
      <c r="BH41" s="370">
        <f>BG44</f>
        <v>1000.0</v>
      </c>
      <c r="BI41" s="370">
        <f>BH44</f>
        <v>1000.0</v>
      </c>
      <c r="BJ41" s="370">
        <f>BI44</f>
        <v>1000.0</v>
      </c>
      <c r="BK41" s="370">
        <f>BJ44</f>
        <v>1000.0</v>
      </c>
      <c r="BL41" s="370">
        <f>BK44</f>
        <v>0.0</v>
      </c>
      <c r="BM41" s="370">
        <f>BL44</f>
        <v>0.0</v>
      </c>
      <c r="BN41" s="370">
        <f>BM44</f>
        <v>0.0</v>
      </c>
      <c r="BO41" s="370">
        <f>BN44</f>
        <v>0.0</v>
      </c>
      <c r="BP41" s="370">
        <f>BO44</f>
        <v>0.0</v>
      </c>
      <c r="BQ41" s="370">
        <f>BP44</f>
        <v>0.0</v>
      </c>
      <c r="BR41" s="370">
        <f>BQ44</f>
        <v>0.0</v>
      </c>
      <c r="BS41" s="370">
        <f>BR44</f>
        <v>0.0</v>
      </c>
      <c r="BT41" s="370">
        <f>BS44</f>
        <v>0.0</v>
      </c>
      <c r="BU41" s="370">
        <f>BT44</f>
        <v>0.0</v>
      </c>
      <c r="BV41" s="370">
        <f>BU44</f>
        <v>0.0</v>
      </c>
      <c r="BW41" s="370">
        <f>BV44</f>
        <v>0.0</v>
      </c>
      <c r="BX41" s="370">
        <f>BW44</f>
        <v>0.0</v>
      </c>
      <c r="BY41" s="370">
        <f>BX44</f>
        <v>0.0</v>
      </c>
      <c r="BZ41" s="370">
        <f>BY44</f>
        <v>0.0</v>
      </c>
      <c r="CA41" s="370">
        <f>BZ44</f>
        <v>0.0</v>
      </c>
      <c r="CB41" s="370">
        <f>CA44</f>
        <v>0.0</v>
      </c>
      <c r="CC41" s="370">
        <f>CB44</f>
        <v>0.0</v>
      </c>
      <c r="CD41" s="370">
        <f>CC44</f>
        <v>0.0</v>
      </c>
      <c r="CE41" s="370">
        <f>CD44</f>
        <v>0.0</v>
      </c>
      <c r="CF41" s="370">
        <f>CE44</f>
        <v>0.0</v>
      </c>
      <c r="CG41" s="370">
        <f>CF44</f>
        <v>0.0</v>
      </c>
      <c r="CH41" s="370">
        <f>CG44</f>
        <v>0.0</v>
      </c>
      <c r="CI41" s="370">
        <f>CH44</f>
        <v>0.0</v>
      </c>
      <c r="CJ41" s="370">
        <f>CI44</f>
        <v>0.0</v>
      </c>
      <c r="CK41" s="370">
        <f>CJ44</f>
        <v>0.0</v>
      </c>
      <c r="CL41" s="370">
        <f>CK44</f>
        <v>0.0</v>
      </c>
      <c r="CM41" s="370">
        <f>CL44</f>
        <v>0.0</v>
      </c>
      <c r="CN41" s="370">
        <f>CM44</f>
        <v>0.0</v>
      </c>
      <c r="CO41" s="370">
        <f>CN44</f>
        <v>0.0</v>
      </c>
    </row>
    <row r="42" customFormat="1" s="61">
      <c r="A42" s="294" t="n"/>
      <c r="B42" s="294" t="n"/>
      <c r="C42" s="212" t="n"/>
      <c r="D42" s="244" t="inlineStr">
        <is>
          <t>plus</t>
        </is>
      </c>
      <c r="E42" s="61" t="str">
        <f> E$18</f>
        <v>Capital expenditure POS</v>
      </c>
      <c r="F42" s="61">
        <f> F$18</f>
        <v>0.0</v>
      </c>
      <c r="G42" s="61" t="str">
        <f> G$18</f>
        <v>$ 000s</v>
      </c>
      <c r="H42" s="61">
        <f> H$18</f>
        <v>8000.0</v>
      </c>
      <c r="I42" s="61">
        <f> I$18</f>
        <v>0.0</v>
      </c>
      <c r="J42" s="61">
        <f> J$18</f>
        <v>0.0</v>
      </c>
      <c r="K42" s="61">
        <f> K$18</f>
        <v>0.0</v>
      </c>
      <c r="L42" s="61">
        <f> L$18</f>
        <v>0.0</v>
      </c>
      <c r="M42" s="61">
        <f> M$18</f>
        <v>0.0</v>
      </c>
      <c r="N42" s="61">
        <f> N$18</f>
        <v>0.0</v>
      </c>
      <c r="O42" s="61">
        <f> O$18</f>
        <v>0.0</v>
      </c>
      <c r="P42" s="61">
        <f> P$18</f>
        <v>0.0</v>
      </c>
      <c r="Q42" s="61">
        <f> Q$18</f>
        <v>0.0</v>
      </c>
      <c r="R42" s="61">
        <f> R$18</f>
        <v>0.0</v>
      </c>
      <c r="S42" s="61">
        <f> S$18</f>
        <v>2000.0</v>
      </c>
      <c r="T42" s="61">
        <f> T$18</f>
        <v>0.0</v>
      </c>
      <c r="U42" s="61">
        <f> U$18</f>
        <v>0.0</v>
      </c>
      <c r="V42" s="61">
        <f> V$18</f>
        <v>0.0</v>
      </c>
      <c r="W42" s="61">
        <f> W$18</f>
        <v>1000.0</v>
      </c>
      <c r="X42" s="61">
        <f> X$18</f>
        <v>0.0</v>
      </c>
      <c r="Y42" s="61">
        <f> Y$18</f>
        <v>0.0</v>
      </c>
      <c r="Z42" s="61">
        <f> Z$18</f>
        <v>0.0</v>
      </c>
      <c r="AA42" s="61">
        <f> AA$18</f>
        <v>1500.0</v>
      </c>
      <c r="AB42" s="61">
        <f> AB$18</f>
        <v>0.0</v>
      </c>
      <c r="AC42" s="61">
        <f> AC$18</f>
        <v>0.0</v>
      </c>
      <c r="AD42" s="61">
        <f> AD$18</f>
        <v>0.0</v>
      </c>
      <c r="AE42" s="61">
        <f> AE$18</f>
        <v>1000.0</v>
      </c>
      <c r="AF42" s="61">
        <f> AF$18</f>
        <v>0.0</v>
      </c>
      <c r="AG42" s="61">
        <f> AG$18</f>
        <v>0.0</v>
      </c>
      <c r="AH42" s="61">
        <f> AH$18</f>
        <v>0.0</v>
      </c>
      <c r="AI42" s="61">
        <f> AI$18</f>
        <v>500.0</v>
      </c>
      <c r="AJ42" s="61">
        <f> AJ$18</f>
        <v>0.0</v>
      </c>
      <c r="AK42" s="61">
        <f> AK$18</f>
        <v>0.0</v>
      </c>
      <c r="AL42" s="61">
        <f> AL$18</f>
        <v>0.0</v>
      </c>
      <c r="AM42" s="61">
        <f> AM$18</f>
        <v>1000.0</v>
      </c>
      <c r="AN42" s="61">
        <f> AN$18</f>
        <v>0.0</v>
      </c>
      <c r="AO42" s="61">
        <f> AO$18</f>
        <v>0.0</v>
      </c>
      <c r="AP42" s="61">
        <f> AP$18</f>
        <v>0.0</v>
      </c>
      <c r="AQ42" s="61">
        <f> AQ$18</f>
        <v>1000.0</v>
      </c>
      <c r="AR42" s="61">
        <f> AR$18</f>
        <v>0.0</v>
      </c>
      <c r="AS42" s="61">
        <f> AS$18</f>
        <v>0.0</v>
      </c>
      <c r="AT42" s="61">
        <f> AT$18</f>
        <v>0.0</v>
      </c>
      <c r="AU42" s="61">
        <f> AU$18</f>
        <v>0.0</v>
      </c>
      <c r="AV42" s="61">
        <f> AV$18</f>
        <v>0.0</v>
      </c>
      <c r="AW42" s="61">
        <f> AW$18</f>
        <v>0.0</v>
      </c>
      <c r="AX42" s="61">
        <f> AX$18</f>
        <v>0.0</v>
      </c>
      <c r="AY42" s="61">
        <f> AY$18</f>
        <v>0.0</v>
      </c>
      <c r="AZ42" s="61">
        <f> AZ$18</f>
        <v>0.0</v>
      </c>
      <c r="BA42" s="61">
        <f> BA$18</f>
        <v>0.0</v>
      </c>
      <c r="BB42" s="61">
        <f> BB$18</f>
        <v>0.0</v>
      </c>
      <c r="BC42" s="61">
        <f> BC$18</f>
        <v>0.0</v>
      </c>
      <c r="BD42" s="61">
        <f> BD$18</f>
        <v>0.0</v>
      </c>
      <c r="BE42" s="61">
        <f> BE$18</f>
        <v>0.0</v>
      </c>
      <c r="BF42" s="61">
        <f> BF$18</f>
        <v>0.0</v>
      </c>
      <c r="BG42" s="61">
        <f> BG$18</f>
        <v>0.0</v>
      </c>
      <c r="BH42" s="61">
        <f> BH$18</f>
        <v>0.0</v>
      </c>
      <c r="BI42" s="61">
        <f> BI$18</f>
        <v>0.0</v>
      </c>
      <c r="BJ42" s="61">
        <f> BJ$18</f>
        <v>0.0</v>
      </c>
      <c r="BK42" s="61">
        <f> BK$18</f>
        <v>0.0</v>
      </c>
      <c r="BL42" s="61">
        <f> BL$18</f>
        <v>0.0</v>
      </c>
      <c r="BM42" s="61">
        <f> BM$18</f>
        <v>0.0</v>
      </c>
      <c r="BN42" s="61">
        <f> BN$18</f>
        <v>0.0</v>
      </c>
      <c r="BO42" s="61">
        <f> BO$18</f>
        <v>0.0</v>
      </c>
      <c r="BP42" s="61">
        <f> BP$18</f>
        <v>0.0</v>
      </c>
      <c r="BQ42" s="61">
        <f> BQ$18</f>
        <v>0.0</v>
      </c>
      <c r="BR42" s="61">
        <f> BR$18</f>
        <v>0.0</v>
      </c>
      <c r="BS42" s="61">
        <f> BS$18</f>
        <v>0.0</v>
      </c>
      <c r="BT42" s="61">
        <f> BT$18</f>
        <v>0.0</v>
      </c>
      <c r="BU42" s="61">
        <f> BU$18</f>
        <v>0.0</v>
      </c>
      <c r="BV42" s="61">
        <f> BV$18</f>
        <v>0.0</v>
      </c>
      <c r="BW42" s="61">
        <f> BW$18</f>
        <v>0.0</v>
      </c>
      <c r="BX42" s="61">
        <f> BX$18</f>
        <v>0.0</v>
      </c>
      <c r="BY42" s="61">
        <f> BY$18</f>
        <v>0.0</v>
      </c>
      <c r="BZ42" s="61">
        <f> BZ$18</f>
        <v>0.0</v>
      </c>
      <c r="CA42" s="61">
        <f> CA$18</f>
        <v>0.0</v>
      </c>
      <c r="CB42" s="61">
        <f> CB$18</f>
        <v>0.0</v>
      </c>
      <c r="CC42" s="61">
        <f> CC$18</f>
        <v>0.0</v>
      </c>
      <c r="CD42" s="61">
        <f> CD$18</f>
        <v>0.0</v>
      </c>
      <c r="CE42" s="61">
        <f> CE$18</f>
        <v>0.0</v>
      </c>
      <c r="CF42" s="61">
        <f> CF$18</f>
        <v>0.0</v>
      </c>
      <c r="CG42" s="61">
        <f> CG$18</f>
        <v>0.0</v>
      </c>
      <c r="CH42" s="61">
        <f> CH$18</f>
        <v>0.0</v>
      </c>
      <c r="CI42" s="61">
        <f> CI$18</f>
        <v>0.0</v>
      </c>
      <c r="CJ42" s="61">
        <f> CJ$18</f>
        <v>0.0</v>
      </c>
      <c r="CK42" s="61">
        <f> CK$18</f>
        <v>0.0</v>
      </c>
      <c r="CL42" s="61">
        <f> CL$18</f>
        <v>0.0</v>
      </c>
      <c r="CM42" s="61">
        <f> CM$18</f>
        <v>0.0</v>
      </c>
      <c r="CN42" s="61">
        <f> CN$18</f>
        <v>0.0</v>
      </c>
      <c r="CO42" s="61">
        <f> CO$18</f>
        <v>0.0</v>
      </c>
    </row>
    <row r="43" customFormat="1" s="61">
      <c r="A43" s="294" t="n"/>
      <c r="B43" s="294" t="n"/>
      <c r="C43" s="212" t="n"/>
      <c r="D43" s="244" t="inlineStr">
        <is>
          <t>less</t>
        </is>
      </c>
      <c r="E43" s="61" t="str">
        <f> E$39</f>
        <v>Retirement of capex</v>
      </c>
      <c r="F43" s="61">
        <f> F$39</f>
        <v>0.0</v>
      </c>
      <c r="G43" s="61" t="str">
        <f> G$39</f>
        <v>$ 000s</v>
      </c>
      <c r="H43" s="61">
        <f> H$39</f>
        <v>8000.0</v>
      </c>
      <c r="I43" s="61">
        <f> I$39</f>
        <v>0.0</v>
      </c>
      <c r="J43" s="61">
        <f> J$39</f>
        <v>0.0</v>
      </c>
      <c r="K43" s="61">
        <f> K$39</f>
        <v>0.0</v>
      </c>
      <c r="L43" s="61">
        <f> L$39</f>
        <v>0.0</v>
      </c>
      <c r="M43" s="61">
        <f> M$39</f>
        <v>0.0</v>
      </c>
      <c r="N43" s="61">
        <f> N$39</f>
        <v>0.0</v>
      </c>
      <c r="O43" s="61">
        <f> O$39</f>
        <v>0.0</v>
      </c>
      <c r="P43" s="61">
        <f> P$39</f>
        <v>0.0</v>
      </c>
      <c r="Q43" s="61">
        <f> Q$39</f>
        <v>0.0</v>
      </c>
      <c r="R43" s="61">
        <f> R$39</f>
        <v>0.0</v>
      </c>
      <c r="S43" s="61">
        <f> S$39</f>
        <v>0.0</v>
      </c>
      <c r="T43" s="61">
        <f> T$39</f>
        <v>0.0</v>
      </c>
      <c r="U43" s="61">
        <f> U$39</f>
        <v>0.0</v>
      </c>
      <c r="V43" s="61">
        <f> V$39</f>
        <v>0.0</v>
      </c>
      <c r="W43" s="61">
        <f> W$39</f>
        <v>0.0</v>
      </c>
      <c r="X43" s="61">
        <f> X$39</f>
        <v>0.0</v>
      </c>
      <c r="Y43" s="61">
        <f> Y$39</f>
        <v>0.0</v>
      </c>
      <c r="Z43" s="61">
        <f> Z$39</f>
        <v>0.0</v>
      </c>
      <c r="AA43" s="61">
        <f> AA$39</f>
        <v>0.0</v>
      </c>
      <c r="AB43" s="61">
        <f> AB$39</f>
        <v>0.0</v>
      </c>
      <c r="AC43" s="61">
        <f> AC$39</f>
        <v>0.0</v>
      </c>
      <c r="AD43" s="61">
        <f> AD$39</f>
        <v>0.0</v>
      </c>
      <c r="AE43" s="61">
        <f> AE$39</f>
        <v>0.0</v>
      </c>
      <c r="AF43" s="61">
        <f> AF$39</f>
        <v>0.0</v>
      </c>
      <c r="AG43" s="61">
        <f> AG$39</f>
        <v>0.0</v>
      </c>
      <c r="AH43" s="61">
        <f> AH$39</f>
        <v>0.0</v>
      </c>
      <c r="AI43" s="61">
        <f> AI$39</f>
        <v>0.0</v>
      </c>
      <c r="AJ43" s="61">
        <f> AJ$39</f>
        <v>0.0</v>
      </c>
      <c r="AK43" s="61">
        <f> AK$39</f>
        <v>0.0</v>
      </c>
      <c r="AL43" s="61">
        <f> AL$39</f>
        <v>0.0</v>
      </c>
      <c r="AM43" s="61">
        <f> AM$39</f>
        <v>2000.0</v>
      </c>
      <c r="AN43" s="61">
        <f> AN$39</f>
        <v>0.0</v>
      </c>
      <c r="AO43" s="61">
        <f> AO$39</f>
        <v>0.0</v>
      </c>
      <c r="AP43" s="61">
        <f> AP$39</f>
        <v>0.0</v>
      </c>
      <c r="AQ43" s="61">
        <f> AQ$39</f>
        <v>1000.0</v>
      </c>
      <c r="AR43" s="61">
        <f> AR$39</f>
        <v>0.0</v>
      </c>
      <c r="AS43" s="61">
        <f> AS$39</f>
        <v>0.0</v>
      </c>
      <c r="AT43" s="61">
        <f> AT$39</f>
        <v>0.0</v>
      </c>
      <c r="AU43" s="61">
        <f> AU$39</f>
        <v>1500.0</v>
      </c>
      <c r="AV43" s="61">
        <f> AV$39</f>
        <v>0.0</v>
      </c>
      <c r="AW43" s="61">
        <f> AW$39</f>
        <v>0.0</v>
      </c>
      <c r="AX43" s="61">
        <f> AX$39</f>
        <v>0.0</v>
      </c>
      <c r="AY43" s="61">
        <f> AY$39</f>
        <v>1000.0</v>
      </c>
      <c r="AZ43" s="61">
        <f> AZ$39</f>
        <v>0.0</v>
      </c>
      <c r="BA43" s="61">
        <f> BA$39</f>
        <v>0.0</v>
      </c>
      <c r="BB43" s="61">
        <f> BB$39</f>
        <v>0.0</v>
      </c>
      <c r="BC43" s="61">
        <f> BC$39</f>
        <v>500.0</v>
      </c>
      <c r="BD43" s="61">
        <f> BD$39</f>
        <v>0.0</v>
      </c>
      <c r="BE43" s="61">
        <f> BE$39</f>
        <v>0.0</v>
      </c>
      <c r="BF43" s="61">
        <f> BF$39</f>
        <v>0.0</v>
      </c>
      <c r="BG43" s="61">
        <f> BG$39</f>
        <v>1000.0</v>
      </c>
      <c r="BH43" s="61">
        <f> BH$39</f>
        <v>0.0</v>
      </c>
      <c r="BI43" s="61">
        <f> BI$39</f>
        <v>0.0</v>
      </c>
      <c r="BJ43" s="61">
        <f> BJ$39</f>
        <v>0.0</v>
      </c>
      <c r="BK43" s="61">
        <f> BK$39</f>
        <v>1000.0</v>
      </c>
      <c r="BL43" s="61">
        <f> BL$39</f>
        <v>0.0</v>
      </c>
      <c r="BM43" s="61">
        <f> BM$39</f>
        <v>0.0</v>
      </c>
      <c r="BN43" s="61">
        <f> BN$39</f>
        <v>0.0</v>
      </c>
      <c r="BO43" s="61">
        <f> BO$39</f>
        <v>0.0</v>
      </c>
      <c r="BP43" s="61">
        <f> BP$39</f>
        <v>0.0</v>
      </c>
      <c r="BQ43" s="61">
        <f> BQ$39</f>
        <v>0.0</v>
      </c>
      <c r="BR43" s="61">
        <f> BR$39</f>
        <v>0.0</v>
      </c>
      <c r="BS43" s="61">
        <f> BS$39</f>
        <v>0.0</v>
      </c>
      <c r="BT43" s="61">
        <f> BT$39</f>
        <v>0.0</v>
      </c>
      <c r="BU43" s="61">
        <f> BU$39</f>
        <v>0.0</v>
      </c>
      <c r="BV43" s="61">
        <f> BV$39</f>
        <v>0.0</v>
      </c>
      <c r="BW43" s="61">
        <f> BW$39</f>
        <v>0.0</v>
      </c>
      <c r="BX43" s="61">
        <f> BX$39</f>
        <v>0.0</v>
      </c>
      <c r="BY43" s="61">
        <f> BY$39</f>
        <v>0.0</v>
      </c>
      <c r="BZ43" s="61">
        <f> BZ$39</f>
        <v>0.0</v>
      </c>
      <c r="CA43" s="61">
        <f> CA$39</f>
        <v>0.0</v>
      </c>
      <c r="CB43" s="61">
        <f> CB$39</f>
        <v>0.0</v>
      </c>
      <c r="CC43" s="61">
        <f> CC$39</f>
        <v>0.0</v>
      </c>
      <c r="CD43" s="61">
        <f> CD$39</f>
        <v>0.0</v>
      </c>
      <c r="CE43" s="61">
        <f> CE$39</f>
        <v>0.0</v>
      </c>
      <c r="CF43" s="61">
        <f> CF$39</f>
        <v>0.0</v>
      </c>
      <c r="CG43" s="61">
        <f> CG$39</f>
        <v>0.0</v>
      </c>
      <c r="CH43" s="61">
        <f> CH$39</f>
        <v>0.0</v>
      </c>
      <c r="CI43" s="61">
        <f> CI$39</f>
        <v>0.0</v>
      </c>
      <c r="CJ43" s="61">
        <f> CJ$39</f>
        <v>0.0</v>
      </c>
      <c r="CK43" s="61">
        <f> CK$39</f>
        <v>0.0</v>
      </c>
      <c r="CL43" s="61">
        <f> CL$39</f>
        <v>0.0</v>
      </c>
      <c r="CM43" s="61">
        <f> CM$39</f>
        <v>0.0</v>
      </c>
      <c r="CN43" s="61">
        <f> CN$39</f>
        <v>0.0</v>
      </c>
      <c r="CO43" s="61">
        <f> CO$39</f>
        <v>0.0</v>
      </c>
    </row>
    <row r="44" customFormat="1" s="381">
      <c r="A44" s="378" t="n"/>
      <c r="B44" s="378" t="n"/>
      <c r="C44" s="379" t="n"/>
      <c r="D44" s="380" t="n"/>
      <c r="E44" s="381" t="inlineStr">
        <is>
          <t>Capex depreciable balance END</t>
        </is>
      </c>
      <c r="G44" s="381" t="str">
        <f>SMU</f>
        <v>$ 000s</v>
      </c>
      <c r="I44" s="382" t="n"/>
      <c r="J44" s="381">
        <f> J41 + J42 - J43</f>
        <v>0.0</v>
      </c>
      <c r="K44" s="381">
        <f> K41 + K42 - K43</f>
        <v>0.0</v>
      </c>
      <c r="L44" s="381">
        <f> L41 + L42 - L43</f>
        <v>0.0</v>
      </c>
      <c r="M44" s="381">
        <f> M41 + M42 - M43</f>
        <v>0.0</v>
      </c>
      <c r="N44" s="381">
        <f> N41 + N42 - N43</f>
        <v>0.0</v>
      </c>
      <c r="O44" s="381">
        <f> O41 + O42 - O43</f>
        <v>0.0</v>
      </c>
      <c r="P44" s="381">
        <f> P41 + P42 - P43</f>
        <v>0.0</v>
      </c>
      <c r="Q44" s="381">
        <f> Q41 + Q42 - Q43</f>
        <v>0.0</v>
      </c>
      <c r="R44" s="381">
        <f> R41 + R42 - R43</f>
        <v>0.0</v>
      </c>
      <c r="S44" s="381">
        <f> S41 + S42 - S43</f>
        <v>2000.0</v>
      </c>
      <c r="T44" s="381">
        <f> T41 + T42 - T43</f>
        <v>2000.0</v>
      </c>
      <c r="U44" s="381">
        <f> U41 + U42 - U43</f>
        <v>2000.0</v>
      </c>
      <c r="V44" s="381">
        <f> V41 + V42 - V43</f>
        <v>2000.0</v>
      </c>
      <c r="W44" s="381">
        <f> W41 + W42 - W43</f>
        <v>3000.0</v>
      </c>
      <c r="X44" s="381">
        <f> X41 + X42 - X43</f>
        <v>3000.0</v>
      </c>
      <c r="Y44" s="381">
        <f> Y41 + Y42 - Y43</f>
        <v>3000.0</v>
      </c>
      <c r="Z44" s="381">
        <f> Z41 + Z42 - Z43</f>
        <v>3000.0</v>
      </c>
      <c r="AA44" s="381">
        <f> AA41 + AA42 - AA43</f>
        <v>4500.0</v>
      </c>
      <c r="AB44" s="381">
        <f> AB41 + AB42 - AB43</f>
        <v>4500.0</v>
      </c>
      <c r="AC44" s="381">
        <f> AC41 + AC42 - AC43</f>
        <v>4500.0</v>
      </c>
      <c r="AD44" s="381">
        <f> AD41 + AD42 - AD43</f>
        <v>4500.0</v>
      </c>
      <c r="AE44" s="381">
        <f> AE41 + AE42 - AE43</f>
        <v>5500.0</v>
      </c>
      <c r="AF44" s="381">
        <f> AF41 + AF42 - AF43</f>
        <v>5500.0</v>
      </c>
      <c r="AG44" s="381">
        <f> AG41 + AG42 - AG43</f>
        <v>5500.0</v>
      </c>
      <c r="AH44" s="381">
        <f> AH41 + AH42 - AH43</f>
        <v>5500.0</v>
      </c>
      <c r="AI44" s="381">
        <f> AI41 + AI42 - AI43</f>
        <v>6000.0</v>
      </c>
      <c r="AJ44" s="381">
        <f> AJ41 + AJ42 - AJ43</f>
        <v>6000.0</v>
      </c>
      <c r="AK44" s="381">
        <f> AK41 + AK42 - AK43</f>
        <v>6000.0</v>
      </c>
      <c r="AL44" s="381">
        <f> AL41 + AL42 - AL43</f>
        <v>6000.0</v>
      </c>
      <c r="AM44" s="381">
        <f> AM41 + AM42 - AM43</f>
        <v>5000.0</v>
      </c>
      <c r="AN44" s="381">
        <f> AN41 + AN42 - AN43</f>
        <v>5000.0</v>
      </c>
      <c r="AO44" s="381">
        <f> AO41 + AO42 - AO43</f>
        <v>5000.0</v>
      </c>
      <c r="AP44" s="381">
        <f> AP41 + AP42 - AP43</f>
        <v>5000.0</v>
      </c>
      <c r="AQ44" s="381">
        <f> AQ41 + AQ42 - AQ43</f>
        <v>5000.0</v>
      </c>
      <c r="AR44" s="381">
        <f> AR41 + AR42 - AR43</f>
        <v>5000.0</v>
      </c>
      <c r="AS44" s="381">
        <f> AS41 + AS42 - AS43</f>
        <v>5000.0</v>
      </c>
      <c r="AT44" s="381">
        <f> AT41 + AT42 - AT43</f>
        <v>5000.0</v>
      </c>
      <c r="AU44" s="381">
        <f> AU41 + AU42 - AU43</f>
        <v>3500.0</v>
      </c>
      <c r="AV44" s="381">
        <f> AV41 + AV42 - AV43</f>
        <v>3500.0</v>
      </c>
      <c r="AW44" s="381">
        <f> AW41 + AW42 - AW43</f>
        <v>3500.0</v>
      </c>
      <c r="AX44" s="381">
        <f> AX41 + AX42 - AX43</f>
        <v>3500.0</v>
      </c>
      <c r="AY44" s="381">
        <f> AY41 + AY42 - AY43</f>
        <v>2500.0</v>
      </c>
      <c r="AZ44" s="381">
        <f> AZ41 + AZ42 - AZ43</f>
        <v>2500.0</v>
      </c>
      <c r="BA44" s="381">
        <f> BA41 + BA42 - BA43</f>
        <v>2500.0</v>
      </c>
      <c r="BB44" s="381">
        <f> BB41 + BB42 - BB43</f>
        <v>2500.0</v>
      </c>
      <c r="BC44" s="381">
        <f> BC41 + BC42 - BC43</f>
        <v>2000.0</v>
      </c>
      <c r="BD44" s="381">
        <f> BD41 + BD42 - BD43</f>
        <v>2000.0</v>
      </c>
      <c r="BE44" s="381">
        <f> BE41 + BE42 - BE43</f>
        <v>2000.0</v>
      </c>
      <c r="BF44" s="381">
        <f> BF41 + BF42 - BF43</f>
        <v>2000.0</v>
      </c>
      <c r="BG44" s="381">
        <f> BG41 + BG42 - BG43</f>
        <v>1000.0</v>
      </c>
      <c r="BH44" s="381">
        <f> BH41 + BH42 - BH43</f>
        <v>1000.0</v>
      </c>
      <c r="BI44" s="381">
        <f> BI41 + BI42 - BI43</f>
        <v>1000.0</v>
      </c>
      <c r="BJ44" s="381">
        <f> BJ41 + BJ42 - BJ43</f>
        <v>1000.0</v>
      </c>
      <c r="BK44" s="381">
        <f> BK41 + BK42 - BK43</f>
        <v>0.0</v>
      </c>
      <c r="BL44" s="381">
        <f> BL41 + BL42 - BL43</f>
        <v>0.0</v>
      </c>
      <c r="BM44" s="381">
        <f> BM41 + BM42 - BM43</f>
        <v>0.0</v>
      </c>
      <c r="BN44" s="381">
        <f> BN41 + BN42 - BN43</f>
        <v>0.0</v>
      </c>
      <c r="BO44" s="381">
        <f> BO41 + BO42 - BO43</f>
        <v>0.0</v>
      </c>
      <c r="BP44" s="381">
        <f> BP41 + BP42 - BP43</f>
        <v>0.0</v>
      </c>
      <c r="BQ44" s="381">
        <f> BQ41 + BQ42 - BQ43</f>
        <v>0.0</v>
      </c>
      <c r="BR44" s="381">
        <f> BR41 + BR42 - BR43</f>
        <v>0.0</v>
      </c>
      <c r="BS44" s="381">
        <f> BS41 + BS42 - BS43</f>
        <v>0.0</v>
      </c>
      <c r="BT44" s="381">
        <f> BT41 + BT42 - BT43</f>
        <v>0.0</v>
      </c>
      <c r="BU44" s="381">
        <f> BU41 + BU42 - BU43</f>
        <v>0.0</v>
      </c>
      <c r="BV44" s="381">
        <f> BV41 + BV42 - BV43</f>
        <v>0.0</v>
      </c>
      <c r="BW44" s="381">
        <f> BW41 + BW42 - BW43</f>
        <v>0.0</v>
      </c>
      <c r="BX44" s="381">
        <f> BX41 + BX42 - BX43</f>
        <v>0.0</v>
      </c>
      <c r="BY44" s="381">
        <f> BY41 + BY42 - BY43</f>
        <v>0.0</v>
      </c>
      <c r="BZ44" s="381">
        <f> BZ41 + BZ42 - BZ43</f>
        <v>0.0</v>
      </c>
      <c r="CA44" s="381">
        <f> CA41 + CA42 - CA43</f>
        <v>0.0</v>
      </c>
      <c r="CB44" s="381">
        <f> CB41 + CB42 - CB43</f>
        <v>0.0</v>
      </c>
      <c r="CC44" s="381">
        <f> CC41 + CC42 - CC43</f>
        <v>0.0</v>
      </c>
      <c r="CD44" s="381">
        <f> CD41 + CD42 - CD43</f>
        <v>0.0</v>
      </c>
      <c r="CE44" s="381">
        <f> CE41 + CE42 - CE43</f>
        <v>0.0</v>
      </c>
      <c r="CF44" s="381">
        <f> CF41 + CF42 - CF43</f>
        <v>0.0</v>
      </c>
      <c r="CG44" s="381">
        <f> CG41 + CG42 - CG43</f>
        <v>0.0</v>
      </c>
      <c r="CH44" s="381">
        <f> CH41 + CH42 - CH43</f>
        <v>0.0</v>
      </c>
      <c r="CI44" s="381">
        <f> CI41 + CI42 - CI43</f>
        <v>0.0</v>
      </c>
      <c r="CJ44" s="381">
        <f> CJ41 + CJ42 - CJ43</f>
        <v>0.0</v>
      </c>
      <c r="CK44" s="381">
        <f> CK41 + CK42 - CK43</f>
        <v>0.0</v>
      </c>
      <c r="CL44" s="381">
        <f> CL41 + CL42 - CL43</f>
        <v>0.0</v>
      </c>
      <c r="CM44" s="381">
        <f> CM41 + CM42 - CM43</f>
        <v>0.0</v>
      </c>
      <c r="CN44" s="381">
        <f> CN41 + CN42 - CN43</f>
        <v>0.0</v>
      </c>
      <c r="CO44" s="381">
        <f> CO41 + CO42 - CO43</f>
        <v>0.0</v>
      </c>
    </row>
    <row r="45" customFormat="1" s="61">
      <c r="A45" s="294" t="n"/>
      <c r="B45" s="294" t="n"/>
      <c r="C45" s="212" t="n"/>
      <c r="D45" s="244" t="n"/>
      <c r="I45" s="61" t="n"/>
    </row>
    <row r="46" customFormat="1" s="61">
      <c r="A46" s="294" t="n"/>
      <c r="B46" s="294" t="n"/>
      <c r="C46" s="212" t="n"/>
      <c r="D46" s="244" t="n"/>
      <c r="E46" s="61" t="str">
        <f> E$34</f>
        <v>Periodic useful life</v>
      </c>
      <c r="F46" s="61">
        <f> F$34</f>
        <v>20.0</v>
      </c>
      <c r="G46" s="61" t="str">
        <f> G$34</f>
        <v>periods</v>
      </c>
      <c r="I46" s="61" t="n"/>
    </row>
    <row r="47" customFormat="1" s="61">
      <c r="A47" s="294" t="n"/>
      <c r="B47" s="294" t="n"/>
      <c r="C47" s="212" t="n"/>
      <c r="D47" s="244" t="n"/>
      <c r="E47" s="61" t="str">
        <f> E$41</f>
        <v>Capex depreciable balance BEG</v>
      </c>
      <c r="F47" s="61">
        <f> F$41</f>
        <v>0.0</v>
      </c>
      <c r="G47" s="61" t="str">
        <f> G$41</f>
        <v>$ 000s</v>
      </c>
      <c r="H47" s="61">
        <f> H$41</f>
        <v>0.0</v>
      </c>
      <c r="I47" s="61">
        <f> I$41</f>
        <v>0.0</v>
      </c>
      <c r="J47" s="61">
        <f> J$41</f>
        <v>0.0</v>
      </c>
      <c r="K47" s="61">
        <f> K$41</f>
        <v>0.0</v>
      </c>
      <c r="L47" s="61">
        <f> L$41</f>
        <v>0.0</v>
      </c>
      <c r="M47" s="61">
        <f> M$41</f>
        <v>0.0</v>
      </c>
      <c r="N47" s="61">
        <f> N$41</f>
        <v>0.0</v>
      </c>
      <c r="O47" s="61">
        <f> O$41</f>
        <v>0.0</v>
      </c>
      <c r="P47" s="61">
        <f> P$41</f>
        <v>0.0</v>
      </c>
      <c r="Q47" s="61">
        <f> Q$41</f>
        <v>0.0</v>
      </c>
      <c r="R47" s="61">
        <f> R$41</f>
        <v>0.0</v>
      </c>
      <c r="S47" s="61">
        <f> S$41</f>
        <v>0.0</v>
      </c>
      <c r="T47" s="61">
        <f> T$41</f>
        <v>2000.0</v>
      </c>
      <c r="U47" s="61">
        <f> U$41</f>
        <v>2000.0</v>
      </c>
      <c r="V47" s="61">
        <f> V$41</f>
        <v>2000.0</v>
      </c>
      <c r="W47" s="61">
        <f> W$41</f>
        <v>2000.0</v>
      </c>
      <c r="X47" s="61">
        <f> X$41</f>
        <v>3000.0</v>
      </c>
      <c r="Y47" s="61">
        <f> Y$41</f>
        <v>3000.0</v>
      </c>
      <c r="Z47" s="61">
        <f> Z$41</f>
        <v>3000.0</v>
      </c>
      <c r="AA47" s="61">
        <f> AA$41</f>
        <v>3000.0</v>
      </c>
      <c r="AB47" s="61">
        <f> AB$41</f>
        <v>4500.0</v>
      </c>
      <c r="AC47" s="61">
        <f> AC$41</f>
        <v>4500.0</v>
      </c>
      <c r="AD47" s="61">
        <f> AD$41</f>
        <v>4500.0</v>
      </c>
      <c r="AE47" s="61">
        <f> AE$41</f>
        <v>4500.0</v>
      </c>
      <c r="AF47" s="61">
        <f> AF$41</f>
        <v>5500.0</v>
      </c>
      <c r="AG47" s="61">
        <f> AG$41</f>
        <v>5500.0</v>
      </c>
      <c r="AH47" s="61">
        <f> AH$41</f>
        <v>5500.0</v>
      </c>
      <c r="AI47" s="61">
        <f> AI$41</f>
        <v>5500.0</v>
      </c>
      <c r="AJ47" s="61">
        <f> AJ$41</f>
        <v>6000.0</v>
      </c>
      <c r="AK47" s="61">
        <f> AK$41</f>
        <v>6000.0</v>
      </c>
      <c r="AL47" s="61">
        <f> AL$41</f>
        <v>6000.0</v>
      </c>
      <c r="AM47" s="61">
        <f> AM$41</f>
        <v>6000.0</v>
      </c>
      <c r="AN47" s="61">
        <f> AN$41</f>
        <v>5000.0</v>
      </c>
      <c r="AO47" s="61">
        <f> AO$41</f>
        <v>5000.0</v>
      </c>
      <c r="AP47" s="61">
        <f> AP$41</f>
        <v>5000.0</v>
      </c>
      <c r="AQ47" s="61">
        <f> AQ$41</f>
        <v>5000.0</v>
      </c>
      <c r="AR47" s="61">
        <f> AR$41</f>
        <v>5000.0</v>
      </c>
      <c r="AS47" s="61">
        <f> AS$41</f>
        <v>5000.0</v>
      </c>
      <c r="AT47" s="61">
        <f> AT$41</f>
        <v>5000.0</v>
      </c>
      <c r="AU47" s="61">
        <f> AU$41</f>
        <v>5000.0</v>
      </c>
      <c r="AV47" s="61">
        <f> AV$41</f>
        <v>3500.0</v>
      </c>
      <c r="AW47" s="61">
        <f> AW$41</f>
        <v>3500.0</v>
      </c>
      <c r="AX47" s="61">
        <f> AX$41</f>
        <v>3500.0</v>
      </c>
      <c r="AY47" s="61">
        <f> AY$41</f>
        <v>3500.0</v>
      </c>
      <c r="AZ47" s="61">
        <f> AZ$41</f>
        <v>2500.0</v>
      </c>
      <c r="BA47" s="61">
        <f> BA$41</f>
        <v>2500.0</v>
      </c>
      <c r="BB47" s="61">
        <f> BB$41</f>
        <v>2500.0</v>
      </c>
      <c r="BC47" s="61">
        <f> BC$41</f>
        <v>2500.0</v>
      </c>
      <c r="BD47" s="61">
        <f> BD$41</f>
        <v>2000.0</v>
      </c>
      <c r="BE47" s="61">
        <f> BE$41</f>
        <v>2000.0</v>
      </c>
      <c r="BF47" s="61">
        <f> BF$41</f>
        <v>2000.0</v>
      </c>
      <c r="BG47" s="61">
        <f> BG$41</f>
        <v>2000.0</v>
      </c>
      <c r="BH47" s="61">
        <f> BH$41</f>
        <v>1000.0</v>
      </c>
      <c r="BI47" s="61">
        <f> BI$41</f>
        <v>1000.0</v>
      </c>
      <c r="BJ47" s="61">
        <f> BJ$41</f>
        <v>1000.0</v>
      </c>
      <c r="BK47" s="61">
        <f> BK$41</f>
        <v>1000.0</v>
      </c>
      <c r="BL47" s="61">
        <f> BL$41</f>
        <v>0.0</v>
      </c>
      <c r="BM47" s="61">
        <f> BM$41</f>
        <v>0.0</v>
      </c>
      <c r="BN47" s="61">
        <f> BN$41</f>
        <v>0.0</v>
      </c>
      <c r="BO47" s="61">
        <f> BO$41</f>
        <v>0.0</v>
      </c>
      <c r="BP47" s="61">
        <f> BP$41</f>
        <v>0.0</v>
      </c>
      <c r="BQ47" s="61">
        <f> BQ$41</f>
        <v>0.0</v>
      </c>
      <c r="BR47" s="61">
        <f> BR$41</f>
        <v>0.0</v>
      </c>
      <c r="BS47" s="61">
        <f> BS$41</f>
        <v>0.0</v>
      </c>
      <c r="BT47" s="61">
        <f> BT$41</f>
        <v>0.0</v>
      </c>
      <c r="BU47" s="61">
        <f> BU$41</f>
        <v>0.0</v>
      </c>
      <c r="BV47" s="61">
        <f> BV$41</f>
        <v>0.0</v>
      </c>
      <c r="BW47" s="61">
        <f> BW$41</f>
        <v>0.0</v>
      </c>
      <c r="BX47" s="61">
        <f> BX$41</f>
        <v>0.0</v>
      </c>
      <c r="BY47" s="61">
        <f> BY$41</f>
        <v>0.0</v>
      </c>
      <c r="BZ47" s="61">
        <f> BZ$41</f>
        <v>0.0</v>
      </c>
      <c r="CA47" s="61">
        <f> CA$41</f>
        <v>0.0</v>
      </c>
      <c r="CB47" s="61">
        <f> CB$41</f>
        <v>0.0</v>
      </c>
      <c r="CC47" s="61">
        <f> CC$41</f>
        <v>0.0</v>
      </c>
      <c r="CD47" s="61">
        <f> CD$41</f>
        <v>0.0</v>
      </c>
      <c r="CE47" s="61">
        <f> CE$41</f>
        <v>0.0</v>
      </c>
      <c r="CF47" s="61">
        <f> CF$41</f>
        <v>0.0</v>
      </c>
      <c r="CG47" s="61">
        <f> CG$41</f>
        <v>0.0</v>
      </c>
      <c r="CH47" s="61">
        <f> CH$41</f>
        <v>0.0</v>
      </c>
      <c r="CI47" s="61">
        <f> CI$41</f>
        <v>0.0</v>
      </c>
      <c r="CJ47" s="61">
        <f> CJ$41</f>
        <v>0.0</v>
      </c>
      <c r="CK47" s="61">
        <f> CK$41</f>
        <v>0.0</v>
      </c>
      <c r="CL47" s="61">
        <f> CL$41</f>
        <v>0.0</v>
      </c>
      <c r="CM47" s="61">
        <f> CM$41</f>
        <v>0.0</v>
      </c>
      <c r="CN47" s="61">
        <f> CN$41</f>
        <v>0.0</v>
      </c>
      <c r="CO47" s="61">
        <f> CO$41</f>
        <v>0.0</v>
      </c>
    </row>
    <row r="48" customFormat="1" s="260">
      <c r="A48" s="263" t="n"/>
      <c r="B48" s="263" t="n"/>
      <c r="C48" s="264" t="n"/>
      <c r="D48" s="335" t="n"/>
      <c r="E48" s="260" t="inlineStr">
        <is>
          <t>Accounting depreciation - capex</t>
        </is>
      </c>
      <c r="G48" s="260" t="str">
        <f>SMU</f>
        <v>$ 000s</v>
      </c>
      <c r="H48" s="260">
        <f> SUM(J48:CO48)</f>
        <v>8000.0</v>
      </c>
      <c r="I48" s="260" t="n"/>
      <c r="J48" s="260">
        <f> J47 / $F46</f>
        <v>0.0</v>
      </c>
      <c r="K48" s="260">
        <f> K47 / $F46</f>
        <v>0.0</v>
      </c>
      <c r="L48" s="260">
        <f> L47 / $F46</f>
        <v>0.0</v>
      </c>
      <c r="M48" s="260">
        <f> M47 / $F46</f>
        <v>0.0</v>
      </c>
      <c r="N48" s="260">
        <f> N47 / $F46</f>
        <v>0.0</v>
      </c>
      <c r="O48" s="260">
        <f> O47 / $F46</f>
        <v>0.0</v>
      </c>
      <c r="P48" s="260">
        <f> P47 / $F46</f>
        <v>0.0</v>
      </c>
      <c r="Q48" s="260">
        <f> Q47 / $F46</f>
        <v>0.0</v>
      </c>
      <c r="R48" s="260">
        <f> R47 / $F46</f>
        <v>0.0</v>
      </c>
      <c r="S48" s="260">
        <f> S47 / $F46</f>
        <v>0.0</v>
      </c>
      <c r="T48" s="260">
        <f> T47 / $F46</f>
        <v>100.0</v>
      </c>
      <c r="U48" s="260">
        <f> U47 / $F46</f>
        <v>100.0</v>
      </c>
      <c r="V48" s="260">
        <f> V47 / $F46</f>
        <v>100.0</v>
      </c>
      <c r="W48" s="260">
        <f> W47 / $F46</f>
        <v>100.0</v>
      </c>
      <c r="X48" s="260">
        <f> X47 / $F46</f>
        <v>150.0</v>
      </c>
      <c r="Y48" s="260">
        <f> Y47 / $F46</f>
        <v>150.0</v>
      </c>
      <c r="Z48" s="260">
        <f> Z47 / $F46</f>
        <v>150.0</v>
      </c>
      <c r="AA48" s="260">
        <f> AA47 / $F46</f>
        <v>150.0</v>
      </c>
      <c r="AB48" s="260">
        <f> AB47 / $F46</f>
        <v>225.0</v>
      </c>
      <c r="AC48" s="260">
        <f> AC47 / $F46</f>
        <v>225.0</v>
      </c>
      <c r="AD48" s="260">
        <f> AD47 / $F46</f>
        <v>225.0</v>
      </c>
      <c r="AE48" s="260">
        <f> AE47 / $F46</f>
        <v>225.0</v>
      </c>
      <c r="AF48" s="260">
        <f> AF47 / $F46</f>
        <v>275.0</v>
      </c>
      <c r="AG48" s="260">
        <f> AG47 / $F46</f>
        <v>275.0</v>
      </c>
      <c r="AH48" s="260">
        <f> AH47 / $F46</f>
        <v>275.0</v>
      </c>
      <c r="AI48" s="260">
        <f> AI47 / $F46</f>
        <v>275.0</v>
      </c>
      <c r="AJ48" s="260">
        <f> AJ47 / $F46</f>
        <v>300.0</v>
      </c>
      <c r="AK48" s="260">
        <f> AK47 / $F46</f>
        <v>300.0</v>
      </c>
      <c r="AL48" s="260">
        <f> AL47 / $F46</f>
        <v>300.0</v>
      </c>
      <c r="AM48" s="260">
        <f> AM47 / $F46</f>
        <v>300.0</v>
      </c>
      <c r="AN48" s="260">
        <f> AN47 / $F46</f>
        <v>250.0</v>
      </c>
      <c r="AO48" s="260">
        <f> AO47 / $F46</f>
        <v>250.0</v>
      </c>
      <c r="AP48" s="260">
        <f> AP47 / $F46</f>
        <v>250.0</v>
      </c>
      <c r="AQ48" s="260">
        <f> AQ47 / $F46</f>
        <v>250.0</v>
      </c>
      <c r="AR48" s="260">
        <f> AR47 / $F46</f>
        <v>250.0</v>
      </c>
      <c r="AS48" s="260">
        <f> AS47 / $F46</f>
        <v>250.0</v>
      </c>
      <c r="AT48" s="260">
        <f> AT47 / $F46</f>
        <v>250.0</v>
      </c>
      <c r="AU48" s="260">
        <f> AU47 / $F46</f>
        <v>250.0</v>
      </c>
      <c r="AV48" s="260">
        <f> AV47 / $F46</f>
        <v>175.0</v>
      </c>
      <c r="AW48" s="260">
        <f> AW47 / $F46</f>
        <v>175.0</v>
      </c>
      <c r="AX48" s="260">
        <f> AX47 / $F46</f>
        <v>175.0</v>
      </c>
      <c r="AY48" s="260">
        <f> AY47 / $F46</f>
        <v>175.0</v>
      </c>
      <c r="AZ48" s="260">
        <f> AZ47 / $F46</f>
        <v>125.0</v>
      </c>
      <c r="BA48" s="260">
        <f> BA47 / $F46</f>
        <v>125.0</v>
      </c>
      <c r="BB48" s="260">
        <f> BB47 / $F46</f>
        <v>125.0</v>
      </c>
      <c r="BC48" s="260">
        <f> BC47 / $F46</f>
        <v>125.0</v>
      </c>
      <c r="BD48" s="260">
        <f> BD47 / $F46</f>
        <v>100.0</v>
      </c>
      <c r="BE48" s="260">
        <f> BE47 / $F46</f>
        <v>100.0</v>
      </c>
      <c r="BF48" s="260">
        <f> BF47 / $F46</f>
        <v>100.0</v>
      </c>
      <c r="BG48" s="260">
        <f> BG47 / $F46</f>
        <v>100.0</v>
      </c>
      <c r="BH48" s="260">
        <f> BH47 / $F46</f>
        <v>50.0</v>
      </c>
      <c r="BI48" s="260">
        <f> BI47 / $F46</f>
        <v>50.0</v>
      </c>
      <c r="BJ48" s="260">
        <f> BJ47 / $F46</f>
        <v>50.0</v>
      </c>
      <c r="BK48" s="260">
        <f> BK47 / $F46</f>
        <v>50.0</v>
      </c>
      <c r="BL48" s="260">
        <f> BL47 / $F46</f>
        <v>0.0</v>
      </c>
      <c r="BM48" s="260">
        <f> BM47 / $F46</f>
        <v>0.0</v>
      </c>
      <c r="BN48" s="260">
        <f> BN47 / $F46</f>
        <v>0.0</v>
      </c>
      <c r="BO48" s="260">
        <f> BO47 / $F46</f>
        <v>0.0</v>
      </c>
      <c r="BP48" s="260">
        <f> BP47 / $F46</f>
        <v>0.0</v>
      </c>
      <c r="BQ48" s="260">
        <f> BQ47 / $F46</f>
        <v>0.0</v>
      </c>
      <c r="BR48" s="260">
        <f> BR47 / $F46</f>
        <v>0.0</v>
      </c>
      <c r="BS48" s="260">
        <f> BS47 / $F46</f>
        <v>0.0</v>
      </c>
      <c r="BT48" s="260">
        <f> BT47 / $F46</f>
        <v>0.0</v>
      </c>
      <c r="BU48" s="260">
        <f> BU47 / $F46</f>
        <v>0.0</v>
      </c>
      <c r="BV48" s="260">
        <f> BV47 / $F46</f>
        <v>0.0</v>
      </c>
      <c r="BW48" s="260">
        <f> BW47 / $F46</f>
        <v>0.0</v>
      </c>
      <c r="BX48" s="260">
        <f> BX47 / $F46</f>
        <v>0.0</v>
      </c>
      <c r="BY48" s="260">
        <f> BY47 / $F46</f>
        <v>0.0</v>
      </c>
      <c r="BZ48" s="260">
        <f> BZ47 / $F46</f>
        <v>0.0</v>
      </c>
      <c r="CA48" s="260">
        <f> CA47 / $F46</f>
        <v>0.0</v>
      </c>
      <c r="CB48" s="260">
        <f> CB47 / $F46</f>
        <v>0.0</v>
      </c>
      <c r="CC48" s="260">
        <f> CC47 / $F46</f>
        <v>0.0</v>
      </c>
      <c r="CD48" s="260">
        <f> CD47 / $F46</f>
        <v>0.0</v>
      </c>
      <c r="CE48" s="260">
        <f> CE47 / $F46</f>
        <v>0.0</v>
      </c>
      <c r="CF48" s="260">
        <f> CF47 / $F46</f>
        <v>0.0</v>
      </c>
      <c r="CG48" s="260">
        <f> CG47 / $F46</f>
        <v>0.0</v>
      </c>
      <c r="CH48" s="260">
        <f> CH47 / $F46</f>
        <v>0.0</v>
      </c>
      <c r="CI48" s="260">
        <f> CI47 / $F46</f>
        <v>0.0</v>
      </c>
      <c r="CJ48" s="260">
        <f> CJ47 / $F46</f>
        <v>0.0</v>
      </c>
      <c r="CK48" s="260">
        <f> CK47 / $F46</f>
        <v>0.0</v>
      </c>
      <c r="CL48" s="260">
        <f> CL47 / $F46</f>
        <v>0.0</v>
      </c>
      <c r="CM48" s="260">
        <f> CM47 / $F46</f>
        <v>0.0</v>
      </c>
      <c r="CN48" s="260">
        <f> CN47 / $F46</f>
        <v>0.0</v>
      </c>
      <c r="CO48" s="260">
        <f> CO47 / $F46</f>
        <v>0.0</v>
      </c>
    </row>
    <row r="49" customFormat="1" s="61">
      <c r="A49" s="294" t="n"/>
      <c r="B49" s="294" t="n"/>
      <c r="C49" s="212" t="n"/>
      <c r="D49" s="244" t="n"/>
      <c r="I49" s="61" t="n"/>
    </row>
    <row r="50" customFormat="1" s="61">
      <c r="A50" s="294" t="inlineStr">
        <is>
          <t>Summary of accounting depreciation</t>
        </is>
      </c>
      <c r="B50" s="294" t="n"/>
      <c r="C50" s="212" t="n"/>
      <c r="D50" s="244" t="n"/>
      <c r="I50" s="61" t="n"/>
    </row>
    <row r="51" customFormat="1" s="61">
      <c r="A51" s="294" t="n"/>
      <c r="B51" s="294" t="n"/>
      <c r="C51" s="212" t="n"/>
      <c r="D51" s="244" t="n"/>
      <c r="E51" s="61" t="str">
        <f> E$29</f>
        <v>Accounting depreciation - Initial balance</v>
      </c>
      <c r="F51" s="61">
        <f> F$29</f>
        <v>0.0</v>
      </c>
      <c r="G51" s="61" t="str">
        <f> G$29</f>
        <v>$ 000s</v>
      </c>
      <c r="H51" s="61">
        <f> H$29</f>
        <v>101067.79924517678</v>
      </c>
      <c r="I51" s="61">
        <f> I$29</f>
        <v>0.0</v>
      </c>
      <c r="J51" s="61">
        <f> J$29</f>
        <v>0.0</v>
      </c>
      <c r="K51" s="61">
        <f> K$29</f>
        <v>0.0</v>
      </c>
      <c r="L51" s="61">
        <f> L$29</f>
        <v>1684.4633207529464</v>
      </c>
      <c r="M51" s="61">
        <f> M$29</f>
        <v>1684.4633207529464</v>
      </c>
      <c r="N51" s="61">
        <f> N$29</f>
        <v>1684.4633207529464</v>
      </c>
      <c r="O51" s="61">
        <f> O$29</f>
        <v>1684.4633207529464</v>
      </c>
      <c r="P51" s="61">
        <f> P$29</f>
        <v>1684.4633207529464</v>
      </c>
      <c r="Q51" s="61">
        <f> Q$29</f>
        <v>1684.4633207529464</v>
      </c>
      <c r="R51" s="61">
        <f> R$29</f>
        <v>1684.4633207529464</v>
      </c>
      <c r="S51" s="61">
        <f> S$29</f>
        <v>1684.4633207529464</v>
      </c>
      <c r="T51" s="61">
        <f> T$29</f>
        <v>1684.4633207529464</v>
      </c>
      <c r="U51" s="61">
        <f> U$29</f>
        <v>1684.4633207529464</v>
      </c>
      <c r="V51" s="61">
        <f> V$29</f>
        <v>1684.4633207529464</v>
      </c>
      <c r="W51" s="61">
        <f> W$29</f>
        <v>1684.4633207529464</v>
      </c>
      <c r="X51" s="61">
        <f> X$29</f>
        <v>1684.4633207529464</v>
      </c>
      <c r="Y51" s="61">
        <f> Y$29</f>
        <v>1684.4633207529464</v>
      </c>
      <c r="Z51" s="61">
        <f> Z$29</f>
        <v>1684.4633207529464</v>
      </c>
      <c r="AA51" s="61">
        <f> AA$29</f>
        <v>1684.4633207529464</v>
      </c>
      <c r="AB51" s="61">
        <f> AB$29</f>
        <v>1684.4633207529464</v>
      </c>
      <c r="AC51" s="61">
        <f> AC$29</f>
        <v>1684.4633207529464</v>
      </c>
      <c r="AD51" s="61">
        <f> AD$29</f>
        <v>1684.4633207529464</v>
      </c>
      <c r="AE51" s="61">
        <f> AE$29</f>
        <v>1684.4633207529464</v>
      </c>
      <c r="AF51" s="61">
        <f> AF$29</f>
        <v>1684.4633207529464</v>
      </c>
      <c r="AG51" s="61">
        <f> AG$29</f>
        <v>1684.4633207529464</v>
      </c>
      <c r="AH51" s="61">
        <f> AH$29</f>
        <v>1684.4633207529464</v>
      </c>
      <c r="AI51" s="61">
        <f> AI$29</f>
        <v>1684.4633207529464</v>
      </c>
      <c r="AJ51" s="61">
        <f> AJ$29</f>
        <v>1684.4633207529464</v>
      </c>
      <c r="AK51" s="61">
        <f> AK$29</f>
        <v>1684.4633207529464</v>
      </c>
      <c r="AL51" s="61">
        <f> AL$29</f>
        <v>1684.4633207529464</v>
      </c>
      <c r="AM51" s="61">
        <f> AM$29</f>
        <v>1684.4633207529464</v>
      </c>
      <c r="AN51" s="61">
        <f> AN$29</f>
        <v>1684.4633207529464</v>
      </c>
      <c r="AO51" s="61">
        <f> AO$29</f>
        <v>1684.4633207529464</v>
      </c>
      <c r="AP51" s="61">
        <f> AP$29</f>
        <v>1684.4633207529464</v>
      </c>
      <c r="AQ51" s="61">
        <f> AQ$29</f>
        <v>1684.4633207529464</v>
      </c>
      <c r="AR51" s="61">
        <f> AR$29</f>
        <v>1684.4633207529464</v>
      </c>
      <c r="AS51" s="61">
        <f> AS$29</f>
        <v>1684.4633207529464</v>
      </c>
      <c r="AT51" s="61">
        <f> AT$29</f>
        <v>1684.4633207529464</v>
      </c>
      <c r="AU51" s="61">
        <f> AU$29</f>
        <v>1684.4633207529464</v>
      </c>
      <c r="AV51" s="61">
        <f> AV$29</f>
        <v>1684.4633207529464</v>
      </c>
      <c r="AW51" s="61">
        <f> AW$29</f>
        <v>1684.4633207529464</v>
      </c>
      <c r="AX51" s="61">
        <f> AX$29</f>
        <v>1684.4633207529464</v>
      </c>
      <c r="AY51" s="61">
        <f> AY$29</f>
        <v>1684.4633207529464</v>
      </c>
      <c r="AZ51" s="61">
        <f> AZ$29</f>
        <v>1684.4633207529464</v>
      </c>
      <c r="BA51" s="61">
        <f> BA$29</f>
        <v>1684.4633207529464</v>
      </c>
      <c r="BB51" s="61">
        <f> BB$29</f>
        <v>1684.4633207529464</v>
      </c>
      <c r="BC51" s="61">
        <f> BC$29</f>
        <v>1684.4633207529464</v>
      </c>
      <c r="BD51" s="61">
        <f> BD$29</f>
        <v>1684.4633207529464</v>
      </c>
      <c r="BE51" s="61">
        <f> BE$29</f>
        <v>1684.4633207529464</v>
      </c>
      <c r="BF51" s="61">
        <f> BF$29</f>
        <v>1684.4633207529464</v>
      </c>
      <c r="BG51" s="61">
        <f> BG$29</f>
        <v>1684.4633207529464</v>
      </c>
      <c r="BH51" s="61">
        <f> BH$29</f>
        <v>1684.4633207529464</v>
      </c>
      <c r="BI51" s="61">
        <f> BI$29</f>
        <v>1684.4633207529464</v>
      </c>
      <c r="BJ51" s="61">
        <f> BJ$29</f>
        <v>1684.4633207529464</v>
      </c>
      <c r="BK51" s="61">
        <f> BK$29</f>
        <v>1684.4633207529464</v>
      </c>
      <c r="BL51" s="61">
        <f> BL$29</f>
        <v>1684.4633207529464</v>
      </c>
      <c r="BM51" s="61">
        <f> BM$29</f>
        <v>1684.4633207529464</v>
      </c>
      <c r="BN51" s="61">
        <f> BN$29</f>
        <v>1684.4633207529464</v>
      </c>
      <c r="BO51" s="61">
        <f> BO$29</f>
        <v>1684.4633207529464</v>
      </c>
      <c r="BP51" s="61">
        <f> BP$29</f>
        <v>1684.4633207529464</v>
      </c>
      <c r="BQ51" s="61">
        <f> BQ$29</f>
        <v>1684.4633207529464</v>
      </c>
      <c r="BR51" s="61">
        <f> BR$29</f>
        <v>1684.4633207529464</v>
      </c>
      <c r="BS51" s="61">
        <f> BS$29</f>
        <v>1684.4633207529464</v>
      </c>
      <c r="BT51" s="61">
        <f> BT$29</f>
        <v>0.0</v>
      </c>
      <c r="BU51" s="61">
        <f> BU$29</f>
        <v>0.0</v>
      </c>
      <c r="BV51" s="61">
        <f> BV$29</f>
        <v>0.0</v>
      </c>
      <c r="BW51" s="61">
        <f> BW$29</f>
        <v>0.0</v>
      </c>
      <c r="BX51" s="61">
        <f> BX$29</f>
        <v>0.0</v>
      </c>
      <c r="BY51" s="61">
        <f> BY$29</f>
        <v>0.0</v>
      </c>
      <c r="BZ51" s="61">
        <f> BZ$29</f>
        <v>0.0</v>
      </c>
      <c r="CA51" s="61">
        <f> CA$29</f>
        <v>0.0</v>
      </c>
      <c r="CB51" s="61">
        <f> CB$29</f>
        <v>0.0</v>
      </c>
      <c r="CC51" s="61">
        <f> CC$29</f>
        <v>0.0</v>
      </c>
      <c r="CD51" s="61">
        <f> CD$29</f>
        <v>0.0</v>
      </c>
      <c r="CE51" s="61">
        <f> CE$29</f>
        <v>0.0</v>
      </c>
      <c r="CF51" s="61">
        <f> CF$29</f>
        <v>0.0</v>
      </c>
      <c r="CG51" s="61">
        <f> CG$29</f>
        <v>0.0</v>
      </c>
      <c r="CH51" s="61">
        <f> CH$29</f>
        <v>0.0</v>
      </c>
      <c r="CI51" s="61">
        <f> CI$29</f>
        <v>0.0</v>
      </c>
      <c r="CJ51" s="61">
        <f> CJ$29</f>
        <v>0.0</v>
      </c>
      <c r="CK51" s="61">
        <f> CK$29</f>
        <v>0.0</v>
      </c>
      <c r="CL51" s="61">
        <f> CL$29</f>
        <v>0.0</v>
      </c>
      <c r="CM51" s="61">
        <f> CM$29</f>
        <v>0.0</v>
      </c>
      <c r="CN51" s="61">
        <f> CN$29</f>
        <v>0.0</v>
      </c>
      <c r="CO51" s="61">
        <f> CO$29</f>
        <v>0.0</v>
      </c>
    </row>
    <row r="52" customFormat="1" s="61">
      <c r="A52" s="294" t="n"/>
      <c r="B52" s="294" t="n"/>
      <c r="C52" s="212" t="n"/>
      <c r="D52" s="244" t="n"/>
      <c r="E52" s="61" t="str">
        <f> E$48</f>
        <v>Accounting depreciation - capex</v>
      </c>
      <c r="F52" s="61">
        <f> F$48</f>
        <v>0.0</v>
      </c>
      <c r="G52" s="61" t="str">
        <f> G$48</f>
        <v>$ 000s</v>
      </c>
      <c r="H52" s="61">
        <f> H$48</f>
        <v>8000.0</v>
      </c>
      <c r="I52" s="61">
        <f> I$48</f>
        <v>0.0</v>
      </c>
      <c r="J52" s="61">
        <f> J$48</f>
        <v>0.0</v>
      </c>
      <c r="K52" s="61">
        <f> K$48</f>
        <v>0.0</v>
      </c>
      <c r="L52" s="61">
        <f> L$48</f>
        <v>0.0</v>
      </c>
      <c r="M52" s="61">
        <f> M$48</f>
        <v>0.0</v>
      </c>
      <c r="N52" s="61">
        <f> N$48</f>
        <v>0.0</v>
      </c>
      <c r="O52" s="61">
        <f> O$48</f>
        <v>0.0</v>
      </c>
      <c r="P52" s="61">
        <f> P$48</f>
        <v>0.0</v>
      </c>
      <c r="Q52" s="61">
        <f> Q$48</f>
        <v>0.0</v>
      </c>
      <c r="R52" s="61">
        <f> R$48</f>
        <v>0.0</v>
      </c>
      <c r="S52" s="61">
        <f> S$48</f>
        <v>0.0</v>
      </c>
      <c r="T52" s="61">
        <f> T$48</f>
        <v>100.0</v>
      </c>
      <c r="U52" s="61">
        <f> U$48</f>
        <v>100.0</v>
      </c>
      <c r="V52" s="61">
        <f> V$48</f>
        <v>100.0</v>
      </c>
      <c r="W52" s="61">
        <f> W$48</f>
        <v>100.0</v>
      </c>
      <c r="X52" s="61">
        <f> X$48</f>
        <v>150.0</v>
      </c>
      <c r="Y52" s="61">
        <f> Y$48</f>
        <v>150.0</v>
      </c>
      <c r="Z52" s="61">
        <f> Z$48</f>
        <v>150.0</v>
      </c>
      <c r="AA52" s="61">
        <f> AA$48</f>
        <v>150.0</v>
      </c>
      <c r="AB52" s="61">
        <f> AB$48</f>
        <v>225.0</v>
      </c>
      <c r="AC52" s="61">
        <f> AC$48</f>
        <v>225.0</v>
      </c>
      <c r="AD52" s="61">
        <f> AD$48</f>
        <v>225.0</v>
      </c>
      <c r="AE52" s="61">
        <f> AE$48</f>
        <v>225.0</v>
      </c>
      <c r="AF52" s="61">
        <f> AF$48</f>
        <v>275.0</v>
      </c>
      <c r="AG52" s="61">
        <f> AG$48</f>
        <v>275.0</v>
      </c>
      <c r="AH52" s="61">
        <f> AH$48</f>
        <v>275.0</v>
      </c>
      <c r="AI52" s="61">
        <f> AI$48</f>
        <v>275.0</v>
      </c>
      <c r="AJ52" s="61">
        <f> AJ$48</f>
        <v>300.0</v>
      </c>
      <c r="AK52" s="61">
        <f> AK$48</f>
        <v>300.0</v>
      </c>
      <c r="AL52" s="61">
        <f> AL$48</f>
        <v>300.0</v>
      </c>
      <c r="AM52" s="61">
        <f> AM$48</f>
        <v>300.0</v>
      </c>
      <c r="AN52" s="61">
        <f> AN$48</f>
        <v>250.0</v>
      </c>
      <c r="AO52" s="61">
        <f> AO$48</f>
        <v>250.0</v>
      </c>
      <c r="AP52" s="61">
        <f> AP$48</f>
        <v>250.0</v>
      </c>
      <c r="AQ52" s="61">
        <f> AQ$48</f>
        <v>250.0</v>
      </c>
      <c r="AR52" s="61">
        <f> AR$48</f>
        <v>250.0</v>
      </c>
      <c r="AS52" s="61">
        <f> AS$48</f>
        <v>250.0</v>
      </c>
      <c r="AT52" s="61">
        <f> AT$48</f>
        <v>250.0</v>
      </c>
      <c r="AU52" s="61">
        <f> AU$48</f>
        <v>250.0</v>
      </c>
      <c r="AV52" s="61">
        <f> AV$48</f>
        <v>175.0</v>
      </c>
      <c r="AW52" s="61">
        <f> AW$48</f>
        <v>175.0</v>
      </c>
      <c r="AX52" s="61">
        <f> AX$48</f>
        <v>175.0</v>
      </c>
      <c r="AY52" s="61">
        <f> AY$48</f>
        <v>175.0</v>
      </c>
      <c r="AZ52" s="61">
        <f> AZ$48</f>
        <v>125.0</v>
      </c>
      <c r="BA52" s="61">
        <f> BA$48</f>
        <v>125.0</v>
      </c>
      <c r="BB52" s="61">
        <f> BB$48</f>
        <v>125.0</v>
      </c>
      <c r="BC52" s="61">
        <f> BC$48</f>
        <v>125.0</v>
      </c>
      <c r="BD52" s="61">
        <f> BD$48</f>
        <v>100.0</v>
      </c>
      <c r="BE52" s="61">
        <f> BE$48</f>
        <v>100.0</v>
      </c>
      <c r="BF52" s="61">
        <f> BF$48</f>
        <v>100.0</v>
      </c>
      <c r="BG52" s="61">
        <f> BG$48</f>
        <v>100.0</v>
      </c>
      <c r="BH52" s="61">
        <f> BH$48</f>
        <v>50.0</v>
      </c>
      <c r="BI52" s="61">
        <f> BI$48</f>
        <v>50.0</v>
      </c>
      <c r="BJ52" s="61">
        <f> BJ$48</f>
        <v>50.0</v>
      </c>
      <c r="BK52" s="61">
        <f> BK$48</f>
        <v>50.0</v>
      </c>
      <c r="BL52" s="61">
        <f> BL$48</f>
        <v>0.0</v>
      </c>
      <c r="BM52" s="61">
        <f> BM$48</f>
        <v>0.0</v>
      </c>
      <c r="BN52" s="61">
        <f> BN$48</f>
        <v>0.0</v>
      </c>
      <c r="BO52" s="61">
        <f> BO$48</f>
        <v>0.0</v>
      </c>
      <c r="BP52" s="61">
        <f> BP$48</f>
        <v>0.0</v>
      </c>
      <c r="BQ52" s="61">
        <f> BQ$48</f>
        <v>0.0</v>
      </c>
      <c r="BR52" s="61">
        <f> BR$48</f>
        <v>0.0</v>
      </c>
      <c r="BS52" s="61">
        <f> BS$48</f>
        <v>0.0</v>
      </c>
      <c r="BT52" s="61">
        <f> BT$48</f>
        <v>0.0</v>
      </c>
      <c r="BU52" s="61">
        <f> BU$48</f>
        <v>0.0</v>
      </c>
      <c r="BV52" s="61">
        <f> BV$48</f>
        <v>0.0</v>
      </c>
      <c r="BW52" s="61">
        <f> BW$48</f>
        <v>0.0</v>
      </c>
      <c r="BX52" s="61">
        <f> BX$48</f>
        <v>0.0</v>
      </c>
      <c r="BY52" s="61">
        <f> BY$48</f>
        <v>0.0</v>
      </c>
      <c r="BZ52" s="61">
        <f> BZ$48</f>
        <v>0.0</v>
      </c>
      <c r="CA52" s="61">
        <f> CA$48</f>
        <v>0.0</v>
      </c>
      <c r="CB52" s="61">
        <f> CB$48</f>
        <v>0.0</v>
      </c>
      <c r="CC52" s="61">
        <f> CC$48</f>
        <v>0.0</v>
      </c>
      <c r="CD52" s="61">
        <f> CD$48</f>
        <v>0.0</v>
      </c>
      <c r="CE52" s="61">
        <f> CE$48</f>
        <v>0.0</v>
      </c>
      <c r="CF52" s="61">
        <f> CF$48</f>
        <v>0.0</v>
      </c>
      <c r="CG52" s="61">
        <f> CG$48</f>
        <v>0.0</v>
      </c>
      <c r="CH52" s="61">
        <f> CH$48</f>
        <v>0.0</v>
      </c>
      <c r="CI52" s="61">
        <f> CI$48</f>
        <v>0.0</v>
      </c>
      <c r="CJ52" s="61">
        <f> CJ$48</f>
        <v>0.0</v>
      </c>
      <c r="CK52" s="61">
        <f> CK$48</f>
        <v>0.0</v>
      </c>
      <c r="CL52" s="61">
        <f> CL$48</f>
        <v>0.0</v>
      </c>
      <c r="CM52" s="61">
        <f> CM$48</f>
        <v>0.0</v>
      </c>
      <c r="CN52" s="61">
        <f> CN$48</f>
        <v>0.0</v>
      </c>
      <c r="CO52" s="61">
        <f> CO$48</f>
        <v>0.0</v>
      </c>
    </row>
    <row r="53" customFormat="1" s="260">
      <c r="A53" s="263" t="n"/>
      <c r="B53" s="263" t="n"/>
      <c r="C53" s="264" t="n"/>
      <c r="D53" s="335" t="n"/>
      <c r="E53" s="260" t="inlineStr">
        <is>
          <t>Accounting depreciation POS</t>
        </is>
      </c>
      <c r="G53" s="260" t="str">
        <f>SMU</f>
        <v>$ 000s</v>
      </c>
      <c r="H53" s="260">
        <f> SUM(J53:CO53)</f>
        <v>109067.79924517678</v>
      </c>
      <c r="I53" s="260" t="n"/>
      <c r="J53" s="260">
        <f>SUM(J51:J52)</f>
        <v>0.0</v>
      </c>
      <c r="K53" s="260">
        <f>SUM(K51:K52)</f>
        <v>0.0</v>
      </c>
      <c r="L53" s="260">
        <f>SUM(L51:L52)</f>
        <v>1684.4633207529464</v>
      </c>
      <c r="M53" s="260">
        <f>SUM(M51:M52)</f>
        <v>1684.4633207529464</v>
      </c>
      <c r="N53" s="260">
        <f>SUM(N51:N52)</f>
        <v>1684.4633207529464</v>
      </c>
      <c r="O53" s="260">
        <f>SUM(O51:O52)</f>
        <v>1684.4633207529464</v>
      </c>
      <c r="P53" s="260">
        <f>SUM(P51:P52)</f>
        <v>1684.4633207529464</v>
      </c>
      <c r="Q53" s="260">
        <f>SUM(Q51:Q52)</f>
        <v>1684.4633207529464</v>
      </c>
      <c r="R53" s="260">
        <f>SUM(R51:R52)</f>
        <v>1684.4633207529464</v>
      </c>
      <c r="S53" s="260">
        <f>SUM(S51:S52)</f>
        <v>1684.4633207529464</v>
      </c>
      <c r="T53" s="260">
        <f>SUM(T51:T52)</f>
        <v>1784.4633207529464</v>
      </c>
      <c r="U53" s="260">
        <f>SUM(U51:U52)</f>
        <v>1784.4633207529464</v>
      </c>
      <c r="V53" s="260">
        <f>SUM(V51:V52)</f>
        <v>1784.4633207529464</v>
      </c>
      <c r="W53" s="260">
        <f>SUM(W51:W52)</f>
        <v>1784.4633207529464</v>
      </c>
      <c r="X53" s="260">
        <f>SUM(X51:X52)</f>
        <v>1834.4633207529464</v>
      </c>
      <c r="Y53" s="260">
        <f>SUM(Y51:Y52)</f>
        <v>1834.4633207529464</v>
      </c>
      <c r="Z53" s="260">
        <f>SUM(Z51:Z52)</f>
        <v>1834.4633207529464</v>
      </c>
      <c r="AA53" s="260">
        <f>SUM(AA51:AA52)</f>
        <v>1834.4633207529464</v>
      </c>
      <c r="AB53" s="260">
        <f>SUM(AB51:AB52)</f>
        <v>1909.4633207529464</v>
      </c>
      <c r="AC53" s="260">
        <f>SUM(AC51:AC52)</f>
        <v>1909.4633207529464</v>
      </c>
      <c r="AD53" s="260">
        <f>SUM(AD51:AD52)</f>
        <v>1909.4633207529464</v>
      </c>
      <c r="AE53" s="260">
        <f>SUM(AE51:AE52)</f>
        <v>1909.4633207529464</v>
      </c>
      <c r="AF53" s="260">
        <f>SUM(AF51:AF52)</f>
        <v>1959.4633207529464</v>
      </c>
      <c r="AG53" s="260">
        <f>SUM(AG51:AG52)</f>
        <v>1959.4633207529464</v>
      </c>
      <c r="AH53" s="260">
        <f>SUM(AH51:AH52)</f>
        <v>1959.4633207529464</v>
      </c>
      <c r="AI53" s="260">
        <f>SUM(AI51:AI52)</f>
        <v>1959.4633207529464</v>
      </c>
      <c r="AJ53" s="260">
        <f>SUM(AJ51:AJ52)</f>
        <v>1984.4633207529464</v>
      </c>
      <c r="AK53" s="260">
        <f>SUM(AK51:AK52)</f>
        <v>1984.4633207529464</v>
      </c>
      <c r="AL53" s="260">
        <f>SUM(AL51:AL52)</f>
        <v>1984.4633207529464</v>
      </c>
      <c r="AM53" s="260">
        <f>SUM(AM51:AM52)</f>
        <v>1984.4633207529464</v>
      </c>
      <c r="AN53" s="260">
        <f>SUM(AN51:AN52)</f>
        <v>1934.4633207529464</v>
      </c>
      <c r="AO53" s="260">
        <f>SUM(AO51:AO52)</f>
        <v>1934.4633207529464</v>
      </c>
      <c r="AP53" s="260">
        <f>SUM(AP51:AP52)</f>
        <v>1934.4633207529464</v>
      </c>
      <c r="AQ53" s="260">
        <f>SUM(AQ51:AQ52)</f>
        <v>1934.4633207529464</v>
      </c>
      <c r="AR53" s="260">
        <f>SUM(AR51:AR52)</f>
        <v>1934.4633207529464</v>
      </c>
      <c r="AS53" s="260">
        <f>SUM(AS51:AS52)</f>
        <v>1934.4633207529464</v>
      </c>
      <c r="AT53" s="260">
        <f>SUM(AT51:AT52)</f>
        <v>1934.4633207529464</v>
      </c>
      <c r="AU53" s="260">
        <f>SUM(AU51:AU52)</f>
        <v>1934.4633207529464</v>
      </c>
      <c r="AV53" s="260">
        <f>SUM(AV51:AV52)</f>
        <v>1859.4633207529464</v>
      </c>
      <c r="AW53" s="260">
        <f>SUM(AW51:AW52)</f>
        <v>1859.4633207529464</v>
      </c>
      <c r="AX53" s="260">
        <f>SUM(AX51:AX52)</f>
        <v>1859.4633207529464</v>
      </c>
      <c r="AY53" s="260">
        <f>SUM(AY51:AY52)</f>
        <v>1859.4633207529464</v>
      </c>
      <c r="AZ53" s="260">
        <f>SUM(AZ51:AZ52)</f>
        <v>1809.4633207529464</v>
      </c>
      <c r="BA53" s="260">
        <f>SUM(BA51:BA52)</f>
        <v>1809.4633207529464</v>
      </c>
      <c r="BB53" s="260">
        <f>SUM(BB51:BB52)</f>
        <v>1809.4633207529464</v>
      </c>
      <c r="BC53" s="260">
        <f>SUM(BC51:BC52)</f>
        <v>1809.4633207529464</v>
      </c>
      <c r="BD53" s="260">
        <f>SUM(BD51:BD52)</f>
        <v>1784.4633207529464</v>
      </c>
      <c r="BE53" s="260">
        <f>SUM(BE51:BE52)</f>
        <v>1784.4633207529464</v>
      </c>
      <c r="BF53" s="260">
        <f>SUM(BF51:BF52)</f>
        <v>1784.4633207529464</v>
      </c>
      <c r="BG53" s="260">
        <f>SUM(BG51:BG52)</f>
        <v>1784.4633207529464</v>
      </c>
      <c r="BH53" s="260">
        <f>SUM(BH51:BH52)</f>
        <v>1734.4633207529464</v>
      </c>
      <c r="BI53" s="260">
        <f>SUM(BI51:BI52)</f>
        <v>1734.4633207529464</v>
      </c>
      <c r="BJ53" s="260">
        <f>SUM(BJ51:BJ52)</f>
        <v>1734.4633207529464</v>
      </c>
      <c r="BK53" s="260">
        <f>SUM(BK51:BK52)</f>
        <v>1734.4633207529464</v>
      </c>
      <c r="BL53" s="260">
        <f>SUM(BL51:BL52)</f>
        <v>1684.4633207529464</v>
      </c>
      <c r="BM53" s="260">
        <f>SUM(BM51:BM52)</f>
        <v>1684.4633207529464</v>
      </c>
      <c r="BN53" s="260">
        <f>SUM(BN51:BN52)</f>
        <v>1684.4633207529464</v>
      </c>
      <c r="BO53" s="260">
        <f>SUM(BO51:BO52)</f>
        <v>1684.4633207529464</v>
      </c>
      <c r="BP53" s="260">
        <f>SUM(BP51:BP52)</f>
        <v>1684.4633207529464</v>
      </c>
      <c r="BQ53" s="260">
        <f>SUM(BQ51:BQ52)</f>
        <v>1684.4633207529464</v>
      </c>
      <c r="BR53" s="260">
        <f>SUM(BR51:BR52)</f>
        <v>1684.4633207529464</v>
      </c>
      <c r="BS53" s="260">
        <f>SUM(BS51:BS52)</f>
        <v>1684.4633207529464</v>
      </c>
      <c r="BT53" s="260">
        <f>SUM(BT51:BT52)</f>
        <v>0.0</v>
      </c>
      <c r="BU53" s="260">
        <f>SUM(BU51:BU52)</f>
        <v>0.0</v>
      </c>
      <c r="BV53" s="260">
        <f>SUM(BV51:BV52)</f>
        <v>0.0</v>
      </c>
      <c r="BW53" s="260">
        <f>SUM(BW51:BW52)</f>
        <v>0.0</v>
      </c>
      <c r="BX53" s="260">
        <f>SUM(BX51:BX52)</f>
        <v>0.0</v>
      </c>
      <c r="BY53" s="260">
        <f>SUM(BY51:BY52)</f>
        <v>0.0</v>
      </c>
      <c r="BZ53" s="260">
        <f>SUM(BZ51:BZ52)</f>
        <v>0.0</v>
      </c>
      <c r="CA53" s="260">
        <f>SUM(CA51:CA52)</f>
        <v>0.0</v>
      </c>
      <c r="CB53" s="260">
        <f>SUM(CB51:CB52)</f>
        <v>0.0</v>
      </c>
      <c r="CC53" s="260">
        <f>SUM(CC51:CC52)</f>
        <v>0.0</v>
      </c>
      <c r="CD53" s="260">
        <f>SUM(CD51:CD52)</f>
        <v>0.0</v>
      </c>
      <c r="CE53" s="260">
        <f>SUM(CE51:CE52)</f>
        <v>0.0</v>
      </c>
      <c r="CF53" s="260">
        <f>SUM(CF51:CF52)</f>
        <v>0.0</v>
      </c>
      <c r="CG53" s="260">
        <f>SUM(CG51:CG52)</f>
        <v>0.0</v>
      </c>
      <c r="CH53" s="260">
        <f>SUM(CH51:CH52)</f>
        <v>0.0</v>
      </c>
      <c r="CI53" s="260">
        <f>SUM(CI51:CI52)</f>
        <v>0.0</v>
      </c>
      <c r="CJ53" s="260">
        <f>SUM(CJ51:CJ52)</f>
        <v>0.0</v>
      </c>
      <c r="CK53" s="260">
        <f>SUM(CK51:CK52)</f>
        <v>0.0</v>
      </c>
      <c r="CL53" s="260">
        <f>SUM(CL51:CL52)</f>
        <v>0.0</v>
      </c>
      <c r="CM53" s="260">
        <f>SUM(CM51:CM52)</f>
        <v>0.0</v>
      </c>
      <c r="CN53" s="260">
        <f>SUM(CN51:CN52)</f>
        <v>0.0</v>
      </c>
      <c r="CO53" s="260">
        <f>SUM(CO51:CO52)</f>
        <v>0.0</v>
      </c>
    </row>
    <row r="54" customFormat="1" s="150">
      <c r="A54" s="348" t="n"/>
      <c r="B54" s="348" t="n"/>
      <c r="C54" s="349" t="n"/>
      <c r="D54" s="193" t="n"/>
      <c r="E54" s="150" t="str">
        <f> LEFT(E53, LEN(E53) - 4)</f>
        <v>Accounting depreciation</v>
      </c>
      <c r="F54" s="150" t="inlineStr">
        <is>
          <t>IS</t>
        </is>
      </c>
      <c r="G54" s="150" t="str">
        <f> G53</f>
        <v>$ 000s</v>
      </c>
      <c r="H54" s="150">
        <f> SUM(J54:CO54)</f>
        <v>-109067.79924517678</v>
      </c>
      <c r="I54" s="150" t="n"/>
      <c r="J54" s="150">
        <f> -1 * J53</f>
        <v>-0.0</v>
      </c>
      <c r="K54" s="150">
        <f> -1 * K53</f>
        <v>-0.0</v>
      </c>
      <c r="L54" s="150">
        <f> -1 * L53</f>
        <v>-1684.4633207529464</v>
      </c>
      <c r="M54" s="150">
        <f> -1 * M53</f>
        <v>-1684.4633207529464</v>
      </c>
      <c r="N54" s="150">
        <f> -1 * N53</f>
        <v>-1684.4633207529464</v>
      </c>
      <c r="O54" s="150">
        <f> -1 * O53</f>
        <v>-1684.4633207529464</v>
      </c>
      <c r="P54" s="150">
        <f> -1 * P53</f>
        <v>-1684.4633207529464</v>
      </c>
      <c r="Q54" s="150">
        <f> -1 * Q53</f>
        <v>-1684.4633207529464</v>
      </c>
      <c r="R54" s="150">
        <f> -1 * R53</f>
        <v>-1684.4633207529464</v>
      </c>
      <c r="S54" s="150">
        <f> -1 * S53</f>
        <v>-1684.4633207529464</v>
      </c>
      <c r="T54" s="150">
        <f> -1 * T53</f>
        <v>-1784.4633207529464</v>
      </c>
      <c r="U54" s="150">
        <f> -1 * U53</f>
        <v>-1784.4633207529464</v>
      </c>
      <c r="V54" s="150">
        <f> -1 * V53</f>
        <v>-1784.4633207529464</v>
      </c>
      <c r="W54" s="150">
        <f> -1 * W53</f>
        <v>-1784.4633207529464</v>
      </c>
      <c r="X54" s="150">
        <f> -1 * X53</f>
        <v>-1834.4633207529464</v>
      </c>
      <c r="Y54" s="150">
        <f> -1 * Y53</f>
        <v>-1834.4633207529464</v>
      </c>
      <c r="Z54" s="150">
        <f> -1 * Z53</f>
        <v>-1834.4633207529464</v>
      </c>
      <c r="AA54" s="150">
        <f> -1 * AA53</f>
        <v>-1834.4633207529464</v>
      </c>
      <c r="AB54" s="150">
        <f> -1 * AB53</f>
        <v>-1909.4633207529464</v>
      </c>
      <c r="AC54" s="150">
        <f> -1 * AC53</f>
        <v>-1909.4633207529464</v>
      </c>
      <c r="AD54" s="150">
        <f> -1 * AD53</f>
        <v>-1909.4633207529464</v>
      </c>
      <c r="AE54" s="150">
        <f> -1 * AE53</f>
        <v>-1909.4633207529464</v>
      </c>
      <c r="AF54" s="150">
        <f> -1 * AF53</f>
        <v>-1959.4633207529464</v>
      </c>
      <c r="AG54" s="150">
        <f> -1 * AG53</f>
        <v>-1959.4633207529464</v>
      </c>
      <c r="AH54" s="150">
        <f> -1 * AH53</f>
        <v>-1959.4633207529464</v>
      </c>
      <c r="AI54" s="150">
        <f> -1 * AI53</f>
        <v>-1959.4633207529464</v>
      </c>
      <c r="AJ54" s="150">
        <f> -1 * AJ53</f>
        <v>-1984.4633207529464</v>
      </c>
      <c r="AK54" s="150">
        <f> -1 * AK53</f>
        <v>-1984.4633207529464</v>
      </c>
      <c r="AL54" s="150">
        <f> -1 * AL53</f>
        <v>-1984.4633207529464</v>
      </c>
      <c r="AM54" s="150">
        <f> -1 * AM53</f>
        <v>-1984.4633207529464</v>
      </c>
      <c r="AN54" s="150">
        <f> -1 * AN53</f>
        <v>-1934.4633207529464</v>
      </c>
      <c r="AO54" s="150">
        <f> -1 * AO53</f>
        <v>-1934.4633207529464</v>
      </c>
      <c r="AP54" s="150">
        <f> -1 * AP53</f>
        <v>-1934.4633207529464</v>
      </c>
      <c r="AQ54" s="150">
        <f> -1 * AQ53</f>
        <v>-1934.4633207529464</v>
      </c>
      <c r="AR54" s="150">
        <f> -1 * AR53</f>
        <v>-1934.4633207529464</v>
      </c>
      <c r="AS54" s="150">
        <f> -1 * AS53</f>
        <v>-1934.4633207529464</v>
      </c>
      <c r="AT54" s="150">
        <f> -1 * AT53</f>
        <v>-1934.4633207529464</v>
      </c>
      <c r="AU54" s="150">
        <f> -1 * AU53</f>
        <v>-1934.4633207529464</v>
      </c>
      <c r="AV54" s="150">
        <f> -1 * AV53</f>
        <v>-1859.4633207529464</v>
      </c>
      <c r="AW54" s="150">
        <f> -1 * AW53</f>
        <v>-1859.4633207529464</v>
      </c>
      <c r="AX54" s="150">
        <f> -1 * AX53</f>
        <v>-1859.4633207529464</v>
      </c>
      <c r="AY54" s="150">
        <f> -1 * AY53</f>
        <v>-1859.4633207529464</v>
      </c>
      <c r="AZ54" s="150">
        <f> -1 * AZ53</f>
        <v>-1809.4633207529464</v>
      </c>
      <c r="BA54" s="150">
        <f> -1 * BA53</f>
        <v>-1809.4633207529464</v>
      </c>
      <c r="BB54" s="150">
        <f> -1 * BB53</f>
        <v>-1809.4633207529464</v>
      </c>
      <c r="BC54" s="150">
        <f> -1 * BC53</f>
        <v>-1809.4633207529464</v>
      </c>
      <c r="BD54" s="150">
        <f> -1 * BD53</f>
        <v>-1784.4633207529464</v>
      </c>
      <c r="BE54" s="150">
        <f> -1 * BE53</f>
        <v>-1784.4633207529464</v>
      </c>
      <c r="BF54" s="150">
        <f> -1 * BF53</f>
        <v>-1784.4633207529464</v>
      </c>
      <c r="BG54" s="150">
        <f> -1 * BG53</f>
        <v>-1784.4633207529464</v>
      </c>
      <c r="BH54" s="150">
        <f> -1 * BH53</f>
        <v>-1734.4633207529464</v>
      </c>
      <c r="BI54" s="150">
        <f> -1 * BI53</f>
        <v>-1734.4633207529464</v>
      </c>
      <c r="BJ54" s="150">
        <f> -1 * BJ53</f>
        <v>-1734.4633207529464</v>
      </c>
      <c r="BK54" s="150">
        <f> -1 * BK53</f>
        <v>-1734.4633207529464</v>
      </c>
      <c r="BL54" s="150">
        <f> -1 * BL53</f>
        <v>-1684.4633207529464</v>
      </c>
      <c r="BM54" s="150">
        <f> -1 * BM53</f>
        <v>-1684.4633207529464</v>
      </c>
      <c r="BN54" s="150">
        <f> -1 * BN53</f>
        <v>-1684.4633207529464</v>
      </c>
      <c r="BO54" s="150">
        <f> -1 * BO53</f>
        <v>-1684.4633207529464</v>
      </c>
      <c r="BP54" s="150">
        <f> -1 * BP53</f>
        <v>-1684.4633207529464</v>
      </c>
      <c r="BQ54" s="150">
        <f> -1 * BQ53</f>
        <v>-1684.4633207529464</v>
      </c>
      <c r="BR54" s="150">
        <f> -1 * BR53</f>
        <v>-1684.4633207529464</v>
      </c>
      <c r="BS54" s="150">
        <f> -1 * BS53</f>
        <v>-1684.4633207529464</v>
      </c>
      <c r="BT54" s="150">
        <f> -1 * BT53</f>
        <v>-0.0</v>
      </c>
      <c r="BU54" s="150">
        <f> -1 * BU53</f>
        <v>-0.0</v>
      </c>
      <c r="BV54" s="150">
        <f> -1 * BV53</f>
        <v>-0.0</v>
      </c>
      <c r="BW54" s="150">
        <f> -1 * BW53</f>
        <v>-0.0</v>
      </c>
      <c r="BX54" s="150">
        <f> -1 * BX53</f>
        <v>-0.0</v>
      </c>
      <c r="BY54" s="150">
        <f> -1 * BY53</f>
        <v>-0.0</v>
      </c>
      <c r="BZ54" s="150">
        <f> -1 * BZ53</f>
        <v>-0.0</v>
      </c>
      <c r="CA54" s="150">
        <f> -1 * CA53</f>
        <v>-0.0</v>
      </c>
      <c r="CB54" s="150">
        <f> -1 * CB53</f>
        <v>-0.0</v>
      </c>
      <c r="CC54" s="150">
        <f> -1 * CC53</f>
        <v>-0.0</v>
      </c>
      <c r="CD54" s="150">
        <f> -1 * CD53</f>
        <v>-0.0</v>
      </c>
      <c r="CE54" s="150">
        <f> -1 * CE53</f>
        <v>-0.0</v>
      </c>
      <c r="CF54" s="150">
        <f> -1 * CF53</f>
        <v>-0.0</v>
      </c>
      <c r="CG54" s="150">
        <f> -1 * CG53</f>
        <v>-0.0</v>
      </c>
      <c r="CH54" s="150">
        <f> -1 * CH53</f>
        <v>-0.0</v>
      </c>
      <c r="CI54" s="150">
        <f> -1 * CI53</f>
        <v>-0.0</v>
      </c>
      <c r="CJ54" s="150">
        <f> -1 * CJ53</f>
        <v>-0.0</v>
      </c>
      <c r="CK54" s="150">
        <f> -1 * CK53</f>
        <v>-0.0</v>
      </c>
      <c r="CL54" s="150">
        <f> -1 * CL53</f>
        <v>-0.0</v>
      </c>
      <c r="CM54" s="150">
        <f> -1 * CM53</f>
        <v>-0.0</v>
      </c>
      <c r="CN54" s="150">
        <f> -1 * CN53</f>
        <v>-0.0</v>
      </c>
      <c r="CO54" s="150">
        <f> -1 * CO53</f>
        <v>-0.0</v>
      </c>
    </row>
    <row r="56">
      <c r="A56" s="294" t="inlineStr">
        <is>
          <t>NON CURRENT ASSET BALANCE</t>
        </is>
      </c>
    </row>
    <row r="58" customFormat="1" s="182">
      <c r="A58" s="177" t="n"/>
      <c r="B58" s="177" t="n"/>
      <c r="C58" s="178" t="n"/>
      <c r="D58" s="179" t="n"/>
      <c r="E58" s="368" t="str">
        <f> InpC!E$64</f>
        <v>Non current asset - initial balance</v>
      </c>
      <c r="F58" s="368">
        <f> InpC!F$64</f>
        <v>101067.79924517678</v>
      </c>
      <c r="G58" s="368" t="str">
        <f> InpC!G$64</f>
        <v>$ 000s</v>
      </c>
    </row>
    <row r="59" customFormat="1" s="100">
      <c r="A59" s="294" t="n"/>
      <c r="B59" s="294" t="n"/>
      <c r="C59" s="212" t="n"/>
      <c r="D59" s="244" t="n"/>
      <c r="E59" s="325" t="str">
        <f> Time!E$45</f>
        <v>Acquisition / initial balance date flag</v>
      </c>
      <c r="F59" s="325">
        <f> Time!F$45</f>
        <v>0.0</v>
      </c>
      <c r="G59" s="325" t="str">
        <f> Time!G$45</f>
        <v>flag</v>
      </c>
      <c r="H59" s="325">
        <f> Time!H$45</f>
        <v>1.0</v>
      </c>
      <c r="I59" s="325">
        <f> Time!I$45</f>
        <v>0.0</v>
      </c>
      <c r="J59" s="325">
        <f> Time!J$45</f>
        <v>0.0</v>
      </c>
      <c r="K59" s="325">
        <f> Time!K$45</f>
        <v>1.0</v>
      </c>
      <c r="L59" s="325">
        <f> Time!L$45</f>
        <v>0.0</v>
      </c>
      <c r="M59" s="325">
        <f> Time!M$45</f>
        <v>0.0</v>
      </c>
      <c r="N59" s="325">
        <f> Time!N$45</f>
        <v>0.0</v>
      </c>
      <c r="O59" s="325">
        <f> Time!O$45</f>
        <v>0.0</v>
      </c>
      <c r="P59" s="325">
        <f> Time!P$45</f>
        <v>0.0</v>
      </c>
      <c r="Q59" s="325">
        <f> Time!Q$45</f>
        <v>0.0</v>
      </c>
      <c r="R59" s="325">
        <f> Time!R$45</f>
        <v>0.0</v>
      </c>
      <c r="S59" s="325">
        <f> Time!S$45</f>
        <v>0.0</v>
      </c>
      <c r="T59" s="325">
        <f> Time!T$45</f>
        <v>0.0</v>
      </c>
      <c r="U59" s="325">
        <f> Time!U$45</f>
        <v>0.0</v>
      </c>
      <c r="V59" s="325">
        <f> Time!V$45</f>
        <v>0.0</v>
      </c>
      <c r="W59" s="325">
        <f> Time!W$45</f>
        <v>0.0</v>
      </c>
      <c r="X59" s="325">
        <f> Time!X$45</f>
        <v>0.0</v>
      </c>
      <c r="Y59" s="325">
        <f> Time!Y$45</f>
        <v>0.0</v>
      </c>
      <c r="Z59" s="325">
        <f> Time!Z$45</f>
        <v>0.0</v>
      </c>
      <c r="AA59" s="325">
        <f> Time!AA$45</f>
        <v>0.0</v>
      </c>
      <c r="AB59" s="325">
        <f> Time!AB$45</f>
        <v>0.0</v>
      </c>
      <c r="AC59" s="325">
        <f> Time!AC$45</f>
        <v>0.0</v>
      </c>
      <c r="AD59" s="325">
        <f> Time!AD$45</f>
        <v>0.0</v>
      </c>
      <c r="AE59" s="325">
        <f> Time!AE$45</f>
        <v>0.0</v>
      </c>
      <c r="AF59" s="325">
        <f> Time!AF$45</f>
        <v>0.0</v>
      </c>
      <c r="AG59" s="325">
        <f> Time!AG$45</f>
        <v>0.0</v>
      </c>
      <c r="AH59" s="325">
        <f> Time!AH$45</f>
        <v>0.0</v>
      </c>
      <c r="AI59" s="325">
        <f> Time!AI$45</f>
        <v>0.0</v>
      </c>
      <c r="AJ59" s="325">
        <f> Time!AJ$45</f>
        <v>0.0</v>
      </c>
      <c r="AK59" s="325">
        <f> Time!AK$45</f>
        <v>0.0</v>
      </c>
      <c r="AL59" s="325">
        <f> Time!AL$45</f>
        <v>0.0</v>
      </c>
      <c r="AM59" s="325">
        <f> Time!AM$45</f>
        <v>0.0</v>
      </c>
      <c r="AN59" s="325">
        <f> Time!AN$45</f>
        <v>0.0</v>
      </c>
      <c r="AO59" s="325">
        <f> Time!AO$45</f>
        <v>0.0</v>
      </c>
      <c r="AP59" s="325">
        <f> Time!AP$45</f>
        <v>0.0</v>
      </c>
      <c r="AQ59" s="325">
        <f> Time!AQ$45</f>
        <v>0.0</v>
      </c>
      <c r="AR59" s="325">
        <f> Time!AR$45</f>
        <v>0.0</v>
      </c>
      <c r="AS59" s="325">
        <f> Time!AS$45</f>
        <v>0.0</v>
      </c>
      <c r="AT59" s="325">
        <f> Time!AT$45</f>
        <v>0.0</v>
      </c>
      <c r="AU59" s="325">
        <f> Time!AU$45</f>
        <v>0.0</v>
      </c>
      <c r="AV59" s="325">
        <f> Time!AV$45</f>
        <v>0.0</v>
      </c>
      <c r="AW59" s="325">
        <f> Time!AW$45</f>
        <v>0.0</v>
      </c>
      <c r="AX59" s="325">
        <f> Time!AX$45</f>
        <v>0.0</v>
      </c>
      <c r="AY59" s="325">
        <f> Time!AY$45</f>
        <v>0.0</v>
      </c>
      <c r="AZ59" s="325">
        <f> Time!AZ$45</f>
        <v>0.0</v>
      </c>
      <c r="BA59" s="325">
        <f> Time!BA$45</f>
        <v>0.0</v>
      </c>
      <c r="BB59" s="325">
        <f> Time!BB$45</f>
        <v>0.0</v>
      </c>
      <c r="BC59" s="325">
        <f> Time!BC$45</f>
        <v>0.0</v>
      </c>
      <c r="BD59" s="325">
        <f> Time!BD$45</f>
        <v>0.0</v>
      </c>
      <c r="BE59" s="325">
        <f> Time!BE$45</f>
        <v>0.0</v>
      </c>
      <c r="BF59" s="325">
        <f> Time!BF$45</f>
        <v>0.0</v>
      </c>
      <c r="BG59" s="325">
        <f> Time!BG$45</f>
        <v>0.0</v>
      </c>
      <c r="BH59" s="325">
        <f> Time!BH$45</f>
        <v>0.0</v>
      </c>
      <c r="BI59" s="325">
        <f> Time!BI$45</f>
        <v>0.0</v>
      </c>
      <c r="BJ59" s="325">
        <f> Time!BJ$45</f>
        <v>0.0</v>
      </c>
      <c r="BK59" s="325">
        <f> Time!BK$45</f>
        <v>0.0</v>
      </c>
      <c r="BL59" s="325">
        <f> Time!BL$45</f>
        <v>0.0</v>
      </c>
      <c r="BM59" s="325">
        <f> Time!BM$45</f>
        <v>0.0</v>
      </c>
      <c r="BN59" s="325">
        <f> Time!BN$45</f>
        <v>0.0</v>
      </c>
      <c r="BO59" s="325">
        <f> Time!BO$45</f>
        <v>0.0</v>
      </c>
      <c r="BP59" s="325">
        <f> Time!BP$45</f>
        <v>0.0</v>
      </c>
      <c r="BQ59" s="325">
        <f> Time!BQ$45</f>
        <v>0.0</v>
      </c>
      <c r="BR59" s="325">
        <f> Time!BR$45</f>
        <v>0.0</v>
      </c>
      <c r="BS59" s="325">
        <f> Time!BS$45</f>
        <v>0.0</v>
      </c>
      <c r="BT59" s="325">
        <f> Time!BT$45</f>
        <v>0.0</v>
      </c>
      <c r="BU59" s="325">
        <f> Time!BU$45</f>
        <v>0.0</v>
      </c>
      <c r="BV59" s="325">
        <f> Time!BV$45</f>
        <v>0.0</v>
      </c>
      <c r="BW59" s="325">
        <f> Time!BW$45</f>
        <v>0.0</v>
      </c>
      <c r="BX59" s="325">
        <f> Time!BX$45</f>
        <v>0.0</v>
      </c>
      <c r="BY59" s="325">
        <f> Time!BY$45</f>
        <v>0.0</v>
      </c>
      <c r="BZ59" s="325">
        <f> Time!BZ$45</f>
        <v>0.0</v>
      </c>
      <c r="CA59" s="325">
        <f> Time!CA$45</f>
        <v>0.0</v>
      </c>
      <c r="CB59" s="325">
        <f> Time!CB$45</f>
        <v>0.0</v>
      </c>
      <c r="CC59" s="325">
        <f> Time!CC$45</f>
        <v>0.0</v>
      </c>
      <c r="CD59" s="325">
        <f> Time!CD$45</f>
        <v>0.0</v>
      </c>
      <c r="CE59" s="325">
        <f> Time!CE$45</f>
        <v>0.0</v>
      </c>
      <c r="CF59" s="325">
        <f> Time!CF$45</f>
        <v>0.0</v>
      </c>
      <c r="CG59" s="325">
        <f> Time!CG$45</f>
        <v>0.0</v>
      </c>
      <c r="CH59" s="325">
        <f> Time!CH$45</f>
        <v>0.0</v>
      </c>
      <c r="CI59" s="325">
        <f> Time!CI$45</f>
        <v>0.0</v>
      </c>
      <c r="CJ59" s="325">
        <f> Time!CJ$45</f>
        <v>0.0</v>
      </c>
      <c r="CK59" s="325">
        <f> Time!CK$45</f>
        <v>0.0</v>
      </c>
      <c r="CL59" s="325">
        <f> Time!CL$45</f>
        <v>0.0</v>
      </c>
      <c r="CM59" s="325">
        <f> Time!CM$45</f>
        <v>0.0</v>
      </c>
      <c r="CN59" s="325">
        <f> Time!CN$45</f>
        <v>0.0</v>
      </c>
      <c r="CO59" s="325">
        <f> Time!CO$45</f>
        <v>0.0</v>
      </c>
    </row>
    <row r="60" customFormat="1" s="61">
      <c r="A60" s="294" t="n"/>
      <c r="B60" s="294" t="n"/>
      <c r="C60" s="212" t="n"/>
      <c r="D60" s="244" t="n"/>
    </row>
    <row r="61" customFormat="1" s="61">
      <c r="A61" s="294" t="n"/>
      <c r="B61" s="294" t="n"/>
      <c r="C61" s="212" t="n"/>
      <c r="D61" s="244" t="n"/>
      <c r="E61" s="61" t="inlineStr">
        <is>
          <t>Non current asset balance BEG</t>
        </is>
      </c>
      <c r="G61" s="61" t="inlineStr">
        <is>
          <t>$ 000s</t>
        </is>
      </c>
      <c r="J61" s="61">
        <f> I64</f>
        <v>0.0</v>
      </c>
      <c r="K61" s="61">
        <f> J64</f>
        <v>0.0</v>
      </c>
      <c r="L61" s="61">
        <f> K64</f>
        <v>101067.79924517678</v>
      </c>
      <c r="M61" s="61">
        <f> L64</f>
        <v>99383.33592442384</v>
      </c>
      <c r="N61" s="61">
        <f> M64</f>
        <v>97698.8726036709</v>
      </c>
      <c r="O61" s="61">
        <f> N64</f>
        <v>96014.40928291796</v>
      </c>
      <c r="P61" s="61">
        <f> O64</f>
        <v>94329.94596216502</v>
      </c>
      <c r="Q61" s="61">
        <f> P64</f>
        <v>92645.48264141208</v>
      </c>
      <c r="R61" s="61">
        <f> Q64</f>
        <v>90961.01932065914</v>
      </c>
      <c r="S61" s="61">
        <f> R64</f>
        <v>89276.5559999062</v>
      </c>
      <c r="T61" s="61">
        <f> S64</f>
        <v>89592.09267915325</v>
      </c>
      <c r="U61" s="61">
        <f> T64</f>
        <v>87807.62935840031</v>
      </c>
      <c r="V61" s="61">
        <f> U64</f>
        <v>86023.16603764737</v>
      </c>
      <c r="W61" s="61">
        <f> V64</f>
        <v>84238.70271689443</v>
      </c>
      <c r="X61" s="61">
        <f> W64</f>
        <v>83454.2393961415</v>
      </c>
      <c r="Y61" s="61">
        <f> X64</f>
        <v>81619.77607538855</v>
      </c>
      <c r="Z61" s="61">
        <f> Y64</f>
        <v>79785.31275463561</v>
      </c>
      <c r="AA61" s="61">
        <f> Z64</f>
        <v>77950.84943388267</v>
      </c>
      <c r="AB61" s="61">
        <f> AA64</f>
        <v>77616.38611312973</v>
      </c>
      <c r="AC61" s="61">
        <f> AB64</f>
        <v>75706.92279237679</v>
      </c>
      <c r="AD61" s="61">
        <f> AC64</f>
        <v>73797.45947162385</v>
      </c>
      <c r="AE61" s="61">
        <f> AD64</f>
        <v>71887.99615087091</v>
      </c>
      <c r="AF61" s="61">
        <f> AE64</f>
        <v>70978.53283011797</v>
      </c>
      <c r="AG61" s="61">
        <f> AF64</f>
        <v>69019.06950936503</v>
      </c>
      <c r="AH61" s="61">
        <f> AG64</f>
        <v>67059.60618861209</v>
      </c>
      <c r="AI61" s="61">
        <f> AH64</f>
        <v>65100.14286785914</v>
      </c>
      <c r="AJ61" s="61">
        <f> AI64</f>
        <v>63640.679547106185</v>
      </c>
      <c r="AK61" s="61">
        <f> AJ64</f>
        <v>61656.21622635324</v>
      </c>
      <c r="AL61" s="61">
        <f> AK64</f>
        <v>59671.75290560029</v>
      </c>
      <c r="AM61" s="61">
        <f> AL64</f>
        <v>57687.28958484734</v>
      </c>
      <c r="AN61" s="61">
        <f> AM64</f>
        <v>56702.826264094394</v>
      </c>
      <c r="AO61" s="61">
        <f> AN64</f>
        <v>54768.362943341446</v>
      </c>
      <c r="AP61" s="61">
        <f> AO64</f>
        <v>52833.8996225885</v>
      </c>
      <c r="AQ61" s="61">
        <f> AP64</f>
        <v>50899.43630183555</v>
      </c>
      <c r="AR61" s="61">
        <f> AQ64</f>
        <v>49964.9729810826</v>
      </c>
      <c r="AS61" s="61">
        <f> AR64</f>
        <v>48030.509660329655</v>
      </c>
      <c r="AT61" s="61">
        <f> AS64</f>
        <v>46096.04633957671</v>
      </c>
      <c r="AU61" s="61">
        <f> AT64</f>
        <v>44161.58301882376</v>
      </c>
      <c r="AV61" s="61">
        <f> AU64</f>
        <v>42227.11969807081</v>
      </c>
      <c r="AW61" s="61">
        <f> AV64</f>
        <v>40367.656377317864</v>
      </c>
      <c r="AX61" s="61">
        <f> AW64</f>
        <v>38508.193056564916</v>
      </c>
      <c r="AY61" s="61">
        <f> AX64</f>
        <v>36648.72973581197</v>
      </c>
      <c r="AZ61" s="61">
        <f> AY64</f>
        <v>34789.26641505902</v>
      </c>
      <c r="BA61" s="61">
        <f> AZ64</f>
        <v>32979.80309430607</v>
      </c>
      <c r="BB61" s="61">
        <f> BA64</f>
        <v>31170.339773553125</v>
      </c>
      <c r="BC61" s="61">
        <f> BB64</f>
        <v>29360.876452800178</v>
      </c>
      <c r="BD61" s="61">
        <f> BC64</f>
        <v>27551.41313204723</v>
      </c>
      <c r="BE61" s="61">
        <f> BD64</f>
        <v>25766.949811294282</v>
      </c>
      <c r="BF61" s="61">
        <f> BE64</f>
        <v>23982.486490541334</v>
      </c>
      <c r="BG61" s="61">
        <f> BF64</f>
        <v>22198.023169788386</v>
      </c>
      <c r="BH61" s="61">
        <f> BG64</f>
        <v>20413.55984903544</v>
      </c>
      <c r="BI61" s="61">
        <f> BH64</f>
        <v>18679.09652828249</v>
      </c>
      <c r="BJ61" s="61">
        <f> BI64</f>
        <v>16944.633207529543</v>
      </c>
      <c r="BK61" s="61">
        <f> BJ64</f>
        <v>15210.169886776597</v>
      </c>
      <c r="BL61" s="61">
        <f> BK64</f>
        <v>13475.706566023651</v>
      </c>
      <c r="BM61" s="61">
        <f> BL64</f>
        <v>11791.243245270705</v>
      </c>
      <c r="BN61" s="61">
        <f> BM64</f>
        <v>10106.77992451776</v>
      </c>
      <c r="BO61" s="61">
        <f> BN64</f>
        <v>8422.316603764813</v>
      </c>
      <c r="BP61" s="61">
        <f> BO64</f>
        <v>6737.8532830118675</v>
      </c>
      <c r="BQ61" s="61">
        <f> BP64</f>
        <v>5053.3899622589215</v>
      </c>
      <c r="BR61" s="61">
        <f> BQ64</f>
        <v>3368.926641505975</v>
      </c>
      <c r="BS61" s="61">
        <f> BR64</f>
        <v>1684.4633207530287</v>
      </c>
      <c r="BT61" s="61">
        <f> BS64</f>
        <v>8.230927051045e-11</v>
      </c>
      <c r="BU61" s="61">
        <f> BT64</f>
        <v>8.230927051045e-11</v>
      </c>
      <c r="BV61" s="61">
        <f> BU64</f>
        <v>8.230927051045e-11</v>
      </c>
      <c r="BW61" s="61">
        <f> BV64</f>
        <v>8.230927051045e-11</v>
      </c>
      <c r="BX61" s="61">
        <f> BW64</f>
        <v>8.230927051045e-11</v>
      </c>
      <c r="BY61" s="61">
        <f> BX64</f>
        <v>8.230927051045e-11</v>
      </c>
      <c r="BZ61" s="61">
        <f> BY64</f>
        <v>8.230927051045e-11</v>
      </c>
      <c r="CA61" s="61">
        <f> BZ64</f>
        <v>8.230927051045e-11</v>
      </c>
      <c r="CB61" s="61">
        <f> CA64</f>
        <v>8.230927051045e-11</v>
      </c>
      <c r="CC61" s="61">
        <f> CB64</f>
        <v>8.230927051045e-11</v>
      </c>
      <c r="CD61" s="61">
        <f> CC64</f>
        <v>8.230927051045e-11</v>
      </c>
      <c r="CE61" s="61">
        <f> CD64</f>
        <v>8.230927051045e-11</v>
      </c>
      <c r="CF61" s="61">
        <f> CE64</f>
        <v>8.230927051045e-11</v>
      </c>
      <c r="CG61" s="61">
        <f> CF64</f>
        <v>8.230927051045e-11</v>
      </c>
      <c r="CH61" s="61">
        <f> CG64</f>
        <v>8.230927051045e-11</v>
      </c>
      <c r="CI61" s="61">
        <f> CH64</f>
        <v>8.230927051045e-11</v>
      </c>
      <c r="CJ61" s="61">
        <f> CI64</f>
        <v>8.230927051045e-11</v>
      </c>
      <c r="CK61" s="61">
        <f> CJ64</f>
        <v>8.230927051045e-11</v>
      </c>
      <c r="CL61" s="61">
        <f> CK64</f>
        <v>8.230927051045e-11</v>
      </c>
      <c r="CM61" s="61">
        <f> CL64</f>
        <v>8.230927051045e-11</v>
      </c>
      <c r="CN61" s="61">
        <f> CM64</f>
        <v>8.230927051045e-11</v>
      </c>
      <c r="CO61" s="61">
        <f> CN64</f>
        <v>8.230927051045e-11</v>
      </c>
    </row>
    <row r="62" customFormat="1" s="183">
      <c r="A62" s="294" t="n"/>
      <c r="B62" s="294" t="n"/>
      <c r="C62" s="212" t="n"/>
      <c r="D62" s="244" t="inlineStr">
        <is>
          <t>plus</t>
        </is>
      </c>
      <c r="E62" s="61" t="str">
        <f> E$18</f>
        <v>Capital expenditure POS</v>
      </c>
      <c r="F62" s="61">
        <f> F$18</f>
        <v>0.0</v>
      </c>
      <c r="G62" s="61" t="str">
        <f> G$18</f>
        <v>$ 000s</v>
      </c>
      <c r="H62" s="61">
        <f> H$18</f>
        <v>8000.0</v>
      </c>
      <c r="I62" s="61">
        <f> I$18</f>
        <v>0.0</v>
      </c>
      <c r="J62" s="61">
        <f> J$18</f>
        <v>0.0</v>
      </c>
      <c r="K62" s="61">
        <f> K$18</f>
        <v>0.0</v>
      </c>
      <c r="L62" s="61">
        <f> L$18</f>
        <v>0.0</v>
      </c>
      <c r="M62" s="61">
        <f> M$18</f>
        <v>0.0</v>
      </c>
      <c r="N62" s="61">
        <f> N$18</f>
        <v>0.0</v>
      </c>
      <c r="O62" s="61">
        <f> O$18</f>
        <v>0.0</v>
      </c>
      <c r="P62" s="61">
        <f> P$18</f>
        <v>0.0</v>
      </c>
      <c r="Q62" s="61">
        <f> Q$18</f>
        <v>0.0</v>
      </c>
      <c r="R62" s="61">
        <f> R$18</f>
        <v>0.0</v>
      </c>
      <c r="S62" s="61">
        <f> S$18</f>
        <v>2000.0</v>
      </c>
      <c r="T62" s="61">
        <f> T$18</f>
        <v>0.0</v>
      </c>
      <c r="U62" s="61">
        <f> U$18</f>
        <v>0.0</v>
      </c>
      <c r="V62" s="61">
        <f> V$18</f>
        <v>0.0</v>
      </c>
      <c r="W62" s="61">
        <f> W$18</f>
        <v>1000.0</v>
      </c>
      <c r="X62" s="61">
        <f> X$18</f>
        <v>0.0</v>
      </c>
      <c r="Y62" s="61">
        <f> Y$18</f>
        <v>0.0</v>
      </c>
      <c r="Z62" s="61">
        <f> Z$18</f>
        <v>0.0</v>
      </c>
      <c r="AA62" s="61">
        <f> AA$18</f>
        <v>1500.0</v>
      </c>
      <c r="AB62" s="61">
        <f> AB$18</f>
        <v>0.0</v>
      </c>
      <c r="AC62" s="61">
        <f> AC$18</f>
        <v>0.0</v>
      </c>
      <c r="AD62" s="61">
        <f> AD$18</f>
        <v>0.0</v>
      </c>
      <c r="AE62" s="61">
        <f> AE$18</f>
        <v>1000.0</v>
      </c>
      <c r="AF62" s="61">
        <f> AF$18</f>
        <v>0.0</v>
      </c>
      <c r="AG62" s="61">
        <f> AG$18</f>
        <v>0.0</v>
      </c>
      <c r="AH62" s="61">
        <f> AH$18</f>
        <v>0.0</v>
      </c>
      <c r="AI62" s="61">
        <f> AI$18</f>
        <v>500.0</v>
      </c>
      <c r="AJ62" s="61">
        <f> AJ$18</f>
        <v>0.0</v>
      </c>
      <c r="AK62" s="61">
        <f> AK$18</f>
        <v>0.0</v>
      </c>
      <c r="AL62" s="61">
        <f> AL$18</f>
        <v>0.0</v>
      </c>
      <c r="AM62" s="61">
        <f> AM$18</f>
        <v>1000.0</v>
      </c>
      <c r="AN62" s="61">
        <f> AN$18</f>
        <v>0.0</v>
      </c>
      <c r="AO62" s="61">
        <f> AO$18</f>
        <v>0.0</v>
      </c>
      <c r="AP62" s="61">
        <f> AP$18</f>
        <v>0.0</v>
      </c>
      <c r="AQ62" s="61">
        <f> AQ$18</f>
        <v>1000.0</v>
      </c>
      <c r="AR62" s="61">
        <f> AR$18</f>
        <v>0.0</v>
      </c>
      <c r="AS62" s="61">
        <f> AS$18</f>
        <v>0.0</v>
      </c>
      <c r="AT62" s="61">
        <f> AT$18</f>
        <v>0.0</v>
      </c>
      <c r="AU62" s="61">
        <f> AU$18</f>
        <v>0.0</v>
      </c>
      <c r="AV62" s="61">
        <f> AV$18</f>
        <v>0.0</v>
      </c>
      <c r="AW62" s="61">
        <f> AW$18</f>
        <v>0.0</v>
      </c>
      <c r="AX62" s="61">
        <f> AX$18</f>
        <v>0.0</v>
      </c>
      <c r="AY62" s="61">
        <f> AY$18</f>
        <v>0.0</v>
      </c>
      <c r="AZ62" s="61">
        <f> AZ$18</f>
        <v>0.0</v>
      </c>
      <c r="BA62" s="61">
        <f> BA$18</f>
        <v>0.0</v>
      </c>
      <c r="BB62" s="61">
        <f> BB$18</f>
        <v>0.0</v>
      </c>
      <c r="BC62" s="61">
        <f> BC$18</f>
        <v>0.0</v>
      </c>
      <c r="BD62" s="61">
        <f> BD$18</f>
        <v>0.0</v>
      </c>
      <c r="BE62" s="61">
        <f> BE$18</f>
        <v>0.0</v>
      </c>
      <c r="BF62" s="61">
        <f> BF$18</f>
        <v>0.0</v>
      </c>
      <c r="BG62" s="61">
        <f> BG$18</f>
        <v>0.0</v>
      </c>
      <c r="BH62" s="61">
        <f> BH$18</f>
        <v>0.0</v>
      </c>
      <c r="BI62" s="61">
        <f> BI$18</f>
        <v>0.0</v>
      </c>
      <c r="BJ62" s="61">
        <f> BJ$18</f>
        <v>0.0</v>
      </c>
      <c r="BK62" s="61">
        <f> BK$18</f>
        <v>0.0</v>
      </c>
      <c r="BL62" s="61">
        <f> BL$18</f>
        <v>0.0</v>
      </c>
      <c r="BM62" s="61">
        <f> BM$18</f>
        <v>0.0</v>
      </c>
      <c r="BN62" s="61">
        <f> BN$18</f>
        <v>0.0</v>
      </c>
      <c r="BO62" s="61">
        <f> BO$18</f>
        <v>0.0</v>
      </c>
      <c r="BP62" s="61">
        <f> BP$18</f>
        <v>0.0</v>
      </c>
      <c r="BQ62" s="61">
        <f> BQ$18</f>
        <v>0.0</v>
      </c>
      <c r="BR62" s="61">
        <f> BR$18</f>
        <v>0.0</v>
      </c>
      <c r="BS62" s="61">
        <f> BS$18</f>
        <v>0.0</v>
      </c>
      <c r="BT62" s="61">
        <f> BT$18</f>
        <v>0.0</v>
      </c>
      <c r="BU62" s="61">
        <f> BU$18</f>
        <v>0.0</v>
      </c>
      <c r="BV62" s="61">
        <f> BV$18</f>
        <v>0.0</v>
      </c>
      <c r="BW62" s="61">
        <f> BW$18</f>
        <v>0.0</v>
      </c>
      <c r="BX62" s="61">
        <f> BX$18</f>
        <v>0.0</v>
      </c>
      <c r="BY62" s="61">
        <f> BY$18</f>
        <v>0.0</v>
      </c>
      <c r="BZ62" s="61">
        <f> BZ$18</f>
        <v>0.0</v>
      </c>
      <c r="CA62" s="61">
        <f> CA$18</f>
        <v>0.0</v>
      </c>
      <c r="CB62" s="61">
        <f> CB$18</f>
        <v>0.0</v>
      </c>
      <c r="CC62" s="61">
        <f> CC$18</f>
        <v>0.0</v>
      </c>
      <c r="CD62" s="61">
        <f> CD$18</f>
        <v>0.0</v>
      </c>
      <c r="CE62" s="61">
        <f> CE$18</f>
        <v>0.0</v>
      </c>
      <c r="CF62" s="61">
        <f> CF$18</f>
        <v>0.0</v>
      </c>
      <c r="CG62" s="61">
        <f> CG$18</f>
        <v>0.0</v>
      </c>
      <c r="CH62" s="61">
        <f> CH$18</f>
        <v>0.0</v>
      </c>
      <c r="CI62" s="61">
        <f> CI$18</f>
        <v>0.0</v>
      </c>
      <c r="CJ62" s="61">
        <f> CJ$18</f>
        <v>0.0</v>
      </c>
      <c r="CK62" s="61">
        <f> CK$18</f>
        <v>0.0</v>
      </c>
      <c r="CL62" s="61">
        <f> CL$18</f>
        <v>0.0</v>
      </c>
      <c r="CM62" s="61">
        <f> CM$18</f>
        <v>0.0</v>
      </c>
      <c r="CN62" s="61">
        <f> CN$18</f>
        <v>0.0</v>
      </c>
      <c r="CO62" s="61">
        <f> CO$18</f>
        <v>0.0</v>
      </c>
    </row>
    <row r="63" customFormat="1" s="183">
      <c r="A63" s="294" t="n"/>
      <c r="B63" s="294" t="n"/>
      <c r="C63" s="212" t="n"/>
      <c r="D63" s="244" t="inlineStr">
        <is>
          <t>less</t>
        </is>
      </c>
      <c r="E63" s="61" t="str">
        <f> E$53</f>
        <v>Accounting depreciation POS</v>
      </c>
      <c r="F63" s="61">
        <f> F$53</f>
        <v>0.0</v>
      </c>
      <c r="G63" s="61" t="str">
        <f> G$53</f>
        <v>$ 000s</v>
      </c>
      <c r="H63" s="61">
        <f> H$53</f>
        <v>109067.79924517678</v>
      </c>
      <c r="I63" s="61">
        <f> I$53</f>
        <v>0.0</v>
      </c>
      <c r="J63" s="61">
        <f> J$53</f>
        <v>0.0</v>
      </c>
      <c r="K63" s="61">
        <f> K$53</f>
        <v>0.0</v>
      </c>
      <c r="L63" s="61">
        <f> L$53</f>
        <v>1684.4633207529464</v>
      </c>
      <c r="M63" s="61">
        <f> M$53</f>
        <v>1684.4633207529464</v>
      </c>
      <c r="N63" s="61">
        <f> N$53</f>
        <v>1684.4633207529464</v>
      </c>
      <c r="O63" s="61">
        <f> O$53</f>
        <v>1684.4633207529464</v>
      </c>
      <c r="P63" s="61">
        <f> P$53</f>
        <v>1684.4633207529464</v>
      </c>
      <c r="Q63" s="61">
        <f> Q$53</f>
        <v>1684.4633207529464</v>
      </c>
      <c r="R63" s="61">
        <f> R$53</f>
        <v>1684.4633207529464</v>
      </c>
      <c r="S63" s="61">
        <f> S$53</f>
        <v>1684.4633207529464</v>
      </c>
      <c r="T63" s="61">
        <f> T$53</f>
        <v>1784.4633207529464</v>
      </c>
      <c r="U63" s="61">
        <f> U$53</f>
        <v>1784.4633207529464</v>
      </c>
      <c r="V63" s="61">
        <f> V$53</f>
        <v>1784.4633207529464</v>
      </c>
      <c r="W63" s="61">
        <f> W$53</f>
        <v>1784.4633207529464</v>
      </c>
      <c r="X63" s="61">
        <f> X$53</f>
        <v>1834.4633207529464</v>
      </c>
      <c r="Y63" s="61">
        <f> Y$53</f>
        <v>1834.4633207529464</v>
      </c>
      <c r="Z63" s="61">
        <f> Z$53</f>
        <v>1834.4633207529464</v>
      </c>
      <c r="AA63" s="61">
        <f> AA$53</f>
        <v>1834.4633207529464</v>
      </c>
      <c r="AB63" s="61">
        <f> AB$53</f>
        <v>1909.4633207529464</v>
      </c>
      <c r="AC63" s="61">
        <f> AC$53</f>
        <v>1909.4633207529464</v>
      </c>
      <c r="AD63" s="61">
        <f> AD$53</f>
        <v>1909.4633207529464</v>
      </c>
      <c r="AE63" s="61">
        <f> AE$53</f>
        <v>1909.4633207529464</v>
      </c>
      <c r="AF63" s="61">
        <f> AF$53</f>
        <v>1959.4633207529464</v>
      </c>
      <c r="AG63" s="61">
        <f> AG$53</f>
        <v>1959.4633207529464</v>
      </c>
      <c r="AH63" s="61">
        <f> AH$53</f>
        <v>1959.4633207529464</v>
      </c>
      <c r="AI63" s="61">
        <f> AI$53</f>
        <v>1959.4633207529464</v>
      </c>
      <c r="AJ63" s="61">
        <f> AJ$53</f>
        <v>1984.4633207529464</v>
      </c>
      <c r="AK63" s="61">
        <f> AK$53</f>
        <v>1984.4633207529464</v>
      </c>
      <c r="AL63" s="61">
        <f> AL$53</f>
        <v>1984.4633207529464</v>
      </c>
      <c r="AM63" s="61">
        <f> AM$53</f>
        <v>1984.4633207529464</v>
      </c>
      <c r="AN63" s="61">
        <f> AN$53</f>
        <v>1934.4633207529464</v>
      </c>
      <c r="AO63" s="61">
        <f> AO$53</f>
        <v>1934.4633207529464</v>
      </c>
      <c r="AP63" s="61">
        <f> AP$53</f>
        <v>1934.4633207529464</v>
      </c>
      <c r="AQ63" s="61">
        <f> AQ$53</f>
        <v>1934.4633207529464</v>
      </c>
      <c r="AR63" s="61">
        <f> AR$53</f>
        <v>1934.4633207529464</v>
      </c>
      <c r="AS63" s="61">
        <f> AS$53</f>
        <v>1934.4633207529464</v>
      </c>
      <c r="AT63" s="61">
        <f> AT$53</f>
        <v>1934.4633207529464</v>
      </c>
      <c r="AU63" s="61">
        <f> AU$53</f>
        <v>1934.4633207529464</v>
      </c>
      <c r="AV63" s="61">
        <f> AV$53</f>
        <v>1859.4633207529464</v>
      </c>
      <c r="AW63" s="61">
        <f> AW$53</f>
        <v>1859.4633207529464</v>
      </c>
      <c r="AX63" s="61">
        <f> AX$53</f>
        <v>1859.4633207529464</v>
      </c>
      <c r="AY63" s="61">
        <f> AY$53</f>
        <v>1859.4633207529464</v>
      </c>
      <c r="AZ63" s="61">
        <f> AZ$53</f>
        <v>1809.4633207529464</v>
      </c>
      <c r="BA63" s="61">
        <f> BA$53</f>
        <v>1809.4633207529464</v>
      </c>
      <c r="BB63" s="61">
        <f> BB$53</f>
        <v>1809.4633207529464</v>
      </c>
      <c r="BC63" s="61">
        <f> BC$53</f>
        <v>1809.4633207529464</v>
      </c>
      <c r="BD63" s="61">
        <f> BD$53</f>
        <v>1784.4633207529464</v>
      </c>
      <c r="BE63" s="61">
        <f> BE$53</f>
        <v>1784.4633207529464</v>
      </c>
      <c r="BF63" s="61">
        <f> BF$53</f>
        <v>1784.4633207529464</v>
      </c>
      <c r="BG63" s="61">
        <f> BG$53</f>
        <v>1784.4633207529464</v>
      </c>
      <c r="BH63" s="61">
        <f> BH$53</f>
        <v>1734.4633207529464</v>
      </c>
      <c r="BI63" s="61">
        <f> BI$53</f>
        <v>1734.4633207529464</v>
      </c>
      <c r="BJ63" s="61">
        <f> BJ$53</f>
        <v>1734.4633207529464</v>
      </c>
      <c r="BK63" s="61">
        <f> BK$53</f>
        <v>1734.4633207529464</v>
      </c>
      <c r="BL63" s="61">
        <f> BL$53</f>
        <v>1684.4633207529464</v>
      </c>
      <c r="BM63" s="61">
        <f> BM$53</f>
        <v>1684.4633207529464</v>
      </c>
      <c r="BN63" s="61">
        <f> BN$53</f>
        <v>1684.4633207529464</v>
      </c>
      <c r="BO63" s="61">
        <f> BO$53</f>
        <v>1684.4633207529464</v>
      </c>
      <c r="BP63" s="61">
        <f> BP$53</f>
        <v>1684.4633207529464</v>
      </c>
      <c r="BQ63" s="61">
        <f> BQ$53</f>
        <v>1684.4633207529464</v>
      </c>
      <c r="BR63" s="61">
        <f> BR$53</f>
        <v>1684.4633207529464</v>
      </c>
      <c r="BS63" s="61">
        <f> BS$53</f>
        <v>1684.4633207529464</v>
      </c>
      <c r="BT63" s="61">
        <f> BT$53</f>
        <v>0.0</v>
      </c>
      <c r="BU63" s="61">
        <f> BU$53</f>
        <v>0.0</v>
      </c>
      <c r="BV63" s="61">
        <f> BV$53</f>
        <v>0.0</v>
      </c>
      <c r="BW63" s="61">
        <f> BW$53</f>
        <v>0.0</v>
      </c>
      <c r="BX63" s="61">
        <f> BX$53</f>
        <v>0.0</v>
      </c>
      <c r="BY63" s="61">
        <f> BY$53</f>
        <v>0.0</v>
      </c>
      <c r="BZ63" s="61">
        <f> BZ$53</f>
        <v>0.0</v>
      </c>
      <c r="CA63" s="61">
        <f> CA$53</f>
        <v>0.0</v>
      </c>
      <c r="CB63" s="61">
        <f> CB$53</f>
        <v>0.0</v>
      </c>
      <c r="CC63" s="61">
        <f> CC$53</f>
        <v>0.0</v>
      </c>
      <c r="CD63" s="61">
        <f> CD$53</f>
        <v>0.0</v>
      </c>
      <c r="CE63" s="61">
        <f> CE$53</f>
        <v>0.0</v>
      </c>
      <c r="CF63" s="61">
        <f> CF$53</f>
        <v>0.0</v>
      </c>
      <c r="CG63" s="61">
        <f> CG$53</f>
        <v>0.0</v>
      </c>
      <c r="CH63" s="61">
        <f> CH$53</f>
        <v>0.0</v>
      </c>
      <c r="CI63" s="61">
        <f> CI$53</f>
        <v>0.0</v>
      </c>
      <c r="CJ63" s="61">
        <f> CJ$53</f>
        <v>0.0</v>
      </c>
      <c r="CK63" s="61">
        <f> CK$53</f>
        <v>0.0</v>
      </c>
      <c r="CL63" s="61">
        <f> CL$53</f>
        <v>0.0</v>
      </c>
      <c r="CM63" s="61">
        <f> CM$53</f>
        <v>0.0</v>
      </c>
      <c r="CN63" s="61">
        <f> CN$53</f>
        <v>0.0</v>
      </c>
      <c r="CO63" s="61">
        <f> CO$53</f>
        <v>0.0</v>
      </c>
    </row>
    <row r="64" customFormat="1" s="322">
      <c r="A64" s="318" t="n"/>
      <c r="B64" s="318" t="n"/>
      <c r="C64" s="319" t="n"/>
      <c r="D64" s="320" t="n"/>
      <c r="E64" s="322" t="inlineStr">
        <is>
          <t>Non current asset balance</t>
        </is>
      </c>
      <c r="F64" s="322" t="inlineStr">
        <is>
          <t xml:space="preserve"> </t>
        </is>
      </c>
      <c r="G64" s="322" t="inlineStr">
        <is>
          <t>$ 000s</t>
        </is>
      </c>
      <c r="I64" s="323" t="n"/>
      <c r="J64" s="322">
        <f> IF(J59 = 1, $F58, J61 + J62 - J63)</f>
        <v>0.0</v>
      </c>
      <c r="K64" s="322">
        <f> IF(K59 = 1, $F58, K61 + K62 - K63)</f>
        <v>101067.79924517678</v>
      </c>
      <c r="L64" s="322">
        <f> IF(L59 = 1, $F58, L61 + L62 - L63)</f>
        <v>99383.33592442384</v>
      </c>
      <c r="M64" s="322">
        <f> IF(M59 = 1, $F58, M61 + M62 - M63)</f>
        <v>97698.8726036709</v>
      </c>
      <c r="N64" s="322">
        <f> IF(N59 = 1, $F58, N61 + N62 - N63)</f>
        <v>96014.40928291796</v>
      </c>
      <c r="O64" s="322">
        <f> IF(O59 = 1, $F58, O61 + O62 - O63)</f>
        <v>94329.94596216502</v>
      </c>
      <c r="P64" s="322">
        <f> IF(P59 = 1, $F58, P61 + P62 - P63)</f>
        <v>92645.48264141208</v>
      </c>
      <c r="Q64" s="322">
        <f> IF(Q59 = 1, $F58, Q61 + Q62 - Q63)</f>
        <v>90961.01932065914</v>
      </c>
      <c r="R64" s="322">
        <f> IF(R59 = 1, $F58, R61 + R62 - R63)</f>
        <v>89276.5559999062</v>
      </c>
      <c r="S64" s="322">
        <f> IF(S59 = 1, $F58, S61 + S62 - S63)</f>
        <v>89592.09267915325</v>
      </c>
      <c r="T64" s="322">
        <f> IF(T59 = 1, $F58, T61 + T62 - T63)</f>
        <v>87807.62935840031</v>
      </c>
      <c r="U64" s="322">
        <f> IF(U59 = 1, $F58, U61 + U62 - U63)</f>
        <v>86023.16603764737</v>
      </c>
      <c r="V64" s="322">
        <f> IF(V59 = 1, $F58, V61 + V62 - V63)</f>
        <v>84238.70271689443</v>
      </c>
      <c r="W64" s="322">
        <f> IF(W59 = 1, $F58, W61 + W62 - W63)</f>
        <v>83454.2393961415</v>
      </c>
      <c r="X64" s="322">
        <f> IF(X59 = 1, $F58, X61 + X62 - X63)</f>
        <v>81619.77607538855</v>
      </c>
      <c r="Y64" s="322">
        <f> IF(Y59 = 1, $F58, Y61 + Y62 - Y63)</f>
        <v>79785.31275463561</v>
      </c>
      <c r="Z64" s="322">
        <f> IF(Z59 = 1, $F58, Z61 + Z62 - Z63)</f>
        <v>77950.84943388267</v>
      </c>
      <c r="AA64" s="322">
        <f> IF(AA59 = 1, $F58, AA61 + AA62 - AA63)</f>
        <v>77616.38611312973</v>
      </c>
      <c r="AB64" s="322">
        <f> IF(AB59 = 1, $F58, AB61 + AB62 - AB63)</f>
        <v>75706.92279237679</v>
      </c>
      <c r="AC64" s="322">
        <f> IF(AC59 = 1, $F58, AC61 + AC62 - AC63)</f>
        <v>73797.45947162385</v>
      </c>
      <c r="AD64" s="322">
        <f> IF(AD59 = 1, $F58, AD61 + AD62 - AD63)</f>
        <v>71887.99615087091</v>
      </c>
      <c r="AE64" s="322">
        <f> IF(AE59 = 1, $F58, AE61 + AE62 - AE63)</f>
        <v>70978.53283011797</v>
      </c>
      <c r="AF64" s="322">
        <f> IF(AF59 = 1, $F58, AF61 + AF62 - AF63)</f>
        <v>69019.06950936503</v>
      </c>
      <c r="AG64" s="322">
        <f> IF(AG59 = 1, $F58, AG61 + AG62 - AG63)</f>
        <v>67059.60618861209</v>
      </c>
      <c r="AH64" s="322">
        <f> IF(AH59 = 1, $F58, AH61 + AH62 - AH63)</f>
        <v>65100.14286785914</v>
      </c>
      <c r="AI64" s="322">
        <f> IF(AI59 = 1, $F58, AI61 + AI62 - AI63)</f>
        <v>63640.679547106185</v>
      </c>
      <c r="AJ64" s="322">
        <f> IF(AJ59 = 1, $F58, AJ61 + AJ62 - AJ63)</f>
        <v>61656.21622635324</v>
      </c>
      <c r="AK64" s="322">
        <f> IF(AK59 = 1, $F58, AK61 + AK62 - AK63)</f>
        <v>59671.75290560029</v>
      </c>
      <c r="AL64" s="322">
        <f> IF(AL59 = 1, $F58, AL61 + AL62 - AL63)</f>
        <v>57687.28958484734</v>
      </c>
      <c r="AM64" s="322">
        <f> IF(AM59 = 1, $F58, AM61 + AM62 - AM63)</f>
        <v>56702.826264094394</v>
      </c>
      <c r="AN64" s="322">
        <f> IF(AN59 = 1, $F58, AN61 + AN62 - AN63)</f>
        <v>54768.362943341446</v>
      </c>
      <c r="AO64" s="322">
        <f> IF(AO59 = 1, $F58, AO61 + AO62 - AO63)</f>
        <v>52833.8996225885</v>
      </c>
      <c r="AP64" s="322">
        <f> IF(AP59 = 1, $F58, AP61 + AP62 - AP63)</f>
        <v>50899.43630183555</v>
      </c>
      <c r="AQ64" s="322">
        <f> IF(AQ59 = 1, $F58, AQ61 + AQ62 - AQ63)</f>
        <v>49964.9729810826</v>
      </c>
      <c r="AR64" s="322">
        <f> IF(AR59 = 1, $F58, AR61 + AR62 - AR63)</f>
        <v>48030.509660329655</v>
      </c>
      <c r="AS64" s="322">
        <f> IF(AS59 = 1, $F58, AS61 + AS62 - AS63)</f>
        <v>46096.04633957671</v>
      </c>
      <c r="AT64" s="322">
        <f> IF(AT59 = 1, $F58, AT61 + AT62 - AT63)</f>
        <v>44161.58301882376</v>
      </c>
      <c r="AU64" s="322">
        <f> IF(AU59 = 1, $F58, AU61 + AU62 - AU63)</f>
        <v>42227.11969807081</v>
      </c>
      <c r="AV64" s="322">
        <f> IF(AV59 = 1, $F58, AV61 + AV62 - AV63)</f>
        <v>40367.656377317864</v>
      </c>
      <c r="AW64" s="322">
        <f> IF(AW59 = 1, $F58, AW61 + AW62 - AW63)</f>
        <v>38508.193056564916</v>
      </c>
      <c r="AX64" s="322">
        <f> IF(AX59 = 1, $F58, AX61 + AX62 - AX63)</f>
        <v>36648.72973581197</v>
      </c>
      <c r="AY64" s="322">
        <f> IF(AY59 = 1, $F58, AY61 + AY62 - AY63)</f>
        <v>34789.26641505902</v>
      </c>
      <c r="AZ64" s="322">
        <f> IF(AZ59 = 1, $F58, AZ61 + AZ62 - AZ63)</f>
        <v>32979.80309430607</v>
      </c>
      <c r="BA64" s="322">
        <f> IF(BA59 = 1, $F58, BA61 + BA62 - BA63)</f>
        <v>31170.339773553125</v>
      </c>
      <c r="BB64" s="322">
        <f> IF(BB59 = 1, $F58, BB61 + BB62 - BB63)</f>
        <v>29360.876452800178</v>
      </c>
      <c r="BC64" s="322">
        <f> IF(BC59 = 1, $F58, BC61 + BC62 - BC63)</f>
        <v>27551.41313204723</v>
      </c>
      <c r="BD64" s="322">
        <f> IF(BD59 = 1, $F58, BD61 + BD62 - BD63)</f>
        <v>25766.949811294282</v>
      </c>
      <c r="BE64" s="322">
        <f> IF(BE59 = 1, $F58, BE61 + BE62 - BE63)</f>
        <v>23982.486490541334</v>
      </c>
      <c r="BF64" s="322">
        <f> IF(BF59 = 1, $F58, BF61 + BF62 - BF63)</f>
        <v>22198.023169788386</v>
      </c>
      <c r="BG64" s="322">
        <f> IF(BG59 = 1, $F58, BG61 + BG62 - BG63)</f>
        <v>20413.55984903544</v>
      </c>
      <c r="BH64" s="322">
        <f> IF(BH59 = 1, $F58, BH61 + BH62 - BH63)</f>
        <v>18679.09652828249</v>
      </c>
      <c r="BI64" s="322">
        <f> IF(BI59 = 1, $F58, BI61 + BI62 - BI63)</f>
        <v>16944.633207529543</v>
      </c>
      <c r="BJ64" s="322">
        <f> IF(BJ59 = 1, $F58, BJ61 + BJ62 - BJ63)</f>
        <v>15210.169886776597</v>
      </c>
      <c r="BK64" s="322">
        <f> IF(BK59 = 1, $F58, BK61 + BK62 - BK63)</f>
        <v>13475.706566023651</v>
      </c>
      <c r="BL64" s="322">
        <f> IF(BL59 = 1, $F58, BL61 + BL62 - BL63)</f>
        <v>11791.243245270705</v>
      </c>
      <c r="BM64" s="322">
        <f> IF(BM59 = 1, $F58, BM61 + BM62 - BM63)</f>
        <v>10106.77992451776</v>
      </c>
      <c r="BN64" s="322">
        <f> IF(BN59 = 1, $F58, BN61 + BN62 - BN63)</f>
        <v>8422.316603764813</v>
      </c>
      <c r="BO64" s="322">
        <f> IF(BO59 = 1, $F58, BO61 + BO62 - BO63)</f>
        <v>6737.8532830118675</v>
      </c>
      <c r="BP64" s="322">
        <f> IF(BP59 = 1, $F58, BP61 + BP62 - BP63)</f>
        <v>5053.3899622589215</v>
      </c>
      <c r="BQ64" s="322">
        <f> IF(BQ59 = 1, $F58, BQ61 + BQ62 - BQ63)</f>
        <v>3368.926641505975</v>
      </c>
      <c r="BR64" s="322">
        <f> IF(BR59 = 1, $F58, BR61 + BR62 - BR63)</f>
        <v>1684.4633207530287</v>
      </c>
      <c r="BS64" s="322">
        <f> IF(BS59 = 1, $F58, BS61 + BS62 - BS63)</f>
        <v>8.230927051045e-11</v>
      </c>
      <c r="BT64" s="322">
        <f> IF(BT59 = 1, $F58, BT61 + BT62 - BT63)</f>
        <v>8.230927051045e-11</v>
      </c>
      <c r="BU64" s="322">
        <f> IF(BU59 = 1, $F58, BU61 + BU62 - BU63)</f>
        <v>8.230927051045e-11</v>
      </c>
      <c r="BV64" s="322">
        <f> IF(BV59 = 1, $F58, BV61 + BV62 - BV63)</f>
        <v>8.230927051045e-11</v>
      </c>
      <c r="BW64" s="322">
        <f> IF(BW59 = 1, $F58, BW61 + BW62 - BW63)</f>
        <v>8.230927051045e-11</v>
      </c>
      <c r="BX64" s="322">
        <f> IF(BX59 = 1, $F58, BX61 + BX62 - BX63)</f>
        <v>8.230927051045e-11</v>
      </c>
      <c r="BY64" s="322">
        <f> IF(BY59 = 1, $F58, BY61 + BY62 - BY63)</f>
        <v>8.230927051045e-11</v>
      </c>
      <c r="BZ64" s="322">
        <f> IF(BZ59 = 1, $F58, BZ61 + BZ62 - BZ63)</f>
        <v>8.230927051045e-11</v>
      </c>
      <c r="CA64" s="322">
        <f> IF(CA59 = 1, $F58, CA61 + CA62 - CA63)</f>
        <v>8.230927051045e-11</v>
      </c>
      <c r="CB64" s="322">
        <f> IF(CB59 = 1, $F58, CB61 + CB62 - CB63)</f>
        <v>8.230927051045e-11</v>
      </c>
      <c r="CC64" s="322">
        <f> IF(CC59 = 1, $F58, CC61 + CC62 - CC63)</f>
        <v>8.230927051045e-11</v>
      </c>
      <c r="CD64" s="322">
        <f> IF(CD59 = 1, $F58, CD61 + CD62 - CD63)</f>
        <v>8.230927051045e-11</v>
      </c>
      <c r="CE64" s="322">
        <f> IF(CE59 = 1, $F58, CE61 + CE62 - CE63)</f>
        <v>8.230927051045e-11</v>
      </c>
      <c r="CF64" s="322">
        <f> IF(CF59 = 1, $F58, CF61 + CF62 - CF63)</f>
        <v>8.230927051045e-11</v>
      </c>
      <c r="CG64" s="322">
        <f> IF(CG59 = 1, $F58, CG61 + CG62 - CG63)</f>
        <v>8.230927051045e-11</v>
      </c>
      <c r="CH64" s="322">
        <f> IF(CH59 = 1, $F58, CH61 + CH62 - CH63)</f>
        <v>8.230927051045e-11</v>
      </c>
      <c r="CI64" s="322">
        <f> IF(CI59 = 1, $F58, CI61 + CI62 - CI63)</f>
        <v>8.230927051045e-11</v>
      </c>
      <c r="CJ64" s="322">
        <f> IF(CJ59 = 1, $F58, CJ61 + CJ62 - CJ63)</f>
        <v>8.230927051045e-11</v>
      </c>
      <c r="CK64" s="322">
        <f> IF(CK59 = 1, $F58, CK61 + CK62 - CK63)</f>
        <v>8.230927051045e-11</v>
      </c>
      <c r="CL64" s="322">
        <f> IF(CL59 = 1, $F58, CL61 + CL62 - CL63)</f>
        <v>8.230927051045e-11</v>
      </c>
      <c r="CM64" s="322">
        <f> IF(CM59 = 1, $F58, CM61 + CM62 - CM63)</f>
        <v>8.230927051045e-11</v>
      </c>
      <c r="CN64" s="322">
        <f> IF(CN59 = 1, $F58, CN61 + CN62 - CN63)</f>
        <v>8.230927051045e-11</v>
      </c>
      <c r="CO64" s="322">
        <f> IF(CO59 = 1, $F58, CO61 + CO62 - CO63)</f>
        <v>8.230927051045e-11</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2.xml><?xml version="1.0" encoding="utf-8"?>
<worksheet xmlns="http://schemas.openxmlformats.org/spreadsheetml/2006/main">
  <sheetPr>
    <tabColor rgb="000B5E82"/>
    <outlinePr summaryBelow="0" summaryRight="0"/>
    <pageSetUpPr/>
  </sheetPr>
  <dimension ref="A1:CO45"/>
  <sheetViews>
    <sheetView showGridLines="0" defaultGridColor="0" colorId="22" zoomScaleNormal="100" workbookViewId="0">
      <pane xSplit="9" ySplit="5" topLeftCell="J6" activePane="bottomRight" state="frozen"/>
      <selection activeCell="I34" sqref="I34"/>
      <selection pane="topRight" activeCell="I34" sqref="I34"/>
      <selection pane="bottomLeft" activeCell="I34" sqref="I34"/>
      <selection pane="bottomRight" activeCell="E22" sqref="A22:XFD22"/>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SENIOR DEBT PRINCIPAL REPAYMENT</t>
        </is>
      </c>
    </row>
    <row r="9">
      <c r="E9" s="325" t="str">
        <f> InpC!E$64</f>
        <v>Non current asset - initial balance</v>
      </c>
      <c r="F9" s="325">
        <f> InpC!F$64</f>
        <v>101067.79924517678</v>
      </c>
      <c r="G9" s="325" t="str">
        <f> InpC!G$64</f>
        <v>$ 000s</v>
      </c>
    </row>
    <row r="10">
      <c r="E10" s="336" t="str">
        <f> InpC!E$72</f>
        <v>% of NCA financed with debt</v>
      </c>
      <c r="F10" s="336">
        <f>InpC!F$72</f>
        <v>0.713919025652034</v>
      </c>
      <c r="G10" s="336" t="str">
        <f> InpC!G$72</f>
        <v>%</v>
      </c>
    </row>
    <row r="11">
      <c r="E11" s="61" t="inlineStr">
        <is>
          <t>Senior debt - Initial balance</t>
        </is>
      </c>
      <c r="F11" s="61">
        <f>Constr!$F$53</f>
        <v>72154.22476191197</v>
      </c>
      <c r="G11" s="61" t="str">
        <f>SMU</f>
        <v>$ 000s</v>
      </c>
    </row>
    <row r="13">
      <c r="E13" s="325" t="str">
        <f> InpC!E$74</f>
        <v>Senior debt principal repayment profile selection</v>
      </c>
      <c r="F13" s="325">
        <f> InpC!F$74</f>
        <v>4.0</v>
      </c>
      <c r="G13" s="325" t="str">
        <f> InpC!G$74</f>
        <v>switch</v>
      </c>
    </row>
    <row r="14">
      <c r="E14" s="336" t="str">
        <f> InpS!E$18</f>
        <v>Senior debt profile 1 - 7.5 years</v>
      </c>
      <c r="F14" s="336">
        <f> InpS!F$18</f>
        <v>0.0</v>
      </c>
      <c r="G14" s="336" t="str">
        <f> InpS!G$18</f>
        <v>%</v>
      </c>
      <c r="H14" s="336">
        <f> InpS!H$18</f>
        <v>0.99999999999999</v>
      </c>
      <c r="I14" s="336">
        <f> InpS!I$18</f>
        <v>0.0</v>
      </c>
      <c r="J14" s="336">
        <f> InpS!J$18</f>
        <v>0.0</v>
      </c>
      <c r="K14" s="336">
        <f> InpS!K$18</f>
        <v>0.0</v>
      </c>
      <c r="L14" s="336">
        <f> InpS!L$18</f>
        <v>0.0</v>
      </c>
      <c r="M14" s="336">
        <f> InpS!M$18</f>
        <v>0.0</v>
      </c>
      <c r="N14" s="336">
        <f> InpS!N$18</f>
        <v>0.0</v>
      </c>
      <c r="O14" s="336">
        <f> InpS!O$18</f>
        <v>0.033333333333333</v>
      </c>
      <c r="P14" s="336">
        <f> InpS!P$18</f>
        <v>0.033333333333333</v>
      </c>
      <c r="Q14" s="336">
        <f> InpS!Q$18</f>
        <v>0.033333333333333</v>
      </c>
      <c r="R14" s="336">
        <f> InpS!R$18</f>
        <v>0.033333333333333</v>
      </c>
      <c r="S14" s="336">
        <f> InpS!S$18</f>
        <v>0.033333333333333</v>
      </c>
      <c r="T14" s="336">
        <f> InpS!T$18</f>
        <v>0.033333333333333</v>
      </c>
      <c r="U14" s="336">
        <f> InpS!U$18</f>
        <v>0.033333333333333</v>
      </c>
      <c r="V14" s="336">
        <f> InpS!V$18</f>
        <v>0.033333333333333</v>
      </c>
      <c r="W14" s="336">
        <f> InpS!W$18</f>
        <v>0.033333333333333</v>
      </c>
      <c r="X14" s="336">
        <f> InpS!X$18</f>
        <v>0.033333333333333</v>
      </c>
      <c r="Y14" s="336">
        <f> InpS!Y$18</f>
        <v>0.033333333333333</v>
      </c>
      <c r="Z14" s="336">
        <f> InpS!Z$18</f>
        <v>0.033333333333333</v>
      </c>
      <c r="AA14" s="336">
        <f> InpS!AA$18</f>
        <v>0.033333333333333</v>
      </c>
      <c r="AB14" s="336">
        <f> InpS!AB$18</f>
        <v>0.033333333333333</v>
      </c>
      <c r="AC14" s="336">
        <f> InpS!AC$18</f>
        <v>0.033333333333333</v>
      </c>
      <c r="AD14" s="336">
        <f> InpS!AD$18</f>
        <v>0.033333333333333</v>
      </c>
      <c r="AE14" s="336">
        <f> InpS!AE$18</f>
        <v>0.033333333333333</v>
      </c>
      <c r="AF14" s="336">
        <f> InpS!AF$18</f>
        <v>0.033333333333333</v>
      </c>
      <c r="AG14" s="336">
        <f> InpS!AG$18</f>
        <v>0.033333333333333</v>
      </c>
      <c r="AH14" s="336">
        <f> InpS!AH$18</f>
        <v>0.033333333333333</v>
      </c>
      <c r="AI14" s="336">
        <f> InpS!AI$18</f>
        <v>0.033333333333333</v>
      </c>
      <c r="AJ14" s="336">
        <f> InpS!AJ$18</f>
        <v>0.033333333333333</v>
      </c>
      <c r="AK14" s="336">
        <f> InpS!AK$18</f>
        <v>0.033333333333333</v>
      </c>
      <c r="AL14" s="336">
        <f> InpS!AL$18</f>
        <v>0.033333333333333</v>
      </c>
      <c r="AM14" s="336">
        <f> InpS!AM$18</f>
        <v>0.033333333333333</v>
      </c>
      <c r="AN14" s="336">
        <f> InpS!AN$18</f>
        <v>0.033333333333333</v>
      </c>
      <c r="AO14" s="336">
        <f> InpS!AO$18</f>
        <v>0.033333333333333</v>
      </c>
      <c r="AP14" s="336">
        <f> InpS!AP$18</f>
        <v>0.033333333333333</v>
      </c>
      <c r="AQ14" s="336">
        <f> InpS!AQ$18</f>
        <v>0.033333333333333</v>
      </c>
      <c r="AR14" s="336">
        <f> InpS!AR$18</f>
        <v>0.033333333333333</v>
      </c>
      <c r="AS14" s="336">
        <f> InpS!AS$18</f>
        <v>0.0</v>
      </c>
      <c r="AT14" s="336">
        <f> InpS!AT$18</f>
        <v>0.0</v>
      </c>
      <c r="AU14" s="336">
        <f> InpS!AU$18</f>
        <v>0.0</v>
      </c>
      <c r="AV14" s="336">
        <f> InpS!AV$18</f>
        <v>0.0</v>
      </c>
      <c r="AW14" s="336">
        <f> InpS!AW$18</f>
        <v>0.0</v>
      </c>
      <c r="AX14" s="336">
        <f> InpS!AX$18</f>
        <v>0.0</v>
      </c>
      <c r="AY14" s="336">
        <f> InpS!AY$18</f>
        <v>0.0</v>
      </c>
      <c r="AZ14" s="336">
        <f> InpS!AZ$18</f>
        <v>0.0</v>
      </c>
      <c r="BA14" s="336">
        <f> InpS!BA$18</f>
        <v>0.0</v>
      </c>
      <c r="BB14" s="336">
        <f> InpS!BB$18</f>
        <v>0.0</v>
      </c>
      <c r="BC14" s="336">
        <f> InpS!BC$18</f>
        <v>0.0</v>
      </c>
      <c r="BD14" s="336">
        <f> InpS!BD$18</f>
        <v>0.0</v>
      </c>
      <c r="BE14" s="336">
        <f> InpS!BE$18</f>
        <v>0.0</v>
      </c>
      <c r="BF14" s="336">
        <f> InpS!BF$18</f>
        <v>0.0</v>
      </c>
      <c r="BG14" s="336">
        <f> InpS!BG$18</f>
        <v>0.0</v>
      </c>
      <c r="BH14" s="336">
        <f> InpS!BH$18</f>
        <v>0.0</v>
      </c>
      <c r="BI14" s="336">
        <f> InpS!BI$18</f>
        <v>0.0</v>
      </c>
      <c r="BJ14" s="336">
        <f> InpS!BJ$18</f>
        <v>0.0</v>
      </c>
      <c r="BK14" s="336">
        <f> InpS!BK$18</f>
        <v>0.0</v>
      </c>
      <c r="BL14" s="336">
        <f> InpS!BL$18</f>
        <v>0.0</v>
      </c>
      <c r="BM14" s="336">
        <f> InpS!BM$18</f>
        <v>0.0</v>
      </c>
      <c r="BN14" s="336">
        <f> InpS!BN$18</f>
        <v>0.0</v>
      </c>
      <c r="BO14" s="336">
        <f> InpS!BO$18</f>
        <v>0.0</v>
      </c>
      <c r="BP14" s="336">
        <f> InpS!BP$18</f>
        <v>0.0</v>
      </c>
      <c r="BQ14" s="336">
        <f> InpS!BQ$18</f>
        <v>0.0</v>
      </c>
      <c r="BR14" s="336">
        <f> InpS!BR$18</f>
        <v>0.0</v>
      </c>
      <c r="BS14" s="336">
        <f> InpS!BS$18</f>
        <v>0.0</v>
      </c>
      <c r="BT14" s="336">
        <f> InpS!BT$18</f>
        <v>0.0</v>
      </c>
      <c r="BU14" s="336">
        <f> InpS!BU$18</f>
        <v>0.0</v>
      </c>
      <c r="BV14" s="336">
        <f> InpS!BV$18</f>
        <v>0.0</v>
      </c>
      <c r="BW14" s="336">
        <f> InpS!BW$18</f>
        <v>0.0</v>
      </c>
      <c r="BX14" s="336">
        <f> InpS!BX$18</f>
        <v>0.0</v>
      </c>
      <c r="BY14" s="336">
        <f> InpS!BY$18</f>
        <v>0.0</v>
      </c>
      <c r="BZ14" s="336">
        <f> InpS!BZ$18</f>
        <v>0.0</v>
      </c>
      <c r="CA14" s="336">
        <f> InpS!CA$18</f>
        <v>0.0</v>
      </c>
      <c r="CB14" s="336">
        <f> InpS!CB$18</f>
        <v>0.0</v>
      </c>
      <c r="CC14" s="336">
        <f> InpS!CC$18</f>
        <v>0.0</v>
      </c>
      <c r="CD14" s="336">
        <f> InpS!CD$18</f>
        <v>0.0</v>
      </c>
      <c r="CE14" s="336">
        <f> InpS!CE$18</f>
        <v>0.0</v>
      </c>
      <c r="CF14" s="336">
        <f> InpS!CF$18</f>
        <v>0.0</v>
      </c>
      <c r="CG14" s="336">
        <f> InpS!CG$18</f>
        <v>0.0</v>
      </c>
      <c r="CH14" s="336">
        <f> InpS!CH$18</f>
        <v>0.0</v>
      </c>
      <c r="CI14" s="336">
        <f> InpS!CI$18</f>
        <v>0.0</v>
      </c>
      <c r="CJ14" s="336">
        <f> InpS!CJ$18</f>
        <v>0.0</v>
      </c>
      <c r="CK14" s="336">
        <f> InpS!CK$18</f>
        <v>0.0</v>
      </c>
      <c r="CL14" s="336">
        <f> InpS!CL$18</f>
        <v>0.0</v>
      </c>
      <c r="CM14" s="336">
        <f> InpS!CM$18</f>
        <v>0.0</v>
      </c>
      <c r="CN14" s="336">
        <f> InpS!CN$18</f>
        <v>0.0</v>
      </c>
      <c r="CO14" s="336">
        <f> InpS!CO$18</f>
        <v>0.0</v>
      </c>
    </row>
    <row r="15">
      <c r="E15" s="336" t="str">
        <f> InpS!E$19</f>
        <v>Senior debt profile 2 - 10 years</v>
      </c>
      <c r="F15" s="336">
        <f> InpS!F$19</f>
        <v>0.0</v>
      </c>
      <c r="G15" s="336" t="str">
        <f> InpS!G$19</f>
        <v>%</v>
      </c>
      <c r="H15" s="336">
        <f> InpS!H$19</f>
        <v>1.0</v>
      </c>
      <c r="I15" s="336">
        <f> InpS!I$19</f>
        <v>0.0</v>
      </c>
      <c r="J15" s="336">
        <f> InpS!J$19</f>
        <v>0.0</v>
      </c>
      <c r="K15" s="336">
        <f> InpS!K$19</f>
        <v>0.0</v>
      </c>
      <c r="L15" s="336">
        <f> InpS!L$19</f>
        <v>0.0</v>
      </c>
      <c r="M15" s="336">
        <f> InpS!M$19</f>
        <v>0.0</v>
      </c>
      <c r="N15" s="336">
        <f> InpS!N$19</f>
        <v>0.0</v>
      </c>
      <c r="O15" s="336">
        <f> InpS!O$19</f>
        <v>0.025</v>
      </c>
      <c r="P15" s="336">
        <f> InpS!P$19</f>
        <v>0.025</v>
      </c>
      <c r="Q15" s="336">
        <f> InpS!Q$19</f>
        <v>0.025</v>
      </c>
      <c r="R15" s="336">
        <f> InpS!R$19</f>
        <v>0.025</v>
      </c>
      <c r="S15" s="336">
        <f> InpS!S$19</f>
        <v>0.025</v>
      </c>
      <c r="T15" s="336">
        <f> InpS!T$19</f>
        <v>0.025</v>
      </c>
      <c r="U15" s="336">
        <f> InpS!U$19</f>
        <v>0.025</v>
      </c>
      <c r="V15" s="336">
        <f> InpS!V$19</f>
        <v>0.025</v>
      </c>
      <c r="W15" s="336">
        <f> InpS!W$19</f>
        <v>0.025</v>
      </c>
      <c r="X15" s="336">
        <f> InpS!X$19</f>
        <v>0.025</v>
      </c>
      <c r="Y15" s="336">
        <f> InpS!Y$19</f>
        <v>0.025</v>
      </c>
      <c r="Z15" s="336">
        <f> InpS!Z$19</f>
        <v>0.025</v>
      </c>
      <c r="AA15" s="336">
        <f> InpS!AA$19</f>
        <v>0.025</v>
      </c>
      <c r="AB15" s="336">
        <f> InpS!AB$19</f>
        <v>0.025</v>
      </c>
      <c r="AC15" s="336">
        <f> InpS!AC$19</f>
        <v>0.025</v>
      </c>
      <c r="AD15" s="336">
        <f> InpS!AD$19</f>
        <v>0.025</v>
      </c>
      <c r="AE15" s="336">
        <f> InpS!AE$19</f>
        <v>0.025</v>
      </c>
      <c r="AF15" s="336">
        <f> InpS!AF$19</f>
        <v>0.025</v>
      </c>
      <c r="AG15" s="336">
        <f> InpS!AG$19</f>
        <v>0.025</v>
      </c>
      <c r="AH15" s="336">
        <f> InpS!AH$19</f>
        <v>0.025</v>
      </c>
      <c r="AI15" s="336">
        <f> InpS!AI$19</f>
        <v>0.025</v>
      </c>
      <c r="AJ15" s="336">
        <f> InpS!AJ$19</f>
        <v>0.025</v>
      </c>
      <c r="AK15" s="336">
        <f> InpS!AK$19</f>
        <v>0.025</v>
      </c>
      <c r="AL15" s="336">
        <f> InpS!AL$19</f>
        <v>0.025</v>
      </c>
      <c r="AM15" s="336">
        <f> InpS!AM$19</f>
        <v>0.025</v>
      </c>
      <c r="AN15" s="336">
        <f> InpS!AN$19</f>
        <v>0.025</v>
      </c>
      <c r="AO15" s="336">
        <f> InpS!AO$19</f>
        <v>0.025</v>
      </c>
      <c r="AP15" s="336">
        <f> InpS!AP$19</f>
        <v>0.025</v>
      </c>
      <c r="AQ15" s="336">
        <f> InpS!AQ$19</f>
        <v>0.025</v>
      </c>
      <c r="AR15" s="336">
        <f> InpS!AR$19</f>
        <v>0.025</v>
      </c>
      <c r="AS15" s="336">
        <f> InpS!AS$19</f>
        <v>0.025</v>
      </c>
      <c r="AT15" s="336">
        <f> InpS!AT$19</f>
        <v>0.025</v>
      </c>
      <c r="AU15" s="336">
        <f> InpS!AU$19</f>
        <v>0.025</v>
      </c>
      <c r="AV15" s="336">
        <f> InpS!AV$19</f>
        <v>0.025</v>
      </c>
      <c r="AW15" s="336">
        <f> InpS!AW$19</f>
        <v>0.025</v>
      </c>
      <c r="AX15" s="336">
        <f> InpS!AX$19</f>
        <v>0.025</v>
      </c>
      <c r="AY15" s="336">
        <f> InpS!AY$19</f>
        <v>0.025</v>
      </c>
      <c r="AZ15" s="336">
        <f> InpS!AZ$19</f>
        <v>0.025</v>
      </c>
      <c r="BA15" s="336">
        <f> InpS!BA$19</f>
        <v>0.025</v>
      </c>
      <c r="BB15" s="336">
        <f> InpS!BB$19</f>
        <v>0.025</v>
      </c>
      <c r="BC15" s="336">
        <f> InpS!BC$19</f>
        <v>0.0</v>
      </c>
      <c r="BD15" s="336">
        <f> InpS!BD$19</f>
        <v>0.0</v>
      </c>
      <c r="BE15" s="336">
        <f> InpS!BE$19</f>
        <v>0.0</v>
      </c>
      <c r="BF15" s="336">
        <f> InpS!BF$19</f>
        <v>0.0</v>
      </c>
      <c r="BG15" s="336">
        <f> InpS!BG$19</f>
        <v>0.0</v>
      </c>
      <c r="BH15" s="336">
        <f> InpS!BH$19</f>
        <v>0.0</v>
      </c>
      <c r="BI15" s="336">
        <f> InpS!BI$19</f>
        <v>0.0</v>
      </c>
      <c r="BJ15" s="336">
        <f> InpS!BJ$19</f>
        <v>0.0</v>
      </c>
      <c r="BK15" s="336">
        <f> InpS!BK$19</f>
        <v>0.0</v>
      </c>
      <c r="BL15" s="336">
        <f> InpS!BL$19</f>
        <v>0.0</v>
      </c>
      <c r="BM15" s="336">
        <f> InpS!BM$19</f>
        <v>0.0</v>
      </c>
      <c r="BN15" s="336">
        <f> InpS!BN$19</f>
        <v>0.0</v>
      </c>
      <c r="BO15" s="336">
        <f> InpS!BO$19</f>
        <v>0.0</v>
      </c>
      <c r="BP15" s="336">
        <f> InpS!BP$19</f>
        <v>0.0</v>
      </c>
      <c r="BQ15" s="336">
        <f> InpS!BQ$19</f>
        <v>0.0</v>
      </c>
      <c r="BR15" s="336">
        <f> InpS!BR$19</f>
        <v>0.0</v>
      </c>
      <c r="BS15" s="336">
        <f> InpS!BS$19</f>
        <v>0.0</v>
      </c>
      <c r="BT15" s="336">
        <f> InpS!BT$19</f>
        <v>0.0</v>
      </c>
      <c r="BU15" s="336">
        <f> InpS!BU$19</f>
        <v>0.0</v>
      </c>
      <c r="BV15" s="336">
        <f> InpS!BV$19</f>
        <v>0.0</v>
      </c>
      <c r="BW15" s="336">
        <f> InpS!BW$19</f>
        <v>0.0</v>
      </c>
      <c r="BX15" s="336">
        <f> InpS!BX$19</f>
        <v>0.0</v>
      </c>
      <c r="BY15" s="336">
        <f> InpS!BY$19</f>
        <v>0.0</v>
      </c>
      <c r="BZ15" s="336">
        <f> InpS!BZ$19</f>
        <v>0.0</v>
      </c>
      <c r="CA15" s="336">
        <f> InpS!CA$19</f>
        <v>0.0</v>
      </c>
      <c r="CB15" s="336">
        <f> InpS!CB$19</f>
        <v>0.0</v>
      </c>
      <c r="CC15" s="336">
        <f> InpS!CC$19</f>
        <v>0.0</v>
      </c>
      <c r="CD15" s="336">
        <f> InpS!CD$19</f>
        <v>0.0</v>
      </c>
      <c r="CE15" s="336">
        <f> InpS!CE$19</f>
        <v>0.0</v>
      </c>
      <c r="CF15" s="336">
        <f> InpS!CF$19</f>
        <v>0.0</v>
      </c>
      <c r="CG15" s="336">
        <f> InpS!CG$19</f>
        <v>0.0</v>
      </c>
      <c r="CH15" s="336">
        <f> InpS!CH$19</f>
        <v>0.0</v>
      </c>
      <c r="CI15" s="336">
        <f> InpS!CI$19</f>
        <v>0.0</v>
      </c>
      <c r="CJ15" s="336">
        <f> InpS!CJ$19</f>
        <v>0.0</v>
      </c>
      <c r="CK15" s="336">
        <f> InpS!CK$19</f>
        <v>0.0</v>
      </c>
      <c r="CL15" s="336">
        <f> InpS!CL$19</f>
        <v>0.0</v>
      </c>
      <c r="CM15" s="336">
        <f> InpS!CM$19</f>
        <v>0.0</v>
      </c>
      <c r="CN15" s="336">
        <f> InpS!CN$19</f>
        <v>0.0</v>
      </c>
      <c r="CO15" s="336">
        <f> InpS!CO$19</f>
        <v>0.0</v>
      </c>
    </row>
    <row r="16" s="396">
      <c r="E16" s="336" t="str">
        <f> InpS!E$20</f>
        <v>Senior debt profile 3 - 15 years</v>
      </c>
      <c r="F16" s="336">
        <f> InpS!F$20</f>
        <v>0.0</v>
      </c>
      <c r="G16" s="336" t="str">
        <f> InpS!G$20</f>
        <v>%</v>
      </c>
      <c r="H16" s="336">
        <f> InpS!H$20</f>
        <v>1.00000000000002</v>
      </c>
      <c r="I16" s="336">
        <f> InpS!I$20</f>
        <v>0.0</v>
      </c>
      <c r="J16" s="336">
        <f> InpS!J$20</f>
        <v>0.0</v>
      </c>
      <c r="K16" s="336">
        <f> InpS!K$20</f>
        <v>0.0</v>
      </c>
      <c r="L16" s="336">
        <f> InpS!L$20</f>
        <v>0.0</v>
      </c>
      <c r="M16" s="336">
        <f> InpS!M$20</f>
        <v>0.0</v>
      </c>
      <c r="N16" s="336">
        <f> InpS!N$20</f>
        <v>0.0</v>
      </c>
      <c r="O16" s="336">
        <f> InpS!O$20</f>
        <v>0.016666666666667</v>
      </c>
      <c r="P16" s="336">
        <f> InpS!P$20</f>
        <v>0.016666666666667</v>
      </c>
      <c r="Q16" s="336">
        <f> InpS!Q$20</f>
        <v>0.016666666666667</v>
      </c>
      <c r="R16" s="336">
        <f> InpS!R$20</f>
        <v>0.016666666666667</v>
      </c>
      <c r="S16" s="336">
        <f> InpS!S$20</f>
        <v>0.016666666666667</v>
      </c>
      <c r="T16" s="336">
        <f> InpS!T$20</f>
        <v>0.016666666666667</v>
      </c>
      <c r="U16" s="336">
        <f> InpS!U$20</f>
        <v>0.016666666666667</v>
      </c>
      <c r="V16" s="336">
        <f> InpS!V$20</f>
        <v>0.016666666666667</v>
      </c>
      <c r="W16" s="336">
        <f> InpS!W$20</f>
        <v>0.016666666666667</v>
      </c>
      <c r="X16" s="336">
        <f> InpS!X$20</f>
        <v>0.016666666666667</v>
      </c>
      <c r="Y16" s="336">
        <f> InpS!Y$20</f>
        <v>0.016666666666667</v>
      </c>
      <c r="Z16" s="336">
        <f> InpS!Z$20</f>
        <v>0.016666666666667</v>
      </c>
      <c r="AA16" s="336">
        <f> InpS!AA$20</f>
        <v>0.016666666666667</v>
      </c>
      <c r="AB16" s="336">
        <f> InpS!AB$20</f>
        <v>0.016666666666667</v>
      </c>
      <c r="AC16" s="336">
        <f> InpS!AC$20</f>
        <v>0.016666666666667</v>
      </c>
      <c r="AD16" s="336">
        <f> InpS!AD$20</f>
        <v>0.016666666666667</v>
      </c>
      <c r="AE16" s="336">
        <f> InpS!AE$20</f>
        <v>0.016666666666667</v>
      </c>
      <c r="AF16" s="336">
        <f> InpS!AF$20</f>
        <v>0.016666666666667</v>
      </c>
      <c r="AG16" s="336">
        <f> InpS!AG$20</f>
        <v>0.016666666666667</v>
      </c>
      <c r="AH16" s="336">
        <f> InpS!AH$20</f>
        <v>0.016666666666667</v>
      </c>
      <c r="AI16" s="336">
        <f> InpS!AI$20</f>
        <v>0.016666666666667</v>
      </c>
      <c r="AJ16" s="336">
        <f> InpS!AJ$20</f>
        <v>0.016666666666667</v>
      </c>
      <c r="AK16" s="336">
        <f> InpS!AK$20</f>
        <v>0.016666666666667</v>
      </c>
      <c r="AL16" s="336">
        <f> InpS!AL$20</f>
        <v>0.016666666666667</v>
      </c>
      <c r="AM16" s="336">
        <f> InpS!AM$20</f>
        <v>0.016666666666667</v>
      </c>
      <c r="AN16" s="336">
        <f> InpS!AN$20</f>
        <v>0.016666666666667</v>
      </c>
      <c r="AO16" s="336">
        <f> InpS!AO$20</f>
        <v>0.016666666666667</v>
      </c>
      <c r="AP16" s="336">
        <f> InpS!AP$20</f>
        <v>0.016666666666667</v>
      </c>
      <c r="AQ16" s="336">
        <f> InpS!AQ$20</f>
        <v>0.016666666666667</v>
      </c>
      <c r="AR16" s="336">
        <f> InpS!AR$20</f>
        <v>0.016666666666667</v>
      </c>
      <c r="AS16" s="336">
        <f> InpS!AS$20</f>
        <v>0.016666666666667</v>
      </c>
      <c r="AT16" s="336">
        <f> InpS!AT$20</f>
        <v>0.016666666666667</v>
      </c>
      <c r="AU16" s="336">
        <f> InpS!AU$20</f>
        <v>0.016666666666667</v>
      </c>
      <c r="AV16" s="336">
        <f> InpS!AV$20</f>
        <v>0.016666666666667</v>
      </c>
      <c r="AW16" s="336">
        <f> InpS!AW$20</f>
        <v>0.016666666666667</v>
      </c>
      <c r="AX16" s="336">
        <f> InpS!AX$20</f>
        <v>0.016666666666667</v>
      </c>
      <c r="AY16" s="336">
        <f> InpS!AY$20</f>
        <v>0.016666666666667</v>
      </c>
      <c r="AZ16" s="336">
        <f> InpS!AZ$20</f>
        <v>0.016666666666667</v>
      </c>
      <c r="BA16" s="336">
        <f> InpS!BA$20</f>
        <v>0.016666666666667</v>
      </c>
      <c r="BB16" s="336">
        <f> InpS!BB$20</f>
        <v>0.016666666666667</v>
      </c>
      <c r="BC16" s="336">
        <f> InpS!BC$20</f>
        <v>0.016666666666667</v>
      </c>
      <c r="BD16" s="336">
        <f> InpS!BD$20</f>
        <v>0.016666666666667</v>
      </c>
      <c r="BE16" s="336">
        <f> InpS!BE$20</f>
        <v>0.016666666666667</v>
      </c>
      <c r="BF16" s="336">
        <f> InpS!BF$20</f>
        <v>0.016666666666667</v>
      </c>
      <c r="BG16" s="336">
        <f> InpS!BG$20</f>
        <v>0.016666666666667</v>
      </c>
      <c r="BH16" s="336">
        <f> InpS!BH$20</f>
        <v>0.016666666666667</v>
      </c>
      <c r="BI16" s="336">
        <f> InpS!BI$20</f>
        <v>0.016666666666667</v>
      </c>
      <c r="BJ16" s="336">
        <f> InpS!BJ$20</f>
        <v>0.016666666666667</v>
      </c>
      <c r="BK16" s="336">
        <f> InpS!BK$20</f>
        <v>0.016666666666667</v>
      </c>
      <c r="BL16" s="336">
        <f> InpS!BL$20</f>
        <v>0.016666666666667</v>
      </c>
      <c r="BM16" s="336">
        <f> InpS!BM$20</f>
        <v>0.016666666666667</v>
      </c>
      <c r="BN16" s="336">
        <f> InpS!BN$20</f>
        <v>0.016666666666667</v>
      </c>
      <c r="BO16" s="336">
        <f> InpS!BO$20</f>
        <v>0.016666666666667</v>
      </c>
      <c r="BP16" s="336">
        <f> InpS!BP$20</f>
        <v>0.016666666666667</v>
      </c>
      <c r="BQ16" s="336">
        <f> InpS!BQ$20</f>
        <v>0.016666666666667</v>
      </c>
      <c r="BR16" s="336">
        <f> InpS!BR$20</f>
        <v>0.016666666666667</v>
      </c>
      <c r="BS16" s="336">
        <f> InpS!BS$20</f>
        <v>0.016666666666667</v>
      </c>
      <c r="BT16" s="336">
        <f> InpS!BT$20</f>
        <v>0.016666666666667</v>
      </c>
      <c r="BU16" s="336">
        <f> InpS!BU$20</f>
        <v>0.016666666666667</v>
      </c>
      <c r="BV16" s="336">
        <f> InpS!BV$20</f>
        <v>0.016666666666667</v>
      </c>
      <c r="BW16" s="336">
        <f> InpS!BW$20</f>
        <v>0.0</v>
      </c>
      <c r="BX16" s="336">
        <f> InpS!BX$20</f>
        <v>0.0</v>
      </c>
      <c r="BY16" s="336">
        <f> InpS!BY$20</f>
        <v>0.0</v>
      </c>
      <c r="BZ16" s="336">
        <f> InpS!BZ$20</f>
        <v>0.0</v>
      </c>
      <c r="CA16" s="336">
        <f> InpS!CA$20</f>
        <v>0.0</v>
      </c>
      <c r="CB16" s="336">
        <f> InpS!CB$20</f>
        <v>0.0</v>
      </c>
      <c r="CC16" s="336">
        <f> InpS!CC$20</f>
        <v>0.0</v>
      </c>
      <c r="CD16" s="336">
        <f> InpS!CD$20</f>
        <v>0.0</v>
      </c>
      <c r="CE16" s="336">
        <f> InpS!CE$20</f>
        <v>0.0</v>
      </c>
      <c r="CF16" s="336">
        <f> InpS!CF$20</f>
        <v>0.0</v>
      </c>
      <c r="CG16" s="336">
        <f> InpS!CG$20</f>
        <v>0.0</v>
      </c>
      <c r="CH16" s="336">
        <f> InpS!CH$20</f>
        <v>0.0</v>
      </c>
      <c r="CI16" s="336">
        <f> InpS!CI$20</f>
        <v>0.0</v>
      </c>
      <c r="CJ16" s="336">
        <f> InpS!CJ$20</f>
        <v>0.0</v>
      </c>
      <c r="CK16" s="336">
        <f> InpS!CK$20</f>
        <v>0.0</v>
      </c>
      <c r="CL16" s="336">
        <f> InpS!CL$20</f>
        <v>0.0</v>
      </c>
      <c r="CM16" s="336">
        <f> InpS!CM$20</f>
        <v>0.0</v>
      </c>
      <c r="CN16" s="336">
        <f> InpS!CN$20</f>
        <v>0.0</v>
      </c>
      <c r="CO16" s="336">
        <f> InpS!CO$20</f>
        <v>0.0</v>
      </c>
    </row>
    <row r="17">
      <c r="E17" s="336" t="inlineStr">
        <is>
          <t>Senior debt profile 4 - sculpted</t>
        </is>
      </c>
      <c r="F17" s="336" t="n"/>
      <c r="G17" s="336" t="inlineStr">
        <is>
          <t>%</t>
        </is>
      </c>
      <c r="H17" s="336">
        <f> SUM(J17:CO17)</f>
        <v>1.0000000000000016</v>
      </c>
      <c r="I17" s="336" t="n"/>
      <c r="J17" s="507">
        <f>Sculpt!J$40</f>
        <v>0.0</v>
      </c>
      <c r="K17" s="507">
        <f>Sculpt!K$40</f>
        <v>0.0</v>
      </c>
      <c r="L17" s="507">
        <f>Sculpt!L$40</f>
        <v>0.014647637007277177</v>
      </c>
      <c r="M17" s="507">
        <f>Sculpt!M$40</f>
        <v>0.015922741002093253</v>
      </c>
      <c r="N17" s="507">
        <f>Sculpt!N$40</f>
        <v>0.01672701442077574</v>
      </c>
      <c r="O17" s="507">
        <f>Sculpt!O$40</f>
        <v>0.015905264443014235</v>
      </c>
      <c r="P17" s="507">
        <f>Sculpt!P$40</f>
        <v>0.01729716585345259</v>
      </c>
      <c r="Q17" s="507">
        <f>Sculpt!Q$40</f>
        <v>0.016398200659740986</v>
      </c>
      <c r="R17" s="507">
        <f>Sculpt!R$40</f>
        <v>0.017475987721300983</v>
      </c>
      <c r="S17" s="507">
        <f>Sculpt!S$40</f>
        <v>0.0043353215268834185</v>
      </c>
      <c r="T17" s="507">
        <f>Sculpt!T$40</f>
        <v>0.018851251013053478</v>
      </c>
      <c r="U17" s="507">
        <f>Sculpt!U$40</f>
        <v>0.018548707181199844</v>
      </c>
      <c r="V17" s="507">
        <f>Sculpt!V$40</f>
        <v>0.01979144326256778</v>
      </c>
      <c r="W17" s="507">
        <f>Sculpt!W$40</f>
        <v>0.012801559084315618</v>
      </c>
      <c r="X17" s="507">
        <f>Sculpt!X$40</f>
        <v>0.020543674114541298</v>
      </c>
      <c r="Y17" s="507">
        <f>Sculpt!Y$40</f>
        <v>0.01966922300046026</v>
      </c>
      <c r="Z17" s="507">
        <f>Sculpt!Z$40</f>
        <v>0.02093458550159287</v>
      </c>
      <c r="AA17" s="507">
        <f>Sculpt!AA$40</f>
        <v>0.010838418132942706</v>
      </c>
      <c r="AB17" s="507">
        <f>Sculpt!AB$40</f>
        <v>0.021724139036305552</v>
      </c>
      <c r="AC17" s="507">
        <f>Sculpt!AC$40</f>
        <v>0.020900171938508665</v>
      </c>
      <c r="AD17" s="507">
        <f>Sculpt!AD$40</f>
        <v>0.024065613269101293</v>
      </c>
      <c r="AE17" s="507">
        <f>Sculpt!AE$40</f>
        <v>0.018159809613615303</v>
      </c>
      <c r="AF17" s="507">
        <f>Sculpt!AF$40</f>
        <v>0.02611696846882667</v>
      </c>
      <c r="AG17" s="507">
        <f>Sculpt!AG$40</f>
        <v>0.025416360593453178</v>
      </c>
      <c r="AH17" s="507">
        <f>Sculpt!AH$40</f>
        <v>0.027019168320477138</v>
      </c>
      <c r="AI17" s="507">
        <f>Sculpt!AI$40</f>
        <v>0.023168609480825192</v>
      </c>
      <c r="AJ17" s="507">
        <f>Sculpt!AJ$40</f>
        <v>0.02807356290057132</v>
      </c>
      <c r="AK17" s="507">
        <f>Sculpt!AK$40</f>
        <v>0.027420595871966533</v>
      </c>
      <c r="AL17" s="507">
        <f>Sculpt!AL$40</f>
        <v>0.02920507712560201</v>
      </c>
      <c r="AM17" s="507">
        <f>Sculpt!AM$40</f>
        <v>0.02411452160513088</v>
      </c>
      <c r="AN17" s="507">
        <f>Sculpt!AN$40</f>
        <v>0.03347243270734138</v>
      </c>
      <c r="AO17" s="507">
        <f>Sculpt!AO$40</f>
        <v>0.032961857349672954</v>
      </c>
      <c r="AP17" s="507">
        <f>Sculpt!AP$40</f>
        <v>0.034932244996242444</v>
      </c>
      <c r="AQ17" s="507">
        <f>Sculpt!AQ$40</f>
        <v>0.028090762750929414</v>
      </c>
      <c r="AR17" s="507">
        <f>Sculpt!AR$40</f>
        <v>0.03633011029861668</v>
      </c>
      <c r="AS17" s="507">
        <f>Sculpt!AS$40</f>
        <v>0.035883780180375593</v>
      </c>
      <c r="AT17" s="507">
        <f>Sculpt!AT$40</f>
        <v>0.037993666421656434</v>
      </c>
      <c r="AU17" s="507">
        <f>Sculpt!AU$40</f>
        <v>0.037345875181695826</v>
      </c>
      <c r="AV17" s="507">
        <f>Sculpt!AV$40</f>
        <v>0.039495853157323464</v>
      </c>
      <c r="AW17" s="507">
        <f>Sculpt!AW$40</f>
        <v>0.03912234569330172</v>
      </c>
      <c r="AX17" s="507">
        <f>Sculpt!AX$40</f>
        <v>0.0437351492502346</v>
      </c>
      <c r="AY17" s="507">
        <f>Sculpt!AY$40</f>
        <v>0.04456312986301418</v>
      </c>
      <c r="AZ17" s="507">
        <f>Sculpt!AZ$40</f>
        <v>1.3565379774571143e-17</v>
      </c>
      <c r="BA17" s="507">
        <f>Sculpt!BA$40</f>
        <v>1.3788266500589445e-17</v>
      </c>
      <c r="BB17" s="507">
        <f>Sculpt!BB$40</f>
        <v>1.4168824339554738e-17</v>
      </c>
      <c r="BC17" s="507">
        <f>Sculpt!BC$40</f>
        <v>1.4404184254972896e-17</v>
      </c>
      <c r="BD17" s="507">
        <f>Sculpt!BD$40</f>
        <v>1.4325117808790706e-17</v>
      </c>
      <c r="BE17" s="507">
        <f>Sculpt!BE$40</f>
        <v>1.471965542844115e-17</v>
      </c>
      <c r="BF17" s="507">
        <f>Sculpt!BF$40</f>
        <v>1.5125919715537848e-17</v>
      </c>
      <c r="BG17" s="507">
        <f>Sculpt!BG$40</f>
        <v>1.5377178048590393e-17</v>
      </c>
      <c r="BH17" s="507">
        <f>Sculpt!BH$40</f>
        <v>1.5292770712562804e-17</v>
      </c>
      <c r="BI17" s="507">
        <f>Sculpt!BI$40</f>
        <v>1.5713959105937975e-17</v>
      </c>
      <c r="BJ17" s="507">
        <f>Sculpt!BJ$40</f>
        <v>1.6147666295938186e-17</v>
      </c>
      <c r="BK17" s="507">
        <f>Sculpt!BK$40</f>
        <v>1.6415896974965162e-17</v>
      </c>
      <c r="BL17" s="507">
        <f>Sculpt!BL$40</f>
        <v>1.6325787975265626e-17</v>
      </c>
      <c r="BM17" s="507">
        <f>Sculpt!BM$40</f>
        <v>1.6775427385751068e-17</v>
      </c>
      <c r="BN17" s="507">
        <f>Sculpt!BN$40</f>
        <v>1.7238431229879526e-17</v>
      </c>
      <c r="BO17" s="507">
        <f>Sculpt!BO$40</f>
        <v>1.75247807264203e-17</v>
      </c>
      <c r="BP17" s="507">
        <f>Sculpt!BP$40</f>
        <v>1.7622235862718373e-17</v>
      </c>
      <c r="BQ17" s="507">
        <f>Sculpt!BQ$40</f>
        <v>1.791177898807387e-17</v>
      </c>
      <c r="BR17" s="507">
        <f>Sculpt!BR$40</f>
        <v>1.840614627517511e-17</v>
      </c>
      <c r="BS17" s="507">
        <f>Sculpt!BS$40</f>
        <v>1.8711892816079408e-17</v>
      </c>
      <c r="BT17" s="507">
        <f>Sculpt!BT$40</f>
        <v>1.8609180795730277e-17</v>
      </c>
      <c r="BU17" s="507">
        <f>Sculpt!BU$40</f>
        <v>1.9121708650146015e-17</v>
      </c>
      <c r="BV17" s="507">
        <f>Sculpt!BV$40</f>
        <v>1.9649470143653006e-17</v>
      </c>
      <c r="BW17" s="507">
        <f>Sculpt!BW$40</f>
        <v>1.9975869675483686e-17</v>
      </c>
      <c r="BX17" s="507">
        <f>Sculpt!BX$40</f>
        <v>1.986621952128674e-17</v>
      </c>
      <c r="BY17" s="507">
        <f>Sculpt!BY$40</f>
        <v>2.0413368317268846e-17</v>
      </c>
      <c r="BZ17" s="507">
        <f>Sculpt!BZ$40</f>
        <v>2.097677977530023e-17</v>
      </c>
      <c r="CA17" s="507">
        <f>Sculpt!CA$40</f>
        <v>2.1325227394901047e-17</v>
      </c>
      <c r="CB17" s="507">
        <f>Sculpt!CB$40</f>
        <v>2.120817044017904e-17</v>
      </c>
      <c r="CC17" s="507">
        <f>Sculpt!CC$40</f>
        <v>2.1792278801052303e-17</v>
      </c>
      <c r="CD17" s="507">
        <f>Sculpt!CD$40</f>
        <v>2.2393748356801248e-17</v>
      </c>
      <c r="CE17" s="507">
        <f>Sculpt!CE$40</f>
        <v>2.2765733398950333e-17</v>
      </c>
      <c r="CF17" s="507">
        <f>Sculpt!CF$40</f>
        <v>2.2892333422423117e-17</v>
      </c>
      <c r="CG17" s="507">
        <f>Sculpt!CG$40</f>
        <v>2.3268467178516543e-17</v>
      </c>
      <c r="CH17" s="507">
        <f>Sculpt!CH$40</f>
        <v>2.3910679713726286e-17</v>
      </c>
      <c r="CI17" s="507">
        <f>Sculpt!CI$40</f>
        <v>2.430786267119318e-17</v>
      </c>
      <c r="CJ17" s="507">
        <f>Sculpt!CJ$40</f>
        <v>2.417443364240022e-17</v>
      </c>
      <c r="CK17" s="507">
        <f>Sculpt!CK$40</f>
        <v>2.484023783563466e-17</v>
      </c>
      <c r="CL17" s="507">
        <f>Sculpt!CL$40</f>
        <v>2.552583143289425e-17</v>
      </c>
      <c r="CM17" s="507">
        <f>Sculpt!CM$40</f>
        <v>2.594984385502955e-17</v>
      </c>
      <c r="CN17" s="507">
        <f>Sculpt!CN$40</f>
        <v>2.5807401777347044e-17</v>
      </c>
      <c r="CO17" s="507">
        <f>Sculpt!CO$40</f>
        <v>2.651818063463148e-17</v>
      </c>
    </row>
    <row r="18">
      <c r="E18" s="61" t="str">
        <f t="array" ref="E18">INDEX(E14:E17,F13)&amp;" - active"</f>
        <v>Senior debt profile 4 - sculpted - active</v>
      </c>
      <c r="G18" s="61" t="inlineStr">
        <is>
          <t>%</t>
        </is>
      </c>
      <c r="J18" s="271">
        <f>INDEX(J14:J17,$F13)</f>
        <v>0.0</v>
      </c>
      <c r="K18" s="271">
        <f>INDEX(K14:K17,$F13)</f>
        <v>0.0</v>
      </c>
      <c r="L18" s="271">
        <f>INDEX(L14:L17,$F13)</f>
        <v>0.014647637007277177</v>
      </c>
      <c r="M18" s="271">
        <f>INDEX(M14:M17,$F13)</f>
        <v>0.015922741002093253</v>
      </c>
      <c r="N18" s="271">
        <f>INDEX(N14:N17,$F13)</f>
        <v>0.01672701442077574</v>
      </c>
      <c r="O18" s="271">
        <f>INDEX(O14:O17,$F13)</f>
        <v>0.015905264443014235</v>
      </c>
      <c r="P18" s="271">
        <f>INDEX(P14:P17,$F13)</f>
        <v>0.01729716585345259</v>
      </c>
      <c r="Q18" s="271">
        <f>INDEX(Q14:Q17,$F13)</f>
        <v>0.016398200659740986</v>
      </c>
      <c r="R18" s="271">
        <f>INDEX(R14:R17,$F13)</f>
        <v>0.017475987721300983</v>
      </c>
      <c r="S18" s="271">
        <f>INDEX(S14:S17,$F13)</f>
        <v>0.0043353215268834185</v>
      </c>
      <c r="T18" s="271">
        <f>INDEX(T14:T17,$F13)</f>
        <v>0.018851251013053478</v>
      </c>
      <c r="U18" s="271">
        <f>INDEX(U14:U17,$F13)</f>
        <v>0.018548707181199844</v>
      </c>
      <c r="V18" s="271">
        <f>INDEX(V14:V17,$F13)</f>
        <v>0.01979144326256778</v>
      </c>
      <c r="W18" s="271">
        <f>INDEX(W14:W17,$F13)</f>
        <v>0.012801559084315618</v>
      </c>
      <c r="X18" s="271">
        <f>INDEX(X14:X17,$F13)</f>
        <v>0.020543674114541298</v>
      </c>
      <c r="Y18" s="271">
        <f>INDEX(Y14:Y17,$F13)</f>
        <v>0.01966922300046026</v>
      </c>
      <c r="Z18" s="271">
        <f>INDEX(Z14:Z17,$F13)</f>
        <v>0.02093458550159287</v>
      </c>
      <c r="AA18" s="271">
        <f>INDEX(AA14:AA17,$F13)</f>
        <v>0.010838418132942706</v>
      </c>
      <c r="AB18" s="271">
        <f>INDEX(AB14:AB17,$F13)</f>
        <v>0.021724139036305552</v>
      </c>
      <c r="AC18" s="271">
        <f>INDEX(AC14:AC17,$F13)</f>
        <v>0.020900171938508665</v>
      </c>
      <c r="AD18" s="271">
        <f>INDEX(AD14:AD17,$F13)</f>
        <v>0.024065613269101293</v>
      </c>
      <c r="AE18" s="271">
        <f>INDEX(AE14:AE17,$F13)</f>
        <v>0.018159809613615303</v>
      </c>
      <c r="AF18" s="271">
        <f>INDEX(AF14:AF17,$F13)</f>
        <v>0.02611696846882667</v>
      </c>
      <c r="AG18" s="271">
        <f>INDEX(AG14:AG17,$F13)</f>
        <v>0.025416360593453178</v>
      </c>
      <c r="AH18" s="271">
        <f>INDEX(AH14:AH17,$F13)</f>
        <v>0.027019168320477138</v>
      </c>
      <c r="AI18" s="271">
        <f>INDEX(AI14:AI17,$F13)</f>
        <v>0.023168609480825192</v>
      </c>
      <c r="AJ18" s="271">
        <f>INDEX(AJ14:AJ17,$F13)</f>
        <v>0.02807356290057132</v>
      </c>
      <c r="AK18" s="271">
        <f>INDEX(AK14:AK17,$F13)</f>
        <v>0.027420595871966533</v>
      </c>
      <c r="AL18" s="271">
        <f>INDEX(AL14:AL17,$F13)</f>
        <v>0.02920507712560201</v>
      </c>
      <c r="AM18" s="271">
        <f>INDEX(AM14:AM17,$F13)</f>
        <v>0.02411452160513088</v>
      </c>
      <c r="AN18" s="271">
        <f>INDEX(AN14:AN17,$F13)</f>
        <v>0.03347243270734138</v>
      </c>
      <c r="AO18" s="271">
        <f>INDEX(AO14:AO17,$F13)</f>
        <v>0.032961857349672954</v>
      </c>
      <c r="AP18" s="271">
        <f>INDEX(AP14:AP17,$F13)</f>
        <v>0.034932244996242444</v>
      </c>
      <c r="AQ18" s="271">
        <f>INDEX(AQ14:AQ17,$F13)</f>
        <v>0.028090762750929414</v>
      </c>
      <c r="AR18" s="271">
        <f>INDEX(AR14:AR17,$F13)</f>
        <v>0.03633011029861668</v>
      </c>
      <c r="AS18" s="271">
        <f>INDEX(AS14:AS17,$F13)</f>
        <v>0.035883780180375593</v>
      </c>
      <c r="AT18" s="271">
        <f>INDEX(AT14:AT17,$F13)</f>
        <v>0.037993666421656434</v>
      </c>
      <c r="AU18" s="271">
        <f>INDEX(AU14:AU17,$F13)</f>
        <v>0.037345875181695826</v>
      </c>
      <c r="AV18" s="271">
        <f>INDEX(AV14:AV17,$F13)</f>
        <v>0.039495853157323464</v>
      </c>
      <c r="AW18" s="271">
        <f>INDEX(AW14:AW17,$F13)</f>
        <v>0.03912234569330172</v>
      </c>
      <c r="AX18" s="271">
        <f>INDEX(AX14:AX17,$F13)</f>
        <v>0.0437351492502346</v>
      </c>
      <c r="AY18" s="271">
        <f>INDEX(AY14:AY17,$F13)</f>
        <v>0.04456312986301418</v>
      </c>
      <c r="AZ18" s="271">
        <f>INDEX(AZ14:AZ17,$F13)</f>
        <v>1.3565379774571143e-17</v>
      </c>
      <c r="BA18" s="271">
        <f>INDEX(BA14:BA17,$F13)</f>
        <v>1.3788266500589445e-17</v>
      </c>
      <c r="BB18" s="271">
        <f>INDEX(BB14:BB17,$F13)</f>
        <v>1.4168824339554738e-17</v>
      </c>
      <c r="BC18" s="271">
        <f>INDEX(BC14:BC17,$F13)</f>
        <v>1.4404184254972896e-17</v>
      </c>
      <c r="BD18" s="271">
        <f>INDEX(BD14:BD17,$F13)</f>
        <v>1.4325117808790706e-17</v>
      </c>
      <c r="BE18" s="271">
        <f>INDEX(BE14:BE17,$F13)</f>
        <v>1.471965542844115e-17</v>
      </c>
      <c r="BF18" s="271">
        <f>INDEX(BF14:BF17,$F13)</f>
        <v>1.5125919715537848e-17</v>
      </c>
      <c r="BG18" s="271">
        <f>INDEX(BG14:BG17,$F13)</f>
        <v>1.5377178048590393e-17</v>
      </c>
      <c r="BH18" s="271">
        <f>INDEX(BH14:BH17,$F13)</f>
        <v>1.5292770712562804e-17</v>
      </c>
      <c r="BI18" s="271">
        <f>INDEX(BI14:BI17,$F13)</f>
        <v>1.5713959105937975e-17</v>
      </c>
      <c r="BJ18" s="271">
        <f>INDEX(BJ14:BJ17,$F13)</f>
        <v>1.6147666295938186e-17</v>
      </c>
      <c r="BK18" s="271">
        <f>INDEX(BK14:BK17,$F13)</f>
        <v>1.6415896974965162e-17</v>
      </c>
      <c r="BL18" s="271">
        <f>INDEX(BL14:BL17,$F13)</f>
        <v>1.6325787975265626e-17</v>
      </c>
      <c r="BM18" s="271">
        <f>INDEX(BM14:BM17,$F13)</f>
        <v>1.6775427385751068e-17</v>
      </c>
      <c r="BN18" s="271">
        <f>INDEX(BN14:BN17,$F13)</f>
        <v>1.7238431229879526e-17</v>
      </c>
      <c r="BO18" s="271">
        <f>INDEX(BO14:BO17,$F13)</f>
        <v>1.75247807264203e-17</v>
      </c>
      <c r="BP18" s="271">
        <f>INDEX(BP14:BP17,$F13)</f>
        <v>1.7622235862718373e-17</v>
      </c>
      <c r="BQ18" s="271">
        <f>INDEX(BQ14:BQ17,$F13)</f>
        <v>1.791177898807387e-17</v>
      </c>
      <c r="BR18" s="271">
        <f>INDEX(BR14:BR17,$F13)</f>
        <v>1.840614627517511e-17</v>
      </c>
      <c r="BS18" s="271">
        <f>INDEX(BS14:BS17,$F13)</f>
        <v>1.8711892816079408e-17</v>
      </c>
      <c r="BT18" s="271">
        <f>INDEX(BT14:BT17,$F13)</f>
        <v>1.8609180795730277e-17</v>
      </c>
      <c r="BU18" s="271">
        <f>INDEX(BU14:BU17,$F13)</f>
        <v>1.9121708650146015e-17</v>
      </c>
      <c r="BV18" s="271">
        <f>INDEX(BV14:BV17,$F13)</f>
        <v>1.9649470143653006e-17</v>
      </c>
      <c r="BW18" s="271">
        <f>INDEX(BW14:BW17,$F13)</f>
        <v>1.9975869675483686e-17</v>
      </c>
      <c r="BX18" s="271">
        <f>INDEX(BX14:BX17,$F13)</f>
        <v>1.986621952128674e-17</v>
      </c>
      <c r="BY18" s="271">
        <f>INDEX(BY14:BY17,$F13)</f>
        <v>2.0413368317268846e-17</v>
      </c>
      <c r="BZ18" s="271">
        <f>INDEX(BZ14:BZ17,$F13)</f>
        <v>2.097677977530023e-17</v>
      </c>
      <c r="CA18" s="271">
        <f>INDEX(CA14:CA17,$F13)</f>
        <v>2.1325227394901047e-17</v>
      </c>
      <c r="CB18" s="271">
        <f>INDEX(CB14:CB17,$F13)</f>
        <v>2.120817044017904e-17</v>
      </c>
      <c r="CC18" s="271">
        <f>INDEX(CC14:CC17,$F13)</f>
        <v>2.1792278801052303e-17</v>
      </c>
      <c r="CD18" s="271">
        <f>INDEX(CD14:CD17,$F13)</f>
        <v>2.2393748356801248e-17</v>
      </c>
      <c r="CE18" s="271">
        <f>INDEX(CE14:CE17,$F13)</f>
        <v>2.2765733398950333e-17</v>
      </c>
      <c r="CF18" s="271">
        <f>INDEX(CF14:CF17,$F13)</f>
        <v>2.2892333422423117e-17</v>
      </c>
      <c r="CG18" s="271">
        <f>INDEX(CG14:CG17,$F13)</f>
        <v>2.3268467178516543e-17</v>
      </c>
      <c r="CH18" s="271">
        <f>INDEX(CH14:CH17,$F13)</f>
        <v>2.3910679713726286e-17</v>
      </c>
      <c r="CI18" s="271">
        <f>INDEX(CI14:CI17,$F13)</f>
        <v>2.430786267119318e-17</v>
      </c>
      <c r="CJ18" s="271">
        <f>INDEX(CJ14:CJ17,$F13)</f>
        <v>2.417443364240022e-17</v>
      </c>
      <c r="CK18" s="271">
        <f>INDEX(CK14:CK17,$F13)</f>
        <v>2.484023783563466e-17</v>
      </c>
      <c r="CL18" s="271">
        <f>INDEX(CL14:CL17,$F13)</f>
        <v>2.552583143289425e-17</v>
      </c>
      <c r="CM18" s="271">
        <f>INDEX(CM14:CM17,$F13)</f>
        <v>2.594984385502955e-17</v>
      </c>
      <c r="CN18" s="271">
        <f>INDEX(CN14:CN17,$F13)</f>
        <v>2.5807401777347044e-17</v>
      </c>
      <c r="CO18" s="271">
        <f>INDEX(CO14:CO17,$F13)</f>
        <v>2.651818063463148e-17</v>
      </c>
    </row>
    <row r="19">
      <c r="J19" s="271" t="n"/>
      <c r="K19" s="271" t="n"/>
      <c r="L19" s="271" t="n"/>
      <c r="M19" s="271" t="n"/>
      <c r="N19" s="271" t="n"/>
      <c r="O19" s="271" t="n"/>
      <c r="P19" s="271" t="n"/>
      <c r="Q19" s="271" t="n"/>
      <c r="R19" s="271" t="n"/>
      <c r="S19" s="271" t="n"/>
      <c r="T19" s="271" t="n"/>
      <c r="U19" s="271" t="n"/>
      <c r="V19" s="271" t="n"/>
      <c r="W19" s="271" t="n"/>
      <c r="X19" s="271" t="n"/>
      <c r="Y19" s="271" t="n"/>
      <c r="Z19" s="271" t="n"/>
      <c r="AA19" s="271" t="n"/>
      <c r="AB19" s="271" t="n"/>
      <c r="AC19" s="271" t="n"/>
      <c r="AD19" s="271" t="n"/>
      <c r="AE19" s="271" t="n"/>
      <c r="AF19" s="271" t="n"/>
      <c r="AG19" s="271" t="n"/>
      <c r="AH19" s="271" t="n"/>
      <c r="AI19" s="271" t="n"/>
      <c r="AJ19" s="271" t="n"/>
      <c r="AK19" s="271" t="n"/>
      <c r="AL19" s="271" t="n"/>
      <c r="AM19" s="271" t="n"/>
      <c r="AN19" s="271" t="n"/>
      <c r="AO19" s="271" t="n"/>
      <c r="AP19" s="271" t="n"/>
      <c r="AQ19" s="271" t="n"/>
      <c r="AR19" s="271" t="n"/>
      <c r="AS19" s="271" t="n"/>
      <c r="AT19" s="271" t="n"/>
      <c r="AU19" s="271" t="n"/>
      <c r="AV19" s="271" t="n"/>
      <c r="AW19" s="271" t="n"/>
      <c r="AX19" s="271" t="n"/>
      <c r="AY19" s="271" t="n"/>
      <c r="AZ19" s="271" t="n"/>
      <c r="BA19" s="271" t="n"/>
      <c r="BB19" s="271" t="n"/>
      <c r="BC19" s="271" t="n"/>
      <c r="BD19" s="271" t="n"/>
      <c r="BE19" s="271" t="n"/>
      <c r="BF19" s="271" t="n"/>
      <c r="BG19" s="271" t="n"/>
      <c r="BH19" s="271" t="n"/>
      <c r="BI19" s="271" t="n"/>
      <c r="BJ19" s="271" t="n"/>
      <c r="BK19" s="271" t="n"/>
      <c r="BL19" s="271" t="n"/>
      <c r="BM19" s="271" t="n"/>
      <c r="BN19" s="271" t="n"/>
      <c r="BO19" s="271" t="n"/>
      <c r="BP19" s="271" t="n"/>
      <c r="BQ19" s="271" t="n"/>
      <c r="BR19" s="271" t="n"/>
      <c r="BS19" s="271" t="n"/>
      <c r="BT19" s="271" t="n"/>
      <c r="BU19" s="271" t="n"/>
      <c r="BV19" s="271" t="n"/>
      <c r="BW19" s="271" t="n"/>
      <c r="BX19" s="271" t="n"/>
      <c r="BY19" s="271" t="n"/>
      <c r="BZ19" s="271" t="n"/>
      <c r="CA19" s="271" t="n"/>
      <c r="CB19" s="271" t="n"/>
      <c r="CC19" s="271" t="n"/>
      <c r="CD19" s="271" t="n"/>
      <c r="CE19" s="271" t="n"/>
      <c r="CF19" s="271" t="n"/>
      <c r="CG19" s="271" t="n"/>
      <c r="CH19" s="271" t="n"/>
      <c r="CI19" s="271" t="n"/>
      <c r="CJ19" s="271" t="n"/>
      <c r="CK19" s="271" t="n"/>
      <c r="CL19" s="271" t="n"/>
      <c r="CM19" s="271" t="n"/>
      <c r="CN19" s="271" t="n"/>
      <c r="CO19" s="271" t="n"/>
    </row>
    <row r="20">
      <c r="E20" s="61" t="str">
        <f> E$11</f>
        <v>Senior debt - Initial balance</v>
      </c>
      <c r="F20" s="61">
        <f> F$11</f>
        <v>72154.22476191197</v>
      </c>
      <c r="G20" s="61" t="str">
        <f> G$11</f>
        <v>$ 000s</v>
      </c>
      <c r="J20" s="271" t="n"/>
      <c r="K20" s="271" t="n"/>
      <c r="L20" s="271" t="n"/>
      <c r="M20" s="271" t="n"/>
      <c r="N20" s="271" t="n"/>
      <c r="O20" s="271" t="n"/>
      <c r="P20" s="271" t="n"/>
      <c r="Q20" s="271" t="n"/>
      <c r="R20" s="271" t="n"/>
      <c r="S20" s="271" t="n"/>
      <c r="T20" s="271" t="n"/>
      <c r="U20" s="271" t="n"/>
      <c r="V20" s="271" t="n"/>
      <c r="W20" s="271" t="n"/>
      <c r="X20" s="271" t="n"/>
      <c r="Y20" s="271" t="n"/>
      <c r="Z20" s="271" t="n"/>
      <c r="AA20" s="271" t="n"/>
      <c r="AB20" s="271" t="n"/>
      <c r="AC20" s="271" t="n"/>
      <c r="AD20" s="271" t="n"/>
      <c r="AE20" s="271" t="n"/>
      <c r="AF20" s="271" t="n"/>
      <c r="AG20" s="271" t="n"/>
      <c r="AH20" s="271" t="n"/>
      <c r="AI20" s="271" t="n"/>
      <c r="AJ20" s="271" t="n"/>
      <c r="AK20" s="271" t="n"/>
      <c r="AL20" s="271" t="n"/>
      <c r="AM20" s="271" t="n"/>
      <c r="AN20" s="271" t="n"/>
      <c r="AO20" s="271" t="n"/>
      <c r="AP20" s="271" t="n"/>
      <c r="AQ20" s="271" t="n"/>
      <c r="AR20" s="271" t="n"/>
      <c r="AS20" s="271" t="n"/>
      <c r="AT20" s="271" t="n"/>
      <c r="AU20" s="271" t="n"/>
      <c r="AV20" s="271" t="n"/>
      <c r="AW20" s="271" t="n"/>
      <c r="AX20" s="271" t="n"/>
      <c r="AY20" s="271" t="n"/>
      <c r="AZ20" s="271" t="n"/>
      <c r="BA20" s="271" t="n"/>
      <c r="BB20" s="271" t="n"/>
      <c r="BC20" s="271" t="n"/>
      <c r="BD20" s="271" t="n"/>
      <c r="BE20" s="271" t="n"/>
      <c r="BF20" s="271" t="n"/>
      <c r="BG20" s="271" t="n"/>
      <c r="BH20" s="271" t="n"/>
      <c r="BI20" s="271" t="n"/>
      <c r="BJ20" s="271" t="n"/>
      <c r="BK20" s="271" t="n"/>
      <c r="BL20" s="271" t="n"/>
      <c r="BM20" s="271" t="n"/>
      <c r="BN20" s="271" t="n"/>
      <c r="BO20" s="271" t="n"/>
      <c r="BP20" s="271" t="n"/>
      <c r="BQ20" s="271" t="n"/>
      <c r="BR20" s="271" t="n"/>
      <c r="BS20" s="271" t="n"/>
      <c r="BT20" s="271" t="n"/>
      <c r="BU20" s="271" t="n"/>
      <c r="BV20" s="271" t="n"/>
      <c r="BW20" s="271" t="n"/>
      <c r="BX20" s="271" t="n"/>
      <c r="BY20" s="271" t="n"/>
      <c r="BZ20" s="271" t="n"/>
      <c r="CA20" s="271" t="n"/>
      <c r="CB20" s="271" t="n"/>
      <c r="CC20" s="271" t="n"/>
      <c r="CD20" s="271" t="n"/>
      <c r="CE20" s="271" t="n"/>
      <c r="CF20" s="271" t="n"/>
      <c r="CG20" s="271" t="n"/>
      <c r="CH20" s="271" t="n"/>
      <c r="CI20" s="271" t="n"/>
      <c r="CJ20" s="271" t="n"/>
      <c r="CK20" s="271" t="n"/>
      <c r="CL20" s="271" t="n"/>
      <c r="CM20" s="271" t="n"/>
      <c r="CN20" s="271" t="n"/>
      <c r="CO20" s="271" t="n"/>
    </row>
    <row r="21" customFormat="1" s="386">
      <c r="E21" s="271" t="str">
        <f> E$18</f>
        <v>Senior debt profile 4 - sculpted - active</v>
      </c>
      <c r="F21" s="271">
        <f> F$18</f>
        <v>0.0</v>
      </c>
      <c r="G21" s="271" t="str">
        <f> G$18</f>
        <v>%</v>
      </c>
      <c r="H21" s="271">
        <f> H$18</f>
        <v>0.0</v>
      </c>
      <c r="I21" s="271">
        <f> I$18</f>
        <v>0.0</v>
      </c>
      <c r="J21" s="271">
        <f> J$18</f>
        <v>0.0</v>
      </c>
      <c r="K21" s="271">
        <f> K$18</f>
        <v>0.0</v>
      </c>
      <c r="L21" s="271">
        <f> L$18</f>
        <v>0.014647637007277177</v>
      </c>
      <c r="M21" s="271">
        <f> M$18</f>
        <v>0.015922741002093253</v>
      </c>
      <c r="N21" s="271">
        <f> N$18</f>
        <v>0.01672701442077574</v>
      </c>
      <c r="O21" s="271">
        <f> O$18</f>
        <v>0.015905264443014235</v>
      </c>
      <c r="P21" s="271">
        <f> P$18</f>
        <v>0.01729716585345259</v>
      </c>
      <c r="Q21" s="271">
        <f> Q$18</f>
        <v>0.016398200659740986</v>
      </c>
      <c r="R21" s="271">
        <f> R$18</f>
        <v>0.017475987721300983</v>
      </c>
      <c r="S21" s="271">
        <f> S$18</f>
        <v>0.0043353215268834185</v>
      </c>
      <c r="T21" s="271">
        <f> T$18</f>
        <v>0.018851251013053478</v>
      </c>
      <c r="U21" s="271">
        <f> U$18</f>
        <v>0.018548707181199844</v>
      </c>
      <c r="V21" s="271">
        <f> V$18</f>
        <v>0.01979144326256778</v>
      </c>
      <c r="W21" s="271">
        <f> W$18</f>
        <v>0.012801559084315618</v>
      </c>
      <c r="X21" s="271">
        <f> X$18</f>
        <v>0.020543674114541298</v>
      </c>
      <c r="Y21" s="271">
        <f> Y$18</f>
        <v>0.01966922300046026</v>
      </c>
      <c r="Z21" s="271">
        <f> Z$18</f>
        <v>0.02093458550159287</v>
      </c>
      <c r="AA21" s="271">
        <f> AA$18</f>
        <v>0.010838418132942706</v>
      </c>
      <c r="AB21" s="271">
        <f> AB$18</f>
        <v>0.021724139036305552</v>
      </c>
      <c r="AC21" s="271">
        <f> AC$18</f>
        <v>0.020900171938508665</v>
      </c>
      <c r="AD21" s="271">
        <f> AD$18</f>
        <v>0.024065613269101293</v>
      </c>
      <c r="AE21" s="271">
        <f> AE$18</f>
        <v>0.018159809613615303</v>
      </c>
      <c r="AF21" s="271">
        <f> AF$18</f>
        <v>0.02611696846882667</v>
      </c>
      <c r="AG21" s="271">
        <f> AG$18</f>
        <v>0.025416360593453178</v>
      </c>
      <c r="AH21" s="271">
        <f> AH$18</f>
        <v>0.027019168320477138</v>
      </c>
      <c r="AI21" s="271">
        <f> AI$18</f>
        <v>0.023168609480825192</v>
      </c>
      <c r="AJ21" s="271">
        <f> AJ$18</f>
        <v>0.02807356290057132</v>
      </c>
      <c r="AK21" s="271">
        <f> AK$18</f>
        <v>0.027420595871966533</v>
      </c>
      <c r="AL21" s="271">
        <f> AL$18</f>
        <v>0.02920507712560201</v>
      </c>
      <c r="AM21" s="271">
        <f> AM$18</f>
        <v>0.02411452160513088</v>
      </c>
      <c r="AN21" s="271">
        <f> AN$18</f>
        <v>0.03347243270734138</v>
      </c>
      <c r="AO21" s="271">
        <f> AO$18</f>
        <v>0.032961857349672954</v>
      </c>
      <c r="AP21" s="271">
        <f> AP$18</f>
        <v>0.034932244996242444</v>
      </c>
      <c r="AQ21" s="271">
        <f> AQ$18</f>
        <v>0.028090762750929414</v>
      </c>
      <c r="AR21" s="271">
        <f> AR$18</f>
        <v>0.03633011029861668</v>
      </c>
      <c r="AS21" s="271">
        <f> AS$18</f>
        <v>0.035883780180375593</v>
      </c>
      <c r="AT21" s="271">
        <f> AT$18</f>
        <v>0.037993666421656434</v>
      </c>
      <c r="AU21" s="271">
        <f> AU$18</f>
        <v>0.037345875181695826</v>
      </c>
      <c r="AV21" s="271">
        <f> AV$18</f>
        <v>0.039495853157323464</v>
      </c>
      <c r="AW21" s="271">
        <f> AW$18</f>
        <v>0.03912234569330172</v>
      </c>
      <c r="AX21" s="271">
        <f> AX$18</f>
        <v>0.0437351492502346</v>
      </c>
      <c r="AY21" s="271">
        <f> AY$18</f>
        <v>0.04456312986301418</v>
      </c>
      <c r="AZ21" s="271">
        <f> AZ$18</f>
        <v>1.3565379774571143e-17</v>
      </c>
      <c r="BA21" s="271">
        <f> BA$18</f>
        <v>1.3788266500589445e-17</v>
      </c>
      <c r="BB21" s="271">
        <f> BB$18</f>
        <v>1.4168824339554738e-17</v>
      </c>
      <c r="BC21" s="271">
        <f> BC$18</f>
        <v>1.4404184254972896e-17</v>
      </c>
      <c r="BD21" s="271">
        <f> BD$18</f>
        <v>1.4325117808790706e-17</v>
      </c>
      <c r="BE21" s="271">
        <f> BE$18</f>
        <v>1.471965542844115e-17</v>
      </c>
      <c r="BF21" s="271">
        <f> BF$18</f>
        <v>1.5125919715537848e-17</v>
      </c>
      <c r="BG21" s="271">
        <f> BG$18</f>
        <v>1.5377178048590393e-17</v>
      </c>
      <c r="BH21" s="271">
        <f> BH$18</f>
        <v>1.5292770712562804e-17</v>
      </c>
      <c r="BI21" s="271">
        <f> BI$18</f>
        <v>1.5713959105937975e-17</v>
      </c>
      <c r="BJ21" s="271">
        <f> BJ$18</f>
        <v>1.6147666295938186e-17</v>
      </c>
      <c r="BK21" s="271">
        <f> BK$18</f>
        <v>1.6415896974965162e-17</v>
      </c>
      <c r="BL21" s="271">
        <f> BL$18</f>
        <v>1.6325787975265626e-17</v>
      </c>
      <c r="BM21" s="271">
        <f> BM$18</f>
        <v>1.6775427385751068e-17</v>
      </c>
      <c r="BN21" s="271">
        <f> BN$18</f>
        <v>1.7238431229879526e-17</v>
      </c>
      <c r="BO21" s="271">
        <f> BO$18</f>
        <v>1.75247807264203e-17</v>
      </c>
      <c r="BP21" s="271">
        <f> BP$18</f>
        <v>1.7622235862718373e-17</v>
      </c>
      <c r="BQ21" s="271">
        <f> BQ$18</f>
        <v>1.791177898807387e-17</v>
      </c>
      <c r="BR21" s="271">
        <f> BR$18</f>
        <v>1.840614627517511e-17</v>
      </c>
      <c r="BS21" s="271">
        <f> BS$18</f>
        <v>1.8711892816079408e-17</v>
      </c>
      <c r="BT21" s="271">
        <f> BT$18</f>
        <v>1.8609180795730277e-17</v>
      </c>
      <c r="BU21" s="271">
        <f> BU$18</f>
        <v>1.9121708650146015e-17</v>
      </c>
      <c r="BV21" s="271">
        <f> BV$18</f>
        <v>1.9649470143653006e-17</v>
      </c>
      <c r="BW21" s="271">
        <f> BW$18</f>
        <v>1.9975869675483686e-17</v>
      </c>
      <c r="BX21" s="271">
        <f> BX$18</f>
        <v>1.986621952128674e-17</v>
      </c>
      <c r="BY21" s="271">
        <f> BY$18</f>
        <v>2.0413368317268846e-17</v>
      </c>
      <c r="BZ21" s="271">
        <f> BZ$18</f>
        <v>2.097677977530023e-17</v>
      </c>
      <c r="CA21" s="271">
        <f> CA$18</f>
        <v>2.1325227394901047e-17</v>
      </c>
      <c r="CB21" s="271">
        <f> CB$18</f>
        <v>2.120817044017904e-17</v>
      </c>
      <c r="CC21" s="271">
        <f> CC$18</f>
        <v>2.1792278801052303e-17</v>
      </c>
      <c r="CD21" s="271">
        <f> CD$18</f>
        <v>2.2393748356801248e-17</v>
      </c>
      <c r="CE21" s="271">
        <f> CE$18</f>
        <v>2.2765733398950333e-17</v>
      </c>
      <c r="CF21" s="271">
        <f> CF$18</f>
        <v>2.2892333422423117e-17</v>
      </c>
      <c r="CG21" s="271">
        <f> CG$18</f>
        <v>2.3268467178516543e-17</v>
      </c>
      <c r="CH21" s="271">
        <f> CH$18</f>
        <v>2.3910679713726286e-17</v>
      </c>
      <c r="CI21" s="271">
        <f> CI$18</f>
        <v>2.430786267119318e-17</v>
      </c>
      <c r="CJ21" s="271">
        <f> CJ$18</f>
        <v>2.417443364240022e-17</v>
      </c>
      <c r="CK21" s="271">
        <f> CK$18</f>
        <v>2.484023783563466e-17</v>
      </c>
      <c r="CL21" s="271">
        <f> CL$18</f>
        <v>2.552583143289425e-17</v>
      </c>
      <c r="CM21" s="271">
        <f> CM$18</f>
        <v>2.594984385502955e-17</v>
      </c>
      <c r="CN21" s="271">
        <f> CN$18</f>
        <v>2.5807401777347044e-17</v>
      </c>
      <c r="CO21" s="271">
        <f> CO$18</f>
        <v>2.651818063463148e-17</v>
      </c>
    </row>
    <row r="22" customFormat="1" s="150">
      <c r="A22" s="383" t="n"/>
      <c r="B22" s="383" t="n"/>
      <c r="C22" s="384" t="n"/>
      <c r="D22" s="386" t="n"/>
      <c r="E22" s="386" t="inlineStr">
        <is>
          <t>Senior debt principal repayment POS</t>
        </is>
      </c>
      <c r="G22" s="386" t="str">
        <f>SMU</f>
        <v>$ 000s</v>
      </c>
      <c r="H22" s="386">
        <f> SUM(J22:CO22)</f>
        <v>72154.22476191209</v>
      </c>
      <c r="J22" s="386">
        <f> $F20 * J21</f>
        <v>0.0</v>
      </c>
      <c r="K22" s="386">
        <f> $F20 * K21</f>
        <v>0.0</v>
      </c>
      <c r="L22" s="386">
        <f> $F20 * L21</f>
        <v>1056.888892853977</v>
      </c>
      <c r="M22" s="386">
        <f> $F20 * M21</f>
        <v>1148.893033090748</v>
      </c>
      <c r="N22" s="386">
        <f> $F20 * N21</f>
        <v>1206.9247581123955</v>
      </c>
      <c r="O22" s="386">
        <f> $F20 * O21</f>
        <v>1147.6320255188957</v>
      </c>
      <c r="P22" s="386">
        <f> $F20 * P21</f>
        <v>1248.063592734087</v>
      </c>
      <c r="Q22" s="386">
        <f> $F20 * Q21</f>
        <v>1183.1994560938842</v>
      </c>
      <c r="R22" s="386">
        <f> $F20 * R21</f>
        <v>1260.966345979165</v>
      </c>
      <c r="S22" s="386">
        <f> $F20 * S21</f>
        <v>312.8117638659016</v>
      </c>
      <c r="T22" s="386">
        <f> $F20 * T21</f>
        <v>1360.1974026390815</v>
      </c>
      <c r="U22" s="386">
        <f> $F20 * U21</f>
        <v>1338.3675869951842</v>
      </c>
      <c r="V22" s="386">
        <f> $F20 * V21</f>
        <v>1428.036245529944</v>
      </c>
      <c r="W22" s="386">
        <f> $F20 * W21</f>
        <v>923.6865714726051</v>
      </c>
      <c r="X22" s="386">
        <f> $F20 * X21</f>
        <v>1482.3128794960858</v>
      </c>
      <c r="Y22" s="386">
        <f> $F20 * Y21</f>
        <v>1419.2175372673782</v>
      </c>
      <c r="Z22" s="386">
        <f> $F20 * Z21</f>
        <v>1510.5187875793956</v>
      </c>
      <c r="AA22" s="386">
        <f> $F20 * AA21</f>
        <v>782.0376580279303</v>
      </c>
      <c r="AB22" s="386">
        <f> $F20 * AB21</f>
        <v>1567.4884107846167</v>
      </c>
      <c r="AC22" s="386">
        <f> $F20 * AC21</f>
        <v>1508.0357036137598</v>
      </c>
      <c r="AD22" s="386">
        <f> $F20 * AD21</f>
        <v>1736.4356688519858</v>
      </c>
      <c r="AE22" s="386">
        <f> $F20 * AE21</f>
        <v>1310.3069844943284</v>
      </c>
      <c r="AF22" s="386">
        <f> $F20 * AF21</f>
        <v>1884.4496129994875</v>
      </c>
      <c r="AG22" s="386">
        <f> $F20 * AG21</f>
        <v>1833.897794889823</v>
      </c>
      <c r="AH22" s="386">
        <f> $F20 * AH21</f>
        <v>1949.547143875639</v>
      </c>
      <c r="AI22" s="386">
        <f> $F20 * AI21</f>
        <v>1671.7130559004256</v>
      </c>
      <c r="AJ22" s="386">
        <f> $F20 * AJ21</f>
        <v>2025.6261673954964</v>
      </c>
      <c r="AK22" s="386">
        <f> $F20 * AK21</f>
        <v>1978.5118376514288</v>
      </c>
      <c r="AL22" s="386">
        <f> $F20 * AL21</f>
        <v>2107.2696991096614</v>
      </c>
      <c r="AM22" s="386">
        <f> $F20 * AM21</f>
        <v>1739.9646119225959</v>
      </c>
      <c r="AN22" s="386">
        <f> $F20 * AN21</f>
        <v>2415.177432893484</v>
      </c>
      <c r="AO22" s="386">
        <f> $F20 * AO21</f>
        <v>2378.3372637783823</v>
      </c>
      <c r="AP22" s="386">
        <f> $F20 * AP21</f>
        <v>2520.5090568970522</v>
      </c>
      <c r="AQ22" s="386">
        <f> $F20 * AQ21</f>
        <v>2026.8672092641057</v>
      </c>
      <c r="AR22" s="386">
        <f> $F20 * AR21</f>
        <v>2621.3709441114406</v>
      </c>
      <c r="AS22" s="386">
        <f> $F20 * AS21</f>
        <v>2589.1663404418628</v>
      </c>
      <c r="AT22" s="386">
        <f> $F20 * AT21</f>
        <v>2741.403546517306</v>
      </c>
      <c r="AU22" s="386">
        <f> $F20 * AU21</f>
        <v>2694.662671790391</v>
      </c>
      <c r="AV22" s="386">
        <f> $F20 * AV21</f>
        <v>2849.792665876988</v>
      </c>
      <c r="AW22" s="386">
        <f> $F20 * AW21</f>
        <v>2822.842524367711</v>
      </c>
      <c r="AX22" s="386">
        <f> $F20 * AX21</f>
        <v>3155.675788997193</v>
      </c>
      <c r="AY22" s="386">
        <f> $F20 * AY21</f>
        <v>3215.4180882301966</v>
      </c>
      <c r="AZ22" s="386">
        <f> $F20 * AZ21</f>
        <v>9.78799461235101e-13</v>
      </c>
      <c r="BA22" s="386">
        <f> $F20 * BA21</f>
        <v>9.948816801606723e-13</v>
      </c>
      <c r="BB22" s="386">
        <f> $F20 * BB21</f>
        <v>1.0223405360082815e-12</v>
      </c>
      <c r="BC22" s="386">
        <f> $F20 * BC21</f>
        <v>1.0393227482453078e-12</v>
      </c>
      <c r="BD22" s="386">
        <f> $F20 * BD21</f>
        <v>1.0336177701163526e-12</v>
      </c>
      <c r="BE22" s="386">
        <f> $F20 * BE21</f>
        <v>1.0620853262016405e-12</v>
      </c>
      <c r="BF22" s="386">
        <f> $F20 * BF21</f>
        <v>1.0913990108855535e-12</v>
      </c>
      <c r="BG22" s="386">
        <f> $F20 * BG21</f>
        <v>1.1095283611219301e-12</v>
      </c>
      <c r="BH22" s="386">
        <f> $F20 * BH21</f>
        <v>1.1034380152266412e-12</v>
      </c>
      <c r="BI22" s="386">
        <f> $F20 * BI21</f>
        <v>1.1338285372293419e-12</v>
      </c>
      <c r="BJ22" s="386">
        <f> $F20 * BJ21</f>
        <v>1.1651223432974744e-12</v>
      </c>
      <c r="BK22" s="386">
        <f> $F20 * BK21</f>
        <v>1.1844763200000271e-12</v>
      </c>
      <c r="BL22" s="386">
        <f> $F20 * BL21</f>
        <v>1.1779745749826358e-12</v>
      </c>
      <c r="BM22" s="386">
        <f> $F20 * BM21</f>
        <v>1.210417958068616e-12</v>
      </c>
      <c r="BN22" s="386">
        <f> $F20 * BN21</f>
        <v>1.24382564150349e-12</v>
      </c>
      <c r="BO22" s="386">
        <f> $F20 * BO21</f>
        <v>1.2644869674373535e-12</v>
      </c>
      <c r="BP22" s="386">
        <f> $F20 * BP21</f>
        <v>1.2715187672460072e-12</v>
      </c>
      <c r="BQ22" s="386">
        <f> $F20 * BQ21</f>
        <v>1.2924105269911742e-12</v>
      </c>
      <c r="BR22" s="386">
        <f> $F20 * BR21</f>
        <v>1.3280812153396137e-12</v>
      </c>
      <c r="BS22" s="386">
        <f> $F20 * BS21</f>
        <v>1.3501421199721997e-12</v>
      </c>
      <c r="BT22" s="386">
        <f> $F20 * BT21</f>
        <v>1.3427310137701783e-12</v>
      </c>
      <c r="BU22" s="386">
        <f> $F20 * BU21</f>
        <v>1.379712063774432e-12</v>
      </c>
      <c r="BV22" s="386">
        <f> $F20 * BV21</f>
        <v>1.4177922851976178e-12</v>
      </c>
      <c r="BW22" s="386">
        <f> $F20 * BW21</f>
        <v>1.4413433903795116e-12</v>
      </c>
      <c r="BX22" s="386">
        <f> $F20 * BX21</f>
        <v>1.4334316685084066e-12</v>
      </c>
      <c r="BY22" s="386">
        <f> $F20 * BY21</f>
        <v>1.472910765711909e-12</v>
      </c>
      <c r="BZ22" s="386">
        <f> $F20 * BZ21</f>
        <v>1.513563282688142e-12</v>
      </c>
      <c r="CA22" s="386">
        <f> $F20 * CA21</f>
        <v>1.5387052505505726e-12</v>
      </c>
      <c r="CB22" s="386">
        <f> $F20 * CB21</f>
        <v>1.530259096729616e-12</v>
      </c>
      <c r="CC22" s="386">
        <f> $F20 * CC21</f>
        <v>1.5724049826853774e-12</v>
      </c>
      <c r="CD22" s="386">
        <f> $F20 * CD21</f>
        <v>1.6158035521983341e-12</v>
      </c>
      <c r="CE22" s="386">
        <f> $F20 * CE21</f>
        <v>1.6426438445376286e-12</v>
      </c>
      <c r="CF22" s="386">
        <f> $F20 * CF21</f>
        <v>1.6517785710861471e-12</v>
      </c>
      <c r="CG22" s="386">
        <f> $F20 * CG21</f>
        <v>1.6789182106638544e-12</v>
      </c>
      <c r="CH22" s="386">
        <f> $F20 * CH21</f>
        <v>1.7252565582742954e-12</v>
      </c>
      <c r="CI22" s="386">
        <f> $F20 * CI21</f>
        <v>1.7539149866589627e-12</v>
      </c>
      <c r="CJ22" s="386">
        <f> $F20 * CJ21</f>
        <v>1.744287518525672e-12</v>
      </c>
      <c r="CK22" s="386">
        <f> $F20 * CK21</f>
        <v>1.792328103931733e-12</v>
      </c>
      <c r="CL22" s="386">
        <f> $F20 * CL21</f>
        <v>1.841796578443729e-12</v>
      </c>
      <c r="CM22" s="386">
        <f> $F20 * CM21</f>
        <v>1.8723908660523222e-12</v>
      </c>
      <c r="CN22" s="386">
        <f> $F20 * CN21</f>
        <v>1.862113068363665e-12</v>
      </c>
      <c r="CO22" s="386">
        <f> $F20 * CO21</f>
        <v>1.913398765788181e-12</v>
      </c>
    </row>
    <row r="23" s="396">
      <c r="A23" s="348" t="n"/>
      <c r="B23" s="348" t="n"/>
      <c r="C23" s="349" t="n"/>
      <c r="D23" s="193" t="n"/>
      <c r="E23" s="150" t="str">
        <f> LEFT(E22, LEN(E22) - 4)</f>
        <v>Senior debt principal repayment</v>
      </c>
      <c r="F23" s="150" t="inlineStr">
        <is>
          <t>CF</t>
        </is>
      </c>
      <c r="G23" s="150" t="str">
        <f> G22</f>
        <v>$ 000s</v>
      </c>
      <c r="H23" s="150">
        <f> SUM(J23:CO23)</f>
        <v>-72154.22476191209</v>
      </c>
      <c r="I23" s="150" t="n"/>
      <c r="J23" s="150">
        <f> -1 * J22</f>
        <v>-0.0</v>
      </c>
      <c r="K23" s="150">
        <f> -1 * K22</f>
        <v>-0.0</v>
      </c>
      <c r="L23" s="150">
        <f> -1 * L22</f>
        <v>-1056.888892853977</v>
      </c>
      <c r="M23" s="150">
        <f> -1 * M22</f>
        <v>-1148.893033090748</v>
      </c>
      <c r="N23" s="150">
        <f> -1 * N22</f>
        <v>-1206.9247581123955</v>
      </c>
      <c r="O23" s="150">
        <f> -1 * O22</f>
        <v>-1147.6320255188957</v>
      </c>
      <c r="P23" s="150">
        <f> -1 * P22</f>
        <v>-1248.063592734087</v>
      </c>
      <c r="Q23" s="150">
        <f> -1 * Q22</f>
        <v>-1183.1994560938842</v>
      </c>
      <c r="R23" s="150">
        <f> -1 * R22</f>
        <v>-1260.966345979165</v>
      </c>
      <c r="S23" s="150">
        <f> -1 * S22</f>
        <v>-312.8117638659016</v>
      </c>
      <c r="T23" s="150">
        <f> -1 * T22</f>
        <v>-1360.1974026390815</v>
      </c>
      <c r="U23" s="150">
        <f> -1 * U22</f>
        <v>-1338.3675869951842</v>
      </c>
      <c r="V23" s="150">
        <f> -1 * V22</f>
        <v>-1428.036245529944</v>
      </c>
      <c r="W23" s="150">
        <f> -1 * W22</f>
        <v>-923.6865714726051</v>
      </c>
      <c r="X23" s="150">
        <f> -1 * X22</f>
        <v>-1482.3128794960858</v>
      </c>
      <c r="Y23" s="150">
        <f> -1 * Y22</f>
        <v>-1419.2175372673782</v>
      </c>
      <c r="Z23" s="150">
        <f> -1 * Z22</f>
        <v>-1510.5187875793956</v>
      </c>
      <c r="AA23" s="150">
        <f> -1 * AA22</f>
        <v>-782.0376580279303</v>
      </c>
      <c r="AB23" s="150">
        <f> -1 * AB22</f>
        <v>-1567.4884107846167</v>
      </c>
      <c r="AC23" s="150">
        <f> -1 * AC22</f>
        <v>-1508.0357036137598</v>
      </c>
      <c r="AD23" s="150">
        <f> -1 * AD22</f>
        <v>-1736.4356688519858</v>
      </c>
      <c r="AE23" s="150">
        <f> -1 * AE22</f>
        <v>-1310.3069844943284</v>
      </c>
      <c r="AF23" s="150">
        <f> -1 * AF22</f>
        <v>-1884.4496129994875</v>
      </c>
      <c r="AG23" s="150">
        <f> -1 * AG22</f>
        <v>-1833.897794889823</v>
      </c>
      <c r="AH23" s="150">
        <f> -1 * AH22</f>
        <v>-1949.547143875639</v>
      </c>
      <c r="AI23" s="150">
        <f> -1 * AI22</f>
        <v>-1671.7130559004256</v>
      </c>
      <c r="AJ23" s="150">
        <f> -1 * AJ22</f>
        <v>-2025.6261673954964</v>
      </c>
      <c r="AK23" s="150">
        <f> -1 * AK22</f>
        <v>-1978.5118376514288</v>
      </c>
      <c r="AL23" s="150">
        <f> -1 * AL22</f>
        <v>-2107.2696991096614</v>
      </c>
      <c r="AM23" s="150">
        <f> -1 * AM22</f>
        <v>-1739.9646119225959</v>
      </c>
      <c r="AN23" s="150">
        <f> -1 * AN22</f>
        <v>-2415.177432893484</v>
      </c>
      <c r="AO23" s="150">
        <f> -1 * AO22</f>
        <v>-2378.3372637783823</v>
      </c>
      <c r="AP23" s="150">
        <f> -1 * AP22</f>
        <v>-2520.5090568970522</v>
      </c>
      <c r="AQ23" s="150">
        <f> -1 * AQ22</f>
        <v>-2026.8672092641057</v>
      </c>
      <c r="AR23" s="150">
        <f> -1 * AR22</f>
        <v>-2621.3709441114406</v>
      </c>
      <c r="AS23" s="150">
        <f> -1 * AS22</f>
        <v>-2589.1663404418628</v>
      </c>
      <c r="AT23" s="150">
        <f> -1 * AT22</f>
        <v>-2741.403546517306</v>
      </c>
      <c r="AU23" s="150">
        <f> -1 * AU22</f>
        <v>-2694.662671790391</v>
      </c>
      <c r="AV23" s="150">
        <f> -1 * AV22</f>
        <v>-2849.792665876988</v>
      </c>
      <c r="AW23" s="150">
        <f> -1 * AW22</f>
        <v>-2822.842524367711</v>
      </c>
      <c r="AX23" s="150">
        <f> -1 * AX22</f>
        <v>-3155.675788997193</v>
      </c>
      <c r="AY23" s="150">
        <f> -1 * AY22</f>
        <v>-3215.4180882301966</v>
      </c>
      <c r="AZ23" s="150">
        <f> -1 * AZ22</f>
        <v>-9.78799461235101e-13</v>
      </c>
      <c r="BA23" s="150">
        <f> -1 * BA22</f>
        <v>-9.948816801606723e-13</v>
      </c>
      <c r="BB23" s="150">
        <f> -1 * BB22</f>
        <v>-1.0223405360082815e-12</v>
      </c>
      <c r="BC23" s="150">
        <f> -1 * BC22</f>
        <v>-1.0393227482453078e-12</v>
      </c>
      <c r="BD23" s="150">
        <f> -1 * BD22</f>
        <v>-1.0336177701163526e-12</v>
      </c>
      <c r="BE23" s="150">
        <f> -1 * BE22</f>
        <v>-1.0620853262016405e-12</v>
      </c>
      <c r="BF23" s="150">
        <f> -1 * BF22</f>
        <v>-1.0913990108855535e-12</v>
      </c>
      <c r="BG23" s="150">
        <f> -1 * BG22</f>
        <v>-1.1095283611219301e-12</v>
      </c>
      <c r="BH23" s="150">
        <f> -1 * BH22</f>
        <v>-1.1034380152266412e-12</v>
      </c>
      <c r="BI23" s="150">
        <f> -1 * BI22</f>
        <v>-1.1338285372293419e-12</v>
      </c>
      <c r="BJ23" s="150">
        <f> -1 * BJ22</f>
        <v>-1.1651223432974744e-12</v>
      </c>
      <c r="BK23" s="150">
        <f> -1 * BK22</f>
        <v>-1.1844763200000271e-12</v>
      </c>
      <c r="BL23" s="150">
        <f> -1 * BL22</f>
        <v>-1.1779745749826358e-12</v>
      </c>
      <c r="BM23" s="150">
        <f> -1 * BM22</f>
        <v>-1.210417958068616e-12</v>
      </c>
      <c r="BN23" s="150">
        <f> -1 * BN22</f>
        <v>-1.24382564150349e-12</v>
      </c>
      <c r="BO23" s="150">
        <f> -1 * BO22</f>
        <v>-1.2644869674373535e-12</v>
      </c>
      <c r="BP23" s="150">
        <f> -1 * BP22</f>
        <v>-1.2715187672460072e-12</v>
      </c>
      <c r="BQ23" s="150">
        <f> -1 * BQ22</f>
        <v>-1.2924105269911742e-12</v>
      </c>
      <c r="BR23" s="150">
        <f> -1 * BR22</f>
        <v>-1.3280812153396137e-12</v>
      </c>
      <c r="BS23" s="150">
        <f> -1 * BS22</f>
        <v>-1.3501421199721997e-12</v>
      </c>
      <c r="BT23" s="150">
        <f> -1 * BT22</f>
        <v>-1.3427310137701783e-12</v>
      </c>
      <c r="BU23" s="150">
        <f> -1 * BU22</f>
        <v>-1.379712063774432e-12</v>
      </c>
      <c r="BV23" s="150">
        <f> -1 * BV22</f>
        <v>-1.4177922851976178e-12</v>
      </c>
      <c r="BW23" s="150">
        <f> -1 * BW22</f>
        <v>-1.4413433903795116e-12</v>
      </c>
      <c r="BX23" s="150">
        <f> -1 * BX22</f>
        <v>-1.4334316685084066e-12</v>
      </c>
      <c r="BY23" s="150">
        <f> -1 * BY22</f>
        <v>-1.472910765711909e-12</v>
      </c>
      <c r="BZ23" s="150">
        <f> -1 * BZ22</f>
        <v>-1.513563282688142e-12</v>
      </c>
      <c r="CA23" s="150">
        <f> -1 * CA22</f>
        <v>-1.5387052505505726e-12</v>
      </c>
      <c r="CB23" s="150">
        <f> -1 * CB22</f>
        <v>-1.530259096729616e-12</v>
      </c>
      <c r="CC23" s="150">
        <f> -1 * CC22</f>
        <v>-1.5724049826853774e-12</v>
      </c>
      <c r="CD23" s="150">
        <f> -1 * CD22</f>
        <v>-1.6158035521983341e-12</v>
      </c>
      <c r="CE23" s="150">
        <f> -1 * CE22</f>
        <v>-1.6426438445376286e-12</v>
      </c>
      <c r="CF23" s="150">
        <f> -1 * CF22</f>
        <v>-1.6517785710861471e-12</v>
      </c>
      <c r="CG23" s="150">
        <f> -1 * CG22</f>
        <v>-1.6789182106638544e-12</v>
      </c>
      <c r="CH23" s="150">
        <f> -1 * CH22</f>
        <v>-1.7252565582742954e-12</v>
      </c>
      <c r="CI23" s="150">
        <f> -1 * CI22</f>
        <v>-1.7539149866589627e-12</v>
      </c>
      <c r="CJ23" s="150">
        <f> -1 * CJ22</f>
        <v>-1.744287518525672e-12</v>
      </c>
      <c r="CK23" s="150">
        <f> -1 * CK22</f>
        <v>-1.792328103931733e-12</v>
      </c>
      <c r="CL23" s="150">
        <f> -1 * CL22</f>
        <v>-1.841796578443729e-12</v>
      </c>
      <c r="CM23" s="150">
        <f> -1 * CM22</f>
        <v>-1.8723908660523222e-12</v>
      </c>
      <c r="CN23" s="150">
        <f> -1 * CN22</f>
        <v>-1.862113068363665e-12</v>
      </c>
      <c r="CO23" s="150">
        <f> -1 * CO22</f>
        <v>-1.913398765788181e-12</v>
      </c>
    </row>
    <row r="25">
      <c r="A25" s="294" t="inlineStr">
        <is>
          <t>SENIOR DEBT INTEREST PAYMENT</t>
        </is>
      </c>
    </row>
    <row r="26">
      <c r="E26" s="336" t="str">
        <f> InpC!E$77</f>
        <v>All in annual senior debt interest rate </v>
      </c>
      <c r="F26" s="336">
        <f> InpC!F$77</f>
        <v>0.065</v>
      </c>
      <c r="G26" s="336" t="str">
        <f> InpC!G$77</f>
        <v>%</v>
      </c>
    </row>
    <row r="27">
      <c r="E27" s="325" t="str">
        <f> InpC!E$79</f>
        <v>Day count convention </v>
      </c>
      <c r="F27" s="325">
        <f> InpC!F$79</f>
        <v>360.0</v>
      </c>
      <c r="G27" s="325" t="str">
        <f> InpC!G$79</f>
        <v>days</v>
      </c>
    </row>
    <row r="28">
      <c r="E28" s="324" t="str">
        <f> Time!E$30</f>
        <v>Days in model period</v>
      </c>
      <c r="F28" s="324">
        <f> Time!F$30</f>
        <v>0.0</v>
      </c>
      <c r="G28" s="324" t="str">
        <f> Time!G$30</f>
        <v>days</v>
      </c>
      <c r="H28" s="324">
        <f> Time!H$30</f>
        <v>0.0</v>
      </c>
      <c r="I28" s="324">
        <f> Time!I$30</f>
        <v>0.0</v>
      </c>
      <c r="J28" s="324">
        <f> Time!J$30</f>
        <v>92.0</v>
      </c>
      <c r="K28" s="324">
        <f> Time!K$30</f>
        <v>92.0</v>
      </c>
      <c r="L28" s="324">
        <f> Time!L$30</f>
        <v>90.0</v>
      </c>
      <c r="M28" s="324">
        <f> Time!M$30</f>
        <v>91.0</v>
      </c>
      <c r="N28" s="324">
        <f> Time!N$30</f>
        <v>92.0</v>
      </c>
      <c r="O28" s="324">
        <f> Time!O$30</f>
        <v>92.0</v>
      </c>
      <c r="P28" s="324">
        <f> Time!P$30</f>
        <v>90.0</v>
      </c>
      <c r="Q28" s="324">
        <f> Time!Q$30</f>
        <v>91.0</v>
      </c>
      <c r="R28" s="324">
        <f> Time!R$30</f>
        <v>92.0</v>
      </c>
      <c r="S28" s="324">
        <f> Time!S$30</f>
        <v>92.0</v>
      </c>
      <c r="T28" s="324">
        <f> Time!T$30</f>
        <v>91.0</v>
      </c>
      <c r="U28" s="324">
        <f> Time!U$30</f>
        <v>91.0</v>
      </c>
      <c r="V28" s="324">
        <f> Time!V$30</f>
        <v>92.0</v>
      </c>
      <c r="W28" s="324">
        <f> Time!W$30</f>
        <v>92.0</v>
      </c>
      <c r="X28" s="324">
        <f> Time!X$30</f>
        <v>90.0</v>
      </c>
      <c r="Y28" s="324">
        <f> Time!Y$30</f>
        <v>91.0</v>
      </c>
      <c r="Z28" s="324">
        <f> Time!Z$30</f>
        <v>92.0</v>
      </c>
      <c r="AA28" s="324">
        <f> Time!AA$30</f>
        <v>92.0</v>
      </c>
      <c r="AB28" s="324">
        <f> Time!AB$30</f>
        <v>90.0</v>
      </c>
      <c r="AC28" s="324">
        <f> Time!AC$30</f>
        <v>91.0</v>
      </c>
      <c r="AD28" s="324">
        <f> Time!AD$30</f>
        <v>92.0</v>
      </c>
      <c r="AE28" s="324">
        <f> Time!AE$30</f>
        <v>92.0</v>
      </c>
      <c r="AF28" s="324">
        <f> Time!AF$30</f>
        <v>90.0</v>
      </c>
      <c r="AG28" s="324">
        <f> Time!AG$30</f>
        <v>91.0</v>
      </c>
      <c r="AH28" s="324">
        <f> Time!AH$30</f>
        <v>92.0</v>
      </c>
      <c r="AI28" s="324">
        <f> Time!AI$30</f>
        <v>92.0</v>
      </c>
      <c r="AJ28" s="324">
        <f> Time!AJ$30</f>
        <v>91.0</v>
      </c>
      <c r="AK28" s="324">
        <f> Time!AK$30</f>
        <v>91.0</v>
      </c>
      <c r="AL28" s="324">
        <f> Time!AL$30</f>
        <v>92.0</v>
      </c>
      <c r="AM28" s="324">
        <f> Time!AM$30</f>
        <v>92.0</v>
      </c>
      <c r="AN28" s="324">
        <f> Time!AN$30</f>
        <v>90.0</v>
      </c>
      <c r="AO28" s="324">
        <f> Time!AO$30</f>
        <v>91.0</v>
      </c>
      <c r="AP28" s="324">
        <f> Time!AP$30</f>
        <v>92.0</v>
      </c>
      <c r="AQ28" s="324">
        <f> Time!AQ$30</f>
        <v>92.0</v>
      </c>
      <c r="AR28" s="324">
        <f> Time!AR$30</f>
        <v>90.0</v>
      </c>
      <c r="AS28" s="324">
        <f> Time!AS$30</f>
        <v>91.0</v>
      </c>
      <c r="AT28" s="324">
        <f> Time!AT$30</f>
        <v>92.0</v>
      </c>
      <c r="AU28" s="324">
        <f> Time!AU$30</f>
        <v>92.0</v>
      </c>
      <c r="AV28" s="324">
        <f> Time!AV$30</f>
        <v>90.0</v>
      </c>
      <c r="AW28" s="324">
        <f> Time!AW$30</f>
        <v>91.0</v>
      </c>
      <c r="AX28" s="324">
        <f> Time!AX$30</f>
        <v>92.0</v>
      </c>
      <c r="AY28" s="324">
        <f> Time!AY$30</f>
        <v>92.0</v>
      </c>
      <c r="AZ28" s="324">
        <f> Time!AZ$30</f>
        <v>91.0</v>
      </c>
      <c r="BA28" s="324">
        <f> Time!BA$30</f>
        <v>91.0</v>
      </c>
      <c r="BB28" s="324">
        <f> Time!BB$30</f>
        <v>92.0</v>
      </c>
      <c r="BC28" s="324">
        <f> Time!BC$30</f>
        <v>92.0</v>
      </c>
      <c r="BD28" s="324">
        <f> Time!BD$30</f>
        <v>90.0</v>
      </c>
      <c r="BE28" s="324">
        <f> Time!BE$30</f>
        <v>91.0</v>
      </c>
      <c r="BF28" s="324">
        <f> Time!BF$30</f>
        <v>92.0</v>
      </c>
      <c r="BG28" s="324">
        <f> Time!BG$30</f>
        <v>92.0</v>
      </c>
      <c r="BH28" s="324">
        <f> Time!BH$30</f>
        <v>90.0</v>
      </c>
      <c r="BI28" s="324">
        <f> Time!BI$30</f>
        <v>91.0</v>
      </c>
      <c r="BJ28" s="324">
        <f> Time!BJ$30</f>
        <v>92.0</v>
      </c>
      <c r="BK28" s="324">
        <f> Time!BK$30</f>
        <v>92.0</v>
      </c>
      <c r="BL28" s="324">
        <f> Time!BL$30</f>
        <v>90.0</v>
      </c>
      <c r="BM28" s="324">
        <f> Time!BM$30</f>
        <v>91.0</v>
      </c>
      <c r="BN28" s="324">
        <f> Time!BN$30</f>
        <v>92.0</v>
      </c>
      <c r="BO28" s="324">
        <f> Time!BO$30</f>
        <v>92.0</v>
      </c>
      <c r="BP28" s="324">
        <f> Time!BP$30</f>
        <v>91.0</v>
      </c>
      <c r="BQ28" s="324">
        <f> Time!BQ$30</f>
        <v>91.0</v>
      </c>
      <c r="BR28" s="324">
        <f> Time!BR$30</f>
        <v>92.0</v>
      </c>
      <c r="BS28" s="324">
        <f> Time!BS$30</f>
        <v>92.0</v>
      </c>
      <c r="BT28" s="324">
        <f> Time!BT$30</f>
        <v>90.0</v>
      </c>
      <c r="BU28" s="324">
        <f> Time!BU$30</f>
        <v>91.0</v>
      </c>
      <c r="BV28" s="324">
        <f> Time!BV$30</f>
        <v>92.0</v>
      </c>
      <c r="BW28" s="324">
        <f> Time!BW$30</f>
        <v>92.0</v>
      </c>
      <c r="BX28" s="324">
        <f> Time!BX$30</f>
        <v>90.0</v>
      </c>
      <c r="BY28" s="324">
        <f> Time!BY$30</f>
        <v>91.0</v>
      </c>
      <c r="BZ28" s="324">
        <f> Time!BZ$30</f>
        <v>92.0</v>
      </c>
      <c r="CA28" s="324">
        <f> Time!CA$30</f>
        <v>92.0</v>
      </c>
      <c r="CB28" s="324">
        <f> Time!CB$30</f>
        <v>90.0</v>
      </c>
      <c r="CC28" s="324">
        <f> Time!CC$30</f>
        <v>91.0</v>
      </c>
      <c r="CD28" s="324">
        <f> Time!CD$30</f>
        <v>92.0</v>
      </c>
      <c r="CE28" s="324">
        <f> Time!CE$30</f>
        <v>92.0</v>
      </c>
      <c r="CF28" s="324">
        <f> Time!CF$30</f>
        <v>91.0</v>
      </c>
      <c r="CG28" s="324">
        <f> Time!CG$30</f>
        <v>91.0</v>
      </c>
      <c r="CH28" s="324">
        <f> Time!CH$30</f>
        <v>92.0</v>
      </c>
      <c r="CI28" s="324">
        <f> Time!CI$30</f>
        <v>92.0</v>
      </c>
      <c r="CJ28" s="324">
        <f> Time!CJ$30</f>
        <v>90.0</v>
      </c>
      <c r="CK28" s="324">
        <f> Time!CK$30</f>
        <v>91.0</v>
      </c>
      <c r="CL28" s="324">
        <f> Time!CL$30</f>
        <v>92.0</v>
      </c>
      <c r="CM28" s="324">
        <f> Time!CM$30</f>
        <v>92.0</v>
      </c>
      <c r="CN28" s="324">
        <f> Time!CN$30</f>
        <v>90.0</v>
      </c>
      <c r="CO28" s="324">
        <f> Time!CO$30</f>
        <v>91.0</v>
      </c>
    </row>
    <row r="29">
      <c r="E29" s="61" t="inlineStr">
        <is>
          <t>Periodic interest rate</t>
        </is>
      </c>
      <c r="G29" s="61" t="inlineStr">
        <is>
          <t>%</t>
        </is>
      </c>
      <c r="J29" s="271">
        <f> $F26 / $F27 * J28</f>
        <v>0.01661111111111111</v>
      </c>
      <c r="K29" s="271">
        <f> $F26 / $F27 * K28</f>
        <v>0.01661111111111111</v>
      </c>
      <c r="L29" s="271">
        <f> $F26 / $F27 * L28</f>
        <v>0.01625</v>
      </c>
      <c r="M29" s="271">
        <f> $F26 / $F27 * M28</f>
        <v>0.016430555555555556</v>
      </c>
      <c r="N29" s="271">
        <f> $F26 / $F27 * N28</f>
        <v>0.01661111111111111</v>
      </c>
      <c r="O29" s="271">
        <f> $F26 / $F27 * O28</f>
        <v>0.01661111111111111</v>
      </c>
      <c r="P29" s="271">
        <f> $F26 / $F27 * P28</f>
        <v>0.01625</v>
      </c>
      <c r="Q29" s="271">
        <f> $F26 / $F27 * Q28</f>
        <v>0.016430555555555556</v>
      </c>
      <c r="R29" s="271">
        <f> $F26 / $F27 * R28</f>
        <v>0.01661111111111111</v>
      </c>
      <c r="S29" s="271">
        <f> $F26 / $F27 * S28</f>
        <v>0.01661111111111111</v>
      </c>
      <c r="T29" s="271">
        <f> $F26 / $F27 * T28</f>
        <v>0.016430555555555556</v>
      </c>
      <c r="U29" s="271">
        <f> $F26 / $F27 * U28</f>
        <v>0.016430555555555556</v>
      </c>
      <c r="V29" s="271">
        <f> $F26 / $F27 * V28</f>
        <v>0.01661111111111111</v>
      </c>
      <c r="W29" s="271">
        <f> $F26 / $F27 * W28</f>
        <v>0.01661111111111111</v>
      </c>
      <c r="X29" s="271">
        <f> $F26 / $F27 * X28</f>
        <v>0.01625</v>
      </c>
      <c r="Y29" s="271">
        <f> $F26 / $F27 * Y28</f>
        <v>0.016430555555555556</v>
      </c>
      <c r="Z29" s="271">
        <f> $F26 / $F27 * Z28</f>
        <v>0.01661111111111111</v>
      </c>
      <c r="AA29" s="271">
        <f> $F26 / $F27 * AA28</f>
        <v>0.01661111111111111</v>
      </c>
      <c r="AB29" s="271">
        <f> $F26 / $F27 * AB28</f>
        <v>0.01625</v>
      </c>
      <c r="AC29" s="271">
        <f> $F26 / $F27 * AC28</f>
        <v>0.016430555555555556</v>
      </c>
      <c r="AD29" s="271">
        <f> $F26 / $F27 * AD28</f>
        <v>0.01661111111111111</v>
      </c>
      <c r="AE29" s="271">
        <f> $F26 / $F27 * AE28</f>
        <v>0.01661111111111111</v>
      </c>
      <c r="AF29" s="271">
        <f> $F26 / $F27 * AF28</f>
        <v>0.01625</v>
      </c>
      <c r="AG29" s="271">
        <f> $F26 / $F27 * AG28</f>
        <v>0.016430555555555556</v>
      </c>
      <c r="AH29" s="271">
        <f> $F26 / $F27 * AH28</f>
        <v>0.01661111111111111</v>
      </c>
      <c r="AI29" s="271">
        <f> $F26 / $F27 * AI28</f>
        <v>0.01661111111111111</v>
      </c>
      <c r="AJ29" s="271">
        <f> $F26 / $F27 * AJ28</f>
        <v>0.016430555555555556</v>
      </c>
      <c r="AK29" s="271">
        <f> $F26 / $F27 * AK28</f>
        <v>0.016430555555555556</v>
      </c>
      <c r="AL29" s="271">
        <f> $F26 / $F27 * AL28</f>
        <v>0.01661111111111111</v>
      </c>
      <c r="AM29" s="271">
        <f> $F26 / $F27 * AM28</f>
        <v>0.01661111111111111</v>
      </c>
      <c r="AN29" s="271">
        <f> $F26 / $F27 * AN28</f>
        <v>0.01625</v>
      </c>
      <c r="AO29" s="271">
        <f> $F26 / $F27 * AO28</f>
        <v>0.016430555555555556</v>
      </c>
      <c r="AP29" s="271">
        <f> $F26 / $F27 * AP28</f>
        <v>0.01661111111111111</v>
      </c>
      <c r="AQ29" s="271">
        <f> $F26 / $F27 * AQ28</f>
        <v>0.01661111111111111</v>
      </c>
      <c r="AR29" s="271">
        <f> $F26 / $F27 * AR28</f>
        <v>0.01625</v>
      </c>
      <c r="AS29" s="271">
        <f> $F26 / $F27 * AS28</f>
        <v>0.016430555555555556</v>
      </c>
      <c r="AT29" s="271">
        <f> $F26 / $F27 * AT28</f>
        <v>0.01661111111111111</v>
      </c>
      <c r="AU29" s="271">
        <f> $F26 / $F27 * AU28</f>
        <v>0.01661111111111111</v>
      </c>
      <c r="AV29" s="271">
        <f> $F26 / $F27 * AV28</f>
        <v>0.01625</v>
      </c>
      <c r="AW29" s="271">
        <f> $F26 / $F27 * AW28</f>
        <v>0.016430555555555556</v>
      </c>
      <c r="AX29" s="271">
        <f> $F26 / $F27 * AX28</f>
        <v>0.01661111111111111</v>
      </c>
      <c r="AY29" s="271">
        <f> $F26 / $F27 * AY28</f>
        <v>0.01661111111111111</v>
      </c>
      <c r="AZ29" s="271">
        <f> $F26 / $F27 * AZ28</f>
        <v>0.016430555555555556</v>
      </c>
      <c r="BA29" s="271">
        <f> $F26 / $F27 * BA28</f>
        <v>0.016430555555555556</v>
      </c>
      <c r="BB29" s="271">
        <f> $F26 / $F27 * BB28</f>
        <v>0.01661111111111111</v>
      </c>
      <c r="BC29" s="271">
        <f> $F26 / $F27 * BC28</f>
        <v>0.01661111111111111</v>
      </c>
      <c r="BD29" s="271">
        <f> $F26 / $F27 * BD28</f>
        <v>0.01625</v>
      </c>
      <c r="BE29" s="271">
        <f> $F26 / $F27 * BE28</f>
        <v>0.016430555555555556</v>
      </c>
      <c r="BF29" s="271">
        <f> $F26 / $F27 * BF28</f>
        <v>0.01661111111111111</v>
      </c>
      <c r="BG29" s="271">
        <f> $F26 / $F27 * BG28</f>
        <v>0.01661111111111111</v>
      </c>
      <c r="BH29" s="271">
        <f> $F26 / $F27 * BH28</f>
        <v>0.01625</v>
      </c>
      <c r="BI29" s="271">
        <f> $F26 / $F27 * BI28</f>
        <v>0.016430555555555556</v>
      </c>
      <c r="BJ29" s="271">
        <f> $F26 / $F27 * BJ28</f>
        <v>0.01661111111111111</v>
      </c>
      <c r="BK29" s="271">
        <f> $F26 / $F27 * BK28</f>
        <v>0.01661111111111111</v>
      </c>
      <c r="BL29" s="271">
        <f> $F26 / $F27 * BL28</f>
        <v>0.01625</v>
      </c>
      <c r="BM29" s="271">
        <f> $F26 / $F27 * BM28</f>
        <v>0.016430555555555556</v>
      </c>
      <c r="BN29" s="271">
        <f> $F26 / $F27 * BN28</f>
        <v>0.01661111111111111</v>
      </c>
      <c r="BO29" s="271">
        <f> $F26 / $F27 * BO28</f>
        <v>0.01661111111111111</v>
      </c>
      <c r="BP29" s="271">
        <f> $F26 / $F27 * BP28</f>
        <v>0.016430555555555556</v>
      </c>
      <c r="BQ29" s="271">
        <f> $F26 / $F27 * BQ28</f>
        <v>0.016430555555555556</v>
      </c>
      <c r="BR29" s="271">
        <f> $F26 / $F27 * BR28</f>
        <v>0.01661111111111111</v>
      </c>
      <c r="BS29" s="271">
        <f> $F26 / $F27 * BS28</f>
        <v>0.01661111111111111</v>
      </c>
      <c r="BT29" s="271">
        <f> $F26 / $F27 * BT28</f>
        <v>0.01625</v>
      </c>
      <c r="BU29" s="271">
        <f> $F26 / $F27 * BU28</f>
        <v>0.016430555555555556</v>
      </c>
      <c r="BV29" s="271">
        <f> $F26 / $F27 * BV28</f>
        <v>0.01661111111111111</v>
      </c>
      <c r="BW29" s="271">
        <f> $F26 / $F27 * BW28</f>
        <v>0.01661111111111111</v>
      </c>
      <c r="BX29" s="271">
        <f> $F26 / $F27 * BX28</f>
        <v>0.01625</v>
      </c>
      <c r="BY29" s="271">
        <f> $F26 / $F27 * BY28</f>
        <v>0.016430555555555556</v>
      </c>
      <c r="BZ29" s="271">
        <f> $F26 / $F27 * BZ28</f>
        <v>0.01661111111111111</v>
      </c>
      <c r="CA29" s="271">
        <f> $F26 / $F27 * CA28</f>
        <v>0.01661111111111111</v>
      </c>
      <c r="CB29" s="271">
        <f> $F26 / $F27 * CB28</f>
        <v>0.01625</v>
      </c>
      <c r="CC29" s="271">
        <f> $F26 / $F27 * CC28</f>
        <v>0.016430555555555556</v>
      </c>
      <c r="CD29" s="271">
        <f> $F26 / $F27 * CD28</f>
        <v>0.01661111111111111</v>
      </c>
      <c r="CE29" s="271">
        <f> $F26 / $F27 * CE28</f>
        <v>0.01661111111111111</v>
      </c>
      <c r="CF29" s="271">
        <f> $F26 / $F27 * CF28</f>
        <v>0.016430555555555556</v>
      </c>
      <c r="CG29" s="271">
        <f> $F26 / $F27 * CG28</f>
        <v>0.016430555555555556</v>
      </c>
      <c r="CH29" s="271">
        <f> $F26 / $F27 * CH28</f>
        <v>0.01661111111111111</v>
      </c>
      <c r="CI29" s="271">
        <f> $F26 / $F27 * CI28</f>
        <v>0.01661111111111111</v>
      </c>
      <c r="CJ29" s="271">
        <f> $F26 / $F27 * CJ28</f>
        <v>0.01625</v>
      </c>
      <c r="CK29" s="271">
        <f> $F26 / $F27 * CK28</f>
        <v>0.016430555555555556</v>
      </c>
      <c r="CL29" s="271">
        <f> $F26 / $F27 * CL28</f>
        <v>0.01661111111111111</v>
      </c>
      <c r="CM29" s="271">
        <f> $F26 / $F27 * CM28</f>
        <v>0.01661111111111111</v>
      </c>
      <c r="CN29" s="271">
        <f> $F26 / $F27 * CN28</f>
        <v>0.01625</v>
      </c>
      <c r="CO29" s="271">
        <f> $F26 / $F27 * CO28</f>
        <v>0.016430555555555556</v>
      </c>
    </row>
    <row r="31" customFormat="1" s="271">
      <c r="E31" s="29" t="str">
        <f> E$42</f>
        <v>Senior debt balance BEG</v>
      </c>
      <c r="F31" s="29">
        <f> F$42</f>
        <v>0.0</v>
      </c>
      <c r="G31" s="29" t="str">
        <f> G$42</f>
        <v>$ 000s</v>
      </c>
      <c r="H31" s="29">
        <f> H$42</f>
        <v>0.0</v>
      </c>
      <c r="I31" s="29">
        <f> I$42</f>
        <v>0.0</v>
      </c>
      <c r="J31" s="29">
        <f> J$42</f>
        <v>0.0</v>
      </c>
      <c r="K31" s="29">
        <f> K$42</f>
        <v>0.0</v>
      </c>
      <c r="L31" s="29">
        <f> L$42</f>
        <v>72154.22476191197</v>
      </c>
      <c r="M31" s="29">
        <f> M$42</f>
        <v>71097.33586905799</v>
      </c>
      <c r="N31" s="29">
        <f> N$42</f>
        <v>69948.44283596725</v>
      </c>
      <c r="O31" s="29">
        <f> O$42</f>
        <v>68741.51807785485</v>
      </c>
      <c r="P31" s="29">
        <f> P$42</f>
        <v>67593.88605233596</v>
      </c>
      <c r="Q31" s="29">
        <f> Q$42</f>
        <v>66345.82245960187</v>
      </c>
      <c r="R31" s="29">
        <f> R$42</f>
        <v>65162.623003507986</v>
      </c>
      <c r="S31" s="29">
        <f> S$42</f>
        <v>63901.65665752882</v>
      </c>
      <c r="T31" s="29">
        <f> T$42</f>
        <v>63588.84489366292</v>
      </c>
      <c r="U31" s="29">
        <f> U$42</f>
        <v>62228.64749102384</v>
      </c>
      <c r="V31" s="29">
        <f> V$42</f>
        <v>60890.279904028655</v>
      </c>
      <c r="W31" s="29">
        <f> W$42</f>
        <v>59462.24365849871</v>
      </c>
      <c r="X31" s="29">
        <f> X$42</f>
        <v>58538.5570870261</v>
      </c>
      <c r="Y31" s="29">
        <f> Y$42</f>
        <v>57056.24420753001</v>
      </c>
      <c r="Z31" s="29">
        <f> Z$42</f>
        <v>55637.02667026263</v>
      </c>
      <c r="AA31" s="29">
        <f> AA$42</f>
        <v>54126.50788268324</v>
      </c>
      <c r="AB31" s="29">
        <f> AB$42</f>
        <v>53344.470224655306</v>
      </c>
      <c r="AC31" s="29">
        <f> AC$42</f>
        <v>51776.98181387069</v>
      </c>
      <c r="AD31" s="29">
        <f> AD$42</f>
        <v>50268.94611025693</v>
      </c>
      <c r="AE31" s="29">
        <f> AE$42</f>
        <v>48532.51044140495</v>
      </c>
      <c r="AF31" s="29">
        <f> AF$42</f>
        <v>47222.20345691062</v>
      </c>
      <c r="AG31" s="29">
        <f> AG$42</f>
        <v>45337.75384391113</v>
      </c>
      <c r="AH31" s="29">
        <f> AH$42</f>
        <v>43503.856049021306</v>
      </c>
      <c r="AI31" s="29">
        <f> AI$42</f>
        <v>41554.30890514567</v>
      </c>
      <c r="AJ31" s="29">
        <f> AJ$42</f>
        <v>39882.59584924524</v>
      </c>
      <c r="AK31" s="29">
        <f> AK$42</f>
        <v>37856.96968184975</v>
      </c>
      <c r="AL31" s="29">
        <f> AL$42</f>
        <v>35878.45784419832</v>
      </c>
      <c r="AM31" s="29">
        <f> AM$42</f>
        <v>33771.18814508866</v>
      </c>
      <c r="AN31" s="29">
        <f> AN$42</f>
        <v>32031.223533166063</v>
      </c>
      <c r="AO31" s="29">
        <f> AO$42</f>
        <v>29616.04610027258</v>
      </c>
      <c r="AP31" s="29">
        <f> AP$42</f>
        <v>27237.708836494196</v>
      </c>
      <c r="AQ31" s="29">
        <f> AQ$42</f>
        <v>24717.199779597144</v>
      </c>
      <c r="AR31" s="29">
        <f> AR$42</f>
        <v>22690.332570333037</v>
      </c>
      <c r="AS31" s="29">
        <f> AS$42</f>
        <v>20068.961626221597</v>
      </c>
      <c r="AT31" s="29">
        <f> AT$42</f>
        <v>17479.795285779735</v>
      </c>
      <c r="AU31" s="29">
        <f> AU$42</f>
        <v>14738.39173926243</v>
      </c>
      <c r="AV31" s="29">
        <f> AV$42</f>
        <v>12043.729067472039</v>
      </c>
      <c r="AW31" s="29">
        <f> AW$42</f>
        <v>9193.93640159505</v>
      </c>
      <c r="AX31" s="29">
        <f> AX$42</f>
        <v>6371.093877227339</v>
      </c>
      <c r="AY31" s="29">
        <f> AY$42</f>
        <v>3215.418088230146</v>
      </c>
      <c r="AZ31" s="29">
        <f> AZ$42</f>
        <v>-5.047695594839752e-11</v>
      </c>
      <c r="BA31" s="29">
        <f> BA$42</f>
        <v>-5.1455755409632617e-11</v>
      </c>
      <c r="BB31" s="29">
        <f> BB$42</f>
        <v>-5.245063708979329e-11</v>
      </c>
      <c r="BC31" s="29">
        <f> BC$42</f>
        <v>-5.347297762580157e-11</v>
      </c>
      <c r="BD31" s="29">
        <f> BD$42</f>
        <v>-5.4512300374046876e-11</v>
      </c>
      <c r="BE31" s="29">
        <f> BE$42</f>
        <v>-5.554591814416323e-11</v>
      </c>
      <c r="BF31" s="29">
        <f> BF$42</f>
        <v>-5.660800347036487e-11</v>
      </c>
      <c r="BG31" s="29">
        <f> BG$42</f>
        <v>-5.7699402481250426e-11</v>
      </c>
      <c r="BH31" s="29">
        <f> BH$42</f>
        <v>-5.880893084237236e-11</v>
      </c>
      <c r="BI31" s="29">
        <f> BI$42</f>
        <v>-5.9912368857599e-11</v>
      </c>
      <c r="BJ31" s="29">
        <f> BJ$42</f>
        <v>-6.104619739482834e-11</v>
      </c>
      <c r="BK31" s="29">
        <f> BK$42</f>
        <v>-6.221131973812582e-11</v>
      </c>
      <c r="BL31" s="29">
        <f> BL$42</f>
        <v>-6.339579605812585e-11</v>
      </c>
      <c r="BM31" s="29">
        <f> BM$42</f>
        <v>-6.457377063310849e-11</v>
      </c>
      <c r="BN31" s="29">
        <f> BN$42</f>
        <v>-6.578418859117711e-11</v>
      </c>
      <c r="BO31" s="29">
        <f> BO$42</f>
        <v>-6.70280142326806e-11</v>
      </c>
      <c r="BP31" s="29">
        <f> BP$42</f>
        <v>-6.829250120011795e-11</v>
      </c>
      <c r="BQ31" s="29">
        <f> BQ$42</f>
        <v>-6.956401996736396e-11</v>
      </c>
      <c r="BR31" s="29">
        <f> BR$42</f>
        <v>-7.085643049435513e-11</v>
      </c>
      <c r="BS31" s="29">
        <f> BS$42</f>
        <v>-7.218451170969474e-11</v>
      </c>
      <c r="BT31" s="29">
        <f> BT$42</f>
        <v>-7.353465382966694e-11</v>
      </c>
      <c r="BU31" s="29">
        <f> BU$42</f>
        <v>-7.487738484343712e-11</v>
      </c>
      <c r="BV31" s="29">
        <f> BV$42</f>
        <v>-7.625709690721156e-11</v>
      </c>
      <c r="BW31" s="29">
        <f> BW$42</f>
        <v>-7.767488919240918e-11</v>
      </c>
      <c r="BX31" s="29">
        <f> BX$42</f>
        <v>-7.911623258278868e-11</v>
      </c>
      <c r="BY31" s="29">
        <f> BY$42</f>
        <v>-8.054966425129709e-11</v>
      </c>
      <c r="BZ31" s="29">
        <f> BZ$42</f>
        <v>-8.2022575017009e-11</v>
      </c>
      <c r="CA31" s="29">
        <f> CA$42</f>
        <v>-8.353613829969715e-11</v>
      </c>
      <c r="CB31" s="29">
        <f> CB$42</f>
        <v>-8.507484355024772e-11</v>
      </c>
      <c r="CC31" s="29">
        <f> CC$42</f>
        <v>-8.660510264697734e-11</v>
      </c>
      <c r="CD31" s="29">
        <f> CD$42</f>
        <v>-8.817750762966272e-11</v>
      </c>
      <c r="CE31" s="29">
        <f> CE$42</f>
        <v>-8.979331118186105e-11</v>
      </c>
      <c r="CF31" s="29">
        <f> CF$42</f>
        <v>-9.143595502639868e-11</v>
      </c>
      <c r="CG31" s="29">
        <f> CG$42</f>
        <v>-9.308773359748482e-11</v>
      </c>
      <c r="CH31" s="29">
        <f> CH$42</f>
        <v>-9.476665180814868e-11</v>
      </c>
      <c r="CI31" s="29">
        <f> CI$42</f>
        <v>-9.649190836642298e-11</v>
      </c>
      <c r="CJ31" s="29">
        <f> CJ$42</f>
        <v>-9.824582335308194e-11</v>
      </c>
      <c r="CK31" s="29">
        <f> CK$42</f>
        <v>-9.999011087160761e-11</v>
      </c>
      <c r="CL31" s="29">
        <f> CL$42</f>
        <v>-1.0178243897553934e-10</v>
      </c>
      <c r="CM31" s="29">
        <f> CM$42</f>
        <v>-1.0362423555398307e-10</v>
      </c>
      <c r="CN31" s="29">
        <f> CN$42</f>
        <v>-1.0549662642003539e-10</v>
      </c>
      <c r="CO31" s="29">
        <f> CO$42</f>
        <v>-1.0735873948839905e-10</v>
      </c>
    </row>
    <row r="32" customFormat="1" s="386">
      <c r="A32" s="387" t="n"/>
      <c r="B32" s="387" t="n"/>
      <c r="C32" s="388" t="n"/>
      <c r="D32" s="271" t="n"/>
      <c r="E32" s="271" t="str">
        <f> E$29</f>
        <v>Periodic interest rate</v>
      </c>
      <c r="F32" s="271">
        <f> F$29</f>
        <v>0.0</v>
      </c>
      <c r="G32" s="271" t="str">
        <f> G$29</f>
        <v>%</v>
      </c>
      <c r="H32" s="271">
        <f> H$29</f>
        <v>0.0</v>
      </c>
      <c r="I32" s="271">
        <f> I$29</f>
        <v>0.0</v>
      </c>
      <c r="J32" s="271">
        <f> J$29</f>
        <v>0.01661111111111111</v>
      </c>
      <c r="K32" s="271">
        <f> K$29</f>
        <v>0.01661111111111111</v>
      </c>
      <c r="L32" s="271">
        <f> L$29</f>
        <v>0.01625</v>
      </c>
      <c r="M32" s="271">
        <f> M$29</f>
        <v>0.016430555555555556</v>
      </c>
      <c r="N32" s="271">
        <f> N$29</f>
        <v>0.01661111111111111</v>
      </c>
      <c r="O32" s="271">
        <f> O$29</f>
        <v>0.01661111111111111</v>
      </c>
      <c r="P32" s="271">
        <f> P$29</f>
        <v>0.01625</v>
      </c>
      <c r="Q32" s="271">
        <f> Q$29</f>
        <v>0.016430555555555556</v>
      </c>
      <c r="R32" s="271">
        <f> R$29</f>
        <v>0.01661111111111111</v>
      </c>
      <c r="S32" s="271">
        <f> S$29</f>
        <v>0.01661111111111111</v>
      </c>
      <c r="T32" s="271">
        <f> T$29</f>
        <v>0.016430555555555556</v>
      </c>
      <c r="U32" s="271">
        <f> U$29</f>
        <v>0.016430555555555556</v>
      </c>
      <c r="V32" s="271">
        <f> V$29</f>
        <v>0.01661111111111111</v>
      </c>
      <c r="W32" s="271">
        <f> W$29</f>
        <v>0.01661111111111111</v>
      </c>
      <c r="X32" s="271">
        <f> X$29</f>
        <v>0.01625</v>
      </c>
      <c r="Y32" s="271">
        <f> Y$29</f>
        <v>0.016430555555555556</v>
      </c>
      <c r="Z32" s="271">
        <f> Z$29</f>
        <v>0.01661111111111111</v>
      </c>
      <c r="AA32" s="271">
        <f> AA$29</f>
        <v>0.01661111111111111</v>
      </c>
      <c r="AB32" s="271">
        <f> AB$29</f>
        <v>0.01625</v>
      </c>
      <c r="AC32" s="271">
        <f> AC$29</f>
        <v>0.016430555555555556</v>
      </c>
      <c r="AD32" s="271">
        <f> AD$29</f>
        <v>0.01661111111111111</v>
      </c>
      <c r="AE32" s="271">
        <f> AE$29</f>
        <v>0.01661111111111111</v>
      </c>
      <c r="AF32" s="271">
        <f> AF$29</f>
        <v>0.01625</v>
      </c>
      <c r="AG32" s="271">
        <f> AG$29</f>
        <v>0.016430555555555556</v>
      </c>
      <c r="AH32" s="271">
        <f> AH$29</f>
        <v>0.01661111111111111</v>
      </c>
      <c r="AI32" s="271">
        <f> AI$29</f>
        <v>0.01661111111111111</v>
      </c>
      <c r="AJ32" s="271">
        <f> AJ$29</f>
        <v>0.016430555555555556</v>
      </c>
      <c r="AK32" s="271">
        <f> AK$29</f>
        <v>0.016430555555555556</v>
      </c>
      <c r="AL32" s="271">
        <f> AL$29</f>
        <v>0.01661111111111111</v>
      </c>
      <c r="AM32" s="271">
        <f> AM$29</f>
        <v>0.01661111111111111</v>
      </c>
      <c r="AN32" s="271">
        <f> AN$29</f>
        <v>0.01625</v>
      </c>
      <c r="AO32" s="271">
        <f> AO$29</f>
        <v>0.016430555555555556</v>
      </c>
      <c r="AP32" s="271">
        <f> AP$29</f>
        <v>0.01661111111111111</v>
      </c>
      <c r="AQ32" s="271">
        <f> AQ$29</f>
        <v>0.01661111111111111</v>
      </c>
      <c r="AR32" s="271">
        <f> AR$29</f>
        <v>0.01625</v>
      </c>
      <c r="AS32" s="271">
        <f> AS$29</f>
        <v>0.016430555555555556</v>
      </c>
      <c r="AT32" s="271">
        <f> AT$29</f>
        <v>0.01661111111111111</v>
      </c>
      <c r="AU32" s="271">
        <f> AU$29</f>
        <v>0.01661111111111111</v>
      </c>
      <c r="AV32" s="271">
        <f> AV$29</f>
        <v>0.01625</v>
      </c>
      <c r="AW32" s="271">
        <f> AW$29</f>
        <v>0.016430555555555556</v>
      </c>
      <c r="AX32" s="271">
        <f> AX$29</f>
        <v>0.01661111111111111</v>
      </c>
      <c r="AY32" s="271">
        <f> AY$29</f>
        <v>0.01661111111111111</v>
      </c>
      <c r="AZ32" s="271">
        <f> AZ$29</f>
        <v>0.016430555555555556</v>
      </c>
      <c r="BA32" s="271">
        <f> BA$29</f>
        <v>0.016430555555555556</v>
      </c>
      <c r="BB32" s="271">
        <f> BB$29</f>
        <v>0.01661111111111111</v>
      </c>
      <c r="BC32" s="271">
        <f> BC$29</f>
        <v>0.01661111111111111</v>
      </c>
      <c r="BD32" s="271">
        <f> BD$29</f>
        <v>0.01625</v>
      </c>
      <c r="BE32" s="271">
        <f> BE$29</f>
        <v>0.016430555555555556</v>
      </c>
      <c r="BF32" s="271">
        <f> BF$29</f>
        <v>0.01661111111111111</v>
      </c>
      <c r="BG32" s="271">
        <f> BG$29</f>
        <v>0.01661111111111111</v>
      </c>
      <c r="BH32" s="271">
        <f> BH$29</f>
        <v>0.01625</v>
      </c>
      <c r="BI32" s="271">
        <f> BI$29</f>
        <v>0.016430555555555556</v>
      </c>
      <c r="BJ32" s="271">
        <f> BJ$29</f>
        <v>0.01661111111111111</v>
      </c>
      <c r="BK32" s="271">
        <f> BK$29</f>
        <v>0.01661111111111111</v>
      </c>
      <c r="BL32" s="271">
        <f> BL$29</f>
        <v>0.01625</v>
      </c>
      <c r="BM32" s="271">
        <f> BM$29</f>
        <v>0.016430555555555556</v>
      </c>
      <c r="BN32" s="271">
        <f> BN$29</f>
        <v>0.01661111111111111</v>
      </c>
      <c r="BO32" s="271">
        <f> BO$29</f>
        <v>0.01661111111111111</v>
      </c>
      <c r="BP32" s="271">
        <f> BP$29</f>
        <v>0.016430555555555556</v>
      </c>
      <c r="BQ32" s="271">
        <f> BQ$29</f>
        <v>0.016430555555555556</v>
      </c>
      <c r="BR32" s="271">
        <f> BR$29</f>
        <v>0.01661111111111111</v>
      </c>
      <c r="BS32" s="271">
        <f> BS$29</f>
        <v>0.01661111111111111</v>
      </c>
      <c r="BT32" s="271">
        <f> BT$29</f>
        <v>0.01625</v>
      </c>
      <c r="BU32" s="271">
        <f> BU$29</f>
        <v>0.016430555555555556</v>
      </c>
      <c r="BV32" s="271">
        <f> BV$29</f>
        <v>0.01661111111111111</v>
      </c>
      <c r="BW32" s="271">
        <f> BW$29</f>
        <v>0.01661111111111111</v>
      </c>
      <c r="BX32" s="271">
        <f> BX$29</f>
        <v>0.01625</v>
      </c>
      <c r="BY32" s="271">
        <f> BY$29</f>
        <v>0.016430555555555556</v>
      </c>
      <c r="BZ32" s="271">
        <f> BZ$29</f>
        <v>0.01661111111111111</v>
      </c>
      <c r="CA32" s="271">
        <f> CA$29</f>
        <v>0.01661111111111111</v>
      </c>
      <c r="CB32" s="271">
        <f> CB$29</f>
        <v>0.01625</v>
      </c>
      <c r="CC32" s="271">
        <f> CC$29</f>
        <v>0.016430555555555556</v>
      </c>
      <c r="CD32" s="271">
        <f> CD$29</f>
        <v>0.01661111111111111</v>
      </c>
      <c r="CE32" s="271">
        <f> CE$29</f>
        <v>0.01661111111111111</v>
      </c>
      <c r="CF32" s="271">
        <f> CF$29</f>
        <v>0.016430555555555556</v>
      </c>
      <c r="CG32" s="271">
        <f> CG$29</f>
        <v>0.016430555555555556</v>
      </c>
      <c r="CH32" s="271">
        <f> CH$29</f>
        <v>0.01661111111111111</v>
      </c>
      <c r="CI32" s="271">
        <f> CI$29</f>
        <v>0.01661111111111111</v>
      </c>
      <c r="CJ32" s="271">
        <f> CJ$29</f>
        <v>0.01625</v>
      </c>
      <c r="CK32" s="271">
        <f> CK$29</f>
        <v>0.016430555555555556</v>
      </c>
      <c r="CL32" s="271">
        <f> CL$29</f>
        <v>0.01661111111111111</v>
      </c>
      <c r="CM32" s="271">
        <f> CM$29</f>
        <v>0.01661111111111111</v>
      </c>
      <c r="CN32" s="271">
        <f> CN$29</f>
        <v>0.01625</v>
      </c>
      <c r="CO32" s="271">
        <f> CO$29</f>
        <v>0.016430555555555556</v>
      </c>
    </row>
    <row r="33" customFormat="1" s="150">
      <c r="A33" s="383" t="n"/>
      <c r="B33" s="383" t="n"/>
      <c r="C33" s="384" t="n"/>
      <c r="D33" s="386" t="n"/>
      <c r="E33" s="386" t="inlineStr">
        <is>
          <t>Senior debt interest payment POS</t>
        </is>
      </c>
      <c r="G33" s="386" t="str">
        <f>SMU</f>
        <v>$ 000s</v>
      </c>
      <c r="H33" s="386">
        <f> SUM(J33:CO33)</f>
        <v>29083.355014702807</v>
      </c>
      <c r="J33" s="386">
        <f> J31 * J32</f>
        <v>0.0</v>
      </c>
      <c r="K33" s="386">
        <f> K31 * K32</f>
        <v>0.0</v>
      </c>
      <c r="L33" s="386">
        <f> L31 * L32</f>
        <v>1172.5061523810696</v>
      </c>
      <c r="M33" s="386">
        <f> M31 * M32</f>
        <v>1168.16872684855</v>
      </c>
      <c r="N33" s="386">
        <f> N31 * N32</f>
        <v>1161.921355997456</v>
      </c>
      <c r="O33" s="386">
        <f> O31 * O32</f>
        <v>1141.8729947377</v>
      </c>
      <c r="P33" s="386">
        <f> P31 * P32</f>
        <v>1098.4006483504595</v>
      </c>
      <c r="Q33" s="386">
        <f> Q31 * Q32</f>
        <v>1090.098721801514</v>
      </c>
      <c r="R33" s="386">
        <f> R31 * R32</f>
        <v>1082.423571002716</v>
      </c>
      <c r="S33" s="386">
        <f> S31 * S32</f>
        <v>1061.4775189222844</v>
      </c>
      <c r="T33" s="386">
        <f> T31 * T32</f>
        <v>1044.8000487389338</v>
      </c>
      <c r="U33" s="386">
        <f> U31 * U32</f>
        <v>1022.45124974835</v>
      </c>
      <c r="V33" s="386">
        <f> V31 * V32</f>
        <v>1011.455205072476</v>
      </c>
      <c r="W33" s="386">
        <f> W31 * W32</f>
        <v>987.7339363272841</v>
      </c>
      <c r="X33" s="386">
        <f> X31 * X32</f>
        <v>951.2515526641741</v>
      </c>
      <c r="Y33" s="386">
        <f> Y31 * Y32</f>
        <v>937.4657902431668</v>
      </c>
      <c r="Z33" s="386">
        <f> Z31 * Z32</f>
        <v>924.1928319115848</v>
      </c>
      <c r="AA33" s="386">
        <f> AA31 * AA32</f>
        <v>899.1014364956827</v>
      </c>
      <c r="AB33" s="386">
        <f> AB31 * AB32</f>
        <v>866.8476411506488</v>
      </c>
      <c r="AC33" s="386">
        <f> AC31 * AC32</f>
        <v>850.724576191792</v>
      </c>
      <c r="AD33" s="386">
        <f> AD31 * AD32</f>
        <v>835.0230492759346</v>
      </c>
      <c r="AE33" s="386">
        <f> AE31 * AE32</f>
        <v>806.1789234433378</v>
      </c>
      <c r="AF33" s="386">
        <f> AF31 * AF32</f>
        <v>767.3608061747975</v>
      </c>
      <c r="AG33" s="386">
        <f> AG31 * AG32</f>
        <v>744.9244832964843</v>
      </c>
      <c r="AH33" s="386">
        <f> AH31 * AH32</f>
        <v>722.6473865920761</v>
      </c>
      <c r="AI33" s="386">
        <f> AI31 * AI32</f>
        <v>690.2632423688086</v>
      </c>
      <c r="AJ33" s="386">
        <f> AJ31 * AJ32</f>
        <v>655.2932068007933</v>
      </c>
      <c r="AK33" s="386">
        <f> AK31 * AK32</f>
        <v>622.0110435226146</v>
      </c>
      <c r="AL33" s="386">
        <f> AL31 * AL32</f>
        <v>595.9810497452943</v>
      </c>
      <c r="AM33" s="386">
        <f> AM31 * AM32</f>
        <v>560.976958632306</v>
      </c>
      <c r="AN33" s="386">
        <f> AN31 * AN32</f>
        <v>520.5073824139486</v>
      </c>
      <c r="AO33" s="386">
        <f> AO31 * AO32</f>
        <v>486.6080907864231</v>
      </c>
      <c r="AP33" s="386">
        <f> AP31 * AP32</f>
        <v>452.448607895098</v>
      </c>
      <c r="AQ33" s="386">
        <f> AQ31 * AQ32</f>
        <v>410.5801518944192</v>
      </c>
      <c r="AR33" s="386">
        <f> AR31 * AR32</f>
        <v>368.7179042679119</v>
      </c>
      <c r="AS33" s="386">
        <f> AS31 * AS32</f>
        <v>329.7441889419465</v>
      </c>
      <c r="AT33" s="386">
        <f> AT31 * AT32</f>
        <v>290.3588216915634</v>
      </c>
      <c r="AU33" s="386">
        <f> AU31 * AU32</f>
        <v>244.82106277997036</v>
      </c>
      <c r="AV33" s="386">
        <f> AV31 * AV32</f>
        <v>195.71059734642063</v>
      </c>
      <c r="AW33" s="386">
        <f> AW31 * AW32</f>
        <v>151.061482820652</v>
      </c>
      <c r="AX33" s="386">
        <f> AX31 * AX32</f>
        <v>105.83094829394302</v>
      </c>
      <c r="AY33" s="386">
        <f> AY31 * AY32</f>
        <v>53.411667132267425</v>
      </c>
      <c r="AZ33" s="386">
        <f> AZ31 * AZ32</f>
        <v>-8.293644289854759e-13</v>
      </c>
      <c r="BA33" s="386">
        <f> BA31 * BA32</f>
        <v>-8.45446647911047e-13</v>
      </c>
      <c r="BB33" s="386">
        <f> BB31 * BB32</f>
        <v>-8.712633605471219e-13</v>
      </c>
      <c r="BC33" s="386">
        <f> BC31 * BC32</f>
        <v>-8.882455727841483e-13</v>
      </c>
      <c r="BD33" s="386">
        <f> BD31 * BD32</f>
        <v>-8.858248810782617e-13</v>
      </c>
      <c r="BE33" s="386">
        <f> BE31 * BE32</f>
        <v>-9.126502939520154e-13</v>
      </c>
      <c r="BF33" s="386">
        <f> BF31 * BF32</f>
        <v>-9.403218354243942e-13</v>
      </c>
      <c r="BG33" s="386">
        <f> BG31 * BG32</f>
        <v>-9.584511856607709e-13</v>
      </c>
      <c r="BH33" s="386">
        <f> BH31 * BH32</f>
        <v>-9.556451261885508e-13</v>
      </c>
      <c r="BI33" s="386">
        <f> BI31 * BI32</f>
        <v>-9.84393504979717e-13</v>
      </c>
      <c r="BJ33" s="386">
        <f> BJ31 * BJ32</f>
        <v>-1.0140451678363153e-12</v>
      </c>
      <c r="BK33" s="386">
        <f> BK31 * BK32</f>
        <v>-1.033399144538868e-12</v>
      </c>
      <c r="BL33" s="386">
        <f> BL31 * BL32</f>
        <v>-1.0301816859445451e-12</v>
      </c>
      <c r="BM33" s="386">
        <f> BM31 * BM32</f>
        <v>-1.0609829258189909e-12</v>
      </c>
      <c r="BN33" s="386">
        <f> BN31 * BN32</f>
        <v>-1.092748466042331e-12</v>
      </c>
      <c r="BO33" s="386">
        <f> BO31 * BO32</f>
        <v>-1.1134097919761945e-12</v>
      </c>
      <c r="BP33" s="386">
        <f> BP31 * BP32</f>
        <v>-1.1220837349963825e-12</v>
      </c>
      <c r="BQ33" s="386">
        <f> BQ31 * BQ32</f>
        <v>-1.1429754947415495e-12</v>
      </c>
      <c r="BR33" s="386">
        <f> BR31 * BR32</f>
        <v>-1.1770040398784547e-12</v>
      </c>
      <c r="BS33" s="386">
        <f> BS31 * BS32</f>
        <v>-1.1990649445110405e-12</v>
      </c>
      <c r="BT33" s="386">
        <f> BT31 * BT32</f>
        <v>-1.1949381247320879e-12</v>
      </c>
      <c r="BU33" s="386">
        <f> BU31 * BU32</f>
        <v>-1.2302770315248071e-12</v>
      </c>
      <c r="BV33" s="386">
        <f> BV31 * BV32</f>
        <v>-1.2667151097364587e-12</v>
      </c>
      <c r="BW33" s="386">
        <f> BW31 * BW32</f>
        <v>-1.2902662149183525e-12</v>
      </c>
      <c r="BX33" s="386">
        <f> BX31 * BX32</f>
        <v>-1.2856387794703161e-12</v>
      </c>
      <c r="BY33" s="386">
        <f> BY31 * BY32</f>
        <v>-1.3234757334622841e-12</v>
      </c>
      <c r="BZ33" s="386">
        <f> BZ31 * BZ32</f>
        <v>-1.3624861072269829e-12</v>
      </c>
      <c r="CA33" s="386">
        <f> CA31 * CA32</f>
        <v>-1.3876280750894138e-12</v>
      </c>
      <c r="CB33" s="386">
        <f> CB31 * CB32</f>
        <v>-1.3824662076915255e-12</v>
      </c>
      <c r="CC33" s="386">
        <f> CC31 * CC32</f>
        <v>-1.4229699504357526e-12</v>
      </c>
      <c r="CD33" s="386">
        <f> CD31 * CD32</f>
        <v>-1.464726376737175e-12</v>
      </c>
      <c r="CE33" s="386">
        <f> CE31 * CE32</f>
        <v>-1.4915666690764695e-12</v>
      </c>
      <c r="CF33" s="386">
        <f> CF31 * CF32</f>
        <v>-1.5023435388365228e-12</v>
      </c>
      <c r="CG33" s="386">
        <f> CG31 * CG32</f>
        <v>-1.5294831784142299e-12</v>
      </c>
      <c r="CH33" s="386">
        <f> CH31 * CH32</f>
        <v>-1.5741793828131364e-12</v>
      </c>
      <c r="CI33" s="386">
        <f> CI31 * CI32</f>
        <v>-1.6028378111978039e-12</v>
      </c>
      <c r="CJ33" s="386">
        <f> CJ31 * CJ32</f>
        <v>-1.5964946294875815e-12</v>
      </c>
      <c r="CK33" s="386">
        <f> CK31 * CK32</f>
        <v>-1.6428930716821085e-12</v>
      </c>
      <c r="CL33" s="386">
        <f> CL31 * CL32</f>
        <v>-1.69071940298257e-12</v>
      </c>
      <c r="CM33" s="386">
        <f> CM31 * CM32</f>
        <v>-1.7213136905911632e-12</v>
      </c>
      <c r="CN33" s="386">
        <f> CN31 * CN32</f>
        <v>-1.7143201793255752e-12</v>
      </c>
      <c r="CO33" s="386">
        <f> CO31 * CO32</f>
        <v>-1.7639637335385567e-12</v>
      </c>
    </row>
    <row r="34" s="396">
      <c r="A34" s="348" t="n"/>
      <c r="B34" s="348" t="n"/>
      <c r="C34" s="349" t="n"/>
      <c r="D34" s="193" t="n"/>
      <c r="E34" s="150" t="str">
        <f> LEFT(E33, LEN(E33) - 4)</f>
        <v>Senior debt interest payment</v>
      </c>
      <c r="F34" s="150" t="inlineStr">
        <is>
          <t>IS&amp;CF</t>
        </is>
      </c>
      <c r="G34" s="150" t="str">
        <f> G33</f>
        <v>$ 000s</v>
      </c>
      <c r="H34" s="150">
        <f> SUM(J34:CO34)</f>
        <v>-29083.355014702807</v>
      </c>
      <c r="I34" s="150" t="n"/>
      <c r="J34" s="150">
        <f> -1 * J33</f>
        <v>-0.0</v>
      </c>
      <c r="K34" s="150">
        <f> -1 * K33</f>
        <v>-0.0</v>
      </c>
      <c r="L34" s="150">
        <f> -1 * L33</f>
        <v>-1172.5061523810696</v>
      </c>
      <c r="M34" s="150">
        <f> -1 * M33</f>
        <v>-1168.16872684855</v>
      </c>
      <c r="N34" s="150">
        <f> -1 * N33</f>
        <v>-1161.921355997456</v>
      </c>
      <c r="O34" s="150">
        <f> -1 * O33</f>
        <v>-1141.8729947377</v>
      </c>
      <c r="P34" s="150">
        <f> -1 * P33</f>
        <v>-1098.4006483504595</v>
      </c>
      <c r="Q34" s="150">
        <f> -1 * Q33</f>
        <v>-1090.098721801514</v>
      </c>
      <c r="R34" s="150">
        <f> -1 * R33</f>
        <v>-1082.423571002716</v>
      </c>
      <c r="S34" s="150">
        <f> -1 * S33</f>
        <v>-1061.4775189222844</v>
      </c>
      <c r="T34" s="150">
        <f> -1 * T33</f>
        <v>-1044.8000487389338</v>
      </c>
      <c r="U34" s="150">
        <f> -1 * U33</f>
        <v>-1022.45124974835</v>
      </c>
      <c r="V34" s="150">
        <f> -1 * V33</f>
        <v>-1011.455205072476</v>
      </c>
      <c r="W34" s="150">
        <f> -1 * W33</f>
        <v>-987.7339363272841</v>
      </c>
      <c r="X34" s="150">
        <f> -1 * X33</f>
        <v>-951.2515526641741</v>
      </c>
      <c r="Y34" s="150">
        <f> -1 * Y33</f>
        <v>-937.4657902431668</v>
      </c>
      <c r="Z34" s="150">
        <f> -1 * Z33</f>
        <v>-924.1928319115848</v>
      </c>
      <c r="AA34" s="150">
        <f> -1 * AA33</f>
        <v>-899.1014364956827</v>
      </c>
      <c r="AB34" s="150">
        <f> -1 * AB33</f>
        <v>-866.8476411506488</v>
      </c>
      <c r="AC34" s="150">
        <f> -1 * AC33</f>
        <v>-850.724576191792</v>
      </c>
      <c r="AD34" s="150">
        <f> -1 * AD33</f>
        <v>-835.0230492759346</v>
      </c>
      <c r="AE34" s="150">
        <f> -1 * AE33</f>
        <v>-806.1789234433378</v>
      </c>
      <c r="AF34" s="150">
        <f> -1 * AF33</f>
        <v>-767.3608061747975</v>
      </c>
      <c r="AG34" s="150">
        <f> -1 * AG33</f>
        <v>-744.9244832964843</v>
      </c>
      <c r="AH34" s="150">
        <f> -1 * AH33</f>
        <v>-722.6473865920761</v>
      </c>
      <c r="AI34" s="150">
        <f> -1 * AI33</f>
        <v>-690.2632423688086</v>
      </c>
      <c r="AJ34" s="150">
        <f> -1 * AJ33</f>
        <v>-655.2932068007933</v>
      </c>
      <c r="AK34" s="150">
        <f> -1 * AK33</f>
        <v>-622.0110435226146</v>
      </c>
      <c r="AL34" s="150">
        <f> -1 * AL33</f>
        <v>-595.9810497452943</v>
      </c>
      <c r="AM34" s="150">
        <f> -1 * AM33</f>
        <v>-560.976958632306</v>
      </c>
      <c r="AN34" s="150">
        <f> -1 * AN33</f>
        <v>-520.5073824139486</v>
      </c>
      <c r="AO34" s="150">
        <f> -1 * AO33</f>
        <v>-486.6080907864231</v>
      </c>
      <c r="AP34" s="150">
        <f> -1 * AP33</f>
        <v>-452.448607895098</v>
      </c>
      <c r="AQ34" s="150">
        <f> -1 * AQ33</f>
        <v>-410.5801518944192</v>
      </c>
      <c r="AR34" s="150">
        <f> -1 * AR33</f>
        <v>-368.7179042679119</v>
      </c>
      <c r="AS34" s="150">
        <f> -1 * AS33</f>
        <v>-329.7441889419465</v>
      </c>
      <c r="AT34" s="150">
        <f> -1 * AT33</f>
        <v>-290.3588216915634</v>
      </c>
      <c r="AU34" s="150">
        <f> -1 * AU33</f>
        <v>-244.82106277997036</v>
      </c>
      <c r="AV34" s="150">
        <f> -1 * AV33</f>
        <v>-195.71059734642063</v>
      </c>
      <c r="AW34" s="150">
        <f> -1 * AW33</f>
        <v>-151.061482820652</v>
      </c>
      <c r="AX34" s="150">
        <f> -1 * AX33</f>
        <v>-105.83094829394302</v>
      </c>
      <c r="AY34" s="150">
        <f> -1 * AY33</f>
        <v>-53.411667132267425</v>
      </c>
      <c r="AZ34" s="150">
        <f> -1 * AZ33</f>
        <v>8.293644289854759e-13</v>
      </c>
      <c r="BA34" s="150">
        <f> -1 * BA33</f>
        <v>8.45446647911047e-13</v>
      </c>
      <c r="BB34" s="150">
        <f> -1 * BB33</f>
        <v>8.712633605471219e-13</v>
      </c>
      <c r="BC34" s="150">
        <f> -1 * BC33</f>
        <v>8.882455727841483e-13</v>
      </c>
      <c r="BD34" s="150">
        <f> -1 * BD33</f>
        <v>8.858248810782617e-13</v>
      </c>
      <c r="BE34" s="150">
        <f> -1 * BE33</f>
        <v>9.126502939520154e-13</v>
      </c>
      <c r="BF34" s="150">
        <f> -1 * BF33</f>
        <v>9.403218354243942e-13</v>
      </c>
      <c r="BG34" s="150">
        <f> -1 * BG33</f>
        <v>9.584511856607709e-13</v>
      </c>
      <c r="BH34" s="150">
        <f> -1 * BH33</f>
        <v>9.556451261885508e-13</v>
      </c>
      <c r="BI34" s="150">
        <f> -1 * BI33</f>
        <v>9.84393504979717e-13</v>
      </c>
      <c r="BJ34" s="150">
        <f> -1 * BJ33</f>
        <v>1.0140451678363153e-12</v>
      </c>
      <c r="BK34" s="150">
        <f> -1 * BK33</f>
        <v>1.033399144538868e-12</v>
      </c>
      <c r="BL34" s="150">
        <f> -1 * BL33</f>
        <v>1.0301816859445451e-12</v>
      </c>
      <c r="BM34" s="150">
        <f> -1 * BM33</f>
        <v>1.0609829258189909e-12</v>
      </c>
      <c r="BN34" s="150">
        <f> -1 * BN33</f>
        <v>1.092748466042331e-12</v>
      </c>
      <c r="BO34" s="150">
        <f> -1 * BO33</f>
        <v>1.1134097919761945e-12</v>
      </c>
      <c r="BP34" s="150">
        <f> -1 * BP33</f>
        <v>1.1220837349963825e-12</v>
      </c>
      <c r="BQ34" s="150">
        <f> -1 * BQ33</f>
        <v>1.1429754947415495e-12</v>
      </c>
      <c r="BR34" s="150">
        <f> -1 * BR33</f>
        <v>1.1770040398784547e-12</v>
      </c>
      <c r="BS34" s="150">
        <f> -1 * BS33</f>
        <v>1.1990649445110405e-12</v>
      </c>
      <c r="BT34" s="150">
        <f> -1 * BT33</f>
        <v>1.1949381247320879e-12</v>
      </c>
      <c r="BU34" s="150">
        <f> -1 * BU33</f>
        <v>1.2302770315248071e-12</v>
      </c>
      <c r="BV34" s="150">
        <f> -1 * BV33</f>
        <v>1.2667151097364587e-12</v>
      </c>
      <c r="BW34" s="150">
        <f> -1 * BW33</f>
        <v>1.2902662149183525e-12</v>
      </c>
      <c r="BX34" s="150">
        <f> -1 * BX33</f>
        <v>1.2856387794703161e-12</v>
      </c>
      <c r="BY34" s="150">
        <f> -1 * BY33</f>
        <v>1.3234757334622841e-12</v>
      </c>
      <c r="BZ34" s="150">
        <f> -1 * BZ33</f>
        <v>1.3624861072269829e-12</v>
      </c>
      <c r="CA34" s="150">
        <f> -1 * CA33</f>
        <v>1.3876280750894138e-12</v>
      </c>
      <c r="CB34" s="150">
        <f> -1 * CB33</f>
        <v>1.3824662076915255e-12</v>
      </c>
      <c r="CC34" s="150">
        <f> -1 * CC33</f>
        <v>1.4229699504357526e-12</v>
      </c>
      <c r="CD34" s="150">
        <f> -1 * CD33</f>
        <v>1.464726376737175e-12</v>
      </c>
      <c r="CE34" s="150">
        <f> -1 * CE33</f>
        <v>1.4915666690764695e-12</v>
      </c>
      <c r="CF34" s="150">
        <f> -1 * CF33</f>
        <v>1.5023435388365228e-12</v>
      </c>
      <c r="CG34" s="150">
        <f> -1 * CG33</f>
        <v>1.5294831784142299e-12</v>
      </c>
      <c r="CH34" s="150">
        <f> -1 * CH33</f>
        <v>1.5741793828131364e-12</v>
      </c>
      <c r="CI34" s="150">
        <f> -1 * CI33</f>
        <v>1.6028378111978039e-12</v>
      </c>
      <c r="CJ34" s="150">
        <f> -1 * CJ33</f>
        <v>1.5964946294875815e-12</v>
      </c>
      <c r="CK34" s="150">
        <f> -1 * CK33</f>
        <v>1.6428930716821085e-12</v>
      </c>
      <c r="CL34" s="150">
        <f> -1 * CL33</f>
        <v>1.69071940298257e-12</v>
      </c>
      <c r="CM34" s="150">
        <f> -1 * CM33</f>
        <v>1.7213136905911632e-12</v>
      </c>
      <c r="CN34" s="150">
        <f> -1 * CN33</f>
        <v>1.7143201793255752e-12</v>
      </c>
      <c r="CO34" s="150">
        <f> -1 * CO33</f>
        <v>1.7639637335385567e-12</v>
      </c>
    </row>
    <row r="37">
      <c r="A37" s="294" t="inlineStr">
        <is>
          <t>SENIOR DEBT BALANCE</t>
        </is>
      </c>
    </row>
    <row r="38" customFormat="1" s="182"/>
    <row r="39" customFormat="1" s="100">
      <c r="A39" s="177" t="n"/>
      <c r="B39" s="177" t="n"/>
      <c r="C39" s="178" t="n"/>
      <c r="D39" s="179" t="n"/>
      <c r="E39" s="182" t="str">
        <f> E$11</f>
        <v>Senior debt - Initial balance</v>
      </c>
      <c r="F39" s="182">
        <f> F$11</f>
        <v>72154.22476191197</v>
      </c>
      <c r="G39" s="182" t="str">
        <f> G$11</f>
        <v>$ 000s</v>
      </c>
    </row>
    <row r="40" customFormat="1" s="61">
      <c r="A40" s="294" t="n"/>
      <c r="B40" s="294" t="n"/>
      <c r="C40" s="212" t="n"/>
      <c r="D40" s="244" t="n"/>
      <c r="E40" s="325" t="str">
        <f> Time!E$45</f>
        <v>Acquisition / initial balance date flag</v>
      </c>
      <c r="F40" s="325">
        <f> Time!F$45</f>
        <v>0.0</v>
      </c>
      <c r="G40" s="325" t="str">
        <f> Time!G$45</f>
        <v>flag</v>
      </c>
      <c r="H40" s="325">
        <f> Time!H$45</f>
        <v>1.0</v>
      </c>
      <c r="I40" s="325">
        <f> Time!I$45</f>
        <v>0.0</v>
      </c>
      <c r="J40" s="325">
        <f> Time!J$45</f>
        <v>0.0</v>
      </c>
      <c r="K40" s="325">
        <f> Time!K$45</f>
        <v>1.0</v>
      </c>
      <c r="L40" s="325">
        <f> Time!L$45</f>
        <v>0.0</v>
      </c>
      <c r="M40" s="325">
        <f> Time!M$45</f>
        <v>0.0</v>
      </c>
      <c r="N40" s="325">
        <f> Time!N$45</f>
        <v>0.0</v>
      </c>
      <c r="O40" s="325">
        <f> Time!O$45</f>
        <v>0.0</v>
      </c>
      <c r="P40" s="325">
        <f> Time!P$45</f>
        <v>0.0</v>
      </c>
      <c r="Q40" s="325">
        <f> Time!Q$45</f>
        <v>0.0</v>
      </c>
      <c r="R40" s="325">
        <f> Time!R$45</f>
        <v>0.0</v>
      </c>
      <c r="S40" s="325">
        <f> Time!S$45</f>
        <v>0.0</v>
      </c>
      <c r="T40" s="325">
        <f> Time!T$45</f>
        <v>0.0</v>
      </c>
      <c r="U40" s="325">
        <f> Time!U$45</f>
        <v>0.0</v>
      </c>
      <c r="V40" s="325">
        <f> Time!V$45</f>
        <v>0.0</v>
      </c>
      <c r="W40" s="325">
        <f> Time!W$45</f>
        <v>0.0</v>
      </c>
      <c r="X40" s="325">
        <f> Time!X$45</f>
        <v>0.0</v>
      </c>
      <c r="Y40" s="325">
        <f> Time!Y$45</f>
        <v>0.0</v>
      </c>
      <c r="Z40" s="325">
        <f> Time!Z$45</f>
        <v>0.0</v>
      </c>
      <c r="AA40" s="325">
        <f> Time!AA$45</f>
        <v>0.0</v>
      </c>
      <c r="AB40" s="325">
        <f> Time!AB$45</f>
        <v>0.0</v>
      </c>
      <c r="AC40" s="325">
        <f> Time!AC$45</f>
        <v>0.0</v>
      </c>
      <c r="AD40" s="325">
        <f> Time!AD$45</f>
        <v>0.0</v>
      </c>
      <c r="AE40" s="325">
        <f> Time!AE$45</f>
        <v>0.0</v>
      </c>
      <c r="AF40" s="325">
        <f> Time!AF$45</f>
        <v>0.0</v>
      </c>
      <c r="AG40" s="325">
        <f> Time!AG$45</f>
        <v>0.0</v>
      </c>
      <c r="AH40" s="325">
        <f> Time!AH$45</f>
        <v>0.0</v>
      </c>
      <c r="AI40" s="325">
        <f> Time!AI$45</f>
        <v>0.0</v>
      </c>
      <c r="AJ40" s="325">
        <f> Time!AJ$45</f>
        <v>0.0</v>
      </c>
      <c r="AK40" s="325">
        <f> Time!AK$45</f>
        <v>0.0</v>
      </c>
      <c r="AL40" s="325">
        <f> Time!AL$45</f>
        <v>0.0</v>
      </c>
      <c r="AM40" s="325">
        <f> Time!AM$45</f>
        <v>0.0</v>
      </c>
      <c r="AN40" s="325">
        <f> Time!AN$45</f>
        <v>0.0</v>
      </c>
      <c r="AO40" s="325">
        <f> Time!AO$45</f>
        <v>0.0</v>
      </c>
      <c r="AP40" s="325">
        <f> Time!AP$45</f>
        <v>0.0</v>
      </c>
      <c r="AQ40" s="325">
        <f> Time!AQ$45</f>
        <v>0.0</v>
      </c>
      <c r="AR40" s="325">
        <f> Time!AR$45</f>
        <v>0.0</v>
      </c>
      <c r="AS40" s="325">
        <f> Time!AS$45</f>
        <v>0.0</v>
      </c>
      <c r="AT40" s="325">
        <f> Time!AT$45</f>
        <v>0.0</v>
      </c>
      <c r="AU40" s="325">
        <f> Time!AU$45</f>
        <v>0.0</v>
      </c>
      <c r="AV40" s="325">
        <f> Time!AV$45</f>
        <v>0.0</v>
      </c>
      <c r="AW40" s="325">
        <f> Time!AW$45</f>
        <v>0.0</v>
      </c>
      <c r="AX40" s="325">
        <f> Time!AX$45</f>
        <v>0.0</v>
      </c>
      <c r="AY40" s="325">
        <f> Time!AY$45</f>
        <v>0.0</v>
      </c>
      <c r="AZ40" s="325">
        <f> Time!AZ$45</f>
        <v>0.0</v>
      </c>
      <c r="BA40" s="325">
        <f> Time!BA$45</f>
        <v>0.0</v>
      </c>
      <c r="BB40" s="325">
        <f> Time!BB$45</f>
        <v>0.0</v>
      </c>
      <c r="BC40" s="325">
        <f> Time!BC$45</f>
        <v>0.0</v>
      </c>
      <c r="BD40" s="325">
        <f> Time!BD$45</f>
        <v>0.0</v>
      </c>
      <c r="BE40" s="325">
        <f> Time!BE$45</f>
        <v>0.0</v>
      </c>
      <c r="BF40" s="325">
        <f> Time!BF$45</f>
        <v>0.0</v>
      </c>
      <c r="BG40" s="325">
        <f> Time!BG$45</f>
        <v>0.0</v>
      </c>
      <c r="BH40" s="325">
        <f> Time!BH$45</f>
        <v>0.0</v>
      </c>
      <c r="BI40" s="325">
        <f> Time!BI$45</f>
        <v>0.0</v>
      </c>
      <c r="BJ40" s="325">
        <f> Time!BJ$45</f>
        <v>0.0</v>
      </c>
      <c r="BK40" s="325">
        <f> Time!BK$45</f>
        <v>0.0</v>
      </c>
      <c r="BL40" s="325">
        <f> Time!BL$45</f>
        <v>0.0</v>
      </c>
      <c r="BM40" s="325">
        <f> Time!BM$45</f>
        <v>0.0</v>
      </c>
      <c r="BN40" s="325">
        <f> Time!BN$45</f>
        <v>0.0</v>
      </c>
      <c r="BO40" s="325">
        <f> Time!BO$45</f>
        <v>0.0</v>
      </c>
      <c r="BP40" s="325">
        <f> Time!BP$45</f>
        <v>0.0</v>
      </c>
      <c r="BQ40" s="325">
        <f> Time!BQ$45</f>
        <v>0.0</v>
      </c>
      <c r="BR40" s="325">
        <f> Time!BR$45</f>
        <v>0.0</v>
      </c>
      <c r="BS40" s="325">
        <f> Time!BS$45</f>
        <v>0.0</v>
      </c>
      <c r="BT40" s="325">
        <f> Time!BT$45</f>
        <v>0.0</v>
      </c>
      <c r="BU40" s="325">
        <f> Time!BU$45</f>
        <v>0.0</v>
      </c>
      <c r="BV40" s="325">
        <f> Time!BV$45</f>
        <v>0.0</v>
      </c>
      <c r="BW40" s="325">
        <f> Time!BW$45</f>
        <v>0.0</v>
      </c>
      <c r="BX40" s="325">
        <f> Time!BX$45</f>
        <v>0.0</v>
      </c>
      <c r="BY40" s="325">
        <f> Time!BY$45</f>
        <v>0.0</v>
      </c>
      <c r="BZ40" s="325">
        <f> Time!BZ$45</f>
        <v>0.0</v>
      </c>
      <c r="CA40" s="325">
        <f> Time!CA$45</f>
        <v>0.0</v>
      </c>
      <c r="CB40" s="325">
        <f> Time!CB$45</f>
        <v>0.0</v>
      </c>
      <c r="CC40" s="325">
        <f> Time!CC$45</f>
        <v>0.0</v>
      </c>
      <c r="CD40" s="325">
        <f> Time!CD$45</f>
        <v>0.0</v>
      </c>
      <c r="CE40" s="325">
        <f> Time!CE$45</f>
        <v>0.0</v>
      </c>
      <c r="CF40" s="325">
        <f> Time!CF$45</f>
        <v>0.0</v>
      </c>
      <c r="CG40" s="325">
        <f> Time!CG$45</f>
        <v>0.0</v>
      </c>
      <c r="CH40" s="325">
        <f> Time!CH$45</f>
        <v>0.0</v>
      </c>
      <c r="CI40" s="325">
        <f> Time!CI$45</f>
        <v>0.0</v>
      </c>
      <c r="CJ40" s="325">
        <f> Time!CJ$45</f>
        <v>0.0</v>
      </c>
      <c r="CK40" s="325">
        <f> Time!CK$45</f>
        <v>0.0</v>
      </c>
      <c r="CL40" s="325">
        <f> Time!CL$45</f>
        <v>0.0</v>
      </c>
      <c r="CM40" s="325">
        <f> Time!CM$45</f>
        <v>0.0</v>
      </c>
      <c r="CN40" s="325">
        <f> Time!CN$45</f>
        <v>0.0</v>
      </c>
      <c r="CO40" s="325">
        <f> Time!CO$45</f>
        <v>0.0</v>
      </c>
    </row>
    <row r="41" customFormat="1" s="61">
      <c r="A41" s="294" t="n"/>
      <c r="B41" s="294" t="n"/>
      <c r="C41" s="212" t="n"/>
      <c r="D41" s="244" t="n"/>
    </row>
    <row r="42" customFormat="1" s="183">
      <c r="A42" s="294" t="n"/>
      <c r="B42" s="294" t="n"/>
      <c r="C42" s="212" t="n"/>
      <c r="D42" s="244" t="n"/>
      <c r="E42" s="61" t="inlineStr">
        <is>
          <t>Senior debt balance BEG</t>
        </is>
      </c>
      <c r="G42" s="61" t="inlineStr">
        <is>
          <t>$ 000s</t>
        </is>
      </c>
      <c r="J42" s="61">
        <f> I45</f>
        <v>0.0</v>
      </c>
      <c r="K42" s="61">
        <f> J45</f>
        <v>0.0</v>
      </c>
      <c r="L42" s="61">
        <f> K45</f>
        <v>72154.22476191197</v>
      </c>
      <c r="M42" s="61">
        <f> L45</f>
        <v>71097.33586905799</v>
      </c>
      <c r="N42" s="61">
        <f> M45</f>
        <v>69948.44283596725</v>
      </c>
      <c r="O42" s="61">
        <f> N45</f>
        <v>68741.51807785485</v>
      </c>
      <c r="P42" s="61">
        <f> O45</f>
        <v>67593.88605233596</v>
      </c>
      <c r="Q42" s="61">
        <f> P45</f>
        <v>66345.82245960187</v>
      </c>
      <c r="R42" s="61">
        <f> Q45</f>
        <v>65162.623003507986</v>
      </c>
      <c r="S42" s="61">
        <f> R45</f>
        <v>63901.65665752882</v>
      </c>
      <c r="T42" s="61">
        <f> S45</f>
        <v>63588.84489366292</v>
      </c>
      <c r="U42" s="61">
        <f> T45</f>
        <v>62228.64749102384</v>
      </c>
      <c r="V42" s="61">
        <f> U45</f>
        <v>60890.279904028655</v>
      </c>
      <c r="W42" s="61">
        <f> V45</f>
        <v>59462.24365849871</v>
      </c>
      <c r="X42" s="61">
        <f> W45</f>
        <v>58538.5570870261</v>
      </c>
      <c r="Y42" s="61">
        <f> X45</f>
        <v>57056.24420753001</v>
      </c>
      <c r="Z42" s="61">
        <f> Y45</f>
        <v>55637.02667026263</v>
      </c>
      <c r="AA42" s="61">
        <f> Z45</f>
        <v>54126.50788268324</v>
      </c>
      <c r="AB42" s="61">
        <f> AA45</f>
        <v>53344.470224655306</v>
      </c>
      <c r="AC42" s="61">
        <f> AB45</f>
        <v>51776.98181387069</v>
      </c>
      <c r="AD42" s="61">
        <f> AC45</f>
        <v>50268.94611025693</v>
      </c>
      <c r="AE42" s="61">
        <f> AD45</f>
        <v>48532.51044140495</v>
      </c>
      <c r="AF42" s="61">
        <f> AE45</f>
        <v>47222.20345691062</v>
      </c>
      <c r="AG42" s="61">
        <f> AF45</f>
        <v>45337.75384391113</v>
      </c>
      <c r="AH42" s="61">
        <f> AG45</f>
        <v>43503.856049021306</v>
      </c>
      <c r="AI42" s="61">
        <f> AH45</f>
        <v>41554.30890514567</v>
      </c>
      <c r="AJ42" s="61">
        <f> AI45</f>
        <v>39882.59584924524</v>
      </c>
      <c r="AK42" s="61">
        <f> AJ45</f>
        <v>37856.96968184975</v>
      </c>
      <c r="AL42" s="61">
        <f> AK45</f>
        <v>35878.45784419832</v>
      </c>
      <c r="AM42" s="61">
        <f> AL45</f>
        <v>33771.18814508866</v>
      </c>
      <c r="AN42" s="61">
        <f> AM45</f>
        <v>32031.223533166063</v>
      </c>
      <c r="AO42" s="61">
        <f> AN45</f>
        <v>29616.04610027258</v>
      </c>
      <c r="AP42" s="61">
        <f> AO45</f>
        <v>27237.708836494196</v>
      </c>
      <c r="AQ42" s="61">
        <f> AP45</f>
        <v>24717.199779597144</v>
      </c>
      <c r="AR42" s="61">
        <f> AQ45</f>
        <v>22690.332570333037</v>
      </c>
      <c r="AS42" s="61">
        <f> AR45</f>
        <v>20068.961626221597</v>
      </c>
      <c r="AT42" s="61">
        <f> AS45</f>
        <v>17479.795285779735</v>
      </c>
      <c r="AU42" s="61">
        <f> AT45</f>
        <v>14738.39173926243</v>
      </c>
      <c r="AV42" s="61">
        <f> AU45</f>
        <v>12043.729067472039</v>
      </c>
      <c r="AW42" s="61">
        <f> AV45</f>
        <v>9193.93640159505</v>
      </c>
      <c r="AX42" s="61">
        <f> AW45</f>
        <v>6371.093877227339</v>
      </c>
      <c r="AY42" s="61">
        <f> AX45</f>
        <v>3215.418088230146</v>
      </c>
      <c r="AZ42" s="61">
        <f> AY45</f>
        <v>-5.047695594839752e-11</v>
      </c>
      <c r="BA42" s="61">
        <f> AZ45</f>
        <v>-5.1455755409632617e-11</v>
      </c>
      <c r="BB42" s="61">
        <f> BA45</f>
        <v>-5.245063708979329e-11</v>
      </c>
      <c r="BC42" s="61">
        <f> BB45</f>
        <v>-5.347297762580157e-11</v>
      </c>
      <c r="BD42" s="61">
        <f> BC45</f>
        <v>-5.4512300374046876e-11</v>
      </c>
      <c r="BE42" s="61">
        <f> BD45</f>
        <v>-5.554591814416323e-11</v>
      </c>
      <c r="BF42" s="61">
        <f> BE45</f>
        <v>-5.660800347036487e-11</v>
      </c>
      <c r="BG42" s="61">
        <f> BF45</f>
        <v>-5.7699402481250426e-11</v>
      </c>
      <c r="BH42" s="61">
        <f> BG45</f>
        <v>-5.880893084237236e-11</v>
      </c>
      <c r="BI42" s="61">
        <f> BH45</f>
        <v>-5.9912368857599e-11</v>
      </c>
      <c r="BJ42" s="61">
        <f> BI45</f>
        <v>-6.104619739482834e-11</v>
      </c>
      <c r="BK42" s="61">
        <f> BJ45</f>
        <v>-6.221131973812582e-11</v>
      </c>
      <c r="BL42" s="61">
        <f> BK45</f>
        <v>-6.339579605812585e-11</v>
      </c>
      <c r="BM42" s="61">
        <f> BL45</f>
        <v>-6.457377063310849e-11</v>
      </c>
      <c r="BN42" s="61">
        <f> BM45</f>
        <v>-6.578418859117711e-11</v>
      </c>
      <c r="BO42" s="61">
        <f> BN45</f>
        <v>-6.70280142326806e-11</v>
      </c>
      <c r="BP42" s="61">
        <f> BO45</f>
        <v>-6.829250120011795e-11</v>
      </c>
      <c r="BQ42" s="61">
        <f> BP45</f>
        <v>-6.956401996736396e-11</v>
      </c>
      <c r="BR42" s="61">
        <f> BQ45</f>
        <v>-7.085643049435513e-11</v>
      </c>
      <c r="BS42" s="61">
        <f> BR45</f>
        <v>-7.218451170969474e-11</v>
      </c>
      <c r="BT42" s="61">
        <f> BS45</f>
        <v>-7.353465382966694e-11</v>
      </c>
      <c r="BU42" s="61">
        <f> BT45</f>
        <v>-7.487738484343712e-11</v>
      </c>
      <c r="BV42" s="61">
        <f> BU45</f>
        <v>-7.625709690721156e-11</v>
      </c>
      <c r="BW42" s="61">
        <f> BV45</f>
        <v>-7.767488919240918e-11</v>
      </c>
      <c r="BX42" s="61">
        <f> BW45</f>
        <v>-7.911623258278868e-11</v>
      </c>
      <c r="BY42" s="61">
        <f> BX45</f>
        <v>-8.054966425129709e-11</v>
      </c>
      <c r="BZ42" s="61">
        <f> BY45</f>
        <v>-8.2022575017009e-11</v>
      </c>
      <c r="CA42" s="61">
        <f> BZ45</f>
        <v>-8.353613829969715e-11</v>
      </c>
      <c r="CB42" s="61">
        <f> CA45</f>
        <v>-8.507484355024772e-11</v>
      </c>
      <c r="CC42" s="61">
        <f> CB45</f>
        <v>-8.660510264697734e-11</v>
      </c>
      <c r="CD42" s="61">
        <f> CC45</f>
        <v>-8.817750762966272e-11</v>
      </c>
      <c r="CE42" s="61">
        <f> CD45</f>
        <v>-8.979331118186105e-11</v>
      </c>
      <c r="CF42" s="61">
        <f> CE45</f>
        <v>-9.143595502639868e-11</v>
      </c>
      <c r="CG42" s="61">
        <f> CF45</f>
        <v>-9.308773359748482e-11</v>
      </c>
      <c r="CH42" s="61">
        <f> CG45</f>
        <v>-9.476665180814868e-11</v>
      </c>
      <c r="CI42" s="61">
        <f> CH45</f>
        <v>-9.649190836642298e-11</v>
      </c>
      <c r="CJ42" s="61">
        <f> CI45</f>
        <v>-9.824582335308194e-11</v>
      </c>
      <c r="CK42" s="61">
        <f> CJ45</f>
        <v>-9.999011087160761e-11</v>
      </c>
      <c r="CL42" s="61">
        <f> CK45</f>
        <v>-1.0178243897553934e-10</v>
      </c>
      <c r="CM42" s="61">
        <f> CL45</f>
        <v>-1.0362423555398307e-10</v>
      </c>
      <c r="CN42" s="61">
        <f> CM45</f>
        <v>-1.0549662642003539e-10</v>
      </c>
      <c r="CO42" s="61">
        <f> CN45</f>
        <v>-1.0735873948839905e-10</v>
      </c>
    </row>
    <row r="43" customFormat="1" s="183">
      <c r="A43" s="294" t="n"/>
      <c r="B43" s="294" t="n"/>
      <c r="C43" s="212" t="n"/>
      <c r="D43" s="244" t="inlineStr">
        <is>
          <t>plus</t>
        </is>
      </c>
      <c r="E43" s="183" t="str">
        <f>InpS!E$22</f>
        <v>Senior debt - additional drawdown</v>
      </c>
      <c r="F43" s="0">
        <f>InpS!F$22</f>
        <v>0.0</v>
      </c>
      <c r="G43" s="0" t="str">
        <f>InpS!G$22</f>
        <v>$ 000s</v>
      </c>
      <c r="H43" s="0">
        <f>SUM(J43:CO43)</f>
        <v>0.0</v>
      </c>
      <c r="J43" s="0">
        <f>InpS!J$22</f>
        <v>0.0</v>
      </c>
      <c r="K43" s="0">
        <f>InpS!K$22</f>
        <v>0.0</v>
      </c>
      <c r="L43" s="0">
        <f>InpS!L$22</f>
        <v>0.0</v>
      </c>
      <c r="M43" s="0">
        <f>InpS!M$22</f>
        <v>0.0</v>
      </c>
      <c r="N43" s="0">
        <f>InpS!N$22</f>
        <v>0.0</v>
      </c>
      <c r="O43" s="0">
        <f>InpS!O$22</f>
        <v>0.0</v>
      </c>
      <c r="P43" s="0">
        <f>InpS!P$22</f>
        <v>0.0</v>
      </c>
      <c r="Q43" s="0">
        <f>InpS!Q$22</f>
        <v>0.0</v>
      </c>
      <c r="R43" s="0">
        <f>InpS!R$22</f>
        <v>0.0</v>
      </c>
      <c r="S43" s="0">
        <f>InpS!S$22</f>
        <v>0.0</v>
      </c>
      <c r="T43" s="0">
        <f>InpS!T$22</f>
        <v>0.0</v>
      </c>
      <c r="U43" s="0">
        <f>InpS!U$22</f>
        <v>0.0</v>
      </c>
      <c r="V43" s="0">
        <f>InpS!V$22</f>
        <v>0.0</v>
      </c>
      <c r="W43" s="0">
        <f>InpS!W$22</f>
        <v>0.0</v>
      </c>
      <c r="X43" s="0">
        <f>InpS!X$22</f>
        <v>0.0</v>
      </c>
      <c r="Y43" s="0">
        <f>InpS!Y$22</f>
        <v>0.0</v>
      </c>
      <c r="Z43" s="0">
        <f>InpS!Z$22</f>
        <v>0.0</v>
      </c>
      <c r="AA43" s="0">
        <f>InpS!AA$22</f>
        <v>0.0</v>
      </c>
      <c r="AB43" s="0">
        <f>InpS!AB$22</f>
        <v>0.0</v>
      </c>
      <c r="AC43" s="0">
        <f>InpS!AC$22</f>
        <v>0.0</v>
      </c>
      <c r="AD43" s="0">
        <f>InpS!AD$22</f>
        <v>0.0</v>
      </c>
      <c r="AE43" s="0">
        <f>InpS!AE$22</f>
        <v>0.0</v>
      </c>
      <c r="AF43" s="0">
        <f>InpS!AF$22</f>
        <v>0.0</v>
      </c>
      <c r="AG43" s="0">
        <f>InpS!AG$22</f>
        <v>0.0</v>
      </c>
      <c r="AH43" s="0">
        <f>InpS!AH$22</f>
        <v>0.0</v>
      </c>
      <c r="AI43" s="0">
        <f>InpS!AI$22</f>
        <v>0.0</v>
      </c>
      <c r="AJ43" s="0">
        <f>InpS!AJ$22</f>
        <v>0.0</v>
      </c>
      <c r="AK43" s="0">
        <f>InpS!AK$22</f>
        <v>0.0</v>
      </c>
      <c r="AL43" s="0">
        <f>InpS!AL$22</f>
        <v>0.0</v>
      </c>
      <c r="AM43" s="0">
        <f>InpS!AM$22</f>
        <v>0.0</v>
      </c>
      <c r="AN43" s="0">
        <f>InpS!AN$22</f>
        <v>0.0</v>
      </c>
      <c r="AO43" s="0">
        <f>InpS!AO$22</f>
        <v>0.0</v>
      </c>
      <c r="AP43" s="0">
        <f>InpS!AP$22</f>
        <v>0.0</v>
      </c>
      <c r="AQ43" s="0">
        <f>InpS!AQ$22</f>
        <v>0.0</v>
      </c>
      <c r="AR43" s="0">
        <f>InpS!AR$22</f>
        <v>0.0</v>
      </c>
      <c r="AS43" s="0">
        <f>InpS!AS$22</f>
        <v>0.0</v>
      </c>
      <c r="AT43" s="0">
        <f>InpS!AT$22</f>
        <v>0.0</v>
      </c>
      <c r="AU43" s="0">
        <f>InpS!AU$22</f>
        <v>0.0</v>
      </c>
      <c r="AV43" s="0">
        <f>InpS!AV$22</f>
        <v>0.0</v>
      </c>
      <c r="AW43" s="0">
        <f>InpS!AW$22</f>
        <v>0.0</v>
      </c>
      <c r="AX43" s="0">
        <f>InpS!AX$22</f>
        <v>0.0</v>
      </c>
      <c r="AY43" s="0">
        <f>InpS!AY$22</f>
        <v>0.0</v>
      </c>
      <c r="AZ43" s="0">
        <f>InpS!AZ$22</f>
        <v>0.0</v>
      </c>
      <c r="BA43" s="0">
        <f>InpS!BA$22</f>
        <v>0.0</v>
      </c>
      <c r="BB43" s="0">
        <f>InpS!BB$22</f>
        <v>0.0</v>
      </c>
      <c r="BC43" s="0">
        <f>InpS!BC$22</f>
        <v>0.0</v>
      </c>
      <c r="BD43" s="0">
        <f>InpS!BD$22</f>
        <v>0.0</v>
      </c>
      <c r="BE43" s="0">
        <f>InpS!BE$22</f>
        <v>0.0</v>
      </c>
      <c r="BF43" s="0">
        <f>InpS!BF$22</f>
        <v>0.0</v>
      </c>
      <c r="BG43" s="0">
        <f>InpS!BG$22</f>
        <v>0.0</v>
      </c>
      <c r="BH43" s="0">
        <f>InpS!BH$22</f>
        <v>0.0</v>
      </c>
      <c r="BI43" s="0">
        <f>InpS!BI$22</f>
        <v>0.0</v>
      </c>
      <c r="BJ43" s="0">
        <f>InpS!BJ$22</f>
        <v>0.0</v>
      </c>
      <c r="BK43" s="0">
        <f>InpS!BK$22</f>
        <v>0.0</v>
      </c>
      <c r="BL43" s="0">
        <f>InpS!BL$22</f>
        <v>0.0</v>
      </c>
      <c r="BM43" s="0">
        <f>InpS!BM$22</f>
        <v>0.0</v>
      </c>
      <c r="BN43" s="0">
        <f>InpS!BN$22</f>
        <v>0.0</v>
      </c>
      <c r="BO43" s="0">
        <f>InpS!BO$22</f>
        <v>0.0</v>
      </c>
      <c r="BP43" s="0">
        <f>InpS!BP$22</f>
        <v>0.0</v>
      </c>
      <c r="BQ43" s="0">
        <f>InpS!BQ$22</f>
        <v>0.0</v>
      </c>
      <c r="BR43" s="0">
        <f>InpS!BR$22</f>
        <v>0.0</v>
      </c>
      <c r="BS43" s="0">
        <f>InpS!BS$22</f>
        <v>0.0</v>
      </c>
      <c r="BT43" s="0">
        <f>InpS!BT$22</f>
        <v>0.0</v>
      </c>
      <c r="BU43" s="0">
        <f>InpS!BU$22</f>
        <v>0.0</v>
      </c>
      <c r="BV43" s="0">
        <f>InpS!BV$22</f>
        <v>0.0</v>
      </c>
      <c r="BW43" s="0">
        <f>InpS!BW$22</f>
        <v>0.0</v>
      </c>
      <c r="BX43" s="0">
        <f>InpS!BX$22</f>
        <v>0.0</v>
      </c>
      <c r="BY43" s="0">
        <f>InpS!BY$22</f>
        <v>0.0</v>
      </c>
      <c r="BZ43" s="0">
        <f>InpS!BZ$22</f>
        <v>0.0</v>
      </c>
      <c r="CA43" s="0">
        <f>InpS!CA$22</f>
        <v>0.0</v>
      </c>
      <c r="CB43" s="0">
        <f>InpS!CB$22</f>
        <v>0.0</v>
      </c>
      <c r="CC43" s="0">
        <f>InpS!CC$22</f>
        <v>0.0</v>
      </c>
      <c r="CD43" s="0">
        <f>InpS!CD$22</f>
        <v>0.0</v>
      </c>
      <c r="CE43" s="0">
        <f>InpS!CE$22</f>
        <v>0.0</v>
      </c>
      <c r="CF43" s="0">
        <f>InpS!CF$22</f>
        <v>0.0</v>
      </c>
      <c r="CG43" s="0">
        <f>InpS!CG$22</f>
        <v>0.0</v>
      </c>
      <c r="CH43" s="0">
        <f>InpS!CH$22</f>
        <v>0.0</v>
      </c>
      <c r="CI43" s="0">
        <f>InpS!CI$22</f>
        <v>0.0</v>
      </c>
      <c r="CJ43" s="0">
        <f>InpS!CJ$22</f>
        <v>0.0</v>
      </c>
      <c r="CK43" s="0">
        <f>InpS!CK$22</f>
        <v>0.0</v>
      </c>
      <c r="CL43" s="0">
        <f>InpS!CL$22</f>
        <v>0.0</v>
      </c>
      <c r="CM43" s="0">
        <f>InpS!CM$22</f>
        <v>0.0</v>
      </c>
      <c r="CN43" s="0">
        <f>InpS!CN$22</f>
        <v>0.0</v>
      </c>
      <c r="CO43" s="0">
        <f>InpS!CO$22</f>
        <v>0.0</v>
      </c>
    </row>
    <row r="44" customFormat="1" s="322">
      <c r="A44" s="294" t="n"/>
      <c r="B44" s="294" t="n"/>
      <c r="C44" s="212" t="n"/>
      <c r="D44" s="244" t="inlineStr">
        <is>
          <t>less</t>
        </is>
      </c>
      <c r="E44" s="61" t="str">
        <f> E$22</f>
        <v>Senior debt principal repayment POS</v>
      </c>
      <c r="F44" s="61">
        <f> F$22</f>
        <v>0.0</v>
      </c>
      <c r="G44" s="61" t="str">
        <f> G$22</f>
        <v>$ 000s</v>
      </c>
      <c r="H44" s="61">
        <f> H$22</f>
        <v>72154.22476191209</v>
      </c>
      <c r="I44" s="61">
        <f> I$22</f>
        <v>0.0</v>
      </c>
      <c r="J44" s="61">
        <f> J$22</f>
        <v>0.0</v>
      </c>
      <c r="K44" s="61">
        <f> K$22</f>
        <v>0.0</v>
      </c>
      <c r="L44" s="61">
        <f> L$22</f>
        <v>1056.888892853977</v>
      </c>
      <c r="M44" s="61">
        <f> M$22</f>
        <v>1148.893033090748</v>
      </c>
      <c r="N44" s="61">
        <f> N$22</f>
        <v>1206.9247581123955</v>
      </c>
      <c r="O44" s="61">
        <f> O$22</f>
        <v>1147.6320255188957</v>
      </c>
      <c r="P44" s="61">
        <f> P$22</f>
        <v>1248.063592734087</v>
      </c>
      <c r="Q44" s="61">
        <f> Q$22</f>
        <v>1183.1994560938842</v>
      </c>
      <c r="R44" s="61">
        <f> R$22</f>
        <v>1260.966345979165</v>
      </c>
      <c r="S44" s="61">
        <f> S$22</f>
        <v>312.8117638659016</v>
      </c>
      <c r="T44" s="61">
        <f> T$22</f>
        <v>1360.1974026390815</v>
      </c>
      <c r="U44" s="61">
        <f> U$22</f>
        <v>1338.3675869951842</v>
      </c>
      <c r="V44" s="61">
        <f> V$22</f>
        <v>1428.036245529944</v>
      </c>
      <c r="W44" s="61">
        <f> W$22</f>
        <v>923.6865714726051</v>
      </c>
      <c r="X44" s="61">
        <f> X$22</f>
        <v>1482.3128794960858</v>
      </c>
      <c r="Y44" s="61">
        <f> Y$22</f>
        <v>1419.2175372673782</v>
      </c>
      <c r="Z44" s="61">
        <f> Z$22</f>
        <v>1510.5187875793956</v>
      </c>
      <c r="AA44" s="61">
        <f> AA$22</f>
        <v>782.0376580279303</v>
      </c>
      <c r="AB44" s="61">
        <f> AB$22</f>
        <v>1567.4884107846167</v>
      </c>
      <c r="AC44" s="61">
        <f> AC$22</f>
        <v>1508.0357036137598</v>
      </c>
      <c r="AD44" s="61">
        <f> AD$22</f>
        <v>1736.4356688519858</v>
      </c>
      <c r="AE44" s="61">
        <f> AE$22</f>
        <v>1310.3069844943284</v>
      </c>
      <c r="AF44" s="61">
        <f> AF$22</f>
        <v>1884.4496129994875</v>
      </c>
      <c r="AG44" s="61">
        <f> AG$22</f>
        <v>1833.897794889823</v>
      </c>
      <c r="AH44" s="61">
        <f> AH$22</f>
        <v>1949.547143875639</v>
      </c>
      <c r="AI44" s="61">
        <f> AI$22</f>
        <v>1671.7130559004256</v>
      </c>
      <c r="AJ44" s="61">
        <f> AJ$22</f>
        <v>2025.6261673954964</v>
      </c>
      <c r="AK44" s="61">
        <f> AK$22</f>
        <v>1978.5118376514288</v>
      </c>
      <c r="AL44" s="61">
        <f> AL$22</f>
        <v>2107.2696991096614</v>
      </c>
      <c r="AM44" s="61">
        <f> AM$22</f>
        <v>1739.9646119225959</v>
      </c>
      <c r="AN44" s="61">
        <f> AN$22</f>
        <v>2415.177432893484</v>
      </c>
      <c r="AO44" s="61">
        <f> AO$22</f>
        <v>2378.3372637783823</v>
      </c>
      <c r="AP44" s="61">
        <f> AP$22</f>
        <v>2520.5090568970522</v>
      </c>
      <c r="AQ44" s="61">
        <f> AQ$22</f>
        <v>2026.8672092641057</v>
      </c>
      <c r="AR44" s="61">
        <f> AR$22</f>
        <v>2621.3709441114406</v>
      </c>
      <c r="AS44" s="61">
        <f> AS$22</f>
        <v>2589.1663404418628</v>
      </c>
      <c r="AT44" s="61">
        <f> AT$22</f>
        <v>2741.403546517306</v>
      </c>
      <c r="AU44" s="61">
        <f> AU$22</f>
        <v>2694.662671790391</v>
      </c>
      <c r="AV44" s="61">
        <f> AV$22</f>
        <v>2849.792665876988</v>
      </c>
      <c r="AW44" s="61">
        <f> AW$22</f>
        <v>2822.842524367711</v>
      </c>
      <c r="AX44" s="61">
        <f> AX$22</f>
        <v>3155.675788997193</v>
      </c>
      <c r="AY44" s="61">
        <f> AY$22</f>
        <v>3215.4180882301966</v>
      </c>
      <c r="AZ44" s="61">
        <f> AZ$22</f>
        <v>9.78799461235101e-13</v>
      </c>
      <c r="BA44" s="61">
        <f> BA$22</f>
        <v>9.948816801606723e-13</v>
      </c>
      <c r="BB44" s="61">
        <f> BB$22</f>
        <v>1.0223405360082815e-12</v>
      </c>
      <c r="BC44" s="61">
        <f> BC$22</f>
        <v>1.0393227482453078e-12</v>
      </c>
      <c r="BD44" s="61">
        <f> BD$22</f>
        <v>1.0336177701163526e-12</v>
      </c>
      <c r="BE44" s="61">
        <f> BE$22</f>
        <v>1.0620853262016405e-12</v>
      </c>
      <c r="BF44" s="61">
        <f> BF$22</f>
        <v>1.0913990108855535e-12</v>
      </c>
      <c r="BG44" s="61">
        <f> BG$22</f>
        <v>1.1095283611219301e-12</v>
      </c>
      <c r="BH44" s="61">
        <f> BH$22</f>
        <v>1.1034380152266412e-12</v>
      </c>
      <c r="BI44" s="61">
        <f> BI$22</f>
        <v>1.1338285372293419e-12</v>
      </c>
      <c r="BJ44" s="61">
        <f> BJ$22</f>
        <v>1.1651223432974744e-12</v>
      </c>
      <c r="BK44" s="61">
        <f> BK$22</f>
        <v>1.1844763200000271e-12</v>
      </c>
      <c r="BL44" s="61">
        <f> BL$22</f>
        <v>1.1779745749826358e-12</v>
      </c>
      <c r="BM44" s="61">
        <f> BM$22</f>
        <v>1.210417958068616e-12</v>
      </c>
      <c r="BN44" s="61">
        <f> BN$22</f>
        <v>1.24382564150349e-12</v>
      </c>
      <c r="BO44" s="61">
        <f> BO$22</f>
        <v>1.2644869674373535e-12</v>
      </c>
      <c r="BP44" s="61">
        <f> BP$22</f>
        <v>1.2715187672460072e-12</v>
      </c>
      <c r="BQ44" s="61">
        <f> BQ$22</f>
        <v>1.2924105269911742e-12</v>
      </c>
      <c r="BR44" s="61">
        <f> BR$22</f>
        <v>1.3280812153396137e-12</v>
      </c>
      <c r="BS44" s="61">
        <f> BS$22</f>
        <v>1.3501421199721997e-12</v>
      </c>
      <c r="BT44" s="61">
        <f> BT$22</f>
        <v>1.3427310137701783e-12</v>
      </c>
      <c r="BU44" s="61">
        <f> BU$22</f>
        <v>1.379712063774432e-12</v>
      </c>
      <c r="BV44" s="61">
        <f> BV$22</f>
        <v>1.4177922851976178e-12</v>
      </c>
      <c r="BW44" s="61">
        <f> BW$22</f>
        <v>1.4413433903795116e-12</v>
      </c>
      <c r="BX44" s="61">
        <f> BX$22</f>
        <v>1.4334316685084066e-12</v>
      </c>
      <c r="BY44" s="61">
        <f> BY$22</f>
        <v>1.472910765711909e-12</v>
      </c>
      <c r="BZ44" s="61">
        <f> BZ$22</f>
        <v>1.513563282688142e-12</v>
      </c>
      <c r="CA44" s="61">
        <f> CA$22</f>
        <v>1.5387052505505726e-12</v>
      </c>
      <c r="CB44" s="61">
        <f> CB$22</f>
        <v>1.530259096729616e-12</v>
      </c>
      <c r="CC44" s="61">
        <f> CC$22</f>
        <v>1.5724049826853774e-12</v>
      </c>
      <c r="CD44" s="61">
        <f> CD$22</f>
        <v>1.6158035521983341e-12</v>
      </c>
      <c r="CE44" s="61">
        <f> CE$22</f>
        <v>1.6426438445376286e-12</v>
      </c>
      <c r="CF44" s="61">
        <f> CF$22</f>
        <v>1.6517785710861471e-12</v>
      </c>
      <c r="CG44" s="61">
        <f> CG$22</f>
        <v>1.6789182106638544e-12</v>
      </c>
      <c r="CH44" s="61">
        <f> CH$22</f>
        <v>1.7252565582742954e-12</v>
      </c>
      <c r="CI44" s="61">
        <f> CI$22</f>
        <v>1.7539149866589627e-12</v>
      </c>
      <c r="CJ44" s="61">
        <f> CJ$22</f>
        <v>1.744287518525672e-12</v>
      </c>
      <c r="CK44" s="61">
        <f> CK$22</f>
        <v>1.792328103931733e-12</v>
      </c>
      <c r="CL44" s="61">
        <f> CL$22</f>
        <v>1.841796578443729e-12</v>
      </c>
      <c r="CM44" s="61">
        <f> CM$22</f>
        <v>1.8723908660523222e-12</v>
      </c>
      <c r="CN44" s="61">
        <f> CN$22</f>
        <v>1.862113068363665e-12</v>
      </c>
      <c r="CO44" s="61">
        <f> CO$22</f>
        <v>1.913398765788181e-12</v>
      </c>
    </row>
    <row r="45" s="396">
      <c r="A45" s="318" t="n"/>
      <c r="B45" s="318" t="n"/>
      <c r="C45" s="319" t="n"/>
      <c r="D45" s="320" t="n"/>
      <c r="E45" s="322" t="inlineStr">
        <is>
          <t>Senior debt balance</t>
        </is>
      </c>
      <c r="F45" s="322" t="inlineStr">
        <is>
          <t>BS</t>
        </is>
      </c>
      <c r="G45" s="322" t="inlineStr">
        <is>
          <t>$ 000s</t>
        </is>
      </c>
      <c r="I45" s="323" t="n"/>
      <c r="J45" s="322">
        <f> IF(J40 = 1, $F39, J42 + J43 - J44)</f>
        <v>0.0</v>
      </c>
      <c r="K45" s="322">
        <f> IF(K40 = 1, $F39, K42 + K43 - K44)</f>
        <v>72154.22476191197</v>
      </c>
      <c r="L45" s="322">
        <f> IF(L40 = 1, $F39, L42 + L43 - L44)</f>
        <v>71097.33586905799</v>
      </c>
      <c r="M45" s="322">
        <f> IF(M40 = 1, $F39, M42 + M43 - M44)</f>
        <v>69948.44283596725</v>
      </c>
      <c r="N45" s="322">
        <f> IF(N40 = 1, $F39, N42 + N43 - N44)</f>
        <v>68741.51807785485</v>
      </c>
      <c r="O45" s="322">
        <f> IF(O40 = 1, $F39, O42 + O43 - O44)</f>
        <v>67593.88605233596</v>
      </c>
      <c r="P45" s="322">
        <f> IF(P40 = 1, $F39, P42 + P43 - P44)</f>
        <v>66345.82245960187</v>
      </c>
      <c r="Q45" s="322">
        <f> IF(Q40 = 1, $F39, Q42 + Q43 - Q44)</f>
        <v>65162.623003507986</v>
      </c>
      <c r="R45" s="322">
        <f> IF(R40 = 1, $F39, R42 + R43 - R44)</f>
        <v>63901.65665752882</v>
      </c>
      <c r="S45" s="322">
        <f> IF(S40 = 1, $F39, S42 + S43 - S44)</f>
        <v>63588.84489366292</v>
      </c>
      <c r="T45" s="322">
        <f> IF(T40 = 1, $F39, T42 + T43 - T44)</f>
        <v>62228.64749102384</v>
      </c>
      <c r="U45" s="322">
        <f> IF(U40 = 1, $F39, U42 + U43 - U44)</f>
        <v>60890.279904028655</v>
      </c>
      <c r="V45" s="322">
        <f> IF(V40 = 1, $F39, V42 + V43 - V44)</f>
        <v>59462.24365849871</v>
      </c>
      <c r="W45" s="322">
        <f> IF(W40 = 1, $F39, W42 + W43 - W44)</f>
        <v>58538.5570870261</v>
      </c>
      <c r="X45" s="322">
        <f> IF(X40 = 1, $F39, X42 + X43 - X44)</f>
        <v>57056.24420753001</v>
      </c>
      <c r="Y45" s="322">
        <f> IF(Y40 = 1, $F39, Y42 + Y43 - Y44)</f>
        <v>55637.02667026263</v>
      </c>
      <c r="Z45" s="322">
        <f> IF(Z40 = 1, $F39, Z42 + Z43 - Z44)</f>
        <v>54126.50788268324</v>
      </c>
      <c r="AA45" s="322">
        <f> IF(AA40 = 1, $F39, AA42 + AA43 - AA44)</f>
        <v>53344.470224655306</v>
      </c>
      <c r="AB45" s="322">
        <f> IF(AB40 = 1, $F39, AB42 + AB43 - AB44)</f>
        <v>51776.98181387069</v>
      </c>
      <c r="AC45" s="322">
        <f> IF(AC40 = 1, $F39, AC42 + AC43 - AC44)</f>
        <v>50268.94611025693</v>
      </c>
      <c r="AD45" s="322">
        <f> IF(AD40 = 1, $F39, AD42 + AD43 - AD44)</f>
        <v>48532.51044140495</v>
      </c>
      <c r="AE45" s="322">
        <f> IF(AE40 = 1, $F39, AE42 + AE43 - AE44)</f>
        <v>47222.20345691062</v>
      </c>
      <c r="AF45" s="322">
        <f> IF(AF40 = 1, $F39, AF42 + AF43 - AF44)</f>
        <v>45337.75384391113</v>
      </c>
      <c r="AG45" s="322">
        <f> IF(AG40 = 1, $F39, AG42 + AG43 - AG44)</f>
        <v>43503.856049021306</v>
      </c>
      <c r="AH45" s="322">
        <f> IF(AH40 = 1, $F39, AH42 + AH43 - AH44)</f>
        <v>41554.30890514567</v>
      </c>
      <c r="AI45" s="322">
        <f> IF(AI40 = 1, $F39, AI42 + AI43 - AI44)</f>
        <v>39882.59584924524</v>
      </c>
      <c r="AJ45" s="322">
        <f> IF(AJ40 = 1, $F39, AJ42 + AJ43 - AJ44)</f>
        <v>37856.96968184975</v>
      </c>
      <c r="AK45" s="322">
        <f> IF(AK40 = 1, $F39, AK42 + AK43 - AK44)</f>
        <v>35878.45784419832</v>
      </c>
      <c r="AL45" s="322">
        <f> IF(AL40 = 1, $F39, AL42 + AL43 - AL44)</f>
        <v>33771.18814508866</v>
      </c>
      <c r="AM45" s="322">
        <f> IF(AM40 = 1, $F39, AM42 + AM43 - AM44)</f>
        <v>32031.223533166063</v>
      </c>
      <c r="AN45" s="322">
        <f> IF(AN40 = 1, $F39, AN42 + AN43 - AN44)</f>
        <v>29616.04610027258</v>
      </c>
      <c r="AO45" s="322">
        <f> IF(AO40 = 1, $F39, AO42 + AO43 - AO44)</f>
        <v>27237.708836494196</v>
      </c>
      <c r="AP45" s="322">
        <f> IF(AP40 = 1, $F39, AP42 + AP43 - AP44)</f>
        <v>24717.199779597144</v>
      </c>
      <c r="AQ45" s="322">
        <f> IF(AQ40 = 1, $F39, AQ42 + AQ43 - AQ44)</f>
        <v>22690.332570333037</v>
      </c>
      <c r="AR45" s="322">
        <f> IF(AR40 = 1, $F39, AR42 + AR43 - AR44)</f>
        <v>20068.961626221597</v>
      </c>
      <c r="AS45" s="322">
        <f> IF(AS40 = 1, $F39, AS42 + AS43 - AS44)</f>
        <v>17479.795285779735</v>
      </c>
      <c r="AT45" s="322">
        <f> IF(AT40 = 1, $F39, AT42 + AT43 - AT44)</f>
        <v>14738.39173926243</v>
      </c>
      <c r="AU45" s="322">
        <f> IF(AU40 = 1, $F39, AU42 + AU43 - AU44)</f>
        <v>12043.729067472039</v>
      </c>
      <c r="AV45" s="322">
        <f> IF(AV40 = 1, $F39, AV42 + AV43 - AV44)</f>
        <v>9193.93640159505</v>
      </c>
      <c r="AW45" s="322">
        <f> IF(AW40 = 1, $F39, AW42 + AW43 - AW44)</f>
        <v>6371.093877227339</v>
      </c>
      <c r="AX45" s="322">
        <f> IF(AX40 = 1, $F39, AX42 + AX43 - AX44)</f>
        <v>3215.418088230146</v>
      </c>
      <c r="AY45" s="322">
        <f> IF(AY40 = 1, $F39, AY42 + AY43 - AY44)</f>
        <v>-5.047695594839752e-11</v>
      </c>
      <c r="AZ45" s="322">
        <f> IF(AZ40 = 1, $F39, AZ42 + AZ43 - AZ44)</f>
        <v>-5.1455755409632617e-11</v>
      </c>
      <c r="BA45" s="322">
        <f> IF(BA40 = 1, $F39, BA42 + BA43 - BA44)</f>
        <v>-5.245063708979329e-11</v>
      </c>
      <c r="BB45" s="322">
        <f> IF(BB40 = 1, $F39, BB42 + BB43 - BB44)</f>
        <v>-5.347297762580157e-11</v>
      </c>
      <c r="BC45" s="322">
        <f> IF(BC40 = 1, $F39, BC42 + BC43 - BC44)</f>
        <v>-5.4512300374046876e-11</v>
      </c>
      <c r="BD45" s="322">
        <f> IF(BD40 = 1, $F39, BD42 + BD43 - BD44)</f>
        <v>-5.554591814416323e-11</v>
      </c>
      <c r="BE45" s="322">
        <f> IF(BE40 = 1, $F39, BE42 + BE43 - BE44)</f>
        <v>-5.660800347036487e-11</v>
      </c>
      <c r="BF45" s="322">
        <f> IF(BF40 = 1, $F39, BF42 + BF43 - BF44)</f>
        <v>-5.7699402481250426e-11</v>
      </c>
      <c r="BG45" s="322">
        <f> IF(BG40 = 1, $F39, BG42 + BG43 - BG44)</f>
        <v>-5.880893084237236e-11</v>
      </c>
      <c r="BH45" s="322">
        <f> IF(BH40 = 1, $F39, BH42 + BH43 - BH44)</f>
        <v>-5.9912368857599e-11</v>
      </c>
      <c r="BI45" s="322">
        <f> IF(BI40 = 1, $F39, BI42 + BI43 - BI44)</f>
        <v>-6.104619739482834e-11</v>
      </c>
      <c r="BJ45" s="322">
        <f> IF(BJ40 = 1, $F39, BJ42 + BJ43 - BJ44)</f>
        <v>-6.221131973812582e-11</v>
      </c>
      <c r="BK45" s="322">
        <f> IF(BK40 = 1, $F39, BK42 + BK43 - BK44)</f>
        <v>-6.339579605812585e-11</v>
      </c>
      <c r="BL45" s="322">
        <f> IF(BL40 = 1, $F39, BL42 + BL43 - BL44)</f>
        <v>-6.457377063310849e-11</v>
      </c>
      <c r="BM45" s="322">
        <f> IF(BM40 = 1, $F39, BM42 + BM43 - BM44)</f>
        <v>-6.578418859117711e-11</v>
      </c>
      <c r="BN45" s="322">
        <f> IF(BN40 = 1, $F39, BN42 + BN43 - BN44)</f>
        <v>-6.70280142326806e-11</v>
      </c>
      <c r="BO45" s="322">
        <f> IF(BO40 = 1, $F39, BO42 + BO43 - BO44)</f>
        <v>-6.829250120011795e-11</v>
      </c>
      <c r="BP45" s="322">
        <f> IF(BP40 = 1, $F39, BP42 + BP43 - BP44)</f>
        <v>-6.956401996736396e-11</v>
      </c>
      <c r="BQ45" s="322">
        <f> IF(BQ40 = 1, $F39, BQ42 + BQ43 - BQ44)</f>
        <v>-7.085643049435513e-11</v>
      </c>
      <c r="BR45" s="322">
        <f> IF(BR40 = 1, $F39, BR42 + BR43 - BR44)</f>
        <v>-7.218451170969474e-11</v>
      </c>
      <c r="BS45" s="322">
        <f> IF(BS40 = 1, $F39, BS42 + BS43 - BS44)</f>
        <v>-7.353465382966694e-11</v>
      </c>
      <c r="BT45" s="322">
        <f> IF(BT40 = 1, $F39, BT42 + BT43 - BT44)</f>
        <v>-7.487738484343712e-11</v>
      </c>
      <c r="BU45" s="322">
        <f> IF(BU40 = 1, $F39, BU42 + BU43 - BU44)</f>
        <v>-7.625709690721156e-11</v>
      </c>
      <c r="BV45" s="322">
        <f> IF(BV40 = 1, $F39, BV42 + BV43 - BV44)</f>
        <v>-7.767488919240918e-11</v>
      </c>
      <c r="BW45" s="322">
        <f> IF(BW40 = 1, $F39, BW42 + BW43 - BW44)</f>
        <v>-7.911623258278868e-11</v>
      </c>
      <c r="BX45" s="322">
        <f> IF(BX40 = 1, $F39, BX42 + BX43 - BX44)</f>
        <v>-8.054966425129709e-11</v>
      </c>
      <c r="BY45" s="322">
        <f> IF(BY40 = 1, $F39, BY42 + BY43 - BY44)</f>
        <v>-8.2022575017009e-11</v>
      </c>
      <c r="BZ45" s="322">
        <f> IF(BZ40 = 1, $F39, BZ42 + BZ43 - BZ44)</f>
        <v>-8.353613829969715e-11</v>
      </c>
      <c r="CA45" s="322">
        <f> IF(CA40 = 1, $F39, CA42 + CA43 - CA44)</f>
        <v>-8.507484355024772e-11</v>
      </c>
      <c r="CB45" s="322">
        <f> IF(CB40 = 1, $F39, CB42 + CB43 - CB44)</f>
        <v>-8.660510264697734e-11</v>
      </c>
      <c r="CC45" s="322">
        <f> IF(CC40 = 1, $F39, CC42 + CC43 - CC44)</f>
        <v>-8.817750762966272e-11</v>
      </c>
      <c r="CD45" s="322">
        <f> IF(CD40 = 1, $F39, CD42 + CD43 - CD44)</f>
        <v>-8.979331118186105e-11</v>
      </c>
      <c r="CE45" s="322">
        <f> IF(CE40 = 1, $F39, CE42 + CE43 - CE44)</f>
        <v>-9.143595502639868e-11</v>
      </c>
      <c r="CF45" s="322">
        <f> IF(CF40 = 1, $F39, CF42 + CF43 - CF44)</f>
        <v>-9.308773359748482e-11</v>
      </c>
      <c r="CG45" s="322">
        <f> IF(CG40 = 1, $F39, CG42 + CG43 - CG44)</f>
        <v>-9.476665180814868e-11</v>
      </c>
      <c r="CH45" s="322">
        <f> IF(CH40 = 1, $F39, CH42 + CH43 - CH44)</f>
        <v>-9.649190836642298e-11</v>
      </c>
      <c r="CI45" s="322">
        <f> IF(CI40 = 1, $F39, CI42 + CI43 - CI44)</f>
        <v>-9.824582335308194e-11</v>
      </c>
      <c r="CJ45" s="322">
        <f> IF(CJ40 = 1, $F39, CJ42 + CJ43 - CJ44)</f>
        <v>-9.999011087160761e-11</v>
      </c>
      <c r="CK45" s="322">
        <f> IF(CK40 = 1, $F39, CK42 + CK43 - CK44)</f>
        <v>-1.0178243897553934e-10</v>
      </c>
      <c r="CL45" s="322">
        <f> IF(CL40 = 1, $F39, CL42 + CL43 - CL44)</f>
        <v>-1.0362423555398307e-10</v>
      </c>
      <c r="CM45" s="322">
        <f> IF(CM40 = 1, $F39, CM42 + CM43 - CM44)</f>
        <v>-1.0549662642003539e-10</v>
      </c>
      <c r="CN45" s="322">
        <f> IF(CN40 = 1, $F39, CN42 + CN43 - CN44)</f>
        <v>-1.0735873948839905e-10</v>
      </c>
      <c r="CO45" s="322">
        <f> IF(CO40 = 1, $F39, CO42 + CO43 - CO44)</f>
        <v>-1.0927213825418723e-10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3.xml><?xml version="1.0" encoding="utf-8"?>
<worksheet xmlns="http://schemas.openxmlformats.org/spreadsheetml/2006/main">
  <sheetPr>
    <tabColor rgb="000B5E82"/>
    <outlinePr summaryBelow="1" summaryRight="1"/>
    <pageSetUpPr/>
  </sheetPr>
  <dimension ref="A1:CO40"/>
  <sheetViews>
    <sheetView showGridLines="0" zoomScale="100"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1.1640625" customWidth="1" style="396" min="1" max="2"/>
    <col width="1.1640625" customWidth="1" style="396" min="3" max="3"/>
    <col width="1.1640625" customWidth="1" style="396" min="4" max="4"/>
    <col width="40.83203125" customWidth="1" style="396" min="5" max="5"/>
    <col width="12.83203125" customWidth="1" style="396" min="6" max="6"/>
    <col width="11.6640625" customWidth="1" style="396" min="7" max="8"/>
    <col width="2.6640625" customWidth="1" style="396" min="9" max="9"/>
    <col width="11.6640625" customWidth="1" style="396" min="10" max="93"/>
  </cols>
  <sheetData>
    <row r="1">
      <c r="A1" s="1">
        <f> RIGHT(CELL("filename", A1), LEN(CELL("filename", A1)) - SEARCH("]", CELL("filename", A1)))</f>
        <v/>
      </c>
      <c r="B1" s="294" t="n"/>
      <c r="C1" s="212" t="n"/>
      <c r="D1" s="244" t="n"/>
    </row>
    <row r="2">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LOAN TIMELINE</t>
        </is>
      </c>
    </row>
    <row r="9">
      <c r="E9" s="344" t="str">
        <f>InpC!E$139</f>
        <v>Senior debt tenor</v>
      </c>
      <c r="F9" s="498">
        <f>InpC!F$139</f>
        <v>40.0</v>
      </c>
      <c r="G9" s="344" t="str">
        <f>InpC!G$139</f>
        <v>quarters</v>
      </c>
      <c r="H9" s="484" t="n"/>
      <c r="I9" s="484" t="n"/>
      <c r="J9" s="484" t="n"/>
      <c r="K9" s="484" t="n"/>
      <c r="L9" s="484" t="n"/>
      <c r="M9" s="484" t="n"/>
      <c r="N9" s="484" t="n"/>
      <c r="O9" s="484" t="n"/>
      <c r="P9" s="484" t="n"/>
      <c r="Q9" s="484" t="n"/>
      <c r="R9" s="484" t="n"/>
      <c r="S9" s="484" t="n"/>
      <c r="T9" s="484" t="n"/>
      <c r="U9" s="484" t="n"/>
      <c r="V9" s="484" t="n"/>
      <c r="W9" s="484" t="n"/>
      <c r="X9" s="484" t="n"/>
      <c r="Y9" s="484" t="n"/>
      <c r="Z9" s="484" t="n"/>
      <c r="AA9" s="484" t="n"/>
      <c r="AB9" s="484" t="n"/>
      <c r="AC9" s="484" t="n"/>
      <c r="AD9" s="484" t="n"/>
      <c r="AE9" s="484" t="n"/>
      <c r="AF9" s="484" t="n"/>
      <c r="AG9" s="484" t="n"/>
      <c r="AH9" s="484" t="n"/>
      <c r="AI9" s="484" t="n"/>
      <c r="AJ9" s="484" t="n"/>
      <c r="AK9" s="484" t="n"/>
      <c r="AL9" s="484" t="n"/>
      <c r="AM9" s="484" t="n"/>
      <c r="AN9" s="484" t="n"/>
      <c r="AO9" s="484" t="n"/>
      <c r="AP9" s="484" t="n"/>
      <c r="AQ9" s="484" t="n"/>
      <c r="AR9" s="484" t="n"/>
      <c r="AS9" s="484" t="n"/>
      <c r="AT9" s="484" t="n"/>
      <c r="AU9" s="484" t="n"/>
      <c r="AV9" s="484" t="n"/>
      <c r="AW9" s="484" t="n"/>
      <c r="AX9" s="484" t="n"/>
      <c r="AY9" s="484" t="n"/>
      <c r="AZ9" s="484" t="n"/>
      <c r="BA9" s="484" t="n"/>
      <c r="BB9" s="484" t="n"/>
      <c r="BC9" s="484" t="n"/>
      <c r="BD9" s="484" t="n"/>
      <c r="BE9" s="484" t="n"/>
      <c r="BF9" s="484" t="n"/>
      <c r="BG9" s="484" t="n"/>
      <c r="BH9" s="484" t="n"/>
      <c r="BI9" s="484" t="n"/>
      <c r="BJ9" s="484" t="n"/>
      <c r="BK9" s="484" t="n"/>
      <c r="BL9" s="484" t="n"/>
      <c r="BM9" s="484" t="n"/>
      <c r="BN9" s="484" t="n"/>
      <c r="BO9" s="484" t="n"/>
      <c r="BP9" s="484" t="n"/>
      <c r="BQ9" s="484" t="n"/>
      <c r="BR9" s="484" t="n"/>
      <c r="BS9" s="484" t="n"/>
      <c r="BT9" s="484" t="n"/>
      <c r="BU9" s="484" t="n"/>
      <c r="BV9" s="484" t="n"/>
      <c r="BW9" s="484" t="n"/>
      <c r="BX9" s="484" t="n"/>
      <c r="BY9" s="484" t="n"/>
      <c r="BZ9" s="484" t="n"/>
      <c r="CA9" s="484" t="n"/>
      <c r="CB9" s="484" t="n"/>
      <c r="CC9" s="484" t="n"/>
      <c r="CD9" s="484" t="n"/>
      <c r="CE9" s="484" t="n"/>
      <c r="CF9" s="484" t="n"/>
      <c r="CG9" s="484" t="n"/>
      <c r="CH9" s="484" t="n"/>
      <c r="CI9" s="484" t="n"/>
      <c r="CJ9" s="484" t="n"/>
      <c r="CK9" s="484" t="n"/>
      <c r="CL9" s="484" t="n"/>
      <c r="CM9" s="484" t="n"/>
      <c r="CN9" s="484" t="n"/>
      <c r="CO9" s="484" t="n"/>
    </row>
    <row r="10">
      <c r="E10" s="324" t="inlineStr">
        <is>
          <t>Forecast period flag</t>
        </is>
      </c>
      <c r="F10" s="508" t="n"/>
      <c r="G10" s="324" t="inlineStr">
        <is>
          <t>flag</t>
        </is>
      </c>
      <c r="H10" s="508" t="n"/>
      <c r="I10" s="508" t="n"/>
      <c r="J10" s="508">
        <f>Time!J$69</f>
        <v>0.0</v>
      </c>
      <c r="K10" s="508">
        <f>Time!K$69</f>
        <v>0.0</v>
      </c>
      <c r="L10" s="508">
        <f>Time!L$69</f>
        <v>1.0</v>
      </c>
      <c r="M10" s="508">
        <f>Time!M$69</f>
        <v>1.0</v>
      </c>
      <c r="N10" s="508">
        <f>Time!N$69</f>
        <v>1.0</v>
      </c>
      <c r="O10" s="508">
        <f>Time!O$69</f>
        <v>1.0</v>
      </c>
      <c r="P10" s="508">
        <f>Time!P$69</f>
        <v>1.0</v>
      </c>
      <c r="Q10" s="508">
        <f>Time!Q$69</f>
        <v>1.0</v>
      </c>
      <c r="R10" s="508">
        <f>Time!R$69</f>
        <v>1.0</v>
      </c>
      <c r="S10" s="508">
        <f>Time!S$69</f>
        <v>1.0</v>
      </c>
      <c r="T10" s="508">
        <f>Time!T$69</f>
        <v>1.0</v>
      </c>
      <c r="U10" s="508">
        <f>Time!U$69</f>
        <v>1.0</v>
      </c>
      <c r="V10" s="508">
        <f>Time!V$69</f>
        <v>1.0</v>
      </c>
      <c r="W10" s="508">
        <f>Time!W$69</f>
        <v>1.0</v>
      </c>
      <c r="X10" s="508">
        <f>Time!X$69</f>
        <v>1.0</v>
      </c>
      <c r="Y10" s="508">
        <f>Time!Y$69</f>
        <v>1.0</v>
      </c>
      <c r="Z10" s="508">
        <f>Time!Z$69</f>
        <v>1.0</v>
      </c>
      <c r="AA10" s="508">
        <f>Time!AA$69</f>
        <v>1.0</v>
      </c>
      <c r="AB10" s="508">
        <f>Time!AB$69</f>
        <v>1.0</v>
      </c>
      <c r="AC10" s="508">
        <f>Time!AC$69</f>
        <v>1.0</v>
      </c>
      <c r="AD10" s="508">
        <f>Time!AD$69</f>
        <v>1.0</v>
      </c>
      <c r="AE10" s="508">
        <f>Time!AE$69</f>
        <v>1.0</v>
      </c>
      <c r="AF10" s="508">
        <f>Time!AF$69</f>
        <v>1.0</v>
      </c>
      <c r="AG10" s="508">
        <f>Time!AG$69</f>
        <v>1.0</v>
      </c>
      <c r="AH10" s="508">
        <f>Time!AH$69</f>
        <v>1.0</v>
      </c>
      <c r="AI10" s="508">
        <f>Time!AI$69</f>
        <v>1.0</v>
      </c>
      <c r="AJ10" s="508">
        <f>Time!AJ$69</f>
        <v>1.0</v>
      </c>
      <c r="AK10" s="508">
        <f>Time!AK$69</f>
        <v>1.0</v>
      </c>
      <c r="AL10" s="508">
        <f>Time!AL$69</f>
        <v>1.0</v>
      </c>
      <c r="AM10" s="508">
        <f>Time!AM$69</f>
        <v>1.0</v>
      </c>
      <c r="AN10" s="508">
        <f>Time!AN$69</f>
        <v>1.0</v>
      </c>
      <c r="AO10" s="508">
        <f>Time!AO$69</f>
        <v>1.0</v>
      </c>
      <c r="AP10" s="508">
        <f>Time!AP$69</f>
        <v>1.0</v>
      </c>
      <c r="AQ10" s="508">
        <f>Time!AQ$69</f>
        <v>1.0</v>
      </c>
      <c r="AR10" s="508">
        <f>Time!AR$69</f>
        <v>1.0</v>
      </c>
      <c r="AS10" s="508">
        <f>Time!AS$69</f>
        <v>1.0</v>
      </c>
      <c r="AT10" s="508">
        <f>Time!AT$69</f>
        <v>1.0</v>
      </c>
      <c r="AU10" s="508">
        <f>Time!AU$69</f>
        <v>1.0</v>
      </c>
      <c r="AV10" s="508">
        <f>Time!AV$69</f>
        <v>1.0</v>
      </c>
      <c r="AW10" s="508">
        <f>Time!AW$69</f>
        <v>1.0</v>
      </c>
      <c r="AX10" s="508">
        <f>Time!AX$69</f>
        <v>1.0</v>
      </c>
      <c r="AY10" s="508">
        <f>Time!AY$69</f>
        <v>1.0</v>
      </c>
      <c r="AZ10" s="508">
        <f>Time!AZ$69</f>
        <v>1.0</v>
      </c>
      <c r="BA10" s="508">
        <f>Time!BA$69</f>
        <v>1.0</v>
      </c>
      <c r="BB10" s="508">
        <f>Time!BB$69</f>
        <v>1.0</v>
      </c>
      <c r="BC10" s="508">
        <f>Time!BC$69</f>
        <v>1.0</v>
      </c>
      <c r="BD10" s="508">
        <f>Time!BD$69</f>
        <v>1.0</v>
      </c>
      <c r="BE10" s="508">
        <f>Time!BE$69</f>
        <v>1.0</v>
      </c>
      <c r="BF10" s="508">
        <f>Time!BF$69</f>
        <v>1.0</v>
      </c>
      <c r="BG10" s="508">
        <f>Time!BG$69</f>
        <v>1.0</v>
      </c>
      <c r="BH10" s="508">
        <f>Time!BH$69</f>
        <v>1.0</v>
      </c>
      <c r="BI10" s="508">
        <f>Time!BI$69</f>
        <v>1.0</v>
      </c>
      <c r="BJ10" s="508">
        <f>Time!BJ$69</f>
        <v>1.0</v>
      </c>
      <c r="BK10" s="508">
        <f>Time!BK$69</f>
        <v>1.0</v>
      </c>
      <c r="BL10" s="508">
        <f>Time!BL$69</f>
        <v>1.0</v>
      </c>
      <c r="BM10" s="508">
        <f>Time!BM$69</f>
        <v>1.0</v>
      </c>
      <c r="BN10" s="508">
        <f>Time!BN$69</f>
        <v>1.0</v>
      </c>
      <c r="BO10" s="508">
        <f>Time!BO$69</f>
        <v>1.0</v>
      </c>
      <c r="BP10" s="508">
        <f>Time!BP$69</f>
        <v>1.0</v>
      </c>
      <c r="BQ10" s="508">
        <f>Time!BQ$69</f>
        <v>1.0</v>
      </c>
      <c r="BR10" s="508">
        <f>Time!BR$69</f>
        <v>1.0</v>
      </c>
      <c r="BS10" s="508">
        <f>Time!BS$69</f>
        <v>1.0</v>
      </c>
      <c r="BT10" s="508">
        <f>Time!BT$69</f>
        <v>1.0</v>
      </c>
      <c r="BU10" s="508">
        <f>Time!BU$69</f>
        <v>1.0</v>
      </c>
      <c r="BV10" s="508">
        <f>Time!BV$69</f>
        <v>1.0</v>
      </c>
      <c r="BW10" s="508">
        <f>Time!BW$69</f>
        <v>1.0</v>
      </c>
      <c r="BX10" s="508">
        <f>Time!BX$69</f>
        <v>1.0</v>
      </c>
      <c r="BY10" s="508">
        <f>Time!BY$69</f>
        <v>1.0</v>
      </c>
      <c r="BZ10" s="508">
        <f>Time!BZ$69</f>
        <v>1.0</v>
      </c>
      <c r="CA10" s="508">
        <f>Time!CA$69</f>
        <v>1.0</v>
      </c>
      <c r="CB10" s="508">
        <f>Time!CB$69</f>
        <v>1.0</v>
      </c>
      <c r="CC10" s="508">
        <f>Time!CC$69</f>
        <v>1.0</v>
      </c>
      <c r="CD10" s="508">
        <f>Time!CD$69</f>
        <v>1.0</v>
      </c>
      <c r="CE10" s="508">
        <f>Time!CE$69</f>
        <v>1.0</v>
      </c>
      <c r="CF10" s="508">
        <f>Time!CF$69</f>
        <v>1.0</v>
      </c>
      <c r="CG10" s="508">
        <f>Time!CG$69</f>
        <v>1.0</v>
      </c>
      <c r="CH10" s="508">
        <f>Time!CH$69</f>
        <v>1.0</v>
      </c>
      <c r="CI10" s="508">
        <f>Time!CI$69</f>
        <v>1.0</v>
      </c>
      <c r="CJ10" s="508">
        <f>Time!CJ$69</f>
        <v>1.0</v>
      </c>
      <c r="CK10" s="508">
        <f>Time!CK$69</f>
        <v>1.0</v>
      </c>
      <c r="CL10" s="508">
        <f>Time!CL$69</f>
        <v>1.0</v>
      </c>
      <c r="CM10" s="508">
        <f>Time!CM$69</f>
        <v>1.0</v>
      </c>
      <c r="CN10" s="508">
        <f>Time!CN$69</f>
        <v>0.0</v>
      </c>
      <c r="CO10" s="508">
        <f>Time!CO$69</f>
        <v>0.0</v>
      </c>
    </row>
    <row r="11">
      <c r="E11" s="61" t="inlineStr">
        <is>
          <t>Operating period counter</t>
        </is>
      </c>
      <c r="F11" s="501" t="n"/>
      <c r="G11" s="61" t="inlineStr">
        <is>
          <t>counter</t>
        </is>
      </c>
      <c r="H11" s="85" t="n"/>
      <c r="I11" s="501" t="n"/>
      <c r="J11" s="85">
        <f>I11+J10</f>
        <v>0.0</v>
      </c>
      <c r="K11" s="85">
        <f>J11+K10</f>
        <v>0.0</v>
      </c>
      <c r="L11" s="85">
        <f>K11+L10</f>
        <v>1.0</v>
      </c>
      <c r="M11" s="85">
        <f>L11+M10</f>
        <v>2.0</v>
      </c>
      <c r="N11" s="85">
        <f>M11+N10</f>
        <v>3.0</v>
      </c>
      <c r="O11" s="85">
        <f>N11+O10</f>
        <v>4.0</v>
      </c>
      <c r="P11" s="85">
        <f>O11+P10</f>
        <v>5.0</v>
      </c>
      <c r="Q11" s="85">
        <f>P11+Q10</f>
        <v>6.0</v>
      </c>
      <c r="R11" s="85">
        <f>Q11+R10</f>
        <v>7.0</v>
      </c>
      <c r="S11" s="85">
        <f>R11+S10</f>
        <v>8.0</v>
      </c>
      <c r="T11" s="85">
        <f>S11+T10</f>
        <v>9.0</v>
      </c>
      <c r="U11" s="85">
        <f>T11+U10</f>
        <v>10.0</v>
      </c>
      <c r="V11" s="85">
        <f>U11+V10</f>
        <v>11.0</v>
      </c>
      <c r="W11" s="85">
        <f>V11+W10</f>
        <v>12.0</v>
      </c>
      <c r="X11" s="85">
        <f>W11+X10</f>
        <v>13.0</v>
      </c>
      <c r="Y11" s="85">
        <f>X11+Y10</f>
        <v>14.0</v>
      </c>
      <c r="Z11" s="85">
        <f>Y11+Z10</f>
        <v>15.0</v>
      </c>
      <c r="AA11" s="85">
        <f>Z11+AA10</f>
        <v>16.0</v>
      </c>
      <c r="AB11" s="85">
        <f>AA11+AB10</f>
        <v>17.0</v>
      </c>
      <c r="AC11" s="85">
        <f>AB11+AC10</f>
        <v>18.0</v>
      </c>
      <c r="AD11" s="85">
        <f>AC11+AD10</f>
        <v>19.0</v>
      </c>
      <c r="AE11" s="85">
        <f>AD11+AE10</f>
        <v>20.0</v>
      </c>
      <c r="AF11" s="85">
        <f>AE11+AF10</f>
        <v>21.0</v>
      </c>
      <c r="AG11" s="85">
        <f>AF11+AG10</f>
        <v>22.0</v>
      </c>
      <c r="AH11" s="85">
        <f>AG11+AH10</f>
        <v>23.0</v>
      </c>
      <c r="AI11" s="85">
        <f>AH11+AI10</f>
        <v>24.0</v>
      </c>
      <c r="AJ11" s="85">
        <f>AI11+AJ10</f>
        <v>25.0</v>
      </c>
      <c r="AK11" s="85">
        <f>AJ11+AK10</f>
        <v>26.0</v>
      </c>
      <c r="AL11" s="85">
        <f>AK11+AL10</f>
        <v>27.0</v>
      </c>
      <c r="AM11" s="85">
        <f>AL11+AM10</f>
        <v>28.0</v>
      </c>
      <c r="AN11" s="85">
        <f>AM11+AN10</f>
        <v>29.0</v>
      </c>
      <c r="AO11" s="85">
        <f>AN11+AO10</f>
        <v>30.0</v>
      </c>
      <c r="AP11" s="85">
        <f>AO11+AP10</f>
        <v>31.0</v>
      </c>
      <c r="AQ11" s="85">
        <f>AP11+AQ10</f>
        <v>32.0</v>
      </c>
      <c r="AR11" s="85">
        <f>AQ11+AR10</f>
        <v>33.0</v>
      </c>
      <c r="AS11" s="85">
        <f>AR11+AS10</f>
        <v>34.0</v>
      </c>
      <c r="AT11" s="85">
        <f>AS11+AT10</f>
        <v>35.0</v>
      </c>
      <c r="AU11" s="85">
        <f>AT11+AU10</f>
        <v>36.0</v>
      </c>
      <c r="AV11" s="85">
        <f>AU11+AV10</f>
        <v>37.0</v>
      </c>
      <c r="AW11" s="85">
        <f>AV11+AW10</f>
        <v>38.0</v>
      </c>
      <c r="AX11" s="85">
        <f>AW11+AX10</f>
        <v>39.0</v>
      </c>
      <c r="AY11" s="85">
        <f>AX11+AY10</f>
        <v>40.0</v>
      </c>
      <c r="AZ11" s="85">
        <f>AY11+AZ10</f>
        <v>41.0</v>
      </c>
      <c r="BA11" s="85">
        <f>AZ11+BA10</f>
        <v>42.0</v>
      </c>
      <c r="BB11" s="85">
        <f>BA11+BB10</f>
        <v>43.0</v>
      </c>
      <c r="BC11" s="85">
        <f>BB11+BC10</f>
        <v>44.0</v>
      </c>
      <c r="BD11" s="85">
        <f>BC11+BD10</f>
        <v>45.0</v>
      </c>
      <c r="BE11" s="85">
        <f>BD11+BE10</f>
        <v>46.0</v>
      </c>
      <c r="BF11" s="85">
        <f>BE11+BF10</f>
        <v>47.0</v>
      </c>
      <c r="BG11" s="85">
        <f>BF11+BG10</f>
        <v>48.0</v>
      </c>
      <c r="BH11" s="85">
        <f>BG11+BH10</f>
        <v>49.0</v>
      </c>
      <c r="BI11" s="85">
        <f>BH11+BI10</f>
        <v>50.0</v>
      </c>
      <c r="BJ11" s="85">
        <f>BI11+BJ10</f>
        <v>51.0</v>
      </c>
      <c r="BK11" s="85">
        <f>BJ11+BK10</f>
        <v>52.0</v>
      </c>
      <c r="BL11" s="85">
        <f>BK11+BL10</f>
        <v>53.0</v>
      </c>
      <c r="BM11" s="85">
        <f>BL11+BM10</f>
        <v>54.0</v>
      </c>
      <c r="BN11" s="85">
        <f>BM11+BN10</f>
        <v>55.0</v>
      </c>
      <c r="BO11" s="85">
        <f>BN11+BO10</f>
        <v>56.0</v>
      </c>
      <c r="BP11" s="85">
        <f>BO11+BP10</f>
        <v>57.0</v>
      </c>
      <c r="BQ11" s="85">
        <f>BP11+BQ10</f>
        <v>58.0</v>
      </c>
      <c r="BR11" s="85">
        <f>BQ11+BR10</f>
        <v>59.0</v>
      </c>
      <c r="BS11" s="85">
        <f>BR11+BS10</f>
        <v>60.0</v>
      </c>
      <c r="BT11" s="85">
        <f>BS11+BT10</f>
        <v>61.0</v>
      </c>
      <c r="BU11" s="85">
        <f>BT11+BU10</f>
        <v>62.0</v>
      </c>
      <c r="BV11" s="85">
        <f>BU11+BV10</f>
        <v>63.0</v>
      </c>
      <c r="BW11" s="85">
        <f>BV11+BW10</f>
        <v>64.0</v>
      </c>
      <c r="BX11" s="85">
        <f>BW11+BX10</f>
        <v>65.0</v>
      </c>
      <c r="BY11" s="85">
        <f>BX11+BY10</f>
        <v>66.0</v>
      </c>
      <c r="BZ11" s="85">
        <f>BY11+BZ10</f>
        <v>67.0</v>
      </c>
      <c r="CA11" s="85">
        <f>BZ11+CA10</f>
        <v>68.0</v>
      </c>
      <c r="CB11" s="85">
        <f>CA11+CB10</f>
        <v>69.0</v>
      </c>
      <c r="CC11" s="85">
        <f>CB11+CC10</f>
        <v>70.0</v>
      </c>
      <c r="CD11" s="85">
        <f>CC11+CD10</f>
        <v>71.0</v>
      </c>
      <c r="CE11" s="85">
        <f>CD11+CE10</f>
        <v>72.0</v>
      </c>
      <c r="CF11" s="85">
        <f>CE11+CF10</f>
        <v>73.0</v>
      </c>
      <c r="CG11" s="85">
        <f>CF11+CG10</f>
        <v>74.0</v>
      </c>
      <c r="CH11" s="85">
        <f>CG11+CH10</f>
        <v>75.0</v>
      </c>
      <c r="CI11" s="85">
        <f>CH11+CI10</f>
        <v>76.0</v>
      </c>
      <c r="CJ11" s="85">
        <f>CI11+CJ10</f>
        <v>77.0</v>
      </c>
      <c r="CK11" s="85">
        <f>CJ11+CK10</f>
        <v>78.0</v>
      </c>
      <c r="CL11" s="85">
        <f>CK11+CL10</f>
        <v>79.0</v>
      </c>
      <c r="CM11" s="85">
        <f>CL11+CM10</f>
        <v>80.0</v>
      </c>
      <c r="CN11" s="85">
        <f>CM11+CN10</f>
        <v>80.0</v>
      </c>
      <c r="CO11" s="85">
        <f>CN11+CO10</f>
        <v>80.0</v>
      </c>
    </row>
    <row r="12">
      <c r="E12" s="61" t="inlineStr">
        <is>
          <t>Repayment period flag</t>
        </is>
      </c>
      <c r="F12" s="501" t="n"/>
      <c r="G12" s="61" t="inlineStr">
        <is>
          <t>flag</t>
        </is>
      </c>
      <c r="H12" s="85">
        <f>SUM(J12:CO12)</f>
        <v>40.0</v>
      </c>
      <c r="I12" s="501" t="n"/>
      <c r="J12" s="85">
        <f>IF(AND(J11&gt;=1,J11&lt;=$F$9),1,0)</f>
        <v>0.0</v>
      </c>
      <c r="K12" s="85">
        <f>IF(AND(K11&gt;=1,K11&lt;=$F$9),1,0)</f>
        <v>0.0</v>
      </c>
      <c r="L12" s="85">
        <f>IF(AND(L11&gt;=1,L11&lt;=$F$9),1,0)</f>
        <v>1.0</v>
      </c>
      <c r="M12" s="85">
        <f>IF(AND(M11&gt;=1,M11&lt;=$F$9),1,0)</f>
        <v>1.0</v>
      </c>
      <c r="N12" s="85">
        <f>IF(AND(N11&gt;=1,N11&lt;=$F$9),1,0)</f>
        <v>1.0</v>
      </c>
      <c r="O12" s="85">
        <f>IF(AND(O11&gt;=1,O11&lt;=$F$9),1,0)</f>
        <v>1.0</v>
      </c>
      <c r="P12" s="85">
        <f>IF(AND(P11&gt;=1,P11&lt;=$F$9),1,0)</f>
        <v>1.0</v>
      </c>
      <c r="Q12" s="85">
        <f>IF(AND(Q11&gt;=1,Q11&lt;=$F$9),1,0)</f>
        <v>1.0</v>
      </c>
      <c r="R12" s="85">
        <f>IF(AND(R11&gt;=1,R11&lt;=$F$9),1,0)</f>
        <v>1.0</v>
      </c>
      <c r="S12" s="85">
        <f>IF(AND(S11&gt;=1,S11&lt;=$F$9),1,0)</f>
        <v>1.0</v>
      </c>
      <c r="T12" s="85">
        <f>IF(AND(T11&gt;=1,T11&lt;=$F$9),1,0)</f>
        <v>1.0</v>
      </c>
      <c r="U12" s="85">
        <f>IF(AND(U11&gt;=1,U11&lt;=$F$9),1,0)</f>
        <v>1.0</v>
      </c>
      <c r="V12" s="85">
        <f>IF(AND(V11&gt;=1,V11&lt;=$F$9),1,0)</f>
        <v>1.0</v>
      </c>
      <c r="W12" s="85">
        <f>IF(AND(W11&gt;=1,W11&lt;=$F$9),1,0)</f>
        <v>1.0</v>
      </c>
      <c r="X12" s="85">
        <f>IF(AND(X11&gt;=1,X11&lt;=$F$9),1,0)</f>
        <v>1.0</v>
      </c>
      <c r="Y12" s="85">
        <f>IF(AND(Y11&gt;=1,Y11&lt;=$F$9),1,0)</f>
        <v>1.0</v>
      </c>
      <c r="Z12" s="85">
        <f>IF(AND(Z11&gt;=1,Z11&lt;=$F$9),1,0)</f>
        <v>1.0</v>
      </c>
      <c r="AA12" s="85">
        <f>IF(AND(AA11&gt;=1,AA11&lt;=$F$9),1,0)</f>
        <v>1.0</v>
      </c>
      <c r="AB12" s="85">
        <f>IF(AND(AB11&gt;=1,AB11&lt;=$F$9),1,0)</f>
        <v>1.0</v>
      </c>
      <c r="AC12" s="85">
        <f>IF(AND(AC11&gt;=1,AC11&lt;=$F$9),1,0)</f>
        <v>1.0</v>
      </c>
      <c r="AD12" s="85">
        <f>IF(AND(AD11&gt;=1,AD11&lt;=$F$9),1,0)</f>
        <v>1.0</v>
      </c>
      <c r="AE12" s="85">
        <f>IF(AND(AE11&gt;=1,AE11&lt;=$F$9),1,0)</f>
        <v>1.0</v>
      </c>
      <c r="AF12" s="85">
        <f>IF(AND(AF11&gt;=1,AF11&lt;=$F$9),1,0)</f>
        <v>1.0</v>
      </c>
      <c r="AG12" s="85">
        <f>IF(AND(AG11&gt;=1,AG11&lt;=$F$9),1,0)</f>
        <v>1.0</v>
      </c>
      <c r="AH12" s="85">
        <f>IF(AND(AH11&gt;=1,AH11&lt;=$F$9),1,0)</f>
        <v>1.0</v>
      </c>
      <c r="AI12" s="85">
        <f>IF(AND(AI11&gt;=1,AI11&lt;=$F$9),1,0)</f>
        <v>1.0</v>
      </c>
      <c r="AJ12" s="85">
        <f>IF(AND(AJ11&gt;=1,AJ11&lt;=$F$9),1,0)</f>
        <v>1.0</v>
      </c>
      <c r="AK12" s="85">
        <f>IF(AND(AK11&gt;=1,AK11&lt;=$F$9),1,0)</f>
        <v>1.0</v>
      </c>
      <c r="AL12" s="85">
        <f>IF(AND(AL11&gt;=1,AL11&lt;=$F$9),1,0)</f>
        <v>1.0</v>
      </c>
      <c r="AM12" s="85">
        <f>IF(AND(AM11&gt;=1,AM11&lt;=$F$9),1,0)</f>
        <v>1.0</v>
      </c>
      <c r="AN12" s="85">
        <f>IF(AND(AN11&gt;=1,AN11&lt;=$F$9),1,0)</f>
        <v>1.0</v>
      </c>
      <c r="AO12" s="85">
        <f>IF(AND(AO11&gt;=1,AO11&lt;=$F$9),1,0)</f>
        <v>1.0</v>
      </c>
      <c r="AP12" s="85">
        <f>IF(AND(AP11&gt;=1,AP11&lt;=$F$9),1,0)</f>
        <v>1.0</v>
      </c>
      <c r="AQ12" s="85">
        <f>IF(AND(AQ11&gt;=1,AQ11&lt;=$F$9),1,0)</f>
        <v>1.0</v>
      </c>
      <c r="AR12" s="85">
        <f>IF(AND(AR11&gt;=1,AR11&lt;=$F$9),1,0)</f>
        <v>1.0</v>
      </c>
      <c r="AS12" s="85">
        <f>IF(AND(AS11&gt;=1,AS11&lt;=$F$9),1,0)</f>
        <v>1.0</v>
      </c>
      <c r="AT12" s="85">
        <f>IF(AND(AT11&gt;=1,AT11&lt;=$F$9),1,0)</f>
        <v>1.0</v>
      </c>
      <c r="AU12" s="85">
        <f>IF(AND(AU11&gt;=1,AU11&lt;=$F$9),1,0)</f>
        <v>1.0</v>
      </c>
      <c r="AV12" s="85">
        <f>IF(AND(AV11&gt;=1,AV11&lt;=$F$9),1,0)</f>
        <v>1.0</v>
      </c>
      <c r="AW12" s="85">
        <f>IF(AND(AW11&gt;=1,AW11&lt;=$F$9),1,0)</f>
        <v>1.0</v>
      </c>
      <c r="AX12" s="85">
        <f>IF(AND(AX11&gt;=1,AX11&lt;=$F$9),1,0)</f>
        <v>1.0</v>
      </c>
      <c r="AY12" s="85">
        <f>IF(AND(AY11&gt;=1,AY11&lt;=$F$9),1,0)</f>
        <v>1.0</v>
      </c>
      <c r="AZ12" s="85">
        <f>IF(AND(AZ11&gt;=1,AZ11&lt;=$F$9),1,0)</f>
        <v>0.0</v>
      </c>
      <c r="BA12" s="85">
        <f>IF(AND(BA11&gt;=1,BA11&lt;=$F$9),1,0)</f>
        <v>0.0</v>
      </c>
      <c r="BB12" s="85">
        <f>IF(AND(BB11&gt;=1,BB11&lt;=$F$9),1,0)</f>
        <v>0.0</v>
      </c>
      <c r="BC12" s="85">
        <f>IF(AND(BC11&gt;=1,BC11&lt;=$F$9),1,0)</f>
        <v>0.0</v>
      </c>
      <c r="BD12" s="85">
        <f>IF(AND(BD11&gt;=1,BD11&lt;=$F$9),1,0)</f>
        <v>0.0</v>
      </c>
      <c r="BE12" s="85">
        <f>IF(AND(BE11&gt;=1,BE11&lt;=$F$9),1,0)</f>
        <v>0.0</v>
      </c>
      <c r="BF12" s="85">
        <f>IF(AND(BF11&gt;=1,BF11&lt;=$F$9),1,0)</f>
        <v>0.0</v>
      </c>
      <c r="BG12" s="85">
        <f>IF(AND(BG11&gt;=1,BG11&lt;=$F$9),1,0)</f>
        <v>0.0</v>
      </c>
      <c r="BH12" s="85">
        <f>IF(AND(BH11&gt;=1,BH11&lt;=$F$9),1,0)</f>
        <v>0.0</v>
      </c>
      <c r="BI12" s="85">
        <f>IF(AND(BI11&gt;=1,BI11&lt;=$F$9),1,0)</f>
        <v>0.0</v>
      </c>
      <c r="BJ12" s="85">
        <f>IF(AND(BJ11&gt;=1,BJ11&lt;=$F$9),1,0)</f>
        <v>0.0</v>
      </c>
      <c r="BK12" s="85">
        <f>IF(AND(BK11&gt;=1,BK11&lt;=$F$9),1,0)</f>
        <v>0.0</v>
      </c>
      <c r="BL12" s="85">
        <f>IF(AND(BL11&gt;=1,BL11&lt;=$F$9),1,0)</f>
        <v>0.0</v>
      </c>
      <c r="BM12" s="85">
        <f>IF(AND(BM11&gt;=1,BM11&lt;=$F$9),1,0)</f>
        <v>0.0</v>
      </c>
      <c r="BN12" s="85">
        <f>IF(AND(BN11&gt;=1,BN11&lt;=$F$9),1,0)</f>
        <v>0.0</v>
      </c>
      <c r="BO12" s="85">
        <f>IF(AND(BO11&gt;=1,BO11&lt;=$F$9),1,0)</f>
        <v>0.0</v>
      </c>
      <c r="BP12" s="85">
        <f>IF(AND(BP11&gt;=1,BP11&lt;=$F$9),1,0)</f>
        <v>0.0</v>
      </c>
      <c r="BQ12" s="85">
        <f>IF(AND(BQ11&gt;=1,BQ11&lt;=$F$9),1,0)</f>
        <v>0.0</v>
      </c>
      <c r="BR12" s="85">
        <f>IF(AND(BR11&gt;=1,BR11&lt;=$F$9),1,0)</f>
        <v>0.0</v>
      </c>
      <c r="BS12" s="85">
        <f>IF(AND(BS11&gt;=1,BS11&lt;=$F$9),1,0)</f>
        <v>0.0</v>
      </c>
      <c r="BT12" s="85">
        <f>IF(AND(BT11&gt;=1,BT11&lt;=$F$9),1,0)</f>
        <v>0.0</v>
      </c>
      <c r="BU12" s="85">
        <f>IF(AND(BU11&gt;=1,BU11&lt;=$F$9),1,0)</f>
        <v>0.0</v>
      </c>
      <c r="BV12" s="85">
        <f>IF(AND(BV11&gt;=1,BV11&lt;=$F$9),1,0)</f>
        <v>0.0</v>
      </c>
      <c r="BW12" s="85">
        <f>IF(AND(BW11&gt;=1,BW11&lt;=$F$9),1,0)</f>
        <v>0.0</v>
      </c>
      <c r="BX12" s="85">
        <f>IF(AND(BX11&gt;=1,BX11&lt;=$F$9),1,0)</f>
        <v>0.0</v>
      </c>
      <c r="BY12" s="85">
        <f>IF(AND(BY11&gt;=1,BY11&lt;=$F$9),1,0)</f>
        <v>0.0</v>
      </c>
      <c r="BZ12" s="85">
        <f>IF(AND(BZ11&gt;=1,BZ11&lt;=$F$9),1,0)</f>
        <v>0.0</v>
      </c>
      <c r="CA12" s="85">
        <f>IF(AND(CA11&gt;=1,CA11&lt;=$F$9),1,0)</f>
        <v>0.0</v>
      </c>
      <c r="CB12" s="85">
        <f>IF(AND(CB11&gt;=1,CB11&lt;=$F$9),1,0)</f>
        <v>0.0</v>
      </c>
      <c r="CC12" s="85">
        <f>IF(AND(CC11&gt;=1,CC11&lt;=$F$9),1,0)</f>
        <v>0.0</v>
      </c>
      <c r="CD12" s="85">
        <f>IF(AND(CD11&gt;=1,CD11&lt;=$F$9),1,0)</f>
        <v>0.0</v>
      </c>
      <c r="CE12" s="85">
        <f>IF(AND(CE11&gt;=1,CE11&lt;=$F$9),1,0)</f>
        <v>0.0</v>
      </c>
      <c r="CF12" s="85">
        <f>IF(AND(CF11&gt;=1,CF11&lt;=$F$9),1,0)</f>
        <v>0.0</v>
      </c>
      <c r="CG12" s="85">
        <f>IF(AND(CG11&gt;=1,CG11&lt;=$F$9),1,0)</f>
        <v>0.0</v>
      </c>
      <c r="CH12" s="85">
        <f>IF(AND(CH11&gt;=1,CH11&lt;=$F$9),1,0)</f>
        <v>0.0</v>
      </c>
      <c r="CI12" s="85">
        <f>IF(AND(CI11&gt;=1,CI11&lt;=$F$9),1,0)</f>
        <v>0.0</v>
      </c>
      <c r="CJ12" s="85">
        <f>IF(AND(CJ11&gt;=1,CJ11&lt;=$F$9),1,0)</f>
        <v>0.0</v>
      </c>
      <c r="CK12" s="85">
        <f>IF(AND(CK11&gt;=1,CK11&lt;=$F$9),1,0)</f>
        <v>0.0</v>
      </c>
      <c r="CL12" s="85">
        <f>IF(AND(CL11&gt;=1,CL11&lt;=$F$9),1,0)</f>
        <v>0.0</v>
      </c>
      <c r="CM12" s="85">
        <f>IF(AND(CM11&gt;=1,CM11&lt;=$F$9),1,0)</f>
        <v>0.0</v>
      </c>
      <c r="CN12" s="85">
        <f>IF(AND(CN11&gt;=1,CN11&lt;=$F$9),1,0)</f>
        <v>0.0</v>
      </c>
      <c r="CO12" s="85">
        <f>IF(AND(CO11&gt;=1,CO11&lt;=$F$9),1,0)</f>
        <v>0.0</v>
      </c>
    </row>
    <row r="14">
      <c r="A14" s="294" t="inlineStr">
        <is>
          <t>DEBT SIZING</t>
        </is>
      </c>
    </row>
    <row r="15">
      <c r="E15" s="344" t="str">
        <f>InpC!E$140</f>
        <v>Target DSCR for sculpting</v>
      </c>
      <c r="F15" s="498">
        <f>InpC!F$140</f>
        <v>2.25</v>
      </c>
      <c r="G15" s="344" t="str">
        <f>InpC!G$140</f>
        <v>x</v>
      </c>
      <c r="H15" s="484" t="n"/>
      <c r="I15" s="484" t="n"/>
      <c r="J15" s="484" t="n"/>
      <c r="K15" s="484" t="n"/>
      <c r="L15" s="484" t="n"/>
      <c r="M15" s="484" t="n"/>
      <c r="N15" s="484" t="n"/>
      <c r="O15" s="484" t="n"/>
      <c r="P15" s="484" t="n"/>
      <c r="Q15" s="484" t="n"/>
      <c r="R15" s="484" t="n"/>
      <c r="S15" s="484" t="n"/>
      <c r="T15" s="484" t="n"/>
      <c r="U15" s="484" t="n"/>
      <c r="V15" s="484" t="n"/>
      <c r="W15" s="484" t="n"/>
      <c r="X15" s="484" t="n"/>
      <c r="Y15" s="484" t="n"/>
      <c r="Z15" s="484" t="n"/>
      <c r="AA15" s="484" t="n"/>
      <c r="AB15" s="484" t="n"/>
      <c r="AC15" s="484" t="n"/>
      <c r="AD15" s="484" t="n"/>
      <c r="AE15" s="484" t="n"/>
      <c r="AF15" s="484" t="n"/>
      <c r="AG15" s="484" t="n"/>
      <c r="AH15" s="484" t="n"/>
      <c r="AI15" s="484" t="n"/>
      <c r="AJ15" s="484" t="n"/>
      <c r="AK15" s="484" t="n"/>
      <c r="AL15" s="484" t="n"/>
      <c r="AM15" s="484" t="n"/>
      <c r="AN15" s="484" t="n"/>
      <c r="AO15" s="484" t="n"/>
      <c r="AP15" s="484" t="n"/>
      <c r="AQ15" s="484" t="n"/>
      <c r="AR15" s="484" t="n"/>
      <c r="AS15" s="484" t="n"/>
      <c r="AT15" s="484" t="n"/>
      <c r="AU15" s="484" t="n"/>
      <c r="AV15" s="484" t="n"/>
      <c r="AW15" s="484" t="n"/>
      <c r="AX15" s="484" t="n"/>
      <c r="AY15" s="484" t="n"/>
      <c r="AZ15" s="484" t="n"/>
      <c r="BA15" s="484" t="n"/>
      <c r="BB15" s="484" t="n"/>
      <c r="BC15" s="484" t="n"/>
      <c r="BD15" s="484" t="n"/>
      <c r="BE15" s="484" t="n"/>
      <c r="BF15" s="484" t="n"/>
      <c r="BG15" s="484" t="n"/>
      <c r="BH15" s="484" t="n"/>
      <c r="BI15" s="484" t="n"/>
      <c r="BJ15" s="484" t="n"/>
      <c r="BK15" s="484" t="n"/>
      <c r="BL15" s="484" t="n"/>
      <c r="BM15" s="484" t="n"/>
      <c r="BN15" s="484" t="n"/>
      <c r="BO15" s="484" t="n"/>
      <c r="BP15" s="484" t="n"/>
      <c r="BQ15" s="484" t="n"/>
      <c r="BR15" s="484" t="n"/>
      <c r="BS15" s="484" t="n"/>
      <c r="BT15" s="484" t="n"/>
      <c r="BU15" s="484" t="n"/>
      <c r="BV15" s="484" t="n"/>
      <c r="BW15" s="484" t="n"/>
      <c r="BX15" s="484" t="n"/>
      <c r="BY15" s="484" t="n"/>
      <c r="BZ15" s="484" t="n"/>
      <c r="CA15" s="484" t="n"/>
      <c r="CB15" s="484" t="n"/>
      <c r="CC15" s="484" t="n"/>
      <c r="CD15" s="484" t="n"/>
      <c r="CE15" s="484" t="n"/>
      <c r="CF15" s="484" t="n"/>
      <c r="CG15" s="484" t="n"/>
      <c r="CH15" s="484" t="n"/>
      <c r="CI15" s="484" t="n"/>
      <c r="CJ15" s="484" t="n"/>
      <c r="CK15" s="484" t="n"/>
      <c r="CL15" s="484" t="n"/>
      <c r="CM15" s="484" t="n"/>
      <c r="CN15" s="484" t="n"/>
      <c r="CO15" s="484" t="n"/>
    </row>
    <row r="16">
      <c r="E16" s="344" t="str">
        <f>InpC!E$77</f>
        <v>All in annual senior debt interest rate </v>
      </c>
      <c r="F16" s="498">
        <f>InpC!F$77</f>
        <v>0.065</v>
      </c>
      <c r="G16" s="344" t="str">
        <f>InpC!G$77</f>
        <v>%</v>
      </c>
      <c r="H16" s="484" t="n"/>
      <c r="I16" s="484" t="n"/>
      <c r="J16" s="484" t="n"/>
      <c r="K16" s="484" t="n"/>
      <c r="L16" s="484" t="n"/>
      <c r="M16" s="484" t="n"/>
      <c r="N16" s="484" t="n"/>
      <c r="O16" s="484" t="n"/>
      <c r="P16" s="484" t="n"/>
      <c r="Q16" s="484" t="n"/>
      <c r="R16" s="484" t="n"/>
      <c r="S16" s="484" t="n"/>
      <c r="T16" s="484" t="n"/>
      <c r="U16" s="484" t="n"/>
      <c r="V16" s="484" t="n"/>
      <c r="W16" s="484" t="n"/>
      <c r="X16" s="484" t="n"/>
      <c r="Y16" s="484" t="n"/>
      <c r="Z16" s="484" t="n"/>
      <c r="AA16" s="484" t="n"/>
      <c r="AB16" s="484" t="n"/>
      <c r="AC16" s="484" t="n"/>
      <c r="AD16" s="484" t="n"/>
      <c r="AE16" s="484" t="n"/>
      <c r="AF16" s="484" t="n"/>
      <c r="AG16" s="484" t="n"/>
      <c r="AH16" s="484" t="n"/>
      <c r="AI16" s="484" t="n"/>
      <c r="AJ16" s="484" t="n"/>
      <c r="AK16" s="484" t="n"/>
      <c r="AL16" s="484" t="n"/>
      <c r="AM16" s="484" t="n"/>
      <c r="AN16" s="484" t="n"/>
      <c r="AO16" s="484" t="n"/>
      <c r="AP16" s="484" t="n"/>
      <c r="AQ16" s="484" t="n"/>
      <c r="AR16" s="484" t="n"/>
      <c r="AS16" s="484" t="n"/>
      <c r="AT16" s="484" t="n"/>
      <c r="AU16" s="484" t="n"/>
      <c r="AV16" s="484" t="n"/>
      <c r="AW16" s="484" t="n"/>
      <c r="AX16" s="484" t="n"/>
      <c r="AY16" s="484" t="n"/>
      <c r="AZ16" s="484" t="n"/>
      <c r="BA16" s="484" t="n"/>
      <c r="BB16" s="484" t="n"/>
      <c r="BC16" s="484" t="n"/>
      <c r="BD16" s="484" t="n"/>
      <c r="BE16" s="484" t="n"/>
      <c r="BF16" s="484" t="n"/>
      <c r="BG16" s="484" t="n"/>
      <c r="BH16" s="484" t="n"/>
      <c r="BI16" s="484" t="n"/>
      <c r="BJ16" s="484" t="n"/>
      <c r="BK16" s="484" t="n"/>
      <c r="BL16" s="484" t="n"/>
      <c r="BM16" s="484" t="n"/>
      <c r="BN16" s="484" t="n"/>
      <c r="BO16" s="484" t="n"/>
      <c r="BP16" s="484" t="n"/>
      <c r="BQ16" s="484" t="n"/>
      <c r="BR16" s="484" t="n"/>
      <c r="BS16" s="484" t="n"/>
      <c r="BT16" s="484" t="n"/>
      <c r="BU16" s="484" t="n"/>
      <c r="BV16" s="484" t="n"/>
      <c r="BW16" s="484" t="n"/>
      <c r="BX16" s="484" t="n"/>
      <c r="BY16" s="484" t="n"/>
      <c r="BZ16" s="484" t="n"/>
      <c r="CA16" s="484" t="n"/>
      <c r="CB16" s="484" t="n"/>
      <c r="CC16" s="484" t="n"/>
      <c r="CD16" s="484" t="n"/>
      <c r="CE16" s="484" t="n"/>
      <c r="CF16" s="484" t="n"/>
      <c r="CG16" s="484" t="n"/>
      <c r="CH16" s="484" t="n"/>
      <c r="CI16" s="484" t="n"/>
      <c r="CJ16" s="484" t="n"/>
      <c r="CK16" s="484" t="n"/>
      <c r="CL16" s="484" t="n"/>
      <c r="CM16" s="484" t="n"/>
      <c r="CN16" s="484" t="n"/>
      <c r="CO16" s="484" t="n"/>
    </row>
    <row r="17">
      <c r="E17" s="344" t="str">
        <f>InpC!E$79</f>
        <v>Day count convention </v>
      </c>
      <c r="F17" s="498">
        <f>InpC!F$79</f>
        <v>360.0</v>
      </c>
      <c r="G17" s="344" t="str">
        <f>InpC!G$79</f>
        <v>days</v>
      </c>
      <c r="H17" s="484" t="n"/>
      <c r="I17" s="484" t="n"/>
      <c r="J17" s="484" t="n"/>
      <c r="K17" s="484" t="n"/>
      <c r="L17" s="484" t="n"/>
      <c r="M17" s="484" t="n"/>
      <c r="N17" s="484" t="n"/>
      <c r="O17" s="484" t="n"/>
      <c r="P17" s="484" t="n"/>
      <c r="Q17" s="484" t="n"/>
      <c r="R17" s="484" t="n"/>
      <c r="S17" s="484" t="n"/>
      <c r="T17" s="484" t="n"/>
      <c r="U17" s="484" t="n"/>
      <c r="V17" s="484" t="n"/>
      <c r="W17" s="484" t="n"/>
      <c r="X17" s="484" t="n"/>
      <c r="Y17" s="484" t="n"/>
      <c r="Z17" s="484" t="n"/>
      <c r="AA17" s="484" t="n"/>
      <c r="AB17" s="484" t="n"/>
      <c r="AC17" s="484" t="n"/>
      <c r="AD17" s="484" t="n"/>
      <c r="AE17" s="484" t="n"/>
      <c r="AF17" s="484" t="n"/>
      <c r="AG17" s="484" t="n"/>
      <c r="AH17" s="484" t="n"/>
      <c r="AI17" s="484" t="n"/>
      <c r="AJ17" s="484" t="n"/>
      <c r="AK17" s="484" t="n"/>
      <c r="AL17" s="484" t="n"/>
      <c r="AM17" s="484" t="n"/>
      <c r="AN17" s="484" t="n"/>
      <c r="AO17" s="484" t="n"/>
      <c r="AP17" s="484" t="n"/>
      <c r="AQ17" s="484" t="n"/>
      <c r="AR17" s="484" t="n"/>
      <c r="AS17" s="484" t="n"/>
      <c r="AT17" s="484" t="n"/>
      <c r="AU17" s="484" t="n"/>
      <c r="AV17" s="484" t="n"/>
      <c r="AW17" s="484" t="n"/>
      <c r="AX17" s="484" t="n"/>
      <c r="AY17" s="484" t="n"/>
      <c r="AZ17" s="484" t="n"/>
      <c r="BA17" s="484" t="n"/>
      <c r="BB17" s="484" t="n"/>
      <c r="BC17" s="484" t="n"/>
      <c r="BD17" s="484" t="n"/>
      <c r="BE17" s="484" t="n"/>
      <c r="BF17" s="484" t="n"/>
      <c r="BG17" s="484" t="n"/>
      <c r="BH17" s="484" t="n"/>
      <c r="BI17" s="484" t="n"/>
      <c r="BJ17" s="484" t="n"/>
      <c r="BK17" s="484" t="n"/>
      <c r="BL17" s="484" t="n"/>
      <c r="BM17" s="484" t="n"/>
      <c r="BN17" s="484" t="n"/>
      <c r="BO17" s="484" t="n"/>
      <c r="BP17" s="484" t="n"/>
      <c r="BQ17" s="484" t="n"/>
      <c r="BR17" s="484" t="n"/>
      <c r="BS17" s="484" t="n"/>
      <c r="BT17" s="484" t="n"/>
      <c r="BU17" s="484" t="n"/>
      <c r="BV17" s="484" t="n"/>
      <c r="BW17" s="484" t="n"/>
      <c r="BX17" s="484" t="n"/>
      <c r="BY17" s="484" t="n"/>
      <c r="BZ17" s="484" t="n"/>
      <c r="CA17" s="484" t="n"/>
      <c r="CB17" s="484" t="n"/>
      <c r="CC17" s="484" t="n"/>
      <c r="CD17" s="484" t="n"/>
      <c r="CE17" s="484" t="n"/>
      <c r="CF17" s="484" t="n"/>
      <c r="CG17" s="484" t="n"/>
      <c r="CH17" s="484" t="n"/>
      <c r="CI17" s="484" t="n"/>
      <c r="CJ17" s="484" t="n"/>
      <c r="CK17" s="484" t="n"/>
      <c r="CL17" s="484" t="n"/>
      <c r="CM17" s="484" t="n"/>
      <c r="CN17" s="484" t="n"/>
      <c r="CO17" s="484" t="n"/>
    </row>
    <row r="18">
      <c r="E18" s="324" t="inlineStr">
        <is>
          <t>Days in period</t>
        </is>
      </c>
      <c r="F18" s="508" t="n"/>
      <c r="G18" s="324" t="inlineStr">
        <is>
          <t>days</t>
        </is>
      </c>
      <c r="H18" s="508" t="n"/>
      <c r="I18" s="508" t="n"/>
      <c r="J18" s="508">
        <f>Time!J$30</f>
        <v>92.0</v>
      </c>
      <c r="K18" s="508">
        <f>Time!K$30</f>
        <v>92.0</v>
      </c>
      <c r="L18" s="508">
        <f>Time!L$30</f>
        <v>90.0</v>
      </c>
      <c r="M18" s="508">
        <f>Time!M$30</f>
        <v>91.0</v>
      </c>
      <c r="N18" s="508">
        <f>Time!N$30</f>
        <v>92.0</v>
      </c>
      <c r="O18" s="508">
        <f>Time!O$30</f>
        <v>92.0</v>
      </c>
      <c r="P18" s="508">
        <f>Time!P$30</f>
        <v>90.0</v>
      </c>
      <c r="Q18" s="508">
        <f>Time!Q$30</f>
        <v>91.0</v>
      </c>
      <c r="R18" s="508">
        <f>Time!R$30</f>
        <v>92.0</v>
      </c>
      <c r="S18" s="508">
        <f>Time!S$30</f>
        <v>92.0</v>
      </c>
      <c r="T18" s="508">
        <f>Time!T$30</f>
        <v>91.0</v>
      </c>
      <c r="U18" s="508">
        <f>Time!U$30</f>
        <v>91.0</v>
      </c>
      <c r="V18" s="508">
        <f>Time!V$30</f>
        <v>92.0</v>
      </c>
      <c r="W18" s="508">
        <f>Time!W$30</f>
        <v>92.0</v>
      </c>
      <c r="X18" s="508">
        <f>Time!X$30</f>
        <v>90.0</v>
      </c>
      <c r="Y18" s="508">
        <f>Time!Y$30</f>
        <v>91.0</v>
      </c>
      <c r="Z18" s="508">
        <f>Time!Z$30</f>
        <v>92.0</v>
      </c>
      <c r="AA18" s="508">
        <f>Time!AA$30</f>
        <v>92.0</v>
      </c>
      <c r="AB18" s="508">
        <f>Time!AB$30</f>
        <v>90.0</v>
      </c>
      <c r="AC18" s="508">
        <f>Time!AC$30</f>
        <v>91.0</v>
      </c>
      <c r="AD18" s="508">
        <f>Time!AD$30</f>
        <v>92.0</v>
      </c>
      <c r="AE18" s="508">
        <f>Time!AE$30</f>
        <v>92.0</v>
      </c>
      <c r="AF18" s="508">
        <f>Time!AF$30</f>
        <v>90.0</v>
      </c>
      <c r="AG18" s="508">
        <f>Time!AG$30</f>
        <v>91.0</v>
      </c>
      <c r="AH18" s="508">
        <f>Time!AH$30</f>
        <v>92.0</v>
      </c>
      <c r="AI18" s="508">
        <f>Time!AI$30</f>
        <v>92.0</v>
      </c>
      <c r="AJ18" s="508">
        <f>Time!AJ$30</f>
        <v>91.0</v>
      </c>
      <c r="AK18" s="508">
        <f>Time!AK$30</f>
        <v>91.0</v>
      </c>
      <c r="AL18" s="508">
        <f>Time!AL$30</f>
        <v>92.0</v>
      </c>
      <c r="AM18" s="508">
        <f>Time!AM$30</f>
        <v>92.0</v>
      </c>
      <c r="AN18" s="508">
        <f>Time!AN$30</f>
        <v>90.0</v>
      </c>
      <c r="AO18" s="508">
        <f>Time!AO$30</f>
        <v>91.0</v>
      </c>
      <c r="AP18" s="508">
        <f>Time!AP$30</f>
        <v>92.0</v>
      </c>
      <c r="AQ18" s="508">
        <f>Time!AQ$30</f>
        <v>92.0</v>
      </c>
      <c r="AR18" s="508">
        <f>Time!AR$30</f>
        <v>90.0</v>
      </c>
      <c r="AS18" s="508">
        <f>Time!AS$30</f>
        <v>91.0</v>
      </c>
      <c r="AT18" s="508">
        <f>Time!AT$30</f>
        <v>92.0</v>
      </c>
      <c r="AU18" s="508">
        <f>Time!AU$30</f>
        <v>92.0</v>
      </c>
      <c r="AV18" s="508">
        <f>Time!AV$30</f>
        <v>90.0</v>
      </c>
      <c r="AW18" s="508">
        <f>Time!AW$30</f>
        <v>91.0</v>
      </c>
      <c r="AX18" s="508">
        <f>Time!AX$30</f>
        <v>92.0</v>
      </c>
      <c r="AY18" s="508">
        <f>Time!AY$30</f>
        <v>92.0</v>
      </c>
      <c r="AZ18" s="508">
        <f>Time!AZ$30</f>
        <v>91.0</v>
      </c>
      <c r="BA18" s="508">
        <f>Time!BA$30</f>
        <v>91.0</v>
      </c>
      <c r="BB18" s="508">
        <f>Time!BB$30</f>
        <v>92.0</v>
      </c>
      <c r="BC18" s="508">
        <f>Time!BC$30</f>
        <v>92.0</v>
      </c>
      <c r="BD18" s="508">
        <f>Time!BD$30</f>
        <v>90.0</v>
      </c>
      <c r="BE18" s="508">
        <f>Time!BE$30</f>
        <v>91.0</v>
      </c>
      <c r="BF18" s="508">
        <f>Time!BF$30</f>
        <v>92.0</v>
      </c>
      <c r="BG18" s="508">
        <f>Time!BG$30</f>
        <v>92.0</v>
      </c>
      <c r="BH18" s="508">
        <f>Time!BH$30</f>
        <v>90.0</v>
      </c>
      <c r="BI18" s="508">
        <f>Time!BI$30</f>
        <v>91.0</v>
      </c>
      <c r="BJ18" s="508">
        <f>Time!BJ$30</f>
        <v>92.0</v>
      </c>
      <c r="BK18" s="508">
        <f>Time!BK$30</f>
        <v>92.0</v>
      </c>
      <c r="BL18" s="508">
        <f>Time!BL$30</f>
        <v>90.0</v>
      </c>
      <c r="BM18" s="508">
        <f>Time!BM$30</f>
        <v>91.0</v>
      </c>
      <c r="BN18" s="508">
        <f>Time!BN$30</f>
        <v>92.0</v>
      </c>
      <c r="BO18" s="508">
        <f>Time!BO$30</f>
        <v>92.0</v>
      </c>
      <c r="BP18" s="508">
        <f>Time!BP$30</f>
        <v>91.0</v>
      </c>
      <c r="BQ18" s="508">
        <f>Time!BQ$30</f>
        <v>91.0</v>
      </c>
      <c r="BR18" s="508">
        <f>Time!BR$30</f>
        <v>92.0</v>
      </c>
      <c r="BS18" s="508">
        <f>Time!BS$30</f>
        <v>92.0</v>
      </c>
      <c r="BT18" s="508">
        <f>Time!BT$30</f>
        <v>90.0</v>
      </c>
      <c r="BU18" s="508">
        <f>Time!BU$30</f>
        <v>91.0</v>
      </c>
      <c r="BV18" s="508">
        <f>Time!BV$30</f>
        <v>92.0</v>
      </c>
      <c r="BW18" s="508">
        <f>Time!BW$30</f>
        <v>92.0</v>
      </c>
      <c r="BX18" s="508">
        <f>Time!BX$30</f>
        <v>90.0</v>
      </c>
      <c r="BY18" s="508">
        <f>Time!BY$30</f>
        <v>91.0</v>
      </c>
      <c r="BZ18" s="508">
        <f>Time!BZ$30</f>
        <v>92.0</v>
      </c>
      <c r="CA18" s="508">
        <f>Time!CA$30</f>
        <v>92.0</v>
      </c>
      <c r="CB18" s="508">
        <f>Time!CB$30</f>
        <v>90.0</v>
      </c>
      <c r="CC18" s="508">
        <f>Time!CC$30</f>
        <v>91.0</v>
      </c>
      <c r="CD18" s="508">
        <f>Time!CD$30</f>
        <v>92.0</v>
      </c>
      <c r="CE18" s="508">
        <f>Time!CE$30</f>
        <v>92.0</v>
      </c>
      <c r="CF18" s="508">
        <f>Time!CF$30</f>
        <v>91.0</v>
      </c>
      <c r="CG18" s="508">
        <f>Time!CG$30</f>
        <v>91.0</v>
      </c>
      <c r="CH18" s="508">
        <f>Time!CH$30</f>
        <v>92.0</v>
      </c>
      <c r="CI18" s="508">
        <f>Time!CI$30</f>
        <v>92.0</v>
      </c>
      <c r="CJ18" s="508">
        <f>Time!CJ$30</f>
        <v>90.0</v>
      </c>
      <c r="CK18" s="508">
        <f>Time!CK$30</f>
        <v>91.0</v>
      </c>
      <c r="CL18" s="508">
        <f>Time!CL$30</f>
        <v>92.0</v>
      </c>
      <c r="CM18" s="508">
        <f>Time!CM$30</f>
        <v>92.0</v>
      </c>
      <c r="CN18" s="508">
        <f>Time!CN$30</f>
        <v>90.0</v>
      </c>
      <c r="CO18" s="508">
        <f>Time!CO$30</f>
        <v>91.0</v>
      </c>
    </row>
    <row r="19">
      <c r="E19" s="61" t="inlineStr">
        <is>
          <t>Periodic interest rate</t>
        </is>
      </c>
      <c r="F19" s="502" t="n"/>
      <c r="G19" s="61" t="inlineStr">
        <is>
          <t>%</t>
        </is>
      </c>
      <c r="H19" s="503" t="n"/>
      <c r="I19" s="502" t="n"/>
      <c r="J19" s="509">
        <f>$F$16/$F$17*J18</f>
        <v>0.01661111111111111</v>
      </c>
      <c r="K19" s="509">
        <f>$F$16/$F$17*K18</f>
        <v>0.01661111111111111</v>
      </c>
      <c r="L19" s="509">
        <f>$F$16/$F$17*L18</f>
        <v>0.01625</v>
      </c>
      <c r="M19" s="509">
        <f>$F$16/$F$17*M18</f>
        <v>0.016430555555555556</v>
      </c>
      <c r="N19" s="509">
        <f>$F$16/$F$17*N18</f>
        <v>0.01661111111111111</v>
      </c>
      <c r="O19" s="509">
        <f>$F$16/$F$17*O18</f>
        <v>0.01661111111111111</v>
      </c>
      <c r="P19" s="509">
        <f>$F$16/$F$17*P18</f>
        <v>0.01625</v>
      </c>
      <c r="Q19" s="509">
        <f>$F$16/$F$17*Q18</f>
        <v>0.016430555555555556</v>
      </c>
      <c r="R19" s="509">
        <f>$F$16/$F$17*R18</f>
        <v>0.01661111111111111</v>
      </c>
      <c r="S19" s="509">
        <f>$F$16/$F$17*S18</f>
        <v>0.01661111111111111</v>
      </c>
      <c r="T19" s="509">
        <f>$F$16/$F$17*T18</f>
        <v>0.016430555555555556</v>
      </c>
      <c r="U19" s="509">
        <f>$F$16/$F$17*U18</f>
        <v>0.016430555555555556</v>
      </c>
      <c r="V19" s="509">
        <f>$F$16/$F$17*V18</f>
        <v>0.01661111111111111</v>
      </c>
      <c r="W19" s="509">
        <f>$F$16/$F$17*W18</f>
        <v>0.01661111111111111</v>
      </c>
      <c r="X19" s="509">
        <f>$F$16/$F$17*X18</f>
        <v>0.01625</v>
      </c>
      <c r="Y19" s="509">
        <f>$F$16/$F$17*Y18</f>
        <v>0.016430555555555556</v>
      </c>
      <c r="Z19" s="509">
        <f>$F$16/$F$17*Z18</f>
        <v>0.01661111111111111</v>
      </c>
      <c r="AA19" s="509">
        <f>$F$16/$F$17*AA18</f>
        <v>0.01661111111111111</v>
      </c>
      <c r="AB19" s="509">
        <f>$F$16/$F$17*AB18</f>
        <v>0.01625</v>
      </c>
      <c r="AC19" s="509">
        <f>$F$16/$F$17*AC18</f>
        <v>0.016430555555555556</v>
      </c>
      <c r="AD19" s="509">
        <f>$F$16/$F$17*AD18</f>
        <v>0.01661111111111111</v>
      </c>
      <c r="AE19" s="509">
        <f>$F$16/$F$17*AE18</f>
        <v>0.01661111111111111</v>
      </c>
      <c r="AF19" s="509">
        <f>$F$16/$F$17*AF18</f>
        <v>0.01625</v>
      </c>
      <c r="AG19" s="509">
        <f>$F$16/$F$17*AG18</f>
        <v>0.016430555555555556</v>
      </c>
      <c r="AH19" s="509">
        <f>$F$16/$F$17*AH18</f>
        <v>0.01661111111111111</v>
      </c>
      <c r="AI19" s="509">
        <f>$F$16/$F$17*AI18</f>
        <v>0.01661111111111111</v>
      </c>
      <c r="AJ19" s="509">
        <f>$F$16/$F$17*AJ18</f>
        <v>0.016430555555555556</v>
      </c>
      <c r="AK19" s="509">
        <f>$F$16/$F$17*AK18</f>
        <v>0.016430555555555556</v>
      </c>
      <c r="AL19" s="509">
        <f>$F$16/$F$17*AL18</f>
        <v>0.01661111111111111</v>
      </c>
      <c r="AM19" s="509">
        <f>$F$16/$F$17*AM18</f>
        <v>0.01661111111111111</v>
      </c>
      <c r="AN19" s="509">
        <f>$F$16/$F$17*AN18</f>
        <v>0.01625</v>
      </c>
      <c r="AO19" s="509">
        <f>$F$16/$F$17*AO18</f>
        <v>0.016430555555555556</v>
      </c>
      <c r="AP19" s="509">
        <f>$F$16/$F$17*AP18</f>
        <v>0.01661111111111111</v>
      </c>
      <c r="AQ19" s="509">
        <f>$F$16/$F$17*AQ18</f>
        <v>0.01661111111111111</v>
      </c>
      <c r="AR19" s="509">
        <f>$F$16/$F$17*AR18</f>
        <v>0.01625</v>
      </c>
      <c r="AS19" s="509">
        <f>$F$16/$F$17*AS18</f>
        <v>0.016430555555555556</v>
      </c>
      <c r="AT19" s="509">
        <f>$F$16/$F$17*AT18</f>
        <v>0.01661111111111111</v>
      </c>
      <c r="AU19" s="509">
        <f>$F$16/$F$17*AU18</f>
        <v>0.01661111111111111</v>
      </c>
      <c r="AV19" s="509">
        <f>$F$16/$F$17*AV18</f>
        <v>0.01625</v>
      </c>
      <c r="AW19" s="509">
        <f>$F$16/$F$17*AW18</f>
        <v>0.016430555555555556</v>
      </c>
      <c r="AX19" s="509">
        <f>$F$16/$F$17*AX18</f>
        <v>0.01661111111111111</v>
      </c>
      <c r="AY19" s="509">
        <f>$F$16/$F$17*AY18</f>
        <v>0.01661111111111111</v>
      </c>
      <c r="AZ19" s="509">
        <f>$F$16/$F$17*AZ18</f>
        <v>0.016430555555555556</v>
      </c>
      <c r="BA19" s="509">
        <f>$F$16/$F$17*BA18</f>
        <v>0.016430555555555556</v>
      </c>
      <c r="BB19" s="509">
        <f>$F$16/$F$17*BB18</f>
        <v>0.01661111111111111</v>
      </c>
      <c r="BC19" s="509">
        <f>$F$16/$F$17*BC18</f>
        <v>0.01661111111111111</v>
      </c>
      <c r="BD19" s="509">
        <f>$F$16/$F$17*BD18</f>
        <v>0.01625</v>
      </c>
      <c r="BE19" s="509">
        <f>$F$16/$F$17*BE18</f>
        <v>0.016430555555555556</v>
      </c>
      <c r="BF19" s="509">
        <f>$F$16/$F$17*BF18</f>
        <v>0.01661111111111111</v>
      </c>
      <c r="BG19" s="509">
        <f>$F$16/$F$17*BG18</f>
        <v>0.01661111111111111</v>
      </c>
      <c r="BH19" s="509">
        <f>$F$16/$F$17*BH18</f>
        <v>0.01625</v>
      </c>
      <c r="BI19" s="509">
        <f>$F$16/$F$17*BI18</f>
        <v>0.016430555555555556</v>
      </c>
      <c r="BJ19" s="509">
        <f>$F$16/$F$17*BJ18</f>
        <v>0.01661111111111111</v>
      </c>
      <c r="BK19" s="509">
        <f>$F$16/$F$17*BK18</f>
        <v>0.01661111111111111</v>
      </c>
      <c r="BL19" s="509">
        <f>$F$16/$F$17*BL18</f>
        <v>0.01625</v>
      </c>
      <c r="BM19" s="509">
        <f>$F$16/$F$17*BM18</f>
        <v>0.016430555555555556</v>
      </c>
      <c r="BN19" s="509">
        <f>$F$16/$F$17*BN18</f>
        <v>0.01661111111111111</v>
      </c>
      <c r="BO19" s="509">
        <f>$F$16/$F$17*BO18</f>
        <v>0.01661111111111111</v>
      </c>
      <c r="BP19" s="509">
        <f>$F$16/$F$17*BP18</f>
        <v>0.016430555555555556</v>
      </c>
      <c r="BQ19" s="509">
        <f>$F$16/$F$17*BQ18</f>
        <v>0.016430555555555556</v>
      </c>
      <c r="BR19" s="509">
        <f>$F$16/$F$17*BR18</f>
        <v>0.01661111111111111</v>
      </c>
      <c r="BS19" s="509">
        <f>$F$16/$F$17*BS18</f>
        <v>0.01661111111111111</v>
      </c>
      <c r="BT19" s="509">
        <f>$F$16/$F$17*BT18</f>
        <v>0.01625</v>
      </c>
      <c r="BU19" s="509">
        <f>$F$16/$F$17*BU18</f>
        <v>0.016430555555555556</v>
      </c>
      <c r="BV19" s="509">
        <f>$F$16/$F$17*BV18</f>
        <v>0.01661111111111111</v>
      </c>
      <c r="BW19" s="509">
        <f>$F$16/$F$17*BW18</f>
        <v>0.01661111111111111</v>
      </c>
      <c r="BX19" s="509">
        <f>$F$16/$F$17*BX18</f>
        <v>0.01625</v>
      </c>
      <c r="BY19" s="509">
        <f>$F$16/$F$17*BY18</f>
        <v>0.016430555555555556</v>
      </c>
      <c r="BZ19" s="509">
        <f>$F$16/$F$17*BZ18</f>
        <v>0.01661111111111111</v>
      </c>
      <c r="CA19" s="509">
        <f>$F$16/$F$17*CA18</f>
        <v>0.01661111111111111</v>
      </c>
      <c r="CB19" s="509">
        <f>$F$16/$F$17*CB18</f>
        <v>0.01625</v>
      </c>
      <c r="CC19" s="509">
        <f>$F$16/$F$17*CC18</f>
        <v>0.016430555555555556</v>
      </c>
      <c r="CD19" s="509">
        <f>$F$16/$F$17*CD18</f>
        <v>0.01661111111111111</v>
      </c>
      <c r="CE19" s="509">
        <f>$F$16/$F$17*CE18</f>
        <v>0.01661111111111111</v>
      </c>
      <c r="CF19" s="509">
        <f>$F$16/$F$17*CF18</f>
        <v>0.016430555555555556</v>
      </c>
      <c r="CG19" s="509">
        <f>$F$16/$F$17*CG18</f>
        <v>0.016430555555555556</v>
      </c>
      <c r="CH19" s="509">
        <f>$F$16/$F$17*CH18</f>
        <v>0.01661111111111111</v>
      </c>
      <c r="CI19" s="509">
        <f>$F$16/$F$17*CI18</f>
        <v>0.01661111111111111</v>
      </c>
      <c r="CJ19" s="509">
        <f>$F$16/$F$17*CJ18</f>
        <v>0.01625</v>
      </c>
      <c r="CK19" s="509">
        <f>$F$16/$F$17*CK18</f>
        <v>0.016430555555555556</v>
      </c>
      <c r="CL19" s="509">
        <f>$F$16/$F$17*CL18</f>
        <v>0.01661111111111111</v>
      </c>
      <c r="CM19" s="509">
        <f>$F$16/$F$17*CM18</f>
        <v>0.01661111111111111</v>
      </c>
      <c r="CN19" s="509">
        <f>$F$16/$F$17*CN18</f>
        <v>0.01625</v>
      </c>
      <c r="CO19" s="509">
        <f>$F$16/$F$17*CO18</f>
        <v>0.016430555555555556</v>
      </c>
    </row>
    <row r="20">
      <c r="E20" s="61" t="inlineStr">
        <is>
          <t>CFADS for sizing (tax before interest deduction)</t>
        </is>
      </c>
      <c r="F20" s="484" t="n"/>
      <c r="G20" s="61" t="inlineStr">
        <is>
          <t>$ 000s</t>
        </is>
      </c>
      <c r="H20" s="490">
        <f>SUM(J20:CO20)</f>
        <v>577156.9803516441</v>
      </c>
      <c r="I20" s="484" t="n"/>
      <c r="J20" s="490">
        <f>FinStat!J$36-Tax!J$53</f>
        <v>0.0</v>
      </c>
      <c r="K20" s="490">
        <f>FinStat!K$36-Tax!K$53</f>
        <v>0.0</v>
      </c>
      <c r="L20" s="490">
        <f>FinStat!L$36-Tax!L$53</f>
        <v>5016.138851778906</v>
      </c>
      <c r="M20" s="490">
        <f>FinStat!M$36-Tax!M$53</f>
        <v>5213.388959863475</v>
      </c>
      <c r="N20" s="490">
        <f>FinStat!N$36-Tax!N$53</f>
        <v>5329.903756747221</v>
      </c>
      <c r="O20" s="490">
        <f>FinStat!O$36-Tax!O$53</f>
        <v>5151.386295577394</v>
      </c>
      <c r="P20" s="490">
        <f>FinStat!P$36-Tax!P$53</f>
        <v>5279.544542440284</v>
      </c>
      <c r="Q20" s="490">
        <f>FinStat!Q$36-Tax!Q$53</f>
        <v>5114.9209002646985</v>
      </c>
      <c r="R20" s="490">
        <f>FinStat!R$36-Tax!R$53</f>
        <v>5272.6273132092865</v>
      </c>
      <c r="S20" s="490">
        <f>FinStat!S$36-Tax!S$53</f>
        <v>3092.1508862734504</v>
      </c>
      <c r="T20" s="490">
        <f>FinStat!T$36-Tax!T$53</f>
        <v>5411.24426560059</v>
      </c>
      <c r="U20" s="490">
        <f>FinStat!U$36-Tax!U$53</f>
        <v>5311.842382673007</v>
      </c>
      <c r="V20" s="490">
        <f>FinStat!V$36-Tax!V$53</f>
        <v>5488.855763855502</v>
      </c>
      <c r="W20" s="490">
        <f>FinStat!W$36-Tax!W$53</f>
        <v>4300.696142549795</v>
      </c>
      <c r="X20" s="490">
        <f>FinStat!X$36-Tax!X$53</f>
        <v>5475.519972360641</v>
      </c>
      <c r="Y20" s="490">
        <f>FinStat!Y$36-Tax!Y$53</f>
        <v>5302.53748689878</v>
      </c>
      <c r="Z20" s="490">
        <f>FinStat!Z$36-Tax!Z$53</f>
        <v>5478.101143854762</v>
      </c>
      <c r="AA20" s="490">
        <f>FinStat!AA$36-Tax!AA$53</f>
        <v>3782.5629626781683</v>
      </c>
      <c r="AB20" s="490">
        <f>FinStat!AB$36-Tax!AB$53</f>
        <v>5477.256116854403</v>
      </c>
      <c r="AC20" s="490">
        <f>FinStat!AC$36-Tax!AC$53</f>
        <v>5307.210629562545</v>
      </c>
      <c r="AD20" s="490">
        <f>FinStat!AD$36-Tax!AD$53</f>
        <v>5785.782115787881</v>
      </c>
      <c r="AE20" s="490">
        <f>FinStat!AE$36-Tax!AE$53</f>
        <v>4762.093292859798</v>
      </c>
      <c r="AF20" s="490">
        <f>FinStat!AF$36-Tax!AF$53</f>
        <v>5966.573443142202</v>
      </c>
      <c r="AG20" s="490">
        <f>FinStat!AG$36-Tax!AG$53</f>
        <v>5802.350125919251</v>
      </c>
      <c r="AH20" s="490">
        <f>FinStat!AH$36-Tax!AH$53</f>
        <v>6012.437693552421</v>
      </c>
      <c r="AI20" s="490">
        <f>FinStat!AI$36-Tax!AI$53</f>
        <v>5314.446671105831</v>
      </c>
      <c r="AJ20" s="490">
        <f>FinStat!AJ$36-Tax!AJ$53</f>
        <v>6032.068591941714</v>
      </c>
      <c r="AK20" s="490">
        <f>FinStat!AK$36-Tax!AK$53</f>
        <v>5851.176482641658</v>
      </c>
      <c r="AL20" s="490">
        <f>FinStat!AL$36-Tax!AL$53</f>
        <v>6082.314184923713</v>
      </c>
      <c r="AM20" s="490">
        <f>FinStat!AM$36-Tax!AM$53</f>
        <v>5177.118533748582</v>
      </c>
      <c r="AN20" s="490">
        <f>FinStat!AN$36-Tax!AN$53</f>
        <v>6605.290834441792</v>
      </c>
      <c r="AO20" s="490">
        <f>FinStat!AO$36-Tax!AO$53</f>
        <v>6446.127047770879</v>
      </c>
      <c r="AP20" s="490">
        <f>FinStat!AP$36-Tax!AP$53</f>
        <v>6689.154745782407</v>
      </c>
      <c r="AQ20" s="490">
        <f>FinStat!AQ$36-Tax!AQ$53</f>
        <v>5484.256562606737</v>
      </c>
      <c r="AR20" s="490">
        <f>FinStat!AR$36-Tax!AR$53</f>
        <v>6727.699908853612</v>
      </c>
      <c r="AS20" s="490">
        <f>FinStat!AS$36-Tax!AS$53</f>
        <v>6567.548691113639</v>
      </c>
      <c r="AT20" s="490">
        <f>FinStat!AT$36-Tax!AT$53</f>
        <v>6821.465328470026</v>
      </c>
      <c r="AU20" s="490">
        <f>FinStat!AU$36-Tax!AU$53</f>
        <v>6613.838402783379</v>
      </c>
      <c r="AV20" s="490">
        <f>FinStat!AV$36-Tax!AV$53</f>
        <v>6852.382342252739</v>
      </c>
      <c r="AW20" s="490">
        <f>FinStat!AW$36-Tax!AW$53</f>
        <v>6691.284016173886</v>
      </c>
      <c r="AX20" s="490">
        <f>FinStat!AX$36-Tax!AX$53</f>
        <v>7338.390158905131</v>
      </c>
      <c r="AY20" s="490">
        <f>FinStat!AY$36-Tax!AY$53</f>
        <v>7354.8669495656195</v>
      </c>
      <c r="AZ20" s="490">
        <f>FinStat!AZ$36-Tax!AZ$53</f>
        <v>7624.999347441884</v>
      </c>
      <c r="BA20" s="490">
        <f>FinStat!BA$36-Tax!BA$53</f>
        <v>7437.773484344894</v>
      </c>
      <c r="BB20" s="490">
        <f>FinStat!BB$36-Tax!BB$53</f>
        <v>7740.392835805129</v>
      </c>
      <c r="BC20" s="490">
        <f>FinStat!BC$36-Tax!BC$53</f>
        <v>7521.637238564551</v>
      </c>
      <c r="BD20" s="490">
        <f>FinStat!BD$36-Tax!BD$53</f>
        <v>7786.862296074629</v>
      </c>
      <c r="BE20" s="490">
        <f>FinStat!BE$36-Tax!BE$53</f>
        <v>7627.988950314166</v>
      </c>
      <c r="BF20" s="490">
        <f>FinStat!BF$36-Tax!BF$53</f>
        <v>7926.412925883229</v>
      </c>
      <c r="BG20" s="490">
        <f>FinStat!BG$36-Tax!BG$53</f>
        <v>7703.404245475239</v>
      </c>
      <c r="BH20" s="490">
        <f>FinStat!BH$36-Tax!BH$53</f>
        <v>7569.490087277265</v>
      </c>
      <c r="BI20" s="490">
        <f>FinStat!BI$36-Tax!BI$53</f>
        <v>8073.7851527952425</v>
      </c>
      <c r="BJ20" s="490">
        <f>FinStat!BJ$36-Tax!BJ$53</f>
        <v>7864.656660041153</v>
      </c>
      <c r="BK20" s="490">
        <f>FinStat!BK$36-Tax!BK$53</f>
        <v>8164.350522971762</v>
      </c>
      <c r="BL20" s="490">
        <f>FinStat!BL$36-Tax!BL$53</f>
        <v>7920.158988451465</v>
      </c>
      <c r="BM20" s="490">
        <f>FinStat!BM$36-Tax!BM$53</f>
        <v>8283.741323993565</v>
      </c>
      <c r="BN20" s="490">
        <f>FinStat!BN$36-Tax!BN$53</f>
        <v>8069.951845626139</v>
      </c>
      <c r="BO20" s="490">
        <f>FinStat!BO$36-Tax!BO$53</f>
        <v>8380.168750155473</v>
      </c>
      <c r="BP20" s="490">
        <f>FinStat!BP$36-Tax!BP$53</f>
        <v>8145.43218653447</v>
      </c>
      <c r="BQ20" s="490">
        <f>FinStat!BQ$36-Tax!BQ$53</f>
        <v>8051.3682701455255</v>
      </c>
      <c r="BR20" s="490">
        <f>FinStat!BR$36-Tax!BR$53</f>
        <v>8564.966728450934</v>
      </c>
      <c r="BS20" s="490">
        <f>FinStat!BS$36-Tax!BS$53</f>
        <v>8326.10105657528</v>
      </c>
      <c r="BT20" s="490">
        <f>FinStat!BT$36-Tax!BT$53</f>
        <v>8631.592591488294</v>
      </c>
      <c r="BU20" s="490">
        <f>FinStat!BU$36-Tax!BU$53</f>
        <v>8459.408717410739</v>
      </c>
      <c r="BV20" s="490">
        <f>FinStat!BV$36-Tax!BV$53</f>
        <v>8801.585533466476</v>
      </c>
      <c r="BW20" s="490">
        <f>FinStat!BW$36-Tax!BW$53</f>
        <v>9017.663894454512</v>
      </c>
      <c r="BX20" s="490">
        <f>FinStat!BX$36-Tax!BX$53</f>
        <v>9044.339855832266</v>
      </c>
      <c r="BY20" s="490">
        <f>FinStat!BY$36-Tax!BY$53</f>
        <v>9161.799265857673</v>
      </c>
      <c r="BZ20" s="490">
        <f>FinStat!BZ$36-Tax!BZ$53</f>
        <v>9225.704544162636</v>
      </c>
      <c r="CA20" s="490">
        <f>FinStat!CA$36-Tax!CA$53</f>
        <v>9272.462692519282</v>
      </c>
      <c r="CB20" s="490">
        <f>FinStat!CB$36-Tax!CB$53</f>
        <v>9300.72548867681</v>
      </c>
      <c r="CC20" s="490">
        <f>FinStat!CC$36-Tax!CC$53</f>
        <v>9422.455909144512</v>
      </c>
      <c r="CD20" s="490">
        <f>FinStat!CD$36-Tax!CD$53</f>
        <v>9488.988212533062</v>
      </c>
      <c r="CE20" s="490">
        <f>FinStat!CE$36-Tax!CE$53</f>
        <v>9537.82347873813</v>
      </c>
      <c r="CF20" s="490">
        <f>FinStat!CF$36-Tax!CF$53</f>
        <v>9586.890103432881</v>
      </c>
      <c r="CG20" s="490">
        <f>FinStat!CG$36-Tax!CG$53</f>
        <v>9674.25047865673</v>
      </c>
      <c r="CH20" s="490">
        <f>FinStat!CH$36-Tax!CH$53</f>
        <v>9762.672231963468</v>
      </c>
      <c r="CI20" s="490">
        <f>FinStat!CI$36-Tax!CI$53</f>
        <v>9813.521837501972</v>
      </c>
      <c r="CJ20" s="490">
        <f>FinStat!CJ$36-Tax!CJ$53</f>
        <v>9844.687529595085</v>
      </c>
      <c r="CK20" s="490">
        <f>FinStat!CK$36-Tax!CK$53</f>
        <v>9974.953939736379</v>
      </c>
      <c r="CL20" s="490">
        <f>FinStat!CL$36-Tax!CL$53</f>
        <v>10046.604537115036</v>
      </c>
      <c r="CM20" s="490">
        <f>FinStat!CM$36-Tax!CM$53</f>
        <v>10709.88562449671</v>
      </c>
      <c r="CN20" s="490">
        <f>FinStat!CN$36-Tax!CN$53</f>
        <v>1810.7664905536149</v>
      </c>
      <c r="CO20" s="490">
        <f>FinStat!CO$36-Tax!CO$53</f>
        <v>0.0</v>
      </c>
    </row>
    <row r="21">
      <c r="E21" s="61" t="inlineStr">
        <is>
          <t>CFADS available to lenders</t>
        </is>
      </c>
      <c r="F21" s="484" t="n"/>
      <c r="G21" s="61" t="inlineStr">
        <is>
          <t>$ 000s</t>
        </is>
      </c>
      <c r="H21" s="490">
        <f>SUM(J21:CO21)</f>
        <v>227784.5544973858</v>
      </c>
      <c r="I21" s="484" t="n"/>
      <c r="J21" s="490">
        <f>J20*J12</f>
        <v>0.0</v>
      </c>
      <c r="K21" s="490">
        <f>K20*K12</f>
        <v>0.0</v>
      </c>
      <c r="L21" s="490">
        <f>L20*L12</f>
        <v>5016.138851778906</v>
      </c>
      <c r="M21" s="490">
        <f>M20*M12</f>
        <v>5213.388959863475</v>
      </c>
      <c r="N21" s="490">
        <f>N20*N12</f>
        <v>5329.903756747221</v>
      </c>
      <c r="O21" s="490">
        <f>O20*O12</f>
        <v>5151.386295577394</v>
      </c>
      <c r="P21" s="490">
        <f>P20*P12</f>
        <v>5279.544542440284</v>
      </c>
      <c r="Q21" s="490">
        <f>Q20*Q12</f>
        <v>5114.9209002646985</v>
      </c>
      <c r="R21" s="490">
        <f>R20*R12</f>
        <v>5272.6273132092865</v>
      </c>
      <c r="S21" s="490">
        <f>S20*S12</f>
        <v>3092.1508862734504</v>
      </c>
      <c r="T21" s="490">
        <f>T20*T12</f>
        <v>5411.24426560059</v>
      </c>
      <c r="U21" s="490">
        <f>U20*U12</f>
        <v>5311.842382673007</v>
      </c>
      <c r="V21" s="490">
        <f>V20*V12</f>
        <v>5488.855763855502</v>
      </c>
      <c r="W21" s="490">
        <f>W20*W12</f>
        <v>4300.696142549795</v>
      </c>
      <c r="X21" s="490">
        <f>X20*X12</f>
        <v>5475.519972360641</v>
      </c>
      <c r="Y21" s="490">
        <f>Y20*Y12</f>
        <v>5302.53748689878</v>
      </c>
      <c r="Z21" s="490">
        <f>Z20*Z12</f>
        <v>5478.101143854762</v>
      </c>
      <c r="AA21" s="490">
        <f>AA20*AA12</f>
        <v>3782.5629626781683</v>
      </c>
      <c r="AB21" s="490">
        <f>AB20*AB12</f>
        <v>5477.256116854403</v>
      </c>
      <c r="AC21" s="490">
        <f>AC20*AC12</f>
        <v>5307.210629562545</v>
      </c>
      <c r="AD21" s="490">
        <f>AD20*AD12</f>
        <v>5785.782115787881</v>
      </c>
      <c r="AE21" s="490">
        <f>AE20*AE12</f>
        <v>4762.093292859798</v>
      </c>
      <c r="AF21" s="490">
        <f>AF20*AF12</f>
        <v>5966.573443142202</v>
      </c>
      <c r="AG21" s="490">
        <f>AG20*AG12</f>
        <v>5802.350125919251</v>
      </c>
      <c r="AH21" s="490">
        <f>AH20*AH12</f>
        <v>6012.437693552421</v>
      </c>
      <c r="AI21" s="490">
        <f>AI20*AI12</f>
        <v>5314.446671105831</v>
      </c>
      <c r="AJ21" s="490">
        <f>AJ20*AJ12</f>
        <v>6032.068591941714</v>
      </c>
      <c r="AK21" s="490">
        <f>AK20*AK12</f>
        <v>5851.176482641658</v>
      </c>
      <c r="AL21" s="490">
        <f>AL20*AL12</f>
        <v>6082.314184923713</v>
      </c>
      <c r="AM21" s="490">
        <f>AM20*AM12</f>
        <v>5177.118533748582</v>
      </c>
      <c r="AN21" s="490">
        <f>AN20*AN12</f>
        <v>6605.290834441792</v>
      </c>
      <c r="AO21" s="490">
        <f>AO20*AO12</f>
        <v>6446.127047770879</v>
      </c>
      <c r="AP21" s="490">
        <f>AP20*AP12</f>
        <v>6689.154745782407</v>
      </c>
      <c r="AQ21" s="490">
        <f>AQ20*AQ12</f>
        <v>5484.256562606737</v>
      </c>
      <c r="AR21" s="490">
        <f>AR20*AR12</f>
        <v>6727.699908853612</v>
      </c>
      <c r="AS21" s="490">
        <f>AS20*AS12</f>
        <v>6567.548691113639</v>
      </c>
      <c r="AT21" s="490">
        <f>AT20*AT12</f>
        <v>6821.465328470026</v>
      </c>
      <c r="AU21" s="490">
        <f>AU20*AU12</f>
        <v>6613.838402783379</v>
      </c>
      <c r="AV21" s="490">
        <f>AV20*AV12</f>
        <v>6852.382342252739</v>
      </c>
      <c r="AW21" s="490">
        <f>AW20*AW12</f>
        <v>6691.284016173886</v>
      </c>
      <c r="AX21" s="490">
        <f>AX20*AX12</f>
        <v>7338.390158905131</v>
      </c>
      <c r="AY21" s="490">
        <f>AY20*AY12</f>
        <v>7354.8669495656195</v>
      </c>
      <c r="AZ21" s="490">
        <f>AZ20*AZ12</f>
        <v>0.0</v>
      </c>
      <c r="BA21" s="490">
        <f>BA20*BA12</f>
        <v>0.0</v>
      </c>
      <c r="BB21" s="490">
        <f>BB20*BB12</f>
        <v>0.0</v>
      </c>
      <c r="BC21" s="490">
        <f>BC20*BC12</f>
        <v>0.0</v>
      </c>
      <c r="BD21" s="490">
        <f>BD20*BD12</f>
        <v>0.0</v>
      </c>
      <c r="BE21" s="490">
        <f>BE20*BE12</f>
        <v>0.0</v>
      </c>
      <c r="BF21" s="490">
        <f>BF20*BF12</f>
        <v>0.0</v>
      </c>
      <c r="BG21" s="490">
        <f>BG20*BG12</f>
        <v>0.0</v>
      </c>
      <c r="BH21" s="490">
        <f>BH20*BH12</f>
        <v>0.0</v>
      </c>
      <c r="BI21" s="490">
        <f>BI20*BI12</f>
        <v>0.0</v>
      </c>
      <c r="BJ21" s="490">
        <f>BJ20*BJ12</f>
        <v>0.0</v>
      </c>
      <c r="BK21" s="490">
        <f>BK20*BK12</f>
        <v>0.0</v>
      </c>
      <c r="BL21" s="490">
        <f>BL20*BL12</f>
        <v>0.0</v>
      </c>
      <c r="BM21" s="490">
        <f>BM20*BM12</f>
        <v>0.0</v>
      </c>
      <c r="BN21" s="490">
        <f>BN20*BN12</f>
        <v>0.0</v>
      </c>
      <c r="BO21" s="490">
        <f>BO20*BO12</f>
        <v>0.0</v>
      </c>
      <c r="BP21" s="490">
        <f>BP20*BP12</f>
        <v>0.0</v>
      </c>
      <c r="BQ21" s="490">
        <f>BQ20*BQ12</f>
        <v>0.0</v>
      </c>
      <c r="BR21" s="490">
        <f>BR20*BR12</f>
        <v>0.0</v>
      </c>
      <c r="BS21" s="490">
        <f>BS20*BS12</f>
        <v>0.0</v>
      </c>
      <c r="BT21" s="490">
        <f>BT20*BT12</f>
        <v>0.0</v>
      </c>
      <c r="BU21" s="490">
        <f>BU20*BU12</f>
        <v>0.0</v>
      </c>
      <c r="BV21" s="490">
        <f>BV20*BV12</f>
        <v>0.0</v>
      </c>
      <c r="BW21" s="490">
        <f>BW20*BW12</f>
        <v>0.0</v>
      </c>
      <c r="BX21" s="490">
        <f>BX20*BX12</f>
        <v>0.0</v>
      </c>
      <c r="BY21" s="490">
        <f>BY20*BY12</f>
        <v>0.0</v>
      </c>
      <c r="BZ21" s="490">
        <f>BZ20*BZ12</f>
        <v>0.0</v>
      </c>
      <c r="CA21" s="490">
        <f>CA20*CA12</f>
        <v>0.0</v>
      </c>
      <c r="CB21" s="490">
        <f>CB20*CB12</f>
        <v>0.0</v>
      </c>
      <c r="CC21" s="490">
        <f>CC20*CC12</f>
        <v>0.0</v>
      </c>
      <c r="CD21" s="490">
        <f>CD20*CD12</f>
        <v>0.0</v>
      </c>
      <c r="CE21" s="490">
        <f>CE20*CE12</f>
        <v>0.0</v>
      </c>
      <c r="CF21" s="490">
        <f>CF20*CF12</f>
        <v>0.0</v>
      </c>
      <c r="CG21" s="490">
        <f>CG20*CG12</f>
        <v>0.0</v>
      </c>
      <c r="CH21" s="490">
        <f>CH20*CH12</f>
        <v>0.0</v>
      </c>
      <c r="CI21" s="490">
        <f>CI20*CI12</f>
        <v>0.0</v>
      </c>
      <c r="CJ21" s="490">
        <f>CJ20*CJ12</f>
        <v>0.0</v>
      </c>
      <c r="CK21" s="490">
        <f>CK20*CK12</f>
        <v>0.0</v>
      </c>
      <c r="CL21" s="490">
        <f>CL20*CL12</f>
        <v>0.0</v>
      </c>
      <c r="CM21" s="490">
        <f>CM20*CM12</f>
        <v>0.0</v>
      </c>
      <c r="CN21" s="490">
        <f>CN20*CN12</f>
        <v>0.0</v>
      </c>
      <c r="CO21" s="490">
        <f>CO20*CO12</f>
        <v>0.0</v>
      </c>
    </row>
    <row r="22">
      <c r="E22" s="61" t="inlineStr">
        <is>
          <t>Debt service at target DSCR</t>
        </is>
      </c>
      <c r="F22" s="484" t="n"/>
      <c r="G22" s="61" t="inlineStr">
        <is>
          <t>$ 000s</t>
        </is>
      </c>
      <c r="H22" s="490">
        <f>SUM(J22:CO22)</f>
        <v>101237.57977661592</v>
      </c>
      <c r="I22" s="484" t="n"/>
      <c r="J22" s="490">
        <f>J21/$F$15</f>
        <v>0.0</v>
      </c>
      <c r="K22" s="490">
        <f>K21/$F$15</f>
        <v>0.0</v>
      </c>
      <c r="L22" s="490">
        <f>L21/$F$15</f>
        <v>2229.3950452350696</v>
      </c>
      <c r="M22" s="490">
        <f>M21/$F$15</f>
        <v>2317.061759939322</v>
      </c>
      <c r="N22" s="490">
        <f>N21/$F$15</f>
        <v>2368.846114109876</v>
      </c>
      <c r="O22" s="490">
        <f>O21/$F$15</f>
        <v>2289.5050202566194</v>
      </c>
      <c r="P22" s="490">
        <f>P21/$F$15</f>
        <v>2346.464241084571</v>
      </c>
      <c r="Q22" s="490">
        <f>Q21/$F$15</f>
        <v>2273.2981778954218</v>
      </c>
      <c r="R22" s="490">
        <f>R21/$F$15</f>
        <v>2343.389916981905</v>
      </c>
      <c r="S22" s="490">
        <f>S21/$F$15</f>
        <v>1374.2892827882001</v>
      </c>
      <c r="T22" s="490">
        <f>T21/$F$15</f>
        <v>2404.99745137804</v>
      </c>
      <c r="U22" s="490">
        <f>U21/$F$15</f>
        <v>2360.8188367435587</v>
      </c>
      <c r="V22" s="490">
        <f>V21/$F$15</f>
        <v>2439.491450602445</v>
      </c>
      <c r="W22" s="490">
        <f>W21/$F$15</f>
        <v>1911.4205077999088</v>
      </c>
      <c r="X22" s="490">
        <f>X21/$F$15</f>
        <v>2433.564432160285</v>
      </c>
      <c r="Y22" s="490">
        <f>Y21/$F$15</f>
        <v>2356.683327510569</v>
      </c>
      <c r="Z22" s="490">
        <f>Z21/$F$15</f>
        <v>2434.7116194910054</v>
      </c>
      <c r="AA22" s="490">
        <f>AA21/$F$15</f>
        <v>1681.1390945236303</v>
      </c>
      <c r="AB22" s="490">
        <f>AB21/$F$15</f>
        <v>2434.3360519352905</v>
      </c>
      <c r="AC22" s="490">
        <f>AC21/$F$15</f>
        <v>2358.760279805576</v>
      </c>
      <c r="AD22" s="490">
        <f>AD21/$F$15</f>
        <v>2571.458718127947</v>
      </c>
      <c r="AE22" s="490">
        <f>AE21/$F$15</f>
        <v>2116.485907937688</v>
      </c>
      <c r="AF22" s="490">
        <f>AF21/$F$15</f>
        <v>2651.8104191743123</v>
      </c>
      <c r="AG22" s="490">
        <f>AG21/$F$15</f>
        <v>2578.8222781863337</v>
      </c>
      <c r="AH22" s="490">
        <f>AH21/$F$15</f>
        <v>2672.1945304677424</v>
      </c>
      <c r="AI22" s="490">
        <f>AI21/$F$15</f>
        <v>2361.976298269258</v>
      </c>
      <c r="AJ22" s="490">
        <f>AJ21/$F$15</f>
        <v>2680.919374196317</v>
      </c>
      <c r="AK22" s="490">
        <f>AK21/$F$15</f>
        <v>2600.5228811740703</v>
      </c>
      <c r="AL22" s="490">
        <f>AL21/$F$15</f>
        <v>2703.2507488549836</v>
      </c>
      <c r="AM22" s="490">
        <f>AM21/$F$15</f>
        <v>2300.9415705549254</v>
      </c>
      <c r="AN22" s="490">
        <f>AN21/$F$15</f>
        <v>2935.684815307463</v>
      </c>
      <c r="AO22" s="490">
        <f>AO21/$F$15</f>
        <v>2864.945354564835</v>
      </c>
      <c r="AP22" s="490">
        <f>AP21/$F$15</f>
        <v>2972.957664792181</v>
      </c>
      <c r="AQ22" s="490">
        <f>AQ21/$F$15</f>
        <v>2437.44736115855</v>
      </c>
      <c r="AR22" s="490">
        <f>AR21/$F$15</f>
        <v>2990.0888483793833</v>
      </c>
      <c r="AS22" s="490">
        <f>AS21/$F$15</f>
        <v>2918.9105293838393</v>
      </c>
      <c r="AT22" s="490">
        <f>AT21/$F$15</f>
        <v>3031.7623682089006</v>
      </c>
      <c r="AU22" s="490">
        <f>AU21/$F$15</f>
        <v>2939.483734570391</v>
      </c>
      <c r="AV22" s="490">
        <f>AV21/$F$15</f>
        <v>3045.5032632234397</v>
      </c>
      <c r="AW22" s="490">
        <f>AW21/$F$15</f>
        <v>2973.9040071883937</v>
      </c>
      <c r="AX22" s="490">
        <f>AX21/$F$15</f>
        <v>3261.5067372911694</v>
      </c>
      <c r="AY22" s="490">
        <f>AY21/$F$15</f>
        <v>3268.8297553624975</v>
      </c>
      <c r="AZ22" s="490">
        <f>AZ21/$F$15</f>
        <v>0.0</v>
      </c>
      <c r="BA22" s="490">
        <f>BA21/$F$15</f>
        <v>0.0</v>
      </c>
      <c r="BB22" s="490">
        <f>BB21/$F$15</f>
        <v>0.0</v>
      </c>
      <c r="BC22" s="490">
        <f>BC21/$F$15</f>
        <v>0.0</v>
      </c>
      <c r="BD22" s="490">
        <f>BD21/$F$15</f>
        <v>0.0</v>
      </c>
      <c r="BE22" s="490">
        <f>BE21/$F$15</f>
        <v>0.0</v>
      </c>
      <c r="BF22" s="490">
        <f>BF21/$F$15</f>
        <v>0.0</v>
      </c>
      <c r="BG22" s="490">
        <f>BG21/$F$15</f>
        <v>0.0</v>
      </c>
      <c r="BH22" s="490">
        <f>BH21/$F$15</f>
        <v>0.0</v>
      </c>
      <c r="BI22" s="490">
        <f>BI21/$F$15</f>
        <v>0.0</v>
      </c>
      <c r="BJ22" s="490">
        <f>BJ21/$F$15</f>
        <v>0.0</v>
      </c>
      <c r="BK22" s="490">
        <f>BK21/$F$15</f>
        <v>0.0</v>
      </c>
      <c r="BL22" s="490">
        <f>BL21/$F$15</f>
        <v>0.0</v>
      </c>
      <c r="BM22" s="490">
        <f>BM21/$F$15</f>
        <v>0.0</v>
      </c>
      <c r="BN22" s="490">
        <f>BN21/$F$15</f>
        <v>0.0</v>
      </c>
      <c r="BO22" s="490">
        <f>BO21/$F$15</f>
        <v>0.0</v>
      </c>
      <c r="BP22" s="490">
        <f>BP21/$F$15</f>
        <v>0.0</v>
      </c>
      <c r="BQ22" s="490">
        <f>BQ21/$F$15</f>
        <v>0.0</v>
      </c>
      <c r="BR22" s="490">
        <f>BR21/$F$15</f>
        <v>0.0</v>
      </c>
      <c r="BS22" s="490">
        <f>BS21/$F$15</f>
        <v>0.0</v>
      </c>
      <c r="BT22" s="490">
        <f>BT21/$F$15</f>
        <v>0.0</v>
      </c>
      <c r="BU22" s="490">
        <f>BU21/$F$15</f>
        <v>0.0</v>
      </c>
      <c r="BV22" s="490">
        <f>BV21/$F$15</f>
        <v>0.0</v>
      </c>
      <c r="BW22" s="490">
        <f>BW21/$F$15</f>
        <v>0.0</v>
      </c>
      <c r="BX22" s="490">
        <f>BX21/$F$15</f>
        <v>0.0</v>
      </c>
      <c r="BY22" s="490">
        <f>BY21/$F$15</f>
        <v>0.0</v>
      </c>
      <c r="BZ22" s="490">
        <f>BZ21/$F$15</f>
        <v>0.0</v>
      </c>
      <c r="CA22" s="490">
        <f>CA21/$F$15</f>
        <v>0.0</v>
      </c>
      <c r="CB22" s="490">
        <f>CB21/$F$15</f>
        <v>0.0</v>
      </c>
      <c r="CC22" s="490">
        <f>CC21/$F$15</f>
        <v>0.0</v>
      </c>
      <c r="CD22" s="490">
        <f>CD21/$F$15</f>
        <v>0.0</v>
      </c>
      <c r="CE22" s="490">
        <f>CE21/$F$15</f>
        <v>0.0</v>
      </c>
      <c r="CF22" s="490">
        <f>CF21/$F$15</f>
        <v>0.0</v>
      </c>
      <c r="CG22" s="490">
        <f>CG21/$F$15</f>
        <v>0.0</v>
      </c>
      <c r="CH22" s="490">
        <f>CH21/$F$15</f>
        <v>0.0</v>
      </c>
      <c r="CI22" s="490">
        <f>CI21/$F$15</f>
        <v>0.0</v>
      </c>
      <c r="CJ22" s="490">
        <f>CJ21/$F$15</f>
        <v>0.0</v>
      </c>
      <c r="CK22" s="490">
        <f>CK21/$F$15</f>
        <v>0.0</v>
      </c>
      <c r="CL22" s="490">
        <f>CL21/$F$15</f>
        <v>0.0</v>
      </c>
      <c r="CM22" s="490">
        <f>CM21/$F$15</f>
        <v>0.0</v>
      </c>
      <c r="CN22" s="490">
        <f>CN21/$F$15</f>
        <v>0.0</v>
      </c>
      <c r="CO22" s="490">
        <f>CO21/$F$15</f>
        <v>0.0</v>
      </c>
    </row>
    <row r="23">
      <c r="E23" s="61" t="inlineStr">
        <is>
          <t>Debt capacity balance END</t>
        </is>
      </c>
      <c r="F23" s="484" t="n"/>
      <c r="G23" s="61" t="inlineStr">
        <is>
          <t>$ 000s</t>
        </is>
      </c>
      <c r="H23" s="490" t="n"/>
      <c r="I23" s="484" t="n"/>
      <c r="J23" s="490">
        <f>(K23+K22)/(1+K19)</f>
        <v>70975.24704707519</v>
      </c>
      <c r="K23" s="490">
        <f>(L23+L22)/(1+L19)</f>
        <v>72154.22476191272</v>
      </c>
      <c r="L23" s="490">
        <f>(M23+M22)/(1+M19)</f>
        <v>71097.33586905873</v>
      </c>
      <c r="M23" s="490">
        <f>(N23+N22)/(1+N19)</f>
        <v>69948.44283596797</v>
      </c>
      <c r="N23" s="490">
        <f>(O23+O22)/(1+O19)</f>
        <v>68741.51807785557</v>
      </c>
      <c r="O23" s="490">
        <f>(P23+P22)/(1+P19)</f>
        <v>67593.88605233666</v>
      </c>
      <c r="P23" s="490">
        <f>(Q23+Q22)/(1+Q19)</f>
        <v>66345.82245960257</v>
      </c>
      <c r="Q23" s="490">
        <f>(R23+R22)/(1+R19)</f>
        <v>65162.62300350866</v>
      </c>
      <c r="R23" s="490">
        <f>(S23+S22)/(1+S19)</f>
        <v>63901.65665752948</v>
      </c>
      <c r="S23" s="490">
        <f>(T23+T22)/(1+T19)</f>
        <v>63588.844893663576</v>
      </c>
      <c r="T23" s="490">
        <f>(U23+U22)/(1+U19)</f>
        <v>62228.64749102448</v>
      </c>
      <c r="U23" s="490">
        <f>(V23+V22)/(1+V19)</f>
        <v>60890.27990402928</v>
      </c>
      <c r="V23" s="490">
        <f>(W23+W22)/(1+W19)</f>
        <v>59462.24365849933</v>
      </c>
      <c r="W23" s="490">
        <f>(X23+X22)/(1+X19)</f>
        <v>58538.55708702672</v>
      </c>
      <c r="X23" s="490">
        <f>(Y23+Y22)/(1+Y19)</f>
        <v>57056.24420753062</v>
      </c>
      <c r="Y23" s="490">
        <f>(Z23+Z22)/(1+Z19)</f>
        <v>55637.02667026322</v>
      </c>
      <c r="Z23" s="490">
        <f>(AA23+AA22)/(1+AA19)</f>
        <v>54126.507882683814</v>
      </c>
      <c r="AA23" s="490">
        <f>(AB23+AB22)/(1+AB19)</f>
        <v>53344.47022465588</v>
      </c>
      <c r="AB23" s="490">
        <f>(AC23+AC22)/(1+AC19)</f>
        <v>51776.98181387125</v>
      </c>
      <c r="AC23" s="490">
        <f>(AD23+AD22)/(1+AD19)</f>
        <v>50268.94611025748</v>
      </c>
      <c r="AD23" s="490">
        <f>(AE23+AE22)/(1+AE19)</f>
        <v>48532.51044140547</v>
      </c>
      <c r="AE23" s="490">
        <f>(AF23+AF22)/(1+AF19)</f>
        <v>47222.20345691113</v>
      </c>
      <c r="AF23" s="490">
        <f>(AG23+AG22)/(1+AG19)</f>
        <v>45337.753843911625</v>
      </c>
      <c r="AG23" s="490">
        <f>(AH23+AH22)/(1+AH19)</f>
        <v>43503.85604902178</v>
      </c>
      <c r="AH23" s="490">
        <f>(AI23+AI22)/(1+AI19)</f>
        <v>41554.30890514612</v>
      </c>
      <c r="AI23" s="490">
        <f>(AJ23+AJ22)/(1+AJ19)</f>
        <v>39882.595849245685</v>
      </c>
      <c r="AJ23" s="490">
        <f>(AK23+AK22)/(1+AK19)</f>
        <v>37856.96968185017</v>
      </c>
      <c r="AK23" s="490">
        <f>(AL23+AL22)/(1+AL19)</f>
        <v>35878.45784419872</v>
      </c>
      <c r="AL23" s="490">
        <f>(AM23+AM22)/(1+AM19)</f>
        <v>33771.188145089036</v>
      </c>
      <c r="AM23" s="490">
        <f>(AN23+AN22)/(1+AN19)</f>
        <v>32031.223533166427</v>
      </c>
      <c r="AN23" s="490">
        <f>(AO23+AO22)/(1+AO19)</f>
        <v>29616.04610027292</v>
      </c>
      <c r="AO23" s="490">
        <f>(AP23+AP22)/(1+AP19)</f>
        <v>27237.708836494512</v>
      </c>
      <c r="AP23" s="490">
        <f>(AQ23+AQ22)/(1+AQ19)</f>
        <v>24717.199779597435</v>
      </c>
      <c r="AQ23" s="490">
        <f>(AR23+AR22)/(1+AR19)</f>
        <v>22690.33257033331</v>
      </c>
      <c r="AR23" s="490">
        <f>(AS23+AS22)/(1+AS19)</f>
        <v>20068.961626221848</v>
      </c>
      <c r="AS23" s="490">
        <f>(AT23+AT22)/(1+AT19)</f>
        <v>17479.795285779957</v>
      </c>
      <c r="AT23" s="490">
        <f>(AU23+AU22)/(1+AU19)</f>
        <v>14738.391739262624</v>
      </c>
      <c r="AU23" s="490">
        <f>(AV23+AV22)/(1+AV19)</f>
        <v>12043.729067472208</v>
      </c>
      <c r="AV23" s="490">
        <f>(AW23+AW22)/(1+AW19)</f>
        <v>9193.936401595192</v>
      </c>
      <c r="AW23" s="490">
        <f>(AX23+AX22)/(1+AX19)</f>
        <v>6371.093877227453</v>
      </c>
      <c r="AX23" s="490">
        <f>(AY23+AY22)/(1+AY19)</f>
        <v>3215.4180882302285</v>
      </c>
      <c r="AY23" s="490">
        <f>(AZ23+AZ22)/(1+AZ19)</f>
        <v>0.0</v>
      </c>
      <c r="AZ23" s="490">
        <f>(BA23+BA22)/(1+BA19)</f>
        <v>0.0</v>
      </c>
      <c r="BA23" s="490">
        <f>(BB23+BB22)/(1+BB19)</f>
        <v>0.0</v>
      </c>
      <c r="BB23" s="490">
        <f>(BC23+BC22)/(1+BC19)</f>
        <v>0.0</v>
      </c>
      <c r="BC23" s="490">
        <f>(BD23+BD22)/(1+BD19)</f>
        <v>0.0</v>
      </c>
      <c r="BD23" s="490">
        <f>(BE23+BE22)/(1+BE19)</f>
        <v>0.0</v>
      </c>
      <c r="BE23" s="490">
        <f>(BF23+BF22)/(1+BF19)</f>
        <v>0.0</v>
      </c>
      <c r="BF23" s="490">
        <f>(BG23+BG22)/(1+BG19)</f>
        <v>0.0</v>
      </c>
      <c r="BG23" s="490">
        <f>(BH23+BH22)/(1+BH19)</f>
        <v>0.0</v>
      </c>
      <c r="BH23" s="490">
        <f>(BI23+BI22)/(1+BI19)</f>
        <v>0.0</v>
      </c>
      <c r="BI23" s="490">
        <f>(BJ23+BJ22)/(1+BJ19)</f>
        <v>0.0</v>
      </c>
      <c r="BJ23" s="490">
        <f>(BK23+BK22)/(1+BK19)</f>
        <v>0.0</v>
      </c>
      <c r="BK23" s="490">
        <f>(BL23+BL22)/(1+BL19)</f>
        <v>0.0</v>
      </c>
      <c r="BL23" s="490">
        <f>(BM23+BM22)/(1+BM19)</f>
        <v>0.0</v>
      </c>
      <c r="BM23" s="490">
        <f>(BN23+BN22)/(1+BN19)</f>
        <v>0.0</v>
      </c>
      <c r="BN23" s="490">
        <f>(BO23+BO22)/(1+BO19)</f>
        <v>0.0</v>
      </c>
      <c r="BO23" s="490">
        <f>(BP23+BP22)/(1+BP19)</f>
        <v>0.0</v>
      </c>
      <c r="BP23" s="490">
        <f>(BQ23+BQ22)/(1+BQ19)</f>
        <v>0.0</v>
      </c>
      <c r="BQ23" s="490">
        <f>(BR23+BR22)/(1+BR19)</f>
        <v>0.0</v>
      </c>
      <c r="BR23" s="490">
        <f>(BS23+BS22)/(1+BS19)</f>
        <v>0.0</v>
      </c>
      <c r="BS23" s="490">
        <f>(BT23+BT22)/(1+BT19)</f>
        <v>0.0</v>
      </c>
      <c r="BT23" s="490">
        <f>(BU23+BU22)/(1+BU19)</f>
        <v>0.0</v>
      </c>
      <c r="BU23" s="490">
        <f>(BV23+BV22)/(1+BV19)</f>
        <v>0.0</v>
      </c>
      <c r="BV23" s="490">
        <f>(BW23+BW22)/(1+BW19)</f>
        <v>0.0</v>
      </c>
      <c r="BW23" s="490">
        <f>(BX23+BX22)/(1+BX19)</f>
        <v>0.0</v>
      </c>
      <c r="BX23" s="490">
        <f>(BY23+BY22)/(1+BY19)</f>
        <v>0.0</v>
      </c>
      <c r="BY23" s="490">
        <f>(BZ23+BZ22)/(1+BZ19)</f>
        <v>0.0</v>
      </c>
      <c r="BZ23" s="490">
        <f>(CA23+CA22)/(1+CA19)</f>
        <v>0.0</v>
      </c>
      <c r="CA23" s="490">
        <f>(CB23+CB22)/(1+CB19)</f>
        <v>0.0</v>
      </c>
      <c r="CB23" s="490">
        <f>(CC23+CC22)/(1+CC19)</f>
        <v>0.0</v>
      </c>
      <c r="CC23" s="490">
        <f>(CD23+CD22)/(1+CD19)</f>
        <v>0.0</v>
      </c>
      <c r="CD23" s="490">
        <f>(CE23+CE22)/(1+CE19)</f>
        <v>0.0</v>
      </c>
      <c r="CE23" s="490">
        <f>(CF23+CF22)/(1+CF19)</f>
        <v>0.0</v>
      </c>
      <c r="CF23" s="490">
        <f>(CG23+CG22)/(1+CG19)</f>
        <v>0.0</v>
      </c>
      <c r="CG23" s="490">
        <f>(CH23+CH22)/(1+CH19)</f>
        <v>0.0</v>
      </c>
      <c r="CH23" s="490">
        <f>(CI23+CI22)/(1+CI19)</f>
        <v>0.0</v>
      </c>
      <c r="CI23" s="490">
        <f>(CJ23+CJ22)/(1+CJ19)</f>
        <v>0.0</v>
      </c>
      <c r="CJ23" s="490">
        <f>(CK23+CK22)/(1+CK19)</f>
        <v>0.0</v>
      </c>
      <c r="CK23" s="490">
        <f>(CL23+CL22)/(1+CL19)</f>
        <v>0.0</v>
      </c>
      <c r="CL23" s="490">
        <f>(CM23+CM22)/(1+CM19)</f>
        <v>0.0</v>
      </c>
      <c r="CM23" s="490">
        <f>(CN23+CN22)/(1+CN19)</f>
        <v>0.0</v>
      </c>
      <c r="CN23" s="490">
        <f>(CO23+CO22)/(1+CO19)</f>
        <v>0.0</v>
      </c>
      <c r="CO23" s="490">
        <f>(CP23+CP22)/(1+CP19)</f>
        <v>0.0</v>
      </c>
    </row>
    <row r="25">
      <c r="E25" s="324" t="inlineStr">
        <is>
          <t>Acquisition / COD flag</t>
        </is>
      </c>
      <c r="F25" s="508" t="n"/>
      <c r="G25" s="324" t="inlineStr">
        <is>
          <t>flag</t>
        </is>
      </c>
      <c r="H25" s="508" t="n"/>
      <c r="I25" s="508" t="n"/>
      <c r="J25" s="508">
        <f>Time!J$45</f>
        <v>0.0</v>
      </c>
      <c r="K25" s="508">
        <f>Time!K$45</f>
        <v>1.0</v>
      </c>
      <c r="L25" s="508">
        <f>Time!L$45</f>
        <v>0.0</v>
      </c>
      <c r="M25" s="508">
        <f>Time!M$45</f>
        <v>0.0</v>
      </c>
      <c r="N25" s="508">
        <f>Time!N$45</f>
        <v>0.0</v>
      </c>
      <c r="O25" s="508">
        <f>Time!O$45</f>
        <v>0.0</v>
      </c>
      <c r="P25" s="508">
        <f>Time!P$45</f>
        <v>0.0</v>
      </c>
      <c r="Q25" s="508">
        <f>Time!Q$45</f>
        <v>0.0</v>
      </c>
      <c r="R25" s="508">
        <f>Time!R$45</f>
        <v>0.0</v>
      </c>
      <c r="S25" s="508">
        <f>Time!S$45</f>
        <v>0.0</v>
      </c>
      <c r="T25" s="508">
        <f>Time!T$45</f>
        <v>0.0</v>
      </c>
      <c r="U25" s="508">
        <f>Time!U$45</f>
        <v>0.0</v>
      </c>
      <c r="V25" s="508">
        <f>Time!V$45</f>
        <v>0.0</v>
      </c>
      <c r="W25" s="508">
        <f>Time!W$45</f>
        <v>0.0</v>
      </c>
      <c r="X25" s="508">
        <f>Time!X$45</f>
        <v>0.0</v>
      </c>
      <c r="Y25" s="508">
        <f>Time!Y$45</f>
        <v>0.0</v>
      </c>
      <c r="Z25" s="508">
        <f>Time!Z$45</f>
        <v>0.0</v>
      </c>
      <c r="AA25" s="508">
        <f>Time!AA$45</f>
        <v>0.0</v>
      </c>
      <c r="AB25" s="508">
        <f>Time!AB$45</f>
        <v>0.0</v>
      </c>
      <c r="AC25" s="508">
        <f>Time!AC$45</f>
        <v>0.0</v>
      </c>
      <c r="AD25" s="508">
        <f>Time!AD$45</f>
        <v>0.0</v>
      </c>
      <c r="AE25" s="508">
        <f>Time!AE$45</f>
        <v>0.0</v>
      </c>
      <c r="AF25" s="508">
        <f>Time!AF$45</f>
        <v>0.0</v>
      </c>
      <c r="AG25" s="508">
        <f>Time!AG$45</f>
        <v>0.0</v>
      </c>
      <c r="AH25" s="508">
        <f>Time!AH$45</f>
        <v>0.0</v>
      </c>
      <c r="AI25" s="508">
        <f>Time!AI$45</f>
        <v>0.0</v>
      </c>
      <c r="AJ25" s="508">
        <f>Time!AJ$45</f>
        <v>0.0</v>
      </c>
      <c r="AK25" s="508">
        <f>Time!AK$45</f>
        <v>0.0</v>
      </c>
      <c r="AL25" s="508">
        <f>Time!AL$45</f>
        <v>0.0</v>
      </c>
      <c r="AM25" s="508">
        <f>Time!AM$45</f>
        <v>0.0</v>
      </c>
      <c r="AN25" s="508">
        <f>Time!AN$45</f>
        <v>0.0</v>
      </c>
      <c r="AO25" s="508">
        <f>Time!AO$45</f>
        <v>0.0</v>
      </c>
      <c r="AP25" s="508">
        <f>Time!AP$45</f>
        <v>0.0</v>
      </c>
      <c r="AQ25" s="508">
        <f>Time!AQ$45</f>
        <v>0.0</v>
      </c>
      <c r="AR25" s="508">
        <f>Time!AR$45</f>
        <v>0.0</v>
      </c>
      <c r="AS25" s="508">
        <f>Time!AS$45</f>
        <v>0.0</v>
      </c>
      <c r="AT25" s="508">
        <f>Time!AT$45</f>
        <v>0.0</v>
      </c>
      <c r="AU25" s="508">
        <f>Time!AU$45</f>
        <v>0.0</v>
      </c>
      <c r="AV25" s="508">
        <f>Time!AV$45</f>
        <v>0.0</v>
      </c>
      <c r="AW25" s="508">
        <f>Time!AW$45</f>
        <v>0.0</v>
      </c>
      <c r="AX25" s="508">
        <f>Time!AX$45</f>
        <v>0.0</v>
      </c>
      <c r="AY25" s="508">
        <f>Time!AY$45</f>
        <v>0.0</v>
      </c>
      <c r="AZ25" s="508">
        <f>Time!AZ$45</f>
        <v>0.0</v>
      </c>
      <c r="BA25" s="508">
        <f>Time!BA$45</f>
        <v>0.0</v>
      </c>
      <c r="BB25" s="508">
        <f>Time!BB$45</f>
        <v>0.0</v>
      </c>
      <c r="BC25" s="508">
        <f>Time!BC$45</f>
        <v>0.0</v>
      </c>
      <c r="BD25" s="508">
        <f>Time!BD$45</f>
        <v>0.0</v>
      </c>
      <c r="BE25" s="508">
        <f>Time!BE$45</f>
        <v>0.0</v>
      </c>
      <c r="BF25" s="508">
        <f>Time!BF$45</f>
        <v>0.0</v>
      </c>
      <c r="BG25" s="508">
        <f>Time!BG$45</f>
        <v>0.0</v>
      </c>
      <c r="BH25" s="508">
        <f>Time!BH$45</f>
        <v>0.0</v>
      </c>
      <c r="BI25" s="508">
        <f>Time!BI$45</f>
        <v>0.0</v>
      </c>
      <c r="BJ25" s="508">
        <f>Time!BJ$45</f>
        <v>0.0</v>
      </c>
      <c r="BK25" s="508">
        <f>Time!BK$45</f>
        <v>0.0</v>
      </c>
      <c r="BL25" s="508">
        <f>Time!BL$45</f>
        <v>0.0</v>
      </c>
      <c r="BM25" s="508">
        <f>Time!BM$45</f>
        <v>0.0</v>
      </c>
      <c r="BN25" s="508">
        <f>Time!BN$45</f>
        <v>0.0</v>
      </c>
      <c r="BO25" s="508">
        <f>Time!BO$45</f>
        <v>0.0</v>
      </c>
      <c r="BP25" s="508">
        <f>Time!BP$45</f>
        <v>0.0</v>
      </c>
      <c r="BQ25" s="508">
        <f>Time!BQ$45</f>
        <v>0.0</v>
      </c>
      <c r="BR25" s="508">
        <f>Time!BR$45</f>
        <v>0.0</v>
      </c>
      <c r="BS25" s="508">
        <f>Time!BS$45</f>
        <v>0.0</v>
      </c>
      <c r="BT25" s="508">
        <f>Time!BT$45</f>
        <v>0.0</v>
      </c>
      <c r="BU25" s="508">
        <f>Time!BU$45</f>
        <v>0.0</v>
      </c>
      <c r="BV25" s="508">
        <f>Time!BV$45</f>
        <v>0.0</v>
      </c>
      <c r="BW25" s="508">
        <f>Time!BW$45</f>
        <v>0.0</v>
      </c>
      <c r="BX25" s="508">
        <f>Time!BX$45</f>
        <v>0.0</v>
      </c>
      <c r="BY25" s="508">
        <f>Time!BY$45</f>
        <v>0.0</v>
      </c>
      <c r="BZ25" s="508">
        <f>Time!BZ$45</f>
        <v>0.0</v>
      </c>
      <c r="CA25" s="508">
        <f>Time!CA$45</f>
        <v>0.0</v>
      </c>
      <c r="CB25" s="508">
        <f>Time!CB$45</f>
        <v>0.0</v>
      </c>
      <c r="CC25" s="508">
        <f>Time!CC$45</f>
        <v>0.0</v>
      </c>
      <c r="CD25" s="508">
        <f>Time!CD$45</f>
        <v>0.0</v>
      </c>
      <c r="CE25" s="508">
        <f>Time!CE$45</f>
        <v>0.0</v>
      </c>
      <c r="CF25" s="508">
        <f>Time!CF$45</f>
        <v>0.0</v>
      </c>
      <c r="CG25" s="508">
        <f>Time!CG$45</f>
        <v>0.0</v>
      </c>
      <c r="CH25" s="508">
        <f>Time!CH$45</f>
        <v>0.0</v>
      </c>
      <c r="CI25" s="508">
        <f>Time!CI$45</f>
        <v>0.0</v>
      </c>
      <c r="CJ25" s="508">
        <f>Time!CJ$45</f>
        <v>0.0</v>
      </c>
      <c r="CK25" s="508">
        <f>Time!CK$45</f>
        <v>0.0</v>
      </c>
      <c r="CL25" s="508">
        <f>Time!CL$45</f>
        <v>0.0</v>
      </c>
      <c r="CM25" s="508">
        <f>Time!CM$45</f>
        <v>0.0</v>
      </c>
      <c r="CN25" s="508">
        <f>Time!CN$45</f>
        <v>0.0</v>
      </c>
      <c r="CO25" s="508">
        <f>Time!CO$45</f>
        <v>0.0</v>
      </c>
    </row>
    <row r="26">
      <c r="A26" s="358" t="n"/>
      <c r="B26" s="358" t="n"/>
      <c r="C26" s="359" t="n"/>
      <c r="D26" s="360" t="n"/>
      <c r="E26" s="390" t="inlineStr">
        <is>
          <t>Debt capacity at COD</t>
        </is>
      </c>
      <c r="F26" s="504">
        <f>SUMPRODUCT(J23:CO23,J25:CO25)</f>
        <v>72154.22476191272</v>
      </c>
      <c r="G26" s="390" t="inlineStr">
        <is>
          <t>$ 000s</t>
        </is>
      </c>
      <c r="H26" s="504" t="n"/>
      <c r="I26" s="484" t="n"/>
      <c r="J26" s="504" t="n"/>
      <c r="K26" s="504" t="n"/>
      <c r="L26" s="504" t="n"/>
      <c r="M26" s="504" t="n"/>
      <c r="N26" s="504" t="n"/>
      <c r="O26" s="504" t="n"/>
      <c r="P26" s="504" t="n"/>
      <c r="Q26" s="504" t="n"/>
      <c r="R26" s="504" t="n"/>
      <c r="S26" s="504" t="n"/>
      <c r="T26" s="504" t="n"/>
      <c r="U26" s="504" t="n"/>
      <c r="V26" s="504" t="n"/>
      <c r="W26" s="504" t="n"/>
      <c r="X26" s="504" t="n"/>
      <c r="Y26" s="504" t="n"/>
      <c r="Z26" s="504" t="n"/>
      <c r="AA26" s="504" t="n"/>
      <c r="AB26" s="504" t="n"/>
      <c r="AC26" s="504" t="n"/>
      <c r="AD26" s="504" t="n"/>
      <c r="AE26" s="504" t="n"/>
      <c r="AF26" s="504" t="n"/>
      <c r="AG26" s="504" t="n"/>
      <c r="AH26" s="504" t="n"/>
      <c r="AI26" s="504" t="n"/>
      <c r="AJ26" s="504" t="n"/>
      <c r="AK26" s="504" t="n"/>
      <c r="AL26" s="504" t="n"/>
      <c r="AM26" s="504" t="n"/>
      <c r="AN26" s="504" t="n"/>
      <c r="AO26" s="504" t="n"/>
      <c r="AP26" s="504" t="n"/>
      <c r="AQ26" s="504" t="n"/>
      <c r="AR26" s="504" t="n"/>
      <c r="AS26" s="504" t="n"/>
      <c r="AT26" s="504" t="n"/>
      <c r="AU26" s="504" t="n"/>
      <c r="AV26" s="504" t="n"/>
      <c r="AW26" s="504" t="n"/>
      <c r="AX26" s="504" t="n"/>
      <c r="AY26" s="504" t="n"/>
      <c r="AZ26" s="504" t="n"/>
      <c r="BA26" s="504" t="n"/>
      <c r="BB26" s="504" t="n"/>
      <c r="BC26" s="504" t="n"/>
      <c r="BD26" s="504" t="n"/>
      <c r="BE26" s="504" t="n"/>
      <c r="BF26" s="504" t="n"/>
      <c r="BG26" s="504" t="n"/>
      <c r="BH26" s="504" t="n"/>
      <c r="BI26" s="504" t="n"/>
      <c r="BJ26" s="504" t="n"/>
      <c r="BK26" s="504" t="n"/>
      <c r="BL26" s="504" t="n"/>
      <c r="BM26" s="504" t="n"/>
      <c r="BN26" s="504" t="n"/>
      <c r="BO26" s="504" t="n"/>
      <c r="BP26" s="504" t="n"/>
      <c r="BQ26" s="504" t="n"/>
      <c r="BR26" s="504" t="n"/>
      <c r="BS26" s="504" t="n"/>
      <c r="BT26" s="504" t="n"/>
      <c r="BU26" s="504" t="n"/>
      <c r="BV26" s="504" t="n"/>
      <c r="BW26" s="504" t="n"/>
      <c r="BX26" s="504" t="n"/>
      <c r="BY26" s="504" t="n"/>
      <c r="BZ26" s="504" t="n"/>
      <c r="CA26" s="504" t="n"/>
      <c r="CB26" s="504" t="n"/>
      <c r="CC26" s="504" t="n"/>
      <c r="CD26" s="504" t="n"/>
      <c r="CE26" s="504" t="n"/>
      <c r="CF26" s="504" t="n"/>
      <c r="CG26" s="504" t="n"/>
      <c r="CH26" s="504" t="n"/>
      <c r="CI26" s="504" t="n"/>
      <c r="CJ26" s="504" t="n"/>
      <c r="CK26" s="504" t="n"/>
      <c r="CL26" s="504" t="n"/>
      <c r="CM26" s="504" t="n"/>
      <c r="CN26" s="504" t="n"/>
      <c r="CO26" s="504" t="n"/>
    </row>
    <row r="27">
      <c r="E27" s="344" t="str">
        <f>InpC!E$141</f>
        <v>Maximum gearing (debt / total uses)</v>
      </c>
      <c r="F27" s="498">
        <f>InpC!F$141</f>
        <v>0.75</v>
      </c>
      <c r="G27" s="344" t="str">
        <f>InpC!G$141</f>
        <v>%</v>
      </c>
      <c r="H27" s="484" t="n"/>
      <c r="I27" s="484" t="n"/>
      <c r="J27" s="484" t="n"/>
      <c r="K27" s="484" t="n"/>
      <c r="L27" s="484" t="n"/>
      <c r="M27" s="484" t="n"/>
      <c r="N27" s="484" t="n"/>
      <c r="O27" s="484" t="n"/>
      <c r="P27" s="484" t="n"/>
      <c r="Q27" s="484" t="n"/>
      <c r="R27" s="484" t="n"/>
      <c r="S27" s="484" t="n"/>
      <c r="T27" s="484" t="n"/>
      <c r="U27" s="484" t="n"/>
      <c r="V27" s="484" t="n"/>
      <c r="W27" s="484" t="n"/>
      <c r="X27" s="484" t="n"/>
      <c r="Y27" s="484" t="n"/>
      <c r="Z27" s="484" t="n"/>
      <c r="AA27" s="484" t="n"/>
      <c r="AB27" s="484" t="n"/>
      <c r="AC27" s="484" t="n"/>
      <c r="AD27" s="484" t="n"/>
      <c r="AE27" s="484" t="n"/>
      <c r="AF27" s="484" t="n"/>
      <c r="AG27" s="484" t="n"/>
      <c r="AH27" s="484" t="n"/>
      <c r="AI27" s="484" t="n"/>
      <c r="AJ27" s="484" t="n"/>
      <c r="AK27" s="484" t="n"/>
      <c r="AL27" s="484" t="n"/>
      <c r="AM27" s="484" t="n"/>
      <c r="AN27" s="484" t="n"/>
      <c r="AO27" s="484" t="n"/>
      <c r="AP27" s="484" t="n"/>
      <c r="AQ27" s="484" t="n"/>
      <c r="AR27" s="484" t="n"/>
      <c r="AS27" s="484" t="n"/>
      <c r="AT27" s="484" t="n"/>
      <c r="AU27" s="484" t="n"/>
      <c r="AV27" s="484" t="n"/>
      <c r="AW27" s="484" t="n"/>
      <c r="AX27" s="484" t="n"/>
      <c r="AY27" s="484" t="n"/>
      <c r="AZ27" s="484" t="n"/>
      <c r="BA27" s="484" t="n"/>
      <c r="BB27" s="484" t="n"/>
      <c r="BC27" s="484" t="n"/>
      <c r="BD27" s="484" t="n"/>
      <c r="BE27" s="484" t="n"/>
      <c r="BF27" s="484" t="n"/>
      <c r="BG27" s="484" t="n"/>
      <c r="BH27" s="484" t="n"/>
      <c r="BI27" s="484" t="n"/>
      <c r="BJ27" s="484" t="n"/>
      <c r="BK27" s="484" t="n"/>
      <c r="BL27" s="484" t="n"/>
      <c r="BM27" s="484" t="n"/>
      <c r="BN27" s="484" t="n"/>
      <c r="BO27" s="484" t="n"/>
      <c r="BP27" s="484" t="n"/>
      <c r="BQ27" s="484" t="n"/>
      <c r="BR27" s="484" t="n"/>
      <c r="BS27" s="484" t="n"/>
      <c r="BT27" s="484" t="n"/>
      <c r="BU27" s="484" t="n"/>
      <c r="BV27" s="484" t="n"/>
      <c r="BW27" s="484" t="n"/>
      <c r="BX27" s="484" t="n"/>
      <c r="BY27" s="484" t="n"/>
      <c r="BZ27" s="484" t="n"/>
      <c r="CA27" s="484" t="n"/>
      <c r="CB27" s="484" t="n"/>
      <c r="CC27" s="484" t="n"/>
      <c r="CD27" s="484" t="n"/>
      <c r="CE27" s="484" t="n"/>
      <c r="CF27" s="484" t="n"/>
      <c r="CG27" s="484" t="n"/>
      <c r="CH27" s="484" t="n"/>
      <c r="CI27" s="484" t="n"/>
      <c r="CJ27" s="484" t="n"/>
      <c r="CK27" s="484" t="n"/>
      <c r="CL27" s="484" t="n"/>
      <c r="CM27" s="484" t="n"/>
      <c r="CN27" s="484" t="n"/>
      <c r="CO27" s="484" t="n"/>
    </row>
    <row r="28">
      <c r="E28" s="61" t="inlineStr">
        <is>
          <t>Debt limit from gearing</t>
        </is>
      </c>
      <c r="F28" s="484">
        <f>F27*Constr!F52</f>
        <v>75800.84943388258</v>
      </c>
      <c r="G28" s="61" t="inlineStr">
        <is>
          <t>$ 000s</t>
        </is>
      </c>
      <c r="H28" s="490" t="n"/>
      <c r="I28" s="484" t="n"/>
      <c r="J28" s="490" t="n"/>
      <c r="K28" s="490" t="n"/>
      <c r="L28" s="490" t="n"/>
      <c r="M28" s="490" t="n"/>
      <c r="N28" s="490" t="n"/>
      <c r="O28" s="490" t="n"/>
      <c r="P28" s="490" t="n"/>
      <c r="Q28" s="490" t="n"/>
      <c r="R28" s="490" t="n"/>
      <c r="S28" s="490" t="n"/>
      <c r="T28" s="490" t="n"/>
      <c r="U28" s="490" t="n"/>
      <c r="V28" s="490" t="n"/>
      <c r="W28" s="490" t="n"/>
      <c r="X28" s="490" t="n"/>
      <c r="Y28" s="490" t="n"/>
      <c r="Z28" s="490" t="n"/>
      <c r="AA28" s="490" t="n"/>
      <c r="AB28" s="490" t="n"/>
      <c r="AC28" s="490" t="n"/>
      <c r="AD28" s="490" t="n"/>
      <c r="AE28" s="490" t="n"/>
      <c r="AF28" s="490" t="n"/>
      <c r="AG28" s="490" t="n"/>
      <c r="AH28" s="490" t="n"/>
      <c r="AI28" s="490" t="n"/>
      <c r="AJ28" s="490" t="n"/>
      <c r="AK28" s="490" t="n"/>
      <c r="AL28" s="490" t="n"/>
      <c r="AM28" s="490" t="n"/>
      <c r="AN28" s="490" t="n"/>
      <c r="AO28" s="490" t="n"/>
      <c r="AP28" s="490" t="n"/>
      <c r="AQ28" s="490" t="n"/>
      <c r="AR28" s="490" t="n"/>
      <c r="AS28" s="490" t="n"/>
      <c r="AT28" s="490" t="n"/>
      <c r="AU28" s="490" t="n"/>
      <c r="AV28" s="490" t="n"/>
      <c r="AW28" s="490" t="n"/>
      <c r="AX28" s="490" t="n"/>
      <c r="AY28" s="490" t="n"/>
      <c r="AZ28" s="490" t="n"/>
      <c r="BA28" s="490" t="n"/>
      <c r="BB28" s="490" t="n"/>
      <c r="BC28" s="490" t="n"/>
      <c r="BD28" s="490" t="n"/>
      <c r="BE28" s="490" t="n"/>
      <c r="BF28" s="490" t="n"/>
      <c r="BG28" s="490" t="n"/>
      <c r="BH28" s="490" t="n"/>
      <c r="BI28" s="490" t="n"/>
      <c r="BJ28" s="490" t="n"/>
      <c r="BK28" s="490" t="n"/>
      <c r="BL28" s="490" t="n"/>
      <c r="BM28" s="490" t="n"/>
      <c r="BN28" s="490" t="n"/>
      <c r="BO28" s="490" t="n"/>
      <c r="BP28" s="490" t="n"/>
      <c r="BQ28" s="490" t="n"/>
      <c r="BR28" s="490" t="n"/>
      <c r="BS28" s="490" t="n"/>
      <c r="BT28" s="490" t="n"/>
      <c r="BU28" s="490" t="n"/>
      <c r="BV28" s="490" t="n"/>
      <c r="BW28" s="490" t="n"/>
      <c r="BX28" s="490" t="n"/>
      <c r="BY28" s="490" t="n"/>
      <c r="BZ28" s="490" t="n"/>
      <c r="CA28" s="490" t="n"/>
      <c r="CB28" s="490" t="n"/>
      <c r="CC28" s="490" t="n"/>
      <c r="CD28" s="490" t="n"/>
      <c r="CE28" s="490" t="n"/>
      <c r="CF28" s="490" t="n"/>
      <c r="CG28" s="490" t="n"/>
      <c r="CH28" s="490" t="n"/>
      <c r="CI28" s="490" t="n"/>
      <c r="CJ28" s="490" t="n"/>
      <c r="CK28" s="490" t="n"/>
      <c r="CL28" s="490" t="n"/>
      <c r="CM28" s="490" t="n"/>
      <c r="CN28" s="490" t="n"/>
      <c r="CO28" s="490" t="n"/>
    </row>
    <row r="29">
      <c r="A29" s="358" t="n"/>
      <c r="B29" s="358" t="n"/>
      <c r="C29" s="359" t="n"/>
      <c r="D29" s="360" t="n"/>
      <c r="E29" s="390" t="inlineStr">
        <is>
          <t>Senior debt size</t>
        </is>
      </c>
      <c r="F29" s="504">
        <f>MIN(F26,F28)</f>
        <v>72154.22476191272</v>
      </c>
      <c r="G29" s="390" t="inlineStr">
        <is>
          <t>$ 000s</t>
        </is>
      </c>
      <c r="H29" s="504" t="n"/>
      <c r="I29" s="484" t="n"/>
      <c r="J29" s="504" t="n"/>
      <c r="K29" s="504" t="n"/>
      <c r="L29" s="504" t="n"/>
      <c r="M29" s="504" t="n"/>
      <c r="N29" s="504" t="n"/>
      <c r="O29" s="504" t="n"/>
      <c r="P29" s="504" t="n"/>
      <c r="Q29" s="504" t="n"/>
      <c r="R29" s="504" t="n"/>
      <c r="S29" s="504" t="n"/>
      <c r="T29" s="504" t="n"/>
      <c r="U29" s="504" t="n"/>
      <c r="V29" s="504" t="n"/>
      <c r="W29" s="504" t="n"/>
      <c r="X29" s="504" t="n"/>
      <c r="Y29" s="504" t="n"/>
      <c r="Z29" s="504" t="n"/>
      <c r="AA29" s="504" t="n"/>
      <c r="AB29" s="504" t="n"/>
      <c r="AC29" s="504" t="n"/>
      <c r="AD29" s="504" t="n"/>
      <c r="AE29" s="504" t="n"/>
      <c r="AF29" s="504" t="n"/>
      <c r="AG29" s="504" t="n"/>
      <c r="AH29" s="504" t="n"/>
      <c r="AI29" s="504" t="n"/>
      <c r="AJ29" s="504" t="n"/>
      <c r="AK29" s="504" t="n"/>
      <c r="AL29" s="504" t="n"/>
      <c r="AM29" s="504" t="n"/>
      <c r="AN29" s="504" t="n"/>
      <c r="AO29" s="504" t="n"/>
      <c r="AP29" s="504" t="n"/>
      <c r="AQ29" s="504" t="n"/>
      <c r="AR29" s="504" t="n"/>
      <c r="AS29" s="504" t="n"/>
      <c r="AT29" s="504" t="n"/>
      <c r="AU29" s="504" t="n"/>
      <c r="AV29" s="504" t="n"/>
      <c r="AW29" s="504" t="n"/>
      <c r="AX29" s="504" t="n"/>
      <c r="AY29" s="504" t="n"/>
      <c r="AZ29" s="504" t="n"/>
      <c r="BA29" s="504" t="n"/>
      <c r="BB29" s="504" t="n"/>
      <c r="BC29" s="504" t="n"/>
      <c r="BD29" s="504" t="n"/>
      <c r="BE29" s="504" t="n"/>
      <c r="BF29" s="504" t="n"/>
      <c r="BG29" s="504" t="n"/>
      <c r="BH29" s="504" t="n"/>
      <c r="BI29" s="504" t="n"/>
      <c r="BJ29" s="504" t="n"/>
      <c r="BK29" s="504" t="n"/>
      <c r="BL29" s="504" t="n"/>
      <c r="BM29" s="504" t="n"/>
      <c r="BN29" s="504" t="n"/>
      <c r="BO29" s="504" t="n"/>
      <c r="BP29" s="504" t="n"/>
      <c r="BQ29" s="504" t="n"/>
      <c r="BR29" s="504" t="n"/>
      <c r="BS29" s="504" t="n"/>
      <c r="BT29" s="504" t="n"/>
      <c r="BU29" s="504" t="n"/>
      <c r="BV29" s="504" t="n"/>
      <c r="BW29" s="504" t="n"/>
      <c r="BX29" s="504" t="n"/>
      <c r="BY29" s="504" t="n"/>
      <c r="BZ29" s="504" t="n"/>
      <c r="CA29" s="504" t="n"/>
      <c r="CB29" s="504" t="n"/>
      <c r="CC29" s="504" t="n"/>
      <c r="CD29" s="504" t="n"/>
      <c r="CE29" s="504" t="n"/>
      <c r="CF29" s="504" t="n"/>
      <c r="CG29" s="504" t="n"/>
      <c r="CH29" s="504" t="n"/>
      <c r="CI29" s="504" t="n"/>
      <c r="CJ29" s="504" t="n"/>
      <c r="CK29" s="504" t="n"/>
      <c r="CL29" s="504" t="n"/>
      <c r="CM29" s="504" t="n"/>
      <c r="CN29" s="504" t="n"/>
      <c r="CO29" s="504" t="n"/>
    </row>
    <row r="30">
      <c r="E30" s="61" t="inlineStr">
        <is>
          <t>Binding constraint</t>
        </is>
      </c>
      <c r="F30" s="0" t="str">
        <f>IF(F26&lt;=F28,"DSCR","Gearing")</f>
        <v>DSCR</v>
      </c>
      <c r="G30" s="61" t="inlineStr">
        <is>
          <t>text</t>
        </is>
      </c>
      <c r="H30" s="510" t="n"/>
      <c r="J30" s="510" t="n"/>
      <c r="K30" s="510" t="n"/>
      <c r="L30" s="510" t="n"/>
      <c r="M30" s="510" t="n"/>
      <c r="N30" s="510" t="n"/>
      <c r="O30" s="510" t="n"/>
      <c r="P30" s="510" t="n"/>
      <c r="Q30" s="510" t="n"/>
      <c r="R30" s="510" t="n"/>
      <c r="S30" s="510" t="n"/>
      <c r="T30" s="510" t="n"/>
      <c r="U30" s="510" t="n"/>
      <c r="V30" s="510" t="n"/>
      <c r="W30" s="510" t="n"/>
      <c r="X30" s="510" t="n"/>
      <c r="Y30" s="510" t="n"/>
      <c r="Z30" s="510" t="n"/>
      <c r="AA30" s="510" t="n"/>
      <c r="AB30" s="510" t="n"/>
      <c r="AC30" s="510" t="n"/>
      <c r="AD30" s="510" t="n"/>
      <c r="AE30" s="510" t="n"/>
      <c r="AF30" s="510" t="n"/>
      <c r="AG30" s="510" t="n"/>
      <c r="AH30" s="510" t="n"/>
      <c r="AI30" s="510" t="n"/>
      <c r="AJ30" s="510" t="n"/>
      <c r="AK30" s="510" t="n"/>
      <c r="AL30" s="510" t="n"/>
      <c r="AM30" s="510" t="n"/>
      <c r="AN30" s="510" t="n"/>
      <c r="AO30" s="510" t="n"/>
      <c r="AP30" s="510" t="n"/>
      <c r="AQ30" s="510" t="n"/>
      <c r="AR30" s="510" t="n"/>
      <c r="AS30" s="510" t="n"/>
      <c r="AT30" s="510" t="n"/>
      <c r="AU30" s="510" t="n"/>
      <c r="AV30" s="510" t="n"/>
      <c r="AW30" s="510" t="n"/>
      <c r="AX30" s="510" t="n"/>
      <c r="AY30" s="510" t="n"/>
      <c r="AZ30" s="510" t="n"/>
      <c r="BA30" s="510" t="n"/>
      <c r="BB30" s="510" t="n"/>
      <c r="BC30" s="510" t="n"/>
      <c r="BD30" s="510" t="n"/>
      <c r="BE30" s="510" t="n"/>
      <c r="BF30" s="510" t="n"/>
      <c r="BG30" s="510" t="n"/>
      <c r="BH30" s="510" t="n"/>
      <c r="BI30" s="510" t="n"/>
      <c r="BJ30" s="510" t="n"/>
      <c r="BK30" s="510" t="n"/>
      <c r="BL30" s="510" t="n"/>
      <c r="BM30" s="510" t="n"/>
      <c r="BN30" s="510" t="n"/>
      <c r="BO30" s="510" t="n"/>
      <c r="BP30" s="510" t="n"/>
      <c r="BQ30" s="510" t="n"/>
      <c r="BR30" s="510" t="n"/>
      <c r="BS30" s="510" t="n"/>
      <c r="BT30" s="510" t="n"/>
      <c r="BU30" s="510" t="n"/>
      <c r="BV30" s="510" t="n"/>
      <c r="BW30" s="510" t="n"/>
      <c r="BX30" s="510" t="n"/>
      <c r="BY30" s="510" t="n"/>
      <c r="BZ30" s="510" t="n"/>
      <c r="CA30" s="510" t="n"/>
      <c r="CB30" s="510" t="n"/>
      <c r="CC30" s="510" t="n"/>
      <c r="CD30" s="510" t="n"/>
      <c r="CE30" s="510" t="n"/>
      <c r="CF30" s="510" t="n"/>
      <c r="CG30" s="510" t="n"/>
      <c r="CH30" s="510" t="n"/>
      <c r="CI30" s="510" t="n"/>
      <c r="CJ30" s="510" t="n"/>
      <c r="CK30" s="510" t="n"/>
      <c r="CL30" s="510" t="n"/>
      <c r="CM30" s="510" t="n"/>
      <c r="CN30" s="510" t="n"/>
      <c r="CO30" s="510" t="n"/>
    </row>
    <row r="31">
      <c r="E31" s="61" t="inlineStr">
        <is>
          <t>Sculpted DSCR at debt size</t>
        </is>
      </c>
      <c r="F31" s="487">
        <f>F15*F26/F29</f>
        <v>2.25</v>
      </c>
      <c r="G31" s="61" t="inlineStr">
        <is>
          <t>x</t>
        </is>
      </c>
      <c r="H31" s="447" t="n"/>
      <c r="I31" s="487" t="n"/>
      <c r="J31" s="447" t="n"/>
      <c r="K31" s="447" t="n"/>
      <c r="L31" s="447" t="n"/>
      <c r="M31" s="447" t="n"/>
      <c r="N31" s="447" t="n"/>
      <c r="O31" s="447" t="n"/>
      <c r="P31" s="447" t="n"/>
      <c r="Q31" s="447" t="n"/>
      <c r="R31" s="447" t="n"/>
      <c r="S31" s="447" t="n"/>
      <c r="T31" s="447" t="n"/>
      <c r="U31" s="447" t="n"/>
      <c r="V31" s="447" t="n"/>
      <c r="W31" s="447" t="n"/>
      <c r="X31" s="447" t="n"/>
      <c r="Y31" s="447" t="n"/>
      <c r="Z31" s="447" t="n"/>
      <c r="AA31" s="447" t="n"/>
      <c r="AB31" s="447" t="n"/>
      <c r="AC31" s="447" t="n"/>
      <c r="AD31" s="447" t="n"/>
      <c r="AE31" s="447" t="n"/>
      <c r="AF31" s="447" t="n"/>
      <c r="AG31" s="447" t="n"/>
      <c r="AH31" s="447" t="n"/>
      <c r="AI31" s="447" t="n"/>
      <c r="AJ31" s="447" t="n"/>
      <c r="AK31" s="447" t="n"/>
      <c r="AL31" s="447" t="n"/>
      <c r="AM31" s="447" t="n"/>
      <c r="AN31" s="447" t="n"/>
      <c r="AO31" s="447" t="n"/>
      <c r="AP31" s="447" t="n"/>
      <c r="AQ31" s="447" t="n"/>
      <c r="AR31" s="447" t="n"/>
      <c r="AS31" s="447" t="n"/>
      <c r="AT31" s="447" t="n"/>
      <c r="AU31" s="447" t="n"/>
      <c r="AV31" s="447" t="n"/>
      <c r="AW31" s="447" t="n"/>
      <c r="AX31" s="447" t="n"/>
      <c r="AY31" s="447" t="n"/>
      <c r="AZ31" s="447" t="n"/>
      <c r="BA31" s="447" t="n"/>
      <c r="BB31" s="447" t="n"/>
      <c r="BC31" s="447" t="n"/>
      <c r="BD31" s="447" t="n"/>
      <c r="BE31" s="447" t="n"/>
      <c r="BF31" s="447" t="n"/>
      <c r="BG31" s="447" t="n"/>
      <c r="BH31" s="447" t="n"/>
      <c r="BI31" s="447" t="n"/>
      <c r="BJ31" s="447" t="n"/>
      <c r="BK31" s="447" t="n"/>
      <c r="BL31" s="447" t="n"/>
      <c r="BM31" s="447" t="n"/>
      <c r="BN31" s="447" t="n"/>
      <c r="BO31" s="447" t="n"/>
      <c r="BP31" s="447" t="n"/>
      <c r="BQ31" s="447" t="n"/>
      <c r="BR31" s="447" t="n"/>
      <c r="BS31" s="447" t="n"/>
      <c r="BT31" s="447" t="n"/>
      <c r="BU31" s="447" t="n"/>
      <c r="BV31" s="447" t="n"/>
      <c r="BW31" s="447" t="n"/>
      <c r="BX31" s="447" t="n"/>
      <c r="BY31" s="447" t="n"/>
      <c r="BZ31" s="447" t="n"/>
      <c r="CA31" s="447" t="n"/>
      <c r="CB31" s="447" t="n"/>
      <c r="CC31" s="447" t="n"/>
      <c r="CD31" s="447" t="n"/>
      <c r="CE31" s="447" t="n"/>
      <c r="CF31" s="447" t="n"/>
      <c r="CG31" s="447" t="n"/>
      <c r="CH31" s="447" t="n"/>
      <c r="CI31" s="447" t="n"/>
      <c r="CJ31" s="447" t="n"/>
      <c r="CK31" s="447" t="n"/>
      <c r="CL31" s="447" t="n"/>
      <c r="CM31" s="447" t="n"/>
      <c r="CN31" s="447" t="n"/>
      <c r="CO31" s="447" t="n"/>
    </row>
    <row r="32">
      <c r="E32" s="61" t="inlineStr">
        <is>
          <t>Debt drawn less debt sized (Goal Seek target = 0)</t>
        </is>
      </c>
      <c r="F32" s="505">
        <f>Constr!F53-F29</f>
        <v>-7.421476766467094e-10</v>
      </c>
      <c r="G32" s="61" t="inlineStr">
        <is>
          <t>check</t>
        </is>
      </c>
      <c r="H32" s="506" t="n"/>
      <c r="I32" s="505" t="n"/>
      <c r="J32" s="506" t="n"/>
      <c r="K32" s="506" t="n"/>
      <c r="L32" s="506" t="n"/>
      <c r="M32" s="506" t="n"/>
      <c r="N32" s="506" t="n"/>
      <c r="O32" s="506" t="n"/>
      <c r="P32" s="506" t="n"/>
      <c r="Q32" s="506" t="n"/>
      <c r="R32" s="506" t="n"/>
      <c r="S32" s="506" t="n"/>
      <c r="T32" s="506" t="n"/>
      <c r="U32" s="506" t="n"/>
      <c r="V32" s="506" t="n"/>
      <c r="W32" s="506" t="n"/>
      <c r="X32" s="506" t="n"/>
      <c r="Y32" s="506" t="n"/>
      <c r="Z32" s="506" t="n"/>
      <c r="AA32" s="506" t="n"/>
      <c r="AB32" s="506" t="n"/>
      <c r="AC32" s="506" t="n"/>
      <c r="AD32" s="506" t="n"/>
      <c r="AE32" s="506" t="n"/>
      <c r="AF32" s="506" t="n"/>
      <c r="AG32" s="506" t="n"/>
      <c r="AH32" s="506" t="n"/>
      <c r="AI32" s="506" t="n"/>
      <c r="AJ32" s="506" t="n"/>
      <c r="AK32" s="506" t="n"/>
      <c r="AL32" s="506" t="n"/>
      <c r="AM32" s="506" t="n"/>
      <c r="AN32" s="506" t="n"/>
      <c r="AO32" s="506" t="n"/>
      <c r="AP32" s="506" t="n"/>
      <c r="AQ32" s="506" t="n"/>
      <c r="AR32" s="506" t="n"/>
      <c r="AS32" s="506" t="n"/>
      <c r="AT32" s="506" t="n"/>
      <c r="AU32" s="506" t="n"/>
      <c r="AV32" s="506" t="n"/>
      <c r="AW32" s="506" t="n"/>
      <c r="AX32" s="506" t="n"/>
      <c r="AY32" s="506" t="n"/>
      <c r="AZ32" s="506" t="n"/>
      <c r="BA32" s="506" t="n"/>
      <c r="BB32" s="506" t="n"/>
      <c r="BC32" s="506" t="n"/>
      <c r="BD32" s="506" t="n"/>
      <c r="BE32" s="506" t="n"/>
      <c r="BF32" s="506" t="n"/>
      <c r="BG32" s="506" t="n"/>
      <c r="BH32" s="506" t="n"/>
      <c r="BI32" s="506" t="n"/>
      <c r="BJ32" s="506" t="n"/>
      <c r="BK32" s="506" t="n"/>
      <c r="BL32" s="506" t="n"/>
      <c r="BM32" s="506" t="n"/>
      <c r="BN32" s="506" t="n"/>
      <c r="BO32" s="506" t="n"/>
      <c r="BP32" s="506" t="n"/>
      <c r="BQ32" s="506" t="n"/>
      <c r="BR32" s="506" t="n"/>
      <c r="BS32" s="506" t="n"/>
      <c r="BT32" s="506" t="n"/>
      <c r="BU32" s="506" t="n"/>
      <c r="BV32" s="506" t="n"/>
      <c r="BW32" s="506" t="n"/>
      <c r="BX32" s="506" t="n"/>
      <c r="BY32" s="506" t="n"/>
      <c r="BZ32" s="506" t="n"/>
      <c r="CA32" s="506" t="n"/>
      <c r="CB32" s="506" t="n"/>
      <c r="CC32" s="506" t="n"/>
      <c r="CD32" s="506" t="n"/>
      <c r="CE32" s="506" t="n"/>
      <c r="CF32" s="506" t="n"/>
      <c r="CG32" s="506" t="n"/>
      <c r="CH32" s="506" t="n"/>
      <c r="CI32" s="506" t="n"/>
      <c r="CJ32" s="506" t="n"/>
      <c r="CK32" s="506" t="n"/>
      <c r="CL32" s="506" t="n"/>
      <c r="CM32" s="506" t="n"/>
      <c r="CN32" s="506" t="n"/>
      <c r="CO32" s="506" t="n"/>
    </row>
    <row r="33">
      <c r="A33" s="294" t="inlineStr">
        <is>
          <t>SCULPTED REPAYMENT</t>
        </is>
      </c>
    </row>
    <row r="34">
      <c r="A34" s="358" t="n"/>
      <c r="B34" s="358" t="n"/>
      <c r="C34" s="359" t="n"/>
      <c r="D34" s="360" t="n"/>
      <c r="E34" s="390" t="inlineStr">
        <is>
          <t>Sculpted debt service</t>
        </is>
      </c>
      <c r="F34" s="504" t="n"/>
      <c r="G34" s="390" t="inlineStr">
        <is>
          <t>$ 000s</t>
        </is>
      </c>
      <c r="H34" s="504">
        <f>SUM(J34:CO34)</f>
        <v>101237.57977661592</v>
      </c>
      <c r="I34" s="484" t="n"/>
      <c r="J34" s="504">
        <f>J21/$F$31</f>
        <v>0.0</v>
      </c>
      <c r="K34" s="504">
        <f>K21/$F$31</f>
        <v>0.0</v>
      </c>
      <c r="L34" s="504">
        <f>L21/$F$31</f>
        <v>2229.3950452350696</v>
      </c>
      <c r="M34" s="504">
        <f>M21/$F$31</f>
        <v>2317.061759939322</v>
      </c>
      <c r="N34" s="504">
        <f>N21/$F$31</f>
        <v>2368.846114109876</v>
      </c>
      <c r="O34" s="504">
        <f>O21/$F$31</f>
        <v>2289.5050202566194</v>
      </c>
      <c r="P34" s="504">
        <f>P21/$F$31</f>
        <v>2346.464241084571</v>
      </c>
      <c r="Q34" s="504">
        <f>Q21/$F$31</f>
        <v>2273.2981778954218</v>
      </c>
      <c r="R34" s="504">
        <f>R21/$F$31</f>
        <v>2343.389916981905</v>
      </c>
      <c r="S34" s="504">
        <f>S21/$F$31</f>
        <v>1374.2892827882001</v>
      </c>
      <c r="T34" s="504">
        <f>T21/$F$31</f>
        <v>2404.99745137804</v>
      </c>
      <c r="U34" s="504">
        <f>U21/$F$31</f>
        <v>2360.8188367435587</v>
      </c>
      <c r="V34" s="504">
        <f>V21/$F$31</f>
        <v>2439.491450602445</v>
      </c>
      <c r="W34" s="504">
        <f>W21/$F$31</f>
        <v>1911.4205077999088</v>
      </c>
      <c r="X34" s="504">
        <f>X21/$F$31</f>
        <v>2433.564432160285</v>
      </c>
      <c r="Y34" s="504">
        <f>Y21/$F$31</f>
        <v>2356.683327510569</v>
      </c>
      <c r="Z34" s="504">
        <f>Z21/$F$31</f>
        <v>2434.7116194910054</v>
      </c>
      <c r="AA34" s="504">
        <f>AA21/$F$31</f>
        <v>1681.1390945236303</v>
      </c>
      <c r="AB34" s="504">
        <f>AB21/$F$31</f>
        <v>2434.3360519352905</v>
      </c>
      <c r="AC34" s="504">
        <f>AC21/$F$31</f>
        <v>2358.760279805576</v>
      </c>
      <c r="AD34" s="504">
        <f>AD21/$F$31</f>
        <v>2571.458718127947</v>
      </c>
      <c r="AE34" s="504">
        <f>AE21/$F$31</f>
        <v>2116.485907937688</v>
      </c>
      <c r="AF34" s="504">
        <f>AF21/$F$31</f>
        <v>2651.8104191743123</v>
      </c>
      <c r="AG34" s="504">
        <f>AG21/$F$31</f>
        <v>2578.8222781863337</v>
      </c>
      <c r="AH34" s="504">
        <f>AH21/$F$31</f>
        <v>2672.1945304677424</v>
      </c>
      <c r="AI34" s="504">
        <f>AI21/$F$31</f>
        <v>2361.976298269258</v>
      </c>
      <c r="AJ34" s="504">
        <f>AJ21/$F$31</f>
        <v>2680.919374196317</v>
      </c>
      <c r="AK34" s="504">
        <f>AK21/$F$31</f>
        <v>2600.5228811740703</v>
      </c>
      <c r="AL34" s="504">
        <f>AL21/$F$31</f>
        <v>2703.2507488549836</v>
      </c>
      <c r="AM34" s="504">
        <f>AM21/$F$31</f>
        <v>2300.9415705549254</v>
      </c>
      <c r="AN34" s="504">
        <f>AN21/$F$31</f>
        <v>2935.684815307463</v>
      </c>
      <c r="AO34" s="504">
        <f>AO21/$F$31</f>
        <v>2864.945354564835</v>
      </c>
      <c r="AP34" s="504">
        <f>AP21/$F$31</f>
        <v>2972.957664792181</v>
      </c>
      <c r="AQ34" s="504">
        <f>AQ21/$F$31</f>
        <v>2437.44736115855</v>
      </c>
      <c r="AR34" s="504">
        <f>AR21/$F$31</f>
        <v>2990.0888483793833</v>
      </c>
      <c r="AS34" s="504">
        <f>AS21/$F$31</f>
        <v>2918.9105293838393</v>
      </c>
      <c r="AT34" s="504">
        <f>AT21/$F$31</f>
        <v>3031.7623682089006</v>
      </c>
      <c r="AU34" s="504">
        <f>AU21/$F$31</f>
        <v>2939.483734570391</v>
      </c>
      <c r="AV34" s="504">
        <f>AV21/$F$31</f>
        <v>3045.5032632234397</v>
      </c>
      <c r="AW34" s="504">
        <f>AW21/$F$31</f>
        <v>2973.9040071883937</v>
      </c>
      <c r="AX34" s="504">
        <f>AX21/$F$31</f>
        <v>3261.5067372911694</v>
      </c>
      <c r="AY34" s="504">
        <f>AY21/$F$31</f>
        <v>3268.8297553624975</v>
      </c>
      <c r="AZ34" s="504">
        <f>AZ21/$F$31</f>
        <v>0.0</v>
      </c>
      <c r="BA34" s="504">
        <f>BA21/$F$31</f>
        <v>0.0</v>
      </c>
      <c r="BB34" s="504">
        <f>BB21/$F$31</f>
        <v>0.0</v>
      </c>
      <c r="BC34" s="504">
        <f>BC21/$F$31</f>
        <v>0.0</v>
      </c>
      <c r="BD34" s="504">
        <f>BD21/$F$31</f>
        <v>0.0</v>
      </c>
      <c r="BE34" s="504">
        <f>BE21/$F$31</f>
        <v>0.0</v>
      </c>
      <c r="BF34" s="504">
        <f>BF21/$F$31</f>
        <v>0.0</v>
      </c>
      <c r="BG34" s="504">
        <f>BG21/$F$31</f>
        <v>0.0</v>
      </c>
      <c r="BH34" s="504">
        <f>BH21/$F$31</f>
        <v>0.0</v>
      </c>
      <c r="BI34" s="504">
        <f>BI21/$F$31</f>
        <v>0.0</v>
      </c>
      <c r="BJ34" s="504">
        <f>BJ21/$F$31</f>
        <v>0.0</v>
      </c>
      <c r="BK34" s="504">
        <f>BK21/$F$31</f>
        <v>0.0</v>
      </c>
      <c r="BL34" s="504">
        <f>BL21/$F$31</f>
        <v>0.0</v>
      </c>
      <c r="BM34" s="504">
        <f>BM21/$F$31</f>
        <v>0.0</v>
      </c>
      <c r="BN34" s="504">
        <f>BN21/$F$31</f>
        <v>0.0</v>
      </c>
      <c r="BO34" s="504">
        <f>BO21/$F$31</f>
        <v>0.0</v>
      </c>
      <c r="BP34" s="504">
        <f>BP21/$F$31</f>
        <v>0.0</v>
      </c>
      <c r="BQ34" s="504">
        <f>BQ21/$F$31</f>
        <v>0.0</v>
      </c>
      <c r="BR34" s="504">
        <f>BR21/$F$31</f>
        <v>0.0</v>
      </c>
      <c r="BS34" s="504">
        <f>BS21/$F$31</f>
        <v>0.0</v>
      </c>
      <c r="BT34" s="504">
        <f>BT21/$F$31</f>
        <v>0.0</v>
      </c>
      <c r="BU34" s="504">
        <f>BU21/$F$31</f>
        <v>0.0</v>
      </c>
      <c r="BV34" s="504">
        <f>BV21/$F$31</f>
        <v>0.0</v>
      </c>
      <c r="BW34" s="504">
        <f>BW21/$F$31</f>
        <v>0.0</v>
      </c>
      <c r="BX34" s="504">
        <f>BX21/$F$31</f>
        <v>0.0</v>
      </c>
      <c r="BY34" s="504">
        <f>BY21/$F$31</f>
        <v>0.0</v>
      </c>
      <c r="BZ34" s="504">
        <f>BZ21/$F$31</f>
        <v>0.0</v>
      </c>
      <c r="CA34" s="504">
        <f>CA21/$F$31</f>
        <v>0.0</v>
      </c>
      <c r="CB34" s="504">
        <f>CB21/$F$31</f>
        <v>0.0</v>
      </c>
      <c r="CC34" s="504">
        <f>CC21/$F$31</f>
        <v>0.0</v>
      </c>
      <c r="CD34" s="504">
        <f>CD21/$F$31</f>
        <v>0.0</v>
      </c>
      <c r="CE34" s="504">
        <f>CE21/$F$31</f>
        <v>0.0</v>
      </c>
      <c r="CF34" s="504">
        <f>CF21/$F$31</f>
        <v>0.0</v>
      </c>
      <c r="CG34" s="504">
        <f>CG21/$F$31</f>
        <v>0.0</v>
      </c>
      <c r="CH34" s="504">
        <f>CH21/$F$31</f>
        <v>0.0</v>
      </c>
      <c r="CI34" s="504">
        <f>CI21/$F$31</f>
        <v>0.0</v>
      </c>
      <c r="CJ34" s="504">
        <f>CJ21/$F$31</f>
        <v>0.0</v>
      </c>
      <c r="CK34" s="504">
        <f>CK21/$F$31</f>
        <v>0.0</v>
      </c>
      <c r="CL34" s="504">
        <f>CL21/$F$31</f>
        <v>0.0</v>
      </c>
      <c r="CM34" s="504">
        <f>CM21/$F$31</f>
        <v>0.0</v>
      </c>
      <c r="CN34" s="504">
        <f>CN21/$F$31</f>
        <v>0.0</v>
      </c>
      <c r="CO34" s="504">
        <f>CO21/$F$31</f>
        <v>0.0</v>
      </c>
    </row>
    <row r="35">
      <c r="E35" s="61" t="inlineStr">
        <is>
          <t>Senior debt balance BEG</t>
        </is>
      </c>
      <c r="F35" s="484" t="n"/>
      <c r="G35" s="61" t="inlineStr">
        <is>
          <t>$ 000s</t>
        </is>
      </c>
      <c r="H35" s="490" t="n"/>
      <c r="I35" s="484" t="n"/>
      <c r="J35" s="490">
        <f>I38</f>
        <v>0.0</v>
      </c>
      <c r="K35" s="490">
        <f>J38</f>
        <v>0.0</v>
      </c>
      <c r="L35" s="490">
        <f>K38</f>
        <v>72154.22476191272</v>
      </c>
      <c r="M35" s="490">
        <f>L38</f>
        <v>71097.33586905873</v>
      </c>
      <c r="N35" s="490">
        <f>M38</f>
        <v>69948.44283596797</v>
      </c>
      <c r="O35" s="490">
        <f>N38</f>
        <v>68741.51807785557</v>
      </c>
      <c r="P35" s="490">
        <f>O38</f>
        <v>67593.88605233666</v>
      </c>
      <c r="Q35" s="490">
        <f>P38</f>
        <v>66345.82245960255</v>
      </c>
      <c r="R35" s="490">
        <f>Q38</f>
        <v>65162.623003508656</v>
      </c>
      <c r="S35" s="490">
        <f>R38</f>
        <v>63901.65665752948</v>
      </c>
      <c r="T35" s="490">
        <f>S38</f>
        <v>63588.844893663576</v>
      </c>
      <c r="U35" s="490">
        <f>T38</f>
        <v>62228.64749102448</v>
      </c>
      <c r="V35" s="490">
        <f>U38</f>
        <v>60890.27990402928</v>
      </c>
      <c r="W35" s="490">
        <f>V38</f>
        <v>59462.24365849932</v>
      </c>
      <c r="X35" s="490">
        <f>W38</f>
        <v>58538.557087026704</v>
      </c>
      <c r="Y35" s="490">
        <f>X38</f>
        <v>57056.2442075306</v>
      </c>
      <c r="Z35" s="490">
        <f>Y38</f>
        <v>55637.02667026321</v>
      </c>
      <c r="AA35" s="490">
        <f>Z38</f>
        <v>54126.50788268379</v>
      </c>
      <c r="AB35" s="490">
        <f>AA38</f>
        <v>53344.47022465585</v>
      </c>
      <c r="AC35" s="490">
        <f>AB38</f>
        <v>51776.98181387122</v>
      </c>
      <c r="AD35" s="490">
        <f>AC38</f>
        <v>50268.94611025745</v>
      </c>
      <c r="AE35" s="490">
        <f>AD38</f>
        <v>48532.510441405444</v>
      </c>
      <c r="AF35" s="490">
        <f>AE38</f>
        <v>47222.2034569111</v>
      </c>
      <c r="AG35" s="490">
        <f>AF38</f>
        <v>45337.75384391159</v>
      </c>
      <c r="AH35" s="490">
        <f>AG38</f>
        <v>43503.85604902175</v>
      </c>
      <c r="AI35" s="490">
        <f>AH38</f>
        <v>41554.30890514609</v>
      </c>
      <c r="AJ35" s="490">
        <f>AI38</f>
        <v>39882.59584924565</v>
      </c>
      <c r="AK35" s="490">
        <f>AJ38</f>
        <v>37856.96968185013</v>
      </c>
      <c r="AL35" s="490">
        <f>AK38</f>
        <v>35878.45784419868</v>
      </c>
      <c r="AM35" s="490">
        <f>AL38</f>
        <v>33771.188145089</v>
      </c>
      <c r="AN35" s="490">
        <f>AM38</f>
        <v>32031.223533166387</v>
      </c>
      <c r="AO35" s="490">
        <f>AN38</f>
        <v>29616.046100272877</v>
      </c>
      <c r="AP35" s="490">
        <f>AO38</f>
        <v>27237.708836494472</v>
      </c>
      <c r="AQ35" s="490">
        <f>AP38</f>
        <v>24717.199779597395</v>
      </c>
      <c r="AR35" s="490">
        <f>AQ38</f>
        <v>22690.332570333267</v>
      </c>
      <c r="AS35" s="490">
        <f>AR38</f>
        <v>20068.961626221797</v>
      </c>
      <c r="AT35" s="490">
        <f>AS38</f>
        <v>17479.795285779906</v>
      </c>
      <c r="AU35" s="490">
        <f>AT38</f>
        <v>14738.391739262572</v>
      </c>
      <c r="AV35" s="490">
        <f>AU38</f>
        <v>12043.729067472153</v>
      </c>
      <c r="AW35" s="490">
        <f>AV38</f>
        <v>9193.936401595136</v>
      </c>
      <c r="AX35" s="490">
        <f>AW38</f>
        <v>6371.093877227396</v>
      </c>
      <c r="AY35" s="490">
        <f>AX38</f>
        <v>3215.4180882301703</v>
      </c>
      <c r="AZ35" s="490">
        <f>AY38</f>
        <v>-5.95719029661268e-11</v>
      </c>
      <c r="BA35" s="490">
        <f>AZ38</f>
        <v>-6.055070242736191e-11</v>
      </c>
      <c r="BB35" s="490">
        <f>BA38</f>
        <v>-6.154558410752259e-11</v>
      </c>
      <c r="BC35" s="490">
        <f>BB38</f>
        <v>-6.256792464353088e-11</v>
      </c>
      <c r="BD35" s="490">
        <f>BC38</f>
        <v>-6.360724739177619e-11</v>
      </c>
      <c r="BE35" s="490">
        <f>BD38</f>
        <v>-6.464086516189256e-11</v>
      </c>
      <c r="BF35" s="490">
        <f>BE38</f>
        <v>-6.57029504880942e-11</v>
      </c>
      <c r="BG35" s="490">
        <f>BF38</f>
        <v>-6.679434949897977e-11</v>
      </c>
      <c r="BH35" s="490">
        <f>BG38</f>
        <v>-6.79038778601017e-11</v>
      </c>
      <c r="BI35" s="490">
        <f>BH38</f>
        <v>-6.900731587532836e-11</v>
      </c>
      <c r="BJ35" s="490">
        <f>BI38</f>
        <v>-7.014114441255772e-11</v>
      </c>
      <c r="BK35" s="490">
        <f>BJ38</f>
        <v>-7.130626675585521e-11</v>
      </c>
      <c r="BL35" s="490">
        <f>BK38</f>
        <v>-7.249074307585525e-11</v>
      </c>
      <c r="BM35" s="490">
        <f>BL38</f>
        <v>-7.36687176508379e-11</v>
      </c>
      <c r="BN35" s="490">
        <f>BM38</f>
        <v>-7.487913560890652e-11</v>
      </c>
      <c r="BO35" s="490">
        <f>BN38</f>
        <v>-7.612296125041002e-11</v>
      </c>
      <c r="BP35" s="490">
        <f>BO38</f>
        <v>-7.738744821784739e-11</v>
      </c>
      <c r="BQ35" s="490">
        <f>BP38</f>
        <v>-7.865896698509341e-11</v>
      </c>
      <c r="BR35" s="490">
        <f>BQ38</f>
        <v>-7.99513775120846e-11</v>
      </c>
      <c r="BS35" s="490">
        <f>BR38</f>
        <v>-8.127945872742422e-11</v>
      </c>
      <c r="BT35" s="490">
        <f>BS38</f>
        <v>-8.262960084739643e-11</v>
      </c>
      <c r="BU35" s="490">
        <f>BT38</f>
        <v>-8.397233186116662e-11</v>
      </c>
      <c r="BV35" s="490">
        <f>BU38</f>
        <v>-8.535204392494107e-11</v>
      </c>
      <c r="BW35" s="490">
        <f>BV38</f>
        <v>-8.67698362101387e-11</v>
      </c>
      <c r="BX35" s="490">
        <f>BW38</f>
        <v>-8.821117960051824e-11</v>
      </c>
      <c r="BY35" s="490">
        <f>BX38</f>
        <v>-8.964461126902666e-11</v>
      </c>
      <c r="BZ35" s="490">
        <f>BY38</f>
        <v>-9.111752203473858e-11</v>
      </c>
      <c r="CA35" s="490">
        <f>BZ38</f>
        <v>-9.263108531742674e-11</v>
      </c>
      <c r="CB35" s="490">
        <f>CA38</f>
        <v>-9.416979056797733e-11</v>
      </c>
      <c r="CC35" s="490">
        <f>CB38</f>
        <v>-9.570004966470696e-11</v>
      </c>
      <c r="CD35" s="490">
        <f>CC38</f>
        <v>-9.727245464739235e-11</v>
      </c>
      <c r="CE35" s="490">
        <f>CD38</f>
        <v>-9.88882581995907e-11</v>
      </c>
      <c r="CF35" s="490">
        <f>CE38</f>
        <v>-1.0053090204412835e-10</v>
      </c>
      <c r="CG35" s="490">
        <f>CF38</f>
        <v>-1.0218268061521451e-10</v>
      </c>
      <c r="CH35" s="490">
        <f>CG38</f>
        <v>-1.0386159882587838e-10</v>
      </c>
      <c r="CI35" s="490">
        <f>CH38</f>
        <v>-1.0558685538415269e-10</v>
      </c>
      <c r="CJ35" s="490">
        <f>CI38</f>
        <v>-1.0734077037081167e-10</v>
      </c>
      <c r="CK35" s="490">
        <f>CJ38</f>
        <v>-1.0908505788933736e-10</v>
      </c>
      <c r="CL35" s="490">
        <f>CK38</f>
        <v>-1.1087738599326911e-10</v>
      </c>
      <c r="CM35" s="490">
        <f>CL38</f>
        <v>-1.1271918257171287e-10</v>
      </c>
      <c r="CN35" s="490">
        <f>CM38</f>
        <v>-1.145915734377652e-10</v>
      </c>
      <c r="CO35" s="490">
        <f>CN38</f>
        <v>-1.1645368650612888e-10</v>
      </c>
    </row>
    <row r="36">
      <c r="E36" s="61" t="inlineStr">
        <is>
          <t>Interest</t>
        </is>
      </c>
      <c r="F36" s="484" t="n"/>
      <c r="G36" s="61" t="inlineStr">
        <is>
          <t>$ 000s</t>
        </is>
      </c>
      <c r="H36" s="490">
        <f>SUM(J36:CO36)</f>
        <v>29083.355014703084</v>
      </c>
      <c r="I36" s="484" t="n"/>
      <c r="J36" s="490">
        <f>J35*J19</f>
        <v>0.0</v>
      </c>
      <c r="K36" s="490">
        <f>K35*K19</f>
        <v>0.0</v>
      </c>
      <c r="L36" s="490">
        <f>L35*L19</f>
        <v>1172.5061523810816</v>
      </c>
      <c r="M36" s="490">
        <f>M35*M19</f>
        <v>1168.1687268485623</v>
      </c>
      <c r="N36" s="490">
        <f>N35*N19</f>
        <v>1161.921355997468</v>
      </c>
      <c r="O36" s="490">
        <f>O35*O19</f>
        <v>1141.872994737712</v>
      </c>
      <c r="P36" s="490">
        <f>P35*P19</f>
        <v>1098.4006483504709</v>
      </c>
      <c r="Q36" s="490">
        <f>Q35*Q19</f>
        <v>1090.0987218015252</v>
      </c>
      <c r="R36" s="490">
        <f>R35*R19</f>
        <v>1082.4235710027272</v>
      </c>
      <c r="S36" s="490">
        <f>S35*S19</f>
        <v>1061.4775189222953</v>
      </c>
      <c r="T36" s="490">
        <f>T35*T19</f>
        <v>1044.8000487389445</v>
      </c>
      <c r="U36" s="490">
        <f>U35*U19</f>
        <v>1022.4512497483606</v>
      </c>
      <c r="V36" s="490">
        <f>V35*V19</f>
        <v>1011.4552050724864</v>
      </c>
      <c r="W36" s="490">
        <f>W35*W19</f>
        <v>987.7339363272943</v>
      </c>
      <c r="X36" s="490">
        <f>X35*X19</f>
        <v>951.2515526641839</v>
      </c>
      <c r="Y36" s="490">
        <f>Y35*Y19</f>
        <v>937.4657902431765</v>
      </c>
      <c r="Z36" s="490">
        <f>Z35*Z19</f>
        <v>924.1928319115943</v>
      </c>
      <c r="AA36" s="490">
        <f>AA35*AA19</f>
        <v>899.1014364956919</v>
      </c>
      <c r="AB36" s="490">
        <f>AB35*AB19</f>
        <v>866.8476411506576</v>
      </c>
      <c r="AC36" s="490">
        <f>AC35*AC19</f>
        <v>850.7245761918008</v>
      </c>
      <c r="AD36" s="490">
        <f>AD35*AD19</f>
        <v>835.0230492759432</v>
      </c>
      <c r="AE36" s="490">
        <f>AE35*AE19</f>
        <v>806.178923443346</v>
      </c>
      <c r="AF36" s="490">
        <f>AF35*AF19</f>
        <v>767.3608061748054</v>
      </c>
      <c r="AG36" s="490">
        <f>AG35*AG19</f>
        <v>744.9244832964918</v>
      </c>
      <c r="AH36" s="490">
        <f>AH35*AH19</f>
        <v>722.6473865920835</v>
      </c>
      <c r="AI36" s="490">
        <f>AI35*AI19</f>
        <v>690.2632423688157</v>
      </c>
      <c r="AJ36" s="490">
        <f>AJ35*AJ19</f>
        <v>655.2932068008</v>
      </c>
      <c r="AK36" s="490">
        <f>AK35*AK19</f>
        <v>622.011043522621</v>
      </c>
      <c r="AL36" s="490">
        <f>AL35*AL19</f>
        <v>595.9810497453003</v>
      </c>
      <c r="AM36" s="490">
        <f>AM35*AM19</f>
        <v>560.9769586323117</v>
      </c>
      <c r="AN36" s="490">
        <f>AN35*AN19</f>
        <v>520.5073824139538</v>
      </c>
      <c r="AO36" s="490">
        <f>AO35*AO19</f>
        <v>486.60809078642797</v>
      </c>
      <c r="AP36" s="490">
        <f>AP35*AP19</f>
        <v>452.4486078951026</v>
      </c>
      <c r="AQ36" s="490">
        <f>AQ35*AQ19</f>
        <v>410.5801518944234</v>
      </c>
      <c r="AR36" s="490">
        <f>AR35*AR19</f>
        <v>368.71790426791557</v>
      </c>
      <c r="AS36" s="490">
        <f>AS35*AS19</f>
        <v>329.7441889419498</v>
      </c>
      <c r="AT36" s="490">
        <f>AT35*AT19</f>
        <v>290.3588216915662</v>
      </c>
      <c r="AU36" s="490">
        <f>AU35*AU19</f>
        <v>244.82106277997272</v>
      </c>
      <c r="AV36" s="490">
        <f>AV35*AV19</f>
        <v>195.7105973464225</v>
      </c>
      <c r="AW36" s="490">
        <f>AW35*AW19</f>
        <v>151.06148282065342</v>
      </c>
      <c r="AX36" s="490">
        <f>AX35*AX19</f>
        <v>105.83094829394396</v>
      </c>
      <c r="AY36" s="490">
        <f>AY35*AY19</f>
        <v>53.41166713226783</v>
      </c>
      <c r="AZ36" s="490">
        <f>AZ35*AZ19</f>
        <v>-9.787994612351111e-13</v>
      </c>
      <c r="BA36" s="490">
        <f>BA35*BA19</f>
        <v>-9.948816801606826e-13</v>
      </c>
      <c r="BB36" s="490">
        <f>BB35*BB19</f>
        <v>-1.022340536008292e-12</v>
      </c>
      <c r="BC36" s="490">
        <f>BC35*BC19</f>
        <v>-1.0393227482453185e-12</v>
      </c>
      <c r="BD36" s="490">
        <f>BD35*BD19</f>
        <v>-1.0336177701163631e-12</v>
      </c>
      <c r="BE36" s="490">
        <f>BE35*BE19</f>
        <v>-1.0620853262016514e-12</v>
      </c>
      <c r="BF36" s="490">
        <f>BF35*BF19</f>
        <v>-1.0913990108855648e-12</v>
      </c>
      <c r="BG36" s="490">
        <f>BG35*BG19</f>
        <v>-1.1095283611219416e-12</v>
      </c>
      <c r="BH36" s="490">
        <f>BH35*BH19</f>
        <v>-1.1034380152266527e-12</v>
      </c>
      <c r="BI36" s="490">
        <f>BI35*BI19</f>
        <v>-1.1338285372293536e-12</v>
      </c>
      <c r="BJ36" s="490">
        <f>BJ35*BJ19</f>
        <v>-1.1651223432974865e-12</v>
      </c>
      <c r="BK36" s="490">
        <f>BK35*BK19</f>
        <v>-1.1844763200000393e-12</v>
      </c>
      <c r="BL36" s="490">
        <f>BL35*BL19</f>
        <v>-1.1779745749826479e-12</v>
      </c>
      <c r="BM36" s="490">
        <f>BM35*BM19</f>
        <v>-1.2104179580686283e-12</v>
      </c>
      <c r="BN36" s="490">
        <f>BN35*BN19</f>
        <v>-1.2438256415035027e-12</v>
      </c>
      <c r="BO36" s="490">
        <f>BO35*BO19</f>
        <v>-1.2644869674373664e-12</v>
      </c>
      <c r="BP36" s="490">
        <f>BP35*BP19</f>
        <v>-1.2715187672460204e-12</v>
      </c>
      <c r="BQ36" s="490">
        <f>BQ35*BQ19</f>
        <v>-1.2924105269911876e-12</v>
      </c>
      <c r="BR36" s="490">
        <f>BR35*BR19</f>
        <v>-1.3280812153396275e-12</v>
      </c>
      <c r="BS36" s="490">
        <f>BS35*BS19</f>
        <v>-1.3501421199722134e-12</v>
      </c>
      <c r="BT36" s="490">
        <f>BT35*BT19</f>
        <v>-1.342731013770192e-12</v>
      </c>
      <c r="BU36" s="490">
        <f>BU35*BU19</f>
        <v>-1.3797120637744462e-12</v>
      </c>
      <c r="BV36" s="490">
        <f>BV35*BV19</f>
        <v>-1.4177922851976323e-12</v>
      </c>
      <c r="BW36" s="490">
        <f>BW35*BW19</f>
        <v>-1.4413433903795263e-12</v>
      </c>
      <c r="BX36" s="490">
        <f>BX35*BX19</f>
        <v>-1.4334316685084213e-12</v>
      </c>
      <c r="BY36" s="490">
        <f>BY35*BY19</f>
        <v>-1.4729107657119242e-12</v>
      </c>
      <c r="BZ36" s="490">
        <f>BZ35*BZ19</f>
        <v>-1.5135632826881576e-12</v>
      </c>
      <c r="CA36" s="490">
        <f>CA35*CA19</f>
        <v>-1.5387052505505886e-12</v>
      </c>
      <c r="CB36" s="490">
        <f>CB35*CB19</f>
        <v>-1.5302590967296317e-12</v>
      </c>
      <c r="CC36" s="490">
        <f>CC35*CC19</f>
        <v>-1.5724049826853935e-12</v>
      </c>
      <c r="CD36" s="490">
        <f>CD35*CD19</f>
        <v>-1.6158035521983507e-12</v>
      </c>
      <c r="CE36" s="490">
        <f>CE35*CE19</f>
        <v>-1.6426438445376455e-12</v>
      </c>
      <c r="CF36" s="490">
        <f>CF35*CF19</f>
        <v>-1.6517785710861643e-12</v>
      </c>
      <c r="CG36" s="490">
        <f>CG35*CG19</f>
        <v>-1.6789182106638717e-12</v>
      </c>
      <c r="CH36" s="490">
        <f>CH35*CH19</f>
        <v>-1.7252565582743132e-12</v>
      </c>
      <c r="CI36" s="490">
        <f>CI35*CI19</f>
        <v>-1.7539149866589807e-12</v>
      </c>
      <c r="CJ36" s="490">
        <f>CJ35*CJ19</f>
        <v>-1.7442875185256897e-12</v>
      </c>
      <c r="CK36" s="490">
        <f>CK35*CK19</f>
        <v>-1.7923281039317514e-12</v>
      </c>
      <c r="CL36" s="490">
        <f>CL35*CL19</f>
        <v>-1.841796578443748e-12</v>
      </c>
      <c r="CM36" s="490">
        <f>CM35*CM19</f>
        <v>-1.8723908660523416e-12</v>
      </c>
      <c r="CN36" s="490">
        <f>CN35*CN19</f>
        <v>-1.8621130683636844e-12</v>
      </c>
      <c r="CO36" s="490">
        <f>CO35*CO19</f>
        <v>-1.913398765788201e-12</v>
      </c>
    </row>
    <row r="37">
      <c r="E37" s="61" t="inlineStr">
        <is>
          <t>Principal</t>
        </is>
      </c>
      <c r="F37" s="484" t="n"/>
      <c r="G37" s="61" t="inlineStr">
        <is>
          <t>$ 000s</t>
        </is>
      </c>
      <c r="H37" s="490">
        <f>SUM(J37:CO37)</f>
        <v>72154.22476191283</v>
      </c>
      <c r="I37" s="484" t="n"/>
      <c r="J37" s="490">
        <f>J34-J36</f>
        <v>0.0</v>
      </c>
      <c r="K37" s="490">
        <f>K34-K36</f>
        <v>0.0</v>
      </c>
      <c r="L37" s="490">
        <f>L34-L36</f>
        <v>1056.888892853988</v>
      </c>
      <c r="M37" s="490">
        <f>M34-M36</f>
        <v>1148.89303309076</v>
      </c>
      <c r="N37" s="490">
        <f>N34-N36</f>
        <v>1206.924758112408</v>
      </c>
      <c r="O37" s="490">
        <f>O34-O36</f>
        <v>1147.6320255189075</v>
      </c>
      <c r="P37" s="490">
        <f>P34-P36</f>
        <v>1248.0635927341</v>
      </c>
      <c r="Q37" s="490">
        <f>Q34-Q36</f>
        <v>1183.1994560938965</v>
      </c>
      <c r="R37" s="490">
        <f>R34-R36</f>
        <v>1260.966345979178</v>
      </c>
      <c r="S37" s="490">
        <f>S34-S36</f>
        <v>312.8117638659048</v>
      </c>
      <c r="T37" s="490">
        <f>T34-T36</f>
        <v>1360.1974026390953</v>
      </c>
      <c r="U37" s="490">
        <f>U34-U36</f>
        <v>1338.367586995198</v>
      </c>
      <c r="V37" s="490">
        <f>V34-V36</f>
        <v>1428.0362455299587</v>
      </c>
      <c r="W37" s="490">
        <f>W34-W36</f>
        <v>923.6865714726146</v>
      </c>
      <c r="X37" s="490">
        <f>X34-X36</f>
        <v>1482.312879496101</v>
      </c>
      <c r="Y37" s="490">
        <f>Y34-Y36</f>
        <v>1419.2175372673928</v>
      </c>
      <c r="Z37" s="490">
        <f>Z34-Z36</f>
        <v>1510.518787579411</v>
      </c>
      <c r="AA37" s="490">
        <f>AA34-AA36</f>
        <v>782.0376580279384</v>
      </c>
      <c r="AB37" s="490">
        <f>AB34-AB36</f>
        <v>1567.4884107846328</v>
      </c>
      <c r="AC37" s="490">
        <f>AC34-AC36</f>
        <v>1508.0357036137752</v>
      </c>
      <c r="AD37" s="490">
        <f>AD34-AD36</f>
        <v>1736.4356688520038</v>
      </c>
      <c r="AE37" s="490">
        <f>AE34-AE36</f>
        <v>1310.306984494342</v>
      </c>
      <c r="AF37" s="490">
        <f>AF34-AF36</f>
        <v>1884.4496129995068</v>
      </c>
      <c r="AG37" s="490">
        <f>AG34-AG36</f>
        <v>1833.8977948898419</v>
      </c>
      <c r="AH37" s="490">
        <f>AH34-AH36</f>
        <v>1949.547143875659</v>
      </c>
      <c r="AI37" s="490">
        <f>AI34-AI36</f>
        <v>1671.7130559004427</v>
      </c>
      <c r="AJ37" s="490">
        <f>AJ34-AJ36</f>
        <v>2025.6261673955173</v>
      </c>
      <c r="AK37" s="490">
        <f>AK34-AK36</f>
        <v>1978.5118376514492</v>
      </c>
      <c r="AL37" s="490">
        <f>AL34-AL36</f>
        <v>2107.269699109683</v>
      </c>
      <c r="AM37" s="490">
        <f>AM34-AM36</f>
        <v>1739.9646119226136</v>
      </c>
      <c r="AN37" s="490">
        <f>AN34-AN36</f>
        <v>2415.177432893509</v>
      </c>
      <c r="AO37" s="490">
        <f>AO34-AO36</f>
        <v>2378.337263778407</v>
      </c>
      <c r="AP37" s="490">
        <f>AP34-AP36</f>
        <v>2520.509056897078</v>
      </c>
      <c r="AQ37" s="490">
        <f>AQ34-AQ36</f>
        <v>2026.8672092641266</v>
      </c>
      <c r="AR37" s="490">
        <f>AR34-AR36</f>
        <v>2621.370944111468</v>
      </c>
      <c r="AS37" s="490">
        <f>AS34-AS36</f>
        <v>2589.1663404418896</v>
      </c>
      <c r="AT37" s="490">
        <f>AT34-AT36</f>
        <v>2741.4035465173342</v>
      </c>
      <c r="AU37" s="490">
        <f>AU34-AU36</f>
        <v>2694.6626717904182</v>
      </c>
      <c r="AV37" s="490">
        <f>AV34-AV36</f>
        <v>2849.792665877017</v>
      </c>
      <c r="AW37" s="490">
        <f>AW34-AW36</f>
        <v>2822.84252436774</v>
      </c>
      <c r="AX37" s="490">
        <f>AX34-AX36</f>
        <v>3155.6757889972255</v>
      </c>
      <c r="AY37" s="490">
        <f>AY34-AY36</f>
        <v>3215.41808823023</v>
      </c>
      <c r="AZ37" s="490">
        <f>AZ34-AZ36</f>
        <v>9.787994612351111e-13</v>
      </c>
      <c r="BA37" s="490">
        <f>BA34-BA36</f>
        <v>9.948816801606826e-13</v>
      </c>
      <c r="BB37" s="490">
        <f>BB34-BB36</f>
        <v>1.022340536008292e-12</v>
      </c>
      <c r="BC37" s="490">
        <f>BC34-BC36</f>
        <v>1.0393227482453185e-12</v>
      </c>
      <c r="BD37" s="490">
        <f>BD34-BD36</f>
        <v>1.0336177701163631e-12</v>
      </c>
      <c r="BE37" s="490">
        <f>BE34-BE36</f>
        <v>1.0620853262016514e-12</v>
      </c>
      <c r="BF37" s="490">
        <f>BF34-BF36</f>
        <v>1.0913990108855648e-12</v>
      </c>
      <c r="BG37" s="490">
        <f>BG34-BG36</f>
        <v>1.1095283611219416e-12</v>
      </c>
      <c r="BH37" s="490">
        <f>BH34-BH36</f>
        <v>1.1034380152266527e-12</v>
      </c>
      <c r="BI37" s="490">
        <f>BI34-BI36</f>
        <v>1.1338285372293536e-12</v>
      </c>
      <c r="BJ37" s="490">
        <f>BJ34-BJ36</f>
        <v>1.1651223432974865e-12</v>
      </c>
      <c r="BK37" s="490">
        <f>BK34-BK36</f>
        <v>1.1844763200000393e-12</v>
      </c>
      <c r="BL37" s="490">
        <f>BL34-BL36</f>
        <v>1.1779745749826479e-12</v>
      </c>
      <c r="BM37" s="490">
        <f>BM34-BM36</f>
        <v>1.2104179580686283e-12</v>
      </c>
      <c r="BN37" s="490">
        <f>BN34-BN36</f>
        <v>1.2438256415035027e-12</v>
      </c>
      <c r="BO37" s="490">
        <f>BO34-BO36</f>
        <v>1.2644869674373664e-12</v>
      </c>
      <c r="BP37" s="490">
        <f>BP34-BP36</f>
        <v>1.2715187672460204e-12</v>
      </c>
      <c r="BQ37" s="490">
        <f>BQ34-BQ36</f>
        <v>1.2924105269911876e-12</v>
      </c>
      <c r="BR37" s="490">
        <f>BR34-BR36</f>
        <v>1.3280812153396275e-12</v>
      </c>
      <c r="BS37" s="490">
        <f>BS34-BS36</f>
        <v>1.3501421199722134e-12</v>
      </c>
      <c r="BT37" s="490">
        <f>BT34-BT36</f>
        <v>1.342731013770192e-12</v>
      </c>
      <c r="BU37" s="490">
        <f>BU34-BU36</f>
        <v>1.3797120637744462e-12</v>
      </c>
      <c r="BV37" s="490">
        <f>BV34-BV36</f>
        <v>1.4177922851976323e-12</v>
      </c>
      <c r="BW37" s="490">
        <f>BW34-BW36</f>
        <v>1.4413433903795263e-12</v>
      </c>
      <c r="BX37" s="490">
        <f>BX34-BX36</f>
        <v>1.4334316685084213e-12</v>
      </c>
      <c r="BY37" s="490">
        <f>BY34-BY36</f>
        <v>1.4729107657119242e-12</v>
      </c>
      <c r="BZ37" s="490">
        <f>BZ34-BZ36</f>
        <v>1.5135632826881576e-12</v>
      </c>
      <c r="CA37" s="490">
        <f>CA34-CA36</f>
        <v>1.5387052505505886e-12</v>
      </c>
      <c r="CB37" s="490">
        <f>CB34-CB36</f>
        <v>1.5302590967296317e-12</v>
      </c>
      <c r="CC37" s="490">
        <f>CC34-CC36</f>
        <v>1.5724049826853935e-12</v>
      </c>
      <c r="CD37" s="490">
        <f>CD34-CD36</f>
        <v>1.6158035521983507e-12</v>
      </c>
      <c r="CE37" s="490">
        <f>CE34-CE36</f>
        <v>1.6426438445376455e-12</v>
      </c>
      <c r="CF37" s="490">
        <f>CF34-CF36</f>
        <v>1.6517785710861643e-12</v>
      </c>
      <c r="CG37" s="490">
        <f>CG34-CG36</f>
        <v>1.6789182106638717e-12</v>
      </c>
      <c r="CH37" s="490">
        <f>CH34-CH36</f>
        <v>1.7252565582743132e-12</v>
      </c>
      <c r="CI37" s="490">
        <f>CI34-CI36</f>
        <v>1.7539149866589807e-12</v>
      </c>
      <c r="CJ37" s="490">
        <f>CJ34-CJ36</f>
        <v>1.7442875185256897e-12</v>
      </c>
      <c r="CK37" s="490">
        <f>CK34-CK36</f>
        <v>1.7923281039317514e-12</v>
      </c>
      <c r="CL37" s="490">
        <f>CL34-CL36</f>
        <v>1.841796578443748e-12</v>
      </c>
      <c r="CM37" s="490">
        <f>CM34-CM36</f>
        <v>1.8723908660523416e-12</v>
      </c>
      <c r="CN37" s="490">
        <f>CN34-CN36</f>
        <v>1.8621130683636844e-12</v>
      </c>
      <c r="CO37" s="490">
        <f>CO34-CO36</f>
        <v>1.913398765788201e-12</v>
      </c>
    </row>
    <row r="38">
      <c r="A38" s="358" t="n"/>
      <c r="B38" s="358" t="n"/>
      <c r="C38" s="359" t="n"/>
      <c r="D38" s="360" t="n"/>
      <c r="E38" s="390" t="inlineStr">
        <is>
          <t>Senior debt balance END</t>
        </is>
      </c>
      <c r="F38" s="504" t="n"/>
      <c r="G38" s="390" t="inlineStr">
        <is>
          <t>$ 000s</t>
        </is>
      </c>
      <c r="H38" s="504" t="n"/>
      <c r="I38" s="484" t="n"/>
      <c r="J38" s="504">
        <f>IF(J25=1,$F$29,J35-J37)</f>
        <v>0.0</v>
      </c>
      <c r="K38" s="504">
        <f>IF(K25=1,$F$29,K35-K37)</f>
        <v>72154.22476191272</v>
      </c>
      <c r="L38" s="504">
        <f>IF(L25=1,$F$29,L35-L37)</f>
        <v>71097.33586905873</v>
      </c>
      <c r="M38" s="504">
        <f>IF(M25=1,$F$29,M35-M37)</f>
        <v>69948.44283596797</v>
      </c>
      <c r="N38" s="504">
        <f>IF(N25=1,$F$29,N35-N37)</f>
        <v>68741.51807785557</v>
      </c>
      <c r="O38" s="504">
        <f>IF(O25=1,$F$29,O35-O37)</f>
        <v>67593.88605233666</v>
      </c>
      <c r="P38" s="504">
        <f>IF(P25=1,$F$29,P35-P37)</f>
        <v>66345.82245960255</v>
      </c>
      <c r="Q38" s="504">
        <f>IF(Q25=1,$F$29,Q35-Q37)</f>
        <v>65162.623003508656</v>
      </c>
      <c r="R38" s="504">
        <f>IF(R25=1,$F$29,R35-R37)</f>
        <v>63901.65665752948</v>
      </c>
      <c r="S38" s="504">
        <f>IF(S25=1,$F$29,S35-S37)</f>
        <v>63588.844893663576</v>
      </c>
      <c r="T38" s="504">
        <f>IF(T25=1,$F$29,T35-T37)</f>
        <v>62228.64749102448</v>
      </c>
      <c r="U38" s="504">
        <f>IF(U25=1,$F$29,U35-U37)</f>
        <v>60890.27990402928</v>
      </c>
      <c r="V38" s="504">
        <f>IF(V25=1,$F$29,V35-V37)</f>
        <v>59462.24365849932</v>
      </c>
      <c r="W38" s="504">
        <f>IF(W25=1,$F$29,W35-W37)</f>
        <v>58538.557087026704</v>
      </c>
      <c r="X38" s="504">
        <f>IF(X25=1,$F$29,X35-X37)</f>
        <v>57056.2442075306</v>
      </c>
      <c r="Y38" s="504">
        <f>IF(Y25=1,$F$29,Y35-Y37)</f>
        <v>55637.02667026321</v>
      </c>
      <c r="Z38" s="504">
        <f>IF(Z25=1,$F$29,Z35-Z37)</f>
        <v>54126.50788268379</v>
      </c>
      <c r="AA38" s="504">
        <f>IF(AA25=1,$F$29,AA35-AA37)</f>
        <v>53344.47022465585</v>
      </c>
      <c r="AB38" s="504">
        <f>IF(AB25=1,$F$29,AB35-AB37)</f>
        <v>51776.98181387122</v>
      </c>
      <c r="AC38" s="504">
        <f>IF(AC25=1,$F$29,AC35-AC37)</f>
        <v>50268.94611025745</v>
      </c>
      <c r="AD38" s="504">
        <f>IF(AD25=1,$F$29,AD35-AD37)</f>
        <v>48532.510441405444</v>
      </c>
      <c r="AE38" s="504">
        <f>IF(AE25=1,$F$29,AE35-AE37)</f>
        <v>47222.2034569111</v>
      </c>
      <c r="AF38" s="504">
        <f>IF(AF25=1,$F$29,AF35-AF37)</f>
        <v>45337.75384391159</v>
      </c>
      <c r="AG38" s="504">
        <f>IF(AG25=1,$F$29,AG35-AG37)</f>
        <v>43503.85604902175</v>
      </c>
      <c r="AH38" s="504">
        <f>IF(AH25=1,$F$29,AH35-AH37)</f>
        <v>41554.30890514609</v>
      </c>
      <c r="AI38" s="504">
        <f>IF(AI25=1,$F$29,AI35-AI37)</f>
        <v>39882.59584924565</v>
      </c>
      <c r="AJ38" s="504">
        <f>IF(AJ25=1,$F$29,AJ35-AJ37)</f>
        <v>37856.96968185013</v>
      </c>
      <c r="AK38" s="504">
        <f>IF(AK25=1,$F$29,AK35-AK37)</f>
        <v>35878.45784419868</v>
      </c>
      <c r="AL38" s="504">
        <f>IF(AL25=1,$F$29,AL35-AL37)</f>
        <v>33771.188145089</v>
      </c>
      <c r="AM38" s="504">
        <f>IF(AM25=1,$F$29,AM35-AM37)</f>
        <v>32031.223533166387</v>
      </c>
      <c r="AN38" s="504">
        <f>IF(AN25=1,$F$29,AN35-AN37)</f>
        <v>29616.046100272877</v>
      </c>
      <c r="AO38" s="504">
        <f>IF(AO25=1,$F$29,AO35-AO37)</f>
        <v>27237.708836494472</v>
      </c>
      <c r="AP38" s="504">
        <f>IF(AP25=1,$F$29,AP35-AP37)</f>
        <v>24717.199779597395</v>
      </c>
      <c r="AQ38" s="504">
        <f>IF(AQ25=1,$F$29,AQ35-AQ37)</f>
        <v>22690.332570333267</v>
      </c>
      <c r="AR38" s="504">
        <f>IF(AR25=1,$F$29,AR35-AR37)</f>
        <v>20068.961626221797</v>
      </c>
      <c r="AS38" s="504">
        <f>IF(AS25=1,$F$29,AS35-AS37)</f>
        <v>17479.795285779906</v>
      </c>
      <c r="AT38" s="504">
        <f>IF(AT25=1,$F$29,AT35-AT37)</f>
        <v>14738.391739262572</v>
      </c>
      <c r="AU38" s="504">
        <f>IF(AU25=1,$F$29,AU35-AU37)</f>
        <v>12043.729067472153</v>
      </c>
      <c r="AV38" s="504">
        <f>IF(AV25=1,$F$29,AV35-AV37)</f>
        <v>9193.936401595136</v>
      </c>
      <c r="AW38" s="504">
        <f>IF(AW25=1,$F$29,AW35-AW37)</f>
        <v>6371.093877227396</v>
      </c>
      <c r="AX38" s="504">
        <f>IF(AX25=1,$F$29,AX35-AX37)</f>
        <v>3215.4180882301703</v>
      </c>
      <c r="AY38" s="504">
        <f>IF(AY25=1,$F$29,AY35-AY37)</f>
        <v>-5.95719029661268e-11</v>
      </c>
      <c r="AZ38" s="504">
        <f>IF(AZ25=1,$F$29,AZ35-AZ37)</f>
        <v>-6.055070242736191e-11</v>
      </c>
      <c r="BA38" s="504">
        <f>IF(BA25=1,$F$29,BA35-BA37)</f>
        <v>-6.154558410752259e-11</v>
      </c>
      <c r="BB38" s="504">
        <f>IF(BB25=1,$F$29,BB35-BB37)</f>
        <v>-6.256792464353088e-11</v>
      </c>
      <c r="BC38" s="504">
        <f>IF(BC25=1,$F$29,BC35-BC37)</f>
        <v>-6.360724739177619e-11</v>
      </c>
      <c r="BD38" s="504">
        <f>IF(BD25=1,$F$29,BD35-BD37)</f>
        <v>-6.464086516189256e-11</v>
      </c>
      <c r="BE38" s="504">
        <f>IF(BE25=1,$F$29,BE35-BE37)</f>
        <v>-6.57029504880942e-11</v>
      </c>
      <c r="BF38" s="504">
        <f>IF(BF25=1,$F$29,BF35-BF37)</f>
        <v>-6.679434949897977e-11</v>
      </c>
      <c r="BG38" s="504">
        <f>IF(BG25=1,$F$29,BG35-BG37)</f>
        <v>-6.79038778601017e-11</v>
      </c>
      <c r="BH38" s="504">
        <f>IF(BH25=1,$F$29,BH35-BH37)</f>
        <v>-6.900731587532836e-11</v>
      </c>
      <c r="BI38" s="504">
        <f>IF(BI25=1,$F$29,BI35-BI37)</f>
        <v>-7.014114441255772e-11</v>
      </c>
      <c r="BJ38" s="504">
        <f>IF(BJ25=1,$F$29,BJ35-BJ37)</f>
        <v>-7.130626675585521e-11</v>
      </c>
      <c r="BK38" s="504">
        <f>IF(BK25=1,$F$29,BK35-BK37)</f>
        <v>-7.249074307585525e-11</v>
      </c>
      <c r="BL38" s="504">
        <f>IF(BL25=1,$F$29,BL35-BL37)</f>
        <v>-7.36687176508379e-11</v>
      </c>
      <c r="BM38" s="504">
        <f>IF(BM25=1,$F$29,BM35-BM37)</f>
        <v>-7.487913560890652e-11</v>
      </c>
      <c r="BN38" s="504">
        <f>IF(BN25=1,$F$29,BN35-BN37)</f>
        <v>-7.612296125041002e-11</v>
      </c>
      <c r="BO38" s="504">
        <f>IF(BO25=1,$F$29,BO35-BO37)</f>
        <v>-7.738744821784739e-11</v>
      </c>
      <c r="BP38" s="504">
        <f>IF(BP25=1,$F$29,BP35-BP37)</f>
        <v>-7.865896698509341e-11</v>
      </c>
      <c r="BQ38" s="504">
        <f>IF(BQ25=1,$F$29,BQ35-BQ37)</f>
        <v>-7.99513775120846e-11</v>
      </c>
      <c r="BR38" s="504">
        <f>IF(BR25=1,$F$29,BR35-BR37)</f>
        <v>-8.127945872742422e-11</v>
      </c>
      <c r="BS38" s="504">
        <f>IF(BS25=1,$F$29,BS35-BS37)</f>
        <v>-8.262960084739643e-11</v>
      </c>
      <c r="BT38" s="504">
        <f>IF(BT25=1,$F$29,BT35-BT37)</f>
        <v>-8.397233186116662e-11</v>
      </c>
      <c r="BU38" s="504">
        <f>IF(BU25=1,$F$29,BU35-BU37)</f>
        <v>-8.535204392494107e-11</v>
      </c>
      <c r="BV38" s="504">
        <f>IF(BV25=1,$F$29,BV35-BV37)</f>
        <v>-8.67698362101387e-11</v>
      </c>
      <c r="BW38" s="504">
        <f>IF(BW25=1,$F$29,BW35-BW37)</f>
        <v>-8.821117960051824e-11</v>
      </c>
      <c r="BX38" s="504">
        <f>IF(BX25=1,$F$29,BX35-BX37)</f>
        <v>-8.964461126902666e-11</v>
      </c>
      <c r="BY38" s="504">
        <f>IF(BY25=1,$F$29,BY35-BY37)</f>
        <v>-9.111752203473858e-11</v>
      </c>
      <c r="BZ38" s="504">
        <f>IF(BZ25=1,$F$29,BZ35-BZ37)</f>
        <v>-9.263108531742674e-11</v>
      </c>
      <c r="CA38" s="504">
        <f>IF(CA25=1,$F$29,CA35-CA37)</f>
        <v>-9.416979056797733e-11</v>
      </c>
      <c r="CB38" s="504">
        <f>IF(CB25=1,$F$29,CB35-CB37)</f>
        <v>-9.570004966470696e-11</v>
      </c>
      <c r="CC38" s="504">
        <f>IF(CC25=1,$F$29,CC35-CC37)</f>
        <v>-9.727245464739235e-11</v>
      </c>
      <c r="CD38" s="504">
        <f>IF(CD25=1,$F$29,CD35-CD37)</f>
        <v>-9.88882581995907e-11</v>
      </c>
      <c r="CE38" s="504">
        <f>IF(CE25=1,$F$29,CE35-CE37)</f>
        <v>-1.0053090204412835e-10</v>
      </c>
      <c r="CF38" s="504">
        <f>IF(CF25=1,$F$29,CF35-CF37)</f>
        <v>-1.0218268061521451e-10</v>
      </c>
      <c r="CG38" s="504">
        <f>IF(CG25=1,$F$29,CG35-CG37)</f>
        <v>-1.0386159882587838e-10</v>
      </c>
      <c r="CH38" s="504">
        <f>IF(CH25=1,$F$29,CH35-CH37)</f>
        <v>-1.0558685538415269e-10</v>
      </c>
      <c r="CI38" s="504">
        <f>IF(CI25=1,$F$29,CI35-CI37)</f>
        <v>-1.0734077037081167e-10</v>
      </c>
      <c r="CJ38" s="504">
        <f>IF(CJ25=1,$F$29,CJ35-CJ37)</f>
        <v>-1.0908505788933736e-10</v>
      </c>
      <c r="CK38" s="504">
        <f>IF(CK25=1,$F$29,CK35-CK37)</f>
        <v>-1.1087738599326911e-10</v>
      </c>
      <c r="CL38" s="504">
        <f>IF(CL25=1,$F$29,CL35-CL37)</f>
        <v>-1.1271918257171287e-10</v>
      </c>
      <c r="CM38" s="504">
        <f>IF(CM25=1,$F$29,CM35-CM37)</f>
        <v>-1.145915734377652e-10</v>
      </c>
      <c r="CN38" s="504">
        <f>IF(CN25=1,$F$29,CN35-CN37)</f>
        <v>-1.1645368650612888e-10</v>
      </c>
      <c r="CO38" s="504">
        <f>IF(CO25=1,$F$29,CO35-CO37)</f>
        <v>-1.1836708527191708e-10</v>
      </c>
    </row>
    <row r="40">
      <c r="E40" s="61" t="inlineStr">
        <is>
          <t>Sculpted repayment profile (% of opening debt)</t>
        </is>
      </c>
      <c r="F40" s="502" t="n"/>
      <c r="G40" s="61" t="inlineStr">
        <is>
          <t>%</t>
        </is>
      </c>
      <c r="H40" s="503">
        <f>SUM(J40:CO40)</f>
        <v>1.0000000000000016</v>
      </c>
      <c r="I40" s="502" t="n"/>
      <c r="J40" s="503">
        <f>J37/$F$29</f>
        <v>0.0</v>
      </c>
      <c r="K40" s="503">
        <f>K37/$F$29</f>
        <v>0.0</v>
      </c>
      <c r="L40" s="503">
        <f>L37/$F$29</f>
        <v>0.014647637007277177</v>
      </c>
      <c r="M40" s="503">
        <f>M37/$F$29</f>
        <v>0.015922741002093253</v>
      </c>
      <c r="N40" s="503">
        <f>N37/$F$29</f>
        <v>0.01672701442077574</v>
      </c>
      <c r="O40" s="503">
        <f>O37/$F$29</f>
        <v>0.015905264443014235</v>
      </c>
      <c r="P40" s="503">
        <f>P37/$F$29</f>
        <v>0.01729716585345259</v>
      </c>
      <c r="Q40" s="503">
        <f>Q37/$F$29</f>
        <v>0.016398200659740986</v>
      </c>
      <c r="R40" s="503">
        <f>R37/$F$29</f>
        <v>0.017475987721300983</v>
      </c>
      <c r="S40" s="503">
        <f>S37/$F$29</f>
        <v>0.0043353215268834185</v>
      </c>
      <c r="T40" s="503">
        <f>T37/$F$29</f>
        <v>0.018851251013053478</v>
      </c>
      <c r="U40" s="503">
        <f>U37/$F$29</f>
        <v>0.018548707181199844</v>
      </c>
      <c r="V40" s="503">
        <f>V37/$F$29</f>
        <v>0.01979144326256778</v>
      </c>
      <c r="W40" s="503">
        <f>W37/$F$29</f>
        <v>0.012801559084315618</v>
      </c>
      <c r="X40" s="503">
        <f>X37/$F$29</f>
        <v>0.020543674114541298</v>
      </c>
      <c r="Y40" s="503">
        <f>Y37/$F$29</f>
        <v>0.01966922300046026</v>
      </c>
      <c r="Z40" s="503">
        <f>Z37/$F$29</f>
        <v>0.02093458550159287</v>
      </c>
      <c r="AA40" s="503">
        <f>AA37/$F$29</f>
        <v>0.010838418132942706</v>
      </c>
      <c r="AB40" s="503">
        <f>AB37/$F$29</f>
        <v>0.021724139036305552</v>
      </c>
      <c r="AC40" s="503">
        <f>AC37/$F$29</f>
        <v>0.020900171938508665</v>
      </c>
      <c r="AD40" s="503">
        <f>AD37/$F$29</f>
        <v>0.024065613269101293</v>
      </c>
      <c r="AE40" s="503">
        <f>AE37/$F$29</f>
        <v>0.018159809613615303</v>
      </c>
      <c r="AF40" s="503">
        <f>AF37/$F$29</f>
        <v>0.02611696846882667</v>
      </c>
      <c r="AG40" s="503">
        <f>AG37/$F$29</f>
        <v>0.025416360593453178</v>
      </c>
      <c r="AH40" s="503">
        <f>AH37/$F$29</f>
        <v>0.027019168320477138</v>
      </c>
      <c r="AI40" s="503">
        <f>AI37/$F$29</f>
        <v>0.023168609480825192</v>
      </c>
      <c r="AJ40" s="503">
        <f>AJ37/$F$29</f>
        <v>0.02807356290057132</v>
      </c>
      <c r="AK40" s="503">
        <f>AK37/$F$29</f>
        <v>0.027420595871966533</v>
      </c>
      <c r="AL40" s="503">
        <f>AL37/$F$29</f>
        <v>0.02920507712560201</v>
      </c>
      <c r="AM40" s="503">
        <f>AM37/$F$29</f>
        <v>0.02411452160513088</v>
      </c>
      <c r="AN40" s="503">
        <f>AN37/$F$29</f>
        <v>0.03347243270734138</v>
      </c>
      <c r="AO40" s="503">
        <f>AO37/$F$29</f>
        <v>0.032961857349672954</v>
      </c>
      <c r="AP40" s="503">
        <f>AP37/$F$29</f>
        <v>0.034932244996242444</v>
      </c>
      <c r="AQ40" s="503">
        <f>AQ37/$F$29</f>
        <v>0.028090762750929414</v>
      </c>
      <c r="AR40" s="503">
        <f>AR37/$F$29</f>
        <v>0.03633011029861668</v>
      </c>
      <c r="AS40" s="503">
        <f>AS37/$F$29</f>
        <v>0.035883780180375593</v>
      </c>
      <c r="AT40" s="503">
        <f>AT37/$F$29</f>
        <v>0.037993666421656434</v>
      </c>
      <c r="AU40" s="503">
        <f>AU37/$F$29</f>
        <v>0.037345875181695826</v>
      </c>
      <c r="AV40" s="503">
        <f>AV37/$F$29</f>
        <v>0.039495853157323464</v>
      </c>
      <c r="AW40" s="503">
        <f>AW37/$F$29</f>
        <v>0.03912234569330172</v>
      </c>
      <c r="AX40" s="503">
        <f>AX37/$F$29</f>
        <v>0.0437351492502346</v>
      </c>
      <c r="AY40" s="503">
        <f>AY37/$F$29</f>
        <v>0.04456312986301418</v>
      </c>
      <c r="AZ40" s="503">
        <f>AZ37/$F$29</f>
        <v>1.3565379774571143e-17</v>
      </c>
      <c r="BA40" s="503">
        <f>BA37/$F$29</f>
        <v>1.3788266500589445e-17</v>
      </c>
      <c r="BB40" s="503">
        <f>BB37/$F$29</f>
        <v>1.4168824339554738e-17</v>
      </c>
      <c r="BC40" s="503">
        <f>BC37/$F$29</f>
        <v>1.4404184254972896e-17</v>
      </c>
      <c r="BD40" s="503">
        <f>BD37/$F$29</f>
        <v>1.4325117808790706e-17</v>
      </c>
      <c r="BE40" s="503">
        <f>BE37/$F$29</f>
        <v>1.471965542844115e-17</v>
      </c>
      <c r="BF40" s="503">
        <f>BF37/$F$29</f>
        <v>1.5125919715537848e-17</v>
      </c>
      <c r="BG40" s="503">
        <f>BG37/$F$29</f>
        <v>1.5377178048590393e-17</v>
      </c>
      <c r="BH40" s="503">
        <f>BH37/$F$29</f>
        <v>1.5292770712562804e-17</v>
      </c>
      <c r="BI40" s="503">
        <f>BI37/$F$29</f>
        <v>1.5713959105937975e-17</v>
      </c>
      <c r="BJ40" s="503">
        <f>BJ37/$F$29</f>
        <v>1.6147666295938186e-17</v>
      </c>
      <c r="BK40" s="503">
        <f>BK37/$F$29</f>
        <v>1.6415896974965162e-17</v>
      </c>
      <c r="BL40" s="503">
        <f>BL37/$F$29</f>
        <v>1.6325787975265626e-17</v>
      </c>
      <c r="BM40" s="503">
        <f>BM37/$F$29</f>
        <v>1.6775427385751068e-17</v>
      </c>
      <c r="BN40" s="503">
        <f>BN37/$F$29</f>
        <v>1.7238431229879526e-17</v>
      </c>
      <c r="BO40" s="503">
        <f>BO37/$F$29</f>
        <v>1.75247807264203e-17</v>
      </c>
      <c r="BP40" s="503">
        <f>BP37/$F$29</f>
        <v>1.7622235862718373e-17</v>
      </c>
      <c r="BQ40" s="503">
        <f>BQ37/$F$29</f>
        <v>1.791177898807387e-17</v>
      </c>
      <c r="BR40" s="503">
        <f>BR37/$F$29</f>
        <v>1.840614627517511e-17</v>
      </c>
      <c r="BS40" s="503">
        <f>BS37/$F$29</f>
        <v>1.8711892816079408e-17</v>
      </c>
      <c r="BT40" s="503">
        <f>BT37/$F$29</f>
        <v>1.8609180795730277e-17</v>
      </c>
      <c r="BU40" s="503">
        <f>BU37/$F$29</f>
        <v>1.9121708650146015e-17</v>
      </c>
      <c r="BV40" s="503">
        <f>BV37/$F$29</f>
        <v>1.9649470143653006e-17</v>
      </c>
      <c r="BW40" s="503">
        <f>BW37/$F$29</f>
        <v>1.9975869675483686e-17</v>
      </c>
      <c r="BX40" s="503">
        <f>BX37/$F$29</f>
        <v>1.986621952128674e-17</v>
      </c>
      <c r="BY40" s="503">
        <f>BY37/$F$29</f>
        <v>2.0413368317268846e-17</v>
      </c>
      <c r="BZ40" s="503">
        <f>BZ37/$F$29</f>
        <v>2.097677977530023e-17</v>
      </c>
      <c r="CA40" s="503">
        <f>CA37/$F$29</f>
        <v>2.1325227394901047e-17</v>
      </c>
      <c r="CB40" s="503">
        <f>CB37/$F$29</f>
        <v>2.120817044017904e-17</v>
      </c>
      <c r="CC40" s="503">
        <f>CC37/$F$29</f>
        <v>2.1792278801052303e-17</v>
      </c>
      <c r="CD40" s="503">
        <f>CD37/$F$29</f>
        <v>2.2393748356801248e-17</v>
      </c>
      <c r="CE40" s="503">
        <f>CE37/$F$29</f>
        <v>2.2765733398950333e-17</v>
      </c>
      <c r="CF40" s="503">
        <f>CF37/$F$29</f>
        <v>2.2892333422423117e-17</v>
      </c>
      <c r="CG40" s="503">
        <f>CG37/$F$29</f>
        <v>2.3268467178516543e-17</v>
      </c>
      <c r="CH40" s="503">
        <f>CH37/$F$29</f>
        <v>2.3910679713726286e-17</v>
      </c>
      <c r="CI40" s="503">
        <f>CI37/$F$29</f>
        <v>2.430786267119318e-17</v>
      </c>
      <c r="CJ40" s="503">
        <f>CJ37/$F$29</f>
        <v>2.417443364240022e-17</v>
      </c>
      <c r="CK40" s="503">
        <f>CK37/$F$29</f>
        <v>2.484023783563466e-17</v>
      </c>
      <c r="CL40" s="503">
        <f>CL37/$F$29</f>
        <v>2.552583143289425e-17</v>
      </c>
      <c r="CM40" s="503">
        <f>CM37/$F$29</f>
        <v>2.594984385502955e-17</v>
      </c>
      <c r="CN40" s="503">
        <f>CN37/$F$29</f>
        <v>2.5807401777347044e-17</v>
      </c>
      <c r="CO40" s="503">
        <f>CO37/$F$29</f>
        <v>2.651818063463148e-17</v>
      </c>
    </row>
  </sheetData>
  <pageMargins left="0.75" right="0.75" top="1" bottom="1" header="0.5" footer="0.5"/>
</worksheet>
</file>

<file path=xl/worksheets/sheet14.xml><?xml version="1.0" encoding="utf-8"?>
<worksheet xmlns="http://schemas.openxmlformats.org/spreadsheetml/2006/main">
  <sheetPr>
    <tabColor rgb="000B5E82"/>
    <outlinePr summaryBelow="1" summaryRight="1"/>
    <pageSetUpPr/>
  </sheetPr>
  <dimension ref="A1:CO18"/>
  <sheetViews>
    <sheetView showGridLines="0" zoomScale="100"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1.1640625" customWidth="1" style="396" min="1" max="2"/>
    <col width="1.1640625" customWidth="1" style="396" min="3" max="3"/>
    <col width="1.1640625" customWidth="1" style="396" min="4" max="4"/>
    <col width="40.83203125" customWidth="1" style="396" min="5" max="5"/>
    <col width="12.83203125" customWidth="1" style="396" min="6" max="6"/>
    <col width="11.6640625" customWidth="1" style="396" min="7" max="8"/>
    <col width="2.6640625" customWidth="1" style="396" min="9" max="9"/>
    <col width="11.6640625" customWidth="1" style="396" min="10" max="93"/>
  </cols>
  <sheetData>
    <row r="1">
      <c r="A1" s="1">
        <f> RIGHT(CELL("filename", A1), LEN(CELL("filename", A1)) - SEARCH("]", CELL("filename", A1)))</f>
        <v/>
      </c>
      <c r="B1" s="294" t="n"/>
      <c r="C1" s="212" t="n"/>
      <c r="D1" s="244" t="n"/>
    </row>
    <row r="2">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DEBT SERVICE RESERVE ACCOUNT</t>
        </is>
      </c>
    </row>
    <row r="9">
      <c r="E9" s="344" t="str">
        <f>InpC!E$143</f>
        <v>DSRA cover (periods of debt service)</v>
      </c>
      <c r="F9" s="498">
        <f>InpC!F$143</f>
        <v>2.0</v>
      </c>
      <c r="G9" s="344" t="str">
        <f>InpC!G$143</f>
        <v>periods</v>
      </c>
      <c r="H9" s="484" t="n"/>
      <c r="I9" s="484" t="n"/>
      <c r="J9" s="484" t="n"/>
      <c r="K9" s="484" t="n"/>
      <c r="L9" s="484" t="n"/>
      <c r="M9" s="484" t="n"/>
      <c r="N9" s="484" t="n"/>
      <c r="O9" s="484" t="n"/>
      <c r="P9" s="484" t="n"/>
      <c r="Q9" s="484" t="n"/>
      <c r="R9" s="484" t="n"/>
      <c r="S9" s="484" t="n"/>
      <c r="T9" s="484" t="n"/>
      <c r="U9" s="484" t="n"/>
      <c r="V9" s="484" t="n"/>
      <c r="W9" s="484" t="n"/>
      <c r="X9" s="484" t="n"/>
      <c r="Y9" s="484" t="n"/>
      <c r="Z9" s="484" t="n"/>
      <c r="AA9" s="484" t="n"/>
      <c r="AB9" s="484" t="n"/>
      <c r="AC9" s="484" t="n"/>
      <c r="AD9" s="484" t="n"/>
      <c r="AE9" s="484" t="n"/>
      <c r="AF9" s="484" t="n"/>
      <c r="AG9" s="484" t="n"/>
      <c r="AH9" s="484" t="n"/>
      <c r="AI9" s="484" t="n"/>
      <c r="AJ9" s="484" t="n"/>
      <c r="AK9" s="484" t="n"/>
      <c r="AL9" s="484" t="n"/>
      <c r="AM9" s="484" t="n"/>
      <c r="AN9" s="484" t="n"/>
      <c r="AO9" s="484" t="n"/>
      <c r="AP9" s="484" t="n"/>
      <c r="AQ9" s="484" t="n"/>
      <c r="AR9" s="484" t="n"/>
      <c r="AS9" s="484" t="n"/>
      <c r="AT9" s="484" t="n"/>
      <c r="AU9" s="484" t="n"/>
      <c r="AV9" s="484" t="n"/>
      <c r="AW9" s="484" t="n"/>
      <c r="AX9" s="484" t="n"/>
      <c r="AY9" s="484" t="n"/>
      <c r="AZ9" s="484" t="n"/>
      <c r="BA9" s="484" t="n"/>
      <c r="BB9" s="484" t="n"/>
      <c r="BC9" s="484" t="n"/>
      <c r="BD9" s="484" t="n"/>
      <c r="BE9" s="484" t="n"/>
      <c r="BF9" s="484" t="n"/>
      <c r="BG9" s="484" t="n"/>
      <c r="BH9" s="484" t="n"/>
      <c r="BI9" s="484" t="n"/>
      <c r="BJ9" s="484" t="n"/>
      <c r="BK9" s="484" t="n"/>
      <c r="BL9" s="484" t="n"/>
      <c r="BM9" s="484" t="n"/>
      <c r="BN9" s="484" t="n"/>
      <c r="BO9" s="484" t="n"/>
      <c r="BP9" s="484" t="n"/>
      <c r="BQ9" s="484" t="n"/>
      <c r="BR9" s="484" t="n"/>
      <c r="BS9" s="484" t="n"/>
      <c r="BT9" s="484" t="n"/>
      <c r="BU9" s="484" t="n"/>
      <c r="BV9" s="484" t="n"/>
      <c r="BW9" s="484" t="n"/>
      <c r="BX9" s="484" t="n"/>
      <c r="BY9" s="484" t="n"/>
      <c r="BZ9" s="484" t="n"/>
      <c r="CA9" s="484" t="n"/>
      <c r="CB9" s="484" t="n"/>
      <c r="CC9" s="484" t="n"/>
      <c r="CD9" s="484" t="n"/>
      <c r="CE9" s="484" t="n"/>
      <c r="CF9" s="484" t="n"/>
      <c r="CG9" s="484" t="n"/>
      <c r="CH9" s="484" t="n"/>
      <c r="CI9" s="484" t="n"/>
      <c r="CJ9" s="484" t="n"/>
      <c r="CK9" s="484" t="n"/>
      <c r="CL9" s="484" t="n"/>
      <c r="CM9" s="484" t="n"/>
      <c r="CN9" s="484" t="n"/>
      <c r="CO9" s="484" t="n"/>
    </row>
    <row r="10">
      <c r="E10" s="324" t="inlineStr">
        <is>
          <t>Operating period counter</t>
        </is>
      </c>
      <c r="F10" s="508" t="n"/>
      <c r="G10" s="324" t="inlineStr">
        <is>
          <t>counter</t>
        </is>
      </c>
      <c r="H10" s="508" t="n"/>
      <c r="I10" s="508" t="n"/>
      <c r="J10" s="508">
        <f>Sculpt!J$11</f>
        <v>0.0</v>
      </c>
      <c r="K10" s="508">
        <f>Sculpt!K$11</f>
        <v>0.0</v>
      </c>
      <c r="L10" s="508">
        <f>Sculpt!L$11</f>
        <v>1.0</v>
      </c>
      <c r="M10" s="508">
        <f>Sculpt!M$11</f>
        <v>2.0</v>
      </c>
      <c r="N10" s="508">
        <f>Sculpt!N$11</f>
        <v>3.0</v>
      </c>
      <c r="O10" s="508">
        <f>Sculpt!O$11</f>
        <v>4.0</v>
      </c>
      <c r="P10" s="508">
        <f>Sculpt!P$11</f>
        <v>5.0</v>
      </c>
      <c r="Q10" s="508">
        <f>Sculpt!Q$11</f>
        <v>6.0</v>
      </c>
      <c r="R10" s="508">
        <f>Sculpt!R$11</f>
        <v>7.0</v>
      </c>
      <c r="S10" s="508">
        <f>Sculpt!S$11</f>
        <v>8.0</v>
      </c>
      <c r="T10" s="508">
        <f>Sculpt!T$11</f>
        <v>9.0</v>
      </c>
      <c r="U10" s="508">
        <f>Sculpt!U$11</f>
        <v>10.0</v>
      </c>
      <c r="V10" s="508">
        <f>Sculpt!V$11</f>
        <v>11.0</v>
      </c>
      <c r="W10" s="508">
        <f>Sculpt!W$11</f>
        <v>12.0</v>
      </c>
      <c r="X10" s="508">
        <f>Sculpt!X$11</f>
        <v>13.0</v>
      </c>
      <c r="Y10" s="508">
        <f>Sculpt!Y$11</f>
        <v>14.0</v>
      </c>
      <c r="Z10" s="508">
        <f>Sculpt!Z$11</f>
        <v>15.0</v>
      </c>
      <c r="AA10" s="508">
        <f>Sculpt!AA$11</f>
        <v>16.0</v>
      </c>
      <c r="AB10" s="508">
        <f>Sculpt!AB$11</f>
        <v>17.0</v>
      </c>
      <c r="AC10" s="508">
        <f>Sculpt!AC$11</f>
        <v>18.0</v>
      </c>
      <c r="AD10" s="508">
        <f>Sculpt!AD$11</f>
        <v>19.0</v>
      </c>
      <c r="AE10" s="508">
        <f>Sculpt!AE$11</f>
        <v>20.0</v>
      </c>
      <c r="AF10" s="508">
        <f>Sculpt!AF$11</f>
        <v>21.0</v>
      </c>
      <c r="AG10" s="508">
        <f>Sculpt!AG$11</f>
        <v>22.0</v>
      </c>
      <c r="AH10" s="508">
        <f>Sculpt!AH$11</f>
        <v>23.0</v>
      </c>
      <c r="AI10" s="508">
        <f>Sculpt!AI$11</f>
        <v>24.0</v>
      </c>
      <c r="AJ10" s="508">
        <f>Sculpt!AJ$11</f>
        <v>25.0</v>
      </c>
      <c r="AK10" s="508">
        <f>Sculpt!AK$11</f>
        <v>26.0</v>
      </c>
      <c r="AL10" s="508">
        <f>Sculpt!AL$11</f>
        <v>27.0</v>
      </c>
      <c r="AM10" s="508">
        <f>Sculpt!AM$11</f>
        <v>28.0</v>
      </c>
      <c r="AN10" s="508">
        <f>Sculpt!AN$11</f>
        <v>29.0</v>
      </c>
      <c r="AO10" s="508">
        <f>Sculpt!AO$11</f>
        <v>30.0</v>
      </c>
      <c r="AP10" s="508">
        <f>Sculpt!AP$11</f>
        <v>31.0</v>
      </c>
      <c r="AQ10" s="508">
        <f>Sculpt!AQ$11</f>
        <v>32.0</v>
      </c>
      <c r="AR10" s="508">
        <f>Sculpt!AR$11</f>
        <v>33.0</v>
      </c>
      <c r="AS10" s="508">
        <f>Sculpt!AS$11</f>
        <v>34.0</v>
      </c>
      <c r="AT10" s="508">
        <f>Sculpt!AT$11</f>
        <v>35.0</v>
      </c>
      <c r="AU10" s="508">
        <f>Sculpt!AU$11</f>
        <v>36.0</v>
      </c>
      <c r="AV10" s="508">
        <f>Sculpt!AV$11</f>
        <v>37.0</v>
      </c>
      <c r="AW10" s="508">
        <f>Sculpt!AW$11</f>
        <v>38.0</v>
      </c>
      <c r="AX10" s="508">
        <f>Sculpt!AX$11</f>
        <v>39.0</v>
      </c>
      <c r="AY10" s="508">
        <f>Sculpt!AY$11</f>
        <v>40.0</v>
      </c>
      <c r="AZ10" s="508">
        <f>Sculpt!AZ$11</f>
        <v>41.0</v>
      </c>
      <c r="BA10" s="508">
        <f>Sculpt!BA$11</f>
        <v>42.0</v>
      </c>
      <c r="BB10" s="508">
        <f>Sculpt!BB$11</f>
        <v>43.0</v>
      </c>
      <c r="BC10" s="508">
        <f>Sculpt!BC$11</f>
        <v>44.0</v>
      </c>
      <c r="BD10" s="508">
        <f>Sculpt!BD$11</f>
        <v>45.0</v>
      </c>
      <c r="BE10" s="508">
        <f>Sculpt!BE$11</f>
        <v>46.0</v>
      </c>
      <c r="BF10" s="508">
        <f>Sculpt!BF$11</f>
        <v>47.0</v>
      </c>
      <c r="BG10" s="508">
        <f>Sculpt!BG$11</f>
        <v>48.0</v>
      </c>
      <c r="BH10" s="508">
        <f>Sculpt!BH$11</f>
        <v>49.0</v>
      </c>
      <c r="BI10" s="508">
        <f>Sculpt!BI$11</f>
        <v>50.0</v>
      </c>
      <c r="BJ10" s="508">
        <f>Sculpt!BJ$11</f>
        <v>51.0</v>
      </c>
      <c r="BK10" s="508">
        <f>Sculpt!BK$11</f>
        <v>52.0</v>
      </c>
      <c r="BL10" s="508">
        <f>Sculpt!BL$11</f>
        <v>53.0</v>
      </c>
      <c r="BM10" s="508">
        <f>Sculpt!BM$11</f>
        <v>54.0</v>
      </c>
      <c r="BN10" s="508">
        <f>Sculpt!BN$11</f>
        <v>55.0</v>
      </c>
      <c r="BO10" s="508">
        <f>Sculpt!BO$11</f>
        <v>56.0</v>
      </c>
      <c r="BP10" s="508">
        <f>Sculpt!BP$11</f>
        <v>57.0</v>
      </c>
      <c r="BQ10" s="508">
        <f>Sculpt!BQ$11</f>
        <v>58.0</v>
      </c>
      <c r="BR10" s="508">
        <f>Sculpt!BR$11</f>
        <v>59.0</v>
      </c>
      <c r="BS10" s="508">
        <f>Sculpt!BS$11</f>
        <v>60.0</v>
      </c>
      <c r="BT10" s="508">
        <f>Sculpt!BT$11</f>
        <v>61.0</v>
      </c>
      <c r="BU10" s="508">
        <f>Sculpt!BU$11</f>
        <v>62.0</v>
      </c>
      <c r="BV10" s="508">
        <f>Sculpt!BV$11</f>
        <v>63.0</v>
      </c>
      <c r="BW10" s="508">
        <f>Sculpt!BW$11</f>
        <v>64.0</v>
      </c>
      <c r="BX10" s="508">
        <f>Sculpt!BX$11</f>
        <v>65.0</v>
      </c>
      <c r="BY10" s="508">
        <f>Sculpt!BY$11</f>
        <v>66.0</v>
      </c>
      <c r="BZ10" s="508">
        <f>Sculpt!BZ$11</f>
        <v>67.0</v>
      </c>
      <c r="CA10" s="508">
        <f>Sculpt!CA$11</f>
        <v>68.0</v>
      </c>
      <c r="CB10" s="508">
        <f>Sculpt!CB$11</f>
        <v>69.0</v>
      </c>
      <c r="CC10" s="508">
        <f>Sculpt!CC$11</f>
        <v>70.0</v>
      </c>
      <c r="CD10" s="508">
        <f>Sculpt!CD$11</f>
        <v>71.0</v>
      </c>
      <c r="CE10" s="508">
        <f>Sculpt!CE$11</f>
        <v>72.0</v>
      </c>
      <c r="CF10" s="508">
        <f>Sculpt!CF$11</f>
        <v>73.0</v>
      </c>
      <c r="CG10" s="508">
        <f>Sculpt!CG$11</f>
        <v>74.0</v>
      </c>
      <c r="CH10" s="508">
        <f>Sculpt!CH$11</f>
        <v>75.0</v>
      </c>
      <c r="CI10" s="508">
        <f>Sculpt!CI$11</f>
        <v>76.0</v>
      </c>
      <c r="CJ10" s="508">
        <f>Sculpt!CJ$11</f>
        <v>77.0</v>
      </c>
      <c r="CK10" s="508">
        <f>Sculpt!CK$11</f>
        <v>78.0</v>
      </c>
      <c r="CL10" s="508">
        <f>Sculpt!CL$11</f>
        <v>79.0</v>
      </c>
      <c r="CM10" s="508">
        <f>Sculpt!CM$11</f>
        <v>80.0</v>
      </c>
      <c r="CN10" s="508">
        <f>Sculpt!CN$11</f>
        <v>80.0</v>
      </c>
      <c r="CO10" s="508">
        <f>Sculpt!CO$11</f>
        <v>80.0</v>
      </c>
    </row>
    <row r="11">
      <c r="E11" s="324" t="inlineStr">
        <is>
          <t>Senior debt service</t>
        </is>
      </c>
      <c r="F11" s="498" t="n"/>
      <c r="G11" s="324" t="inlineStr">
        <is>
          <t>$ 000s</t>
        </is>
      </c>
      <c r="H11" s="498">
        <f>SUM(J11:CO11)</f>
        <v>101237.57977661488</v>
      </c>
      <c r="I11" s="498" t="n"/>
      <c r="J11" s="498">
        <f>FinStat!J$94</f>
        <v>0.0</v>
      </c>
      <c r="K11" s="498">
        <f>FinStat!K$94</f>
        <v>0.0</v>
      </c>
      <c r="L11" s="498">
        <f>FinStat!L$94</f>
        <v>2229.3950452350464</v>
      </c>
      <c r="M11" s="498">
        <f>FinStat!M$94</f>
        <v>2317.061759939298</v>
      </c>
      <c r="N11" s="498">
        <f>FinStat!N$94</f>
        <v>2368.8461141098514</v>
      </c>
      <c r="O11" s="498">
        <f>FinStat!O$94</f>
        <v>2289.505020256596</v>
      </c>
      <c r="P11" s="498">
        <f>FinStat!P$94</f>
        <v>2346.4642410845463</v>
      </c>
      <c r="Q11" s="498">
        <f>FinStat!Q$94</f>
        <v>2273.298177895398</v>
      </c>
      <c r="R11" s="498">
        <f>FinStat!R$94</f>
        <v>2343.389916981881</v>
      </c>
      <c r="S11" s="498">
        <f>FinStat!S$94</f>
        <v>1374.289282788186</v>
      </c>
      <c r="T11" s="498">
        <f>FinStat!T$94</f>
        <v>2404.9974513780153</v>
      </c>
      <c r="U11" s="498">
        <f>FinStat!U$94</f>
        <v>2360.818836743534</v>
      </c>
      <c r="V11" s="498">
        <f>FinStat!V$94</f>
        <v>2439.4914506024197</v>
      </c>
      <c r="W11" s="498">
        <f>FinStat!W$94</f>
        <v>1911.4205077998893</v>
      </c>
      <c r="X11" s="498">
        <f>FinStat!X$94</f>
        <v>2433.56443216026</v>
      </c>
      <c r="Y11" s="498">
        <f>FinStat!Y$94</f>
        <v>2356.683327510545</v>
      </c>
      <c r="Z11" s="498">
        <f>FinStat!Z$94</f>
        <v>2434.7116194909804</v>
      </c>
      <c r="AA11" s="498">
        <f>FinStat!AA$94</f>
        <v>1681.139094523613</v>
      </c>
      <c r="AB11" s="498">
        <f>FinStat!AB$94</f>
        <v>2434.3360519352655</v>
      </c>
      <c r="AC11" s="498">
        <f>FinStat!AC$94</f>
        <v>2358.760279805552</v>
      </c>
      <c r="AD11" s="498">
        <f>FinStat!AD$94</f>
        <v>2571.4587181279203</v>
      </c>
      <c r="AE11" s="498">
        <f>FinStat!AE$94</f>
        <v>2116.485907937666</v>
      </c>
      <c r="AF11" s="498">
        <f>FinStat!AF$94</f>
        <v>2651.810419174285</v>
      </c>
      <c r="AG11" s="498">
        <f>FinStat!AG$94</f>
        <v>2578.8222781863074</v>
      </c>
      <c r="AH11" s="498">
        <f>FinStat!AH$94</f>
        <v>2672.194530467715</v>
      </c>
      <c r="AI11" s="498">
        <f>FinStat!AI$94</f>
        <v>2361.976298269234</v>
      </c>
      <c r="AJ11" s="498">
        <f>FinStat!AJ$94</f>
        <v>2680.91937419629</v>
      </c>
      <c r="AK11" s="498">
        <f>FinStat!AK$94</f>
        <v>2600.5228811740435</v>
      </c>
      <c r="AL11" s="498">
        <f>FinStat!AL$94</f>
        <v>2703.2507488549554</v>
      </c>
      <c r="AM11" s="498">
        <f>FinStat!AM$94</f>
        <v>2300.941570554902</v>
      </c>
      <c r="AN11" s="498">
        <f>FinStat!AN$94</f>
        <v>2935.6848153074325</v>
      </c>
      <c r="AO11" s="498">
        <f>FinStat!AO$94</f>
        <v>2864.9453545648053</v>
      </c>
      <c r="AP11" s="498">
        <f>FinStat!AP$94</f>
        <v>2972.9576647921504</v>
      </c>
      <c r="AQ11" s="498">
        <f>FinStat!AQ$94</f>
        <v>2437.447361158525</v>
      </c>
      <c r="AR11" s="498">
        <f>FinStat!AR$94</f>
        <v>2990.0888483793524</v>
      </c>
      <c r="AS11" s="498">
        <f>FinStat!AS$94</f>
        <v>2918.9105293838093</v>
      </c>
      <c r="AT11" s="498">
        <f>FinStat!AT$94</f>
        <v>3031.7623682088692</v>
      </c>
      <c r="AU11" s="498">
        <f>FinStat!AU$94</f>
        <v>2939.4837345703613</v>
      </c>
      <c r="AV11" s="498">
        <f>FinStat!AV$94</f>
        <v>3045.503263223409</v>
      </c>
      <c r="AW11" s="498">
        <f>FinStat!AW$94</f>
        <v>2973.9040071883633</v>
      </c>
      <c r="AX11" s="498">
        <f>FinStat!AX$94</f>
        <v>3261.5067372911362</v>
      </c>
      <c r="AY11" s="498">
        <f>FinStat!AY$94</f>
        <v>3268.829755362464</v>
      </c>
      <c r="AZ11" s="498">
        <f>FinStat!AZ$94</f>
        <v>1.4943503224962513e-13</v>
      </c>
      <c r="BA11" s="498">
        <f>FinStat!BA$94</f>
        <v>1.4943503224962523e-13</v>
      </c>
      <c r="BB11" s="498">
        <f>FinStat!BB$94</f>
        <v>1.5107717546115964e-13</v>
      </c>
      <c r="BC11" s="498">
        <f>FinStat!BC$94</f>
        <v>1.5107717546115954e-13</v>
      </c>
      <c r="BD11" s="498">
        <f>FinStat!BD$94</f>
        <v>1.4779288903809092e-13</v>
      </c>
      <c r="BE11" s="498">
        <f>FinStat!BE$94</f>
        <v>1.4943503224962513e-13</v>
      </c>
      <c r="BF11" s="498">
        <f>FinStat!BF$94</f>
        <v>1.5107717546115923e-13</v>
      </c>
      <c r="BG11" s="498">
        <f>FinStat!BG$94</f>
        <v>1.5107717546115923e-13</v>
      </c>
      <c r="BH11" s="498">
        <f>FinStat!BH$94</f>
        <v>1.4779288903809042e-13</v>
      </c>
      <c r="BI11" s="498">
        <f>FinStat!BI$94</f>
        <v>1.4943503224962493e-13</v>
      </c>
      <c r="BJ11" s="498">
        <f>FinStat!BJ$94</f>
        <v>1.5107717546115903e-13</v>
      </c>
      <c r="BK11" s="498">
        <f>FinStat!BK$94</f>
        <v>1.5107717546115923e-13</v>
      </c>
      <c r="BL11" s="498">
        <f>FinStat!BL$94</f>
        <v>1.4779288903809062e-13</v>
      </c>
      <c r="BM11" s="498">
        <f>FinStat!BM$94</f>
        <v>1.4943503224962513e-13</v>
      </c>
      <c r="BN11" s="498">
        <f>FinStat!BN$94</f>
        <v>1.5107717546115903e-13</v>
      </c>
      <c r="BO11" s="498">
        <f>FinStat!BO$94</f>
        <v>1.5107717546115903e-13</v>
      </c>
      <c r="BP11" s="498">
        <f>FinStat!BP$94</f>
        <v>1.4943503224962472e-13</v>
      </c>
      <c r="BQ11" s="498">
        <f>FinStat!BQ$94</f>
        <v>1.4943503224962472e-13</v>
      </c>
      <c r="BR11" s="498">
        <f>FinStat!BR$94</f>
        <v>1.5107717546115903e-13</v>
      </c>
      <c r="BS11" s="498">
        <f>FinStat!BS$94</f>
        <v>1.5107717546115923e-13</v>
      </c>
      <c r="BT11" s="498">
        <f>FinStat!BT$94</f>
        <v>1.4779288903809042e-13</v>
      </c>
      <c r="BU11" s="498">
        <f>FinStat!BU$94</f>
        <v>1.4943503224962493e-13</v>
      </c>
      <c r="BV11" s="498">
        <f>FinStat!BV$94</f>
        <v>1.5107717546115903e-13</v>
      </c>
      <c r="BW11" s="498">
        <f>FinStat!BW$94</f>
        <v>1.5107717546115903e-13</v>
      </c>
      <c r="BX11" s="498">
        <f>FinStat!BX$94</f>
        <v>1.4779288903809042e-13</v>
      </c>
      <c r="BY11" s="498">
        <f>FinStat!BY$94</f>
        <v>1.4943503224962493e-13</v>
      </c>
      <c r="BZ11" s="498">
        <f>FinStat!BZ$94</f>
        <v>1.5107717546115923e-13</v>
      </c>
      <c r="CA11" s="498">
        <f>FinStat!CA$94</f>
        <v>1.5107717546115883e-13</v>
      </c>
      <c r="CB11" s="498">
        <f>FinStat!CB$94</f>
        <v>1.4779288903809042e-13</v>
      </c>
      <c r="CC11" s="498">
        <f>FinStat!CC$94</f>
        <v>1.4943503224962472e-13</v>
      </c>
      <c r="CD11" s="498">
        <f>FinStat!CD$94</f>
        <v>1.5107717546115903e-13</v>
      </c>
      <c r="CE11" s="498">
        <f>FinStat!CE$94</f>
        <v>1.5107717546115903e-13</v>
      </c>
      <c r="CF11" s="498">
        <f>FinStat!CF$94</f>
        <v>1.4943503224962432e-13</v>
      </c>
      <c r="CG11" s="498">
        <f>FinStat!CG$94</f>
        <v>1.4943503224962452e-13</v>
      </c>
      <c r="CH11" s="498">
        <f>FinStat!CH$94</f>
        <v>1.5107717546115903e-13</v>
      </c>
      <c r="CI11" s="498">
        <f>FinStat!CI$94</f>
        <v>1.5107717546115883e-13</v>
      </c>
      <c r="CJ11" s="498">
        <f>FinStat!CJ$94</f>
        <v>1.4779288903809042e-13</v>
      </c>
      <c r="CK11" s="498">
        <f>FinStat!CK$94</f>
        <v>1.4943503224962452e-13</v>
      </c>
      <c r="CL11" s="498">
        <f>FinStat!CL$94</f>
        <v>1.5107717546115903e-13</v>
      </c>
      <c r="CM11" s="498">
        <f>FinStat!CM$94</f>
        <v>1.5107717546115903e-13</v>
      </c>
      <c r="CN11" s="498">
        <f>FinStat!CN$94</f>
        <v>1.477928890380898e-13</v>
      </c>
      <c r="CO11" s="498">
        <f>FinStat!CO$94</f>
        <v>1.4943503224962432e-13</v>
      </c>
    </row>
    <row r="12">
      <c r="A12" s="358" t="n"/>
      <c r="B12" s="358" t="n"/>
      <c r="C12" s="359" t="n"/>
      <c r="D12" s="360" t="n"/>
      <c r="E12" s="390" t="inlineStr">
        <is>
          <t>DSRA target (next periods of debt service)</t>
        </is>
      </c>
      <c r="F12" s="504" t="n"/>
      <c r="G12" s="390" t="inlineStr">
        <is>
          <t>$ 000s</t>
        </is>
      </c>
      <c r="H12" s="504" t="n"/>
      <c r="I12" s="484" t="n"/>
      <c r="J12" s="504">
        <f>SUMIFS($J11:$CO11,$J10:$CO10,"&gt;"&amp;J10,$J10:$CO10,"&lt;="&amp;J10+$F$9)*(1-Time!J$58+Time!J$45)</f>
        <v>0.0</v>
      </c>
      <c r="K12" s="504">
        <f>SUMIFS($J11:$CO11,$J10:$CO10,"&gt;"&amp;K10,$J10:$CO10,"&lt;="&amp;K10+$F$9)*(1-Time!K$58+Time!K$45)</f>
        <v>4546.4568051743445</v>
      </c>
      <c r="L12" s="504">
        <f>SUMIFS($J11:$CO11,$J10:$CO10,"&gt;"&amp;L10,$J10:$CO10,"&lt;="&amp;L10+$F$9)*(1-Time!L$58+Time!L$45)</f>
        <v>4685.9078740491495</v>
      </c>
      <c r="M12" s="504">
        <f>SUMIFS($J11:$CO11,$J10:$CO10,"&gt;"&amp;M10,$J10:$CO10,"&lt;="&amp;M10+$F$9)*(1-Time!M$58+Time!M$45)</f>
        <v>4658.351134366447</v>
      </c>
      <c r="N12" s="504">
        <f>SUMIFS($J11:$CO11,$J10:$CO10,"&gt;"&amp;N10,$J10:$CO10,"&lt;="&amp;N10+$F$9)*(1-Time!N$58+Time!N$45)</f>
        <v>4635.969261341143</v>
      </c>
      <c r="O12" s="504">
        <f>SUMIFS($J11:$CO11,$J10:$CO10,"&gt;"&amp;O10,$J10:$CO10,"&lt;="&amp;O10+$F$9)*(1-Time!O$58+Time!O$45)</f>
        <v>4619.762418979944</v>
      </c>
      <c r="P12" s="504">
        <f>SUMIFS($J11:$CO11,$J10:$CO10,"&gt;"&amp;P10,$J10:$CO10,"&lt;="&amp;P10+$F$9)*(1-Time!P$58+Time!P$45)</f>
        <v>4616.68809487728</v>
      </c>
      <c r="Q12" s="504">
        <f>SUMIFS($J11:$CO11,$J10:$CO10,"&gt;"&amp;Q10,$J10:$CO10,"&lt;="&amp;Q10+$F$9)*(1-Time!Q$58+Time!Q$45)</f>
        <v>3717.679199770067</v>
      </c>
      <c r="R12" s="504">
        <f>SUMIFS($J11:$CO11,$J10:$CO10,"&gt;"&amp;R10,$J10:$CO10,"&lt;="&amp;R10+$F$9)*(1-Time!R$58+Time!R$45)</f>
        <v>3779.2867341662013</v>
      </c>
      <c r="S12" s="504">
        <f>SUMIFS($J11:$CO11,$J10:$CO10,"&gt;"&amp;S10,$J10:$CO10,"&lt;="&amp;S10+$F$9)*(1-Time!S$58+Time!S$45)</f>
        <v>4765.816288121549</v>
      </c>
      <c r="T12" s="504">
        <f>SUMIFS($J11:$CO11,$J10:$CO10,"&gt;"&amp;T10,$J10:$CO10,"&lt;="&amp;T10+$F$9)*(1-Time!T$58+Time!T$45)</f>
        <v>4800.310287345954</v>
      </c>
      <c r="U12" s="504">
        <f>SUMIFS($J11:$CO11,$J10:$CO10,"&gt;"&amp;U10,$J10:$CO10,"&lt;="&amp;U10+$F$9)*(1-Time!U$58+Time!U$45)</f>
        <v>4350.911958402309</v>
      </c>
      <c r="V12" s="504">
        <f>SUMIFS($J11:$CO11,$J10:$CO10,"&gt;"&amp;V10,$J10:$CO10,"&lt;="&amp;V10+$F$9)*(1-Time!V$58+Time!V$45)</f>
        <v>4344.984939960149</v>
      </c>
      <c r="W12" s="504">
        <f>SUMIFS($J11:$CO11,$J10:$CO10,"&gt;"&amp;W10,$J10:$CO10,"&lt;="&amp;W10+$F$9)*(1-Time!W$58+Time!W$45)</f>
        <v>4790.247759670805</v>
      </c>
      <c r="X12" s="504">
        <f>SUMIFS($J11:$CO11,$J10:$CO10,"&gt;"&amp;X10,$J10:$CO10,"&lt;="&amp;X10+$F$9)*(1-Time!X$58+Time!X$45)</f>
        <v>4791.394947001525</v>
      </c>
      <c r="Y12" s="504">
        <f>SUMIFS($J11:$CO11,$J10:$CO10,"&gt;"&amp;Y10,$J10:$CO10,"&lt;="&amp;Y10+$F$9)*(1-Time!Y$58+Time!Y$45)</f>
        <v>4115.850714014594</v>
      </c>
      <c r="Z12" s="504">
        <f>SUMIFS($J11:$CO11,$J10:$CO10,"&gt;"&amp;Z10,$J10:$CO10,"&lt;="&amp;Z10+$F$9)*(1-Time!Z$58+Time!Z$45)</f>
        <v>4115.475146458879</v>
      </c>
      <c r="AA12" s="504">
        <f>SUMIFS($J11:$CO11,$J10:$CO10,"&gt;"&amp;AA10,$J10:$CO10,"&lt;="&amp;AA10+$F$9)*(1-Time!AA$58+Time!AA$45)</f>
        <v>4793.096331740817</v>
      </c>
      <c r="AB12" s="504">
        <f>SUMIFS($J11:$CO11,$J10:$CO10,"&gt;"&amp;AB10,$J10:$CO10,"&lt;="&amp;AB10+$F$9)*(1-Time!AB$58+Time!AB$45)</f>
        <v>4930.218997933473</v>
      </c>
      <c r="AC12" s="504">
        <f>SUMIFS($J11:$CO11,$J10:$CO10,"&gt;"&amp;AC10,$J10:$CO10,"&lt;="&amp;AC10+$F$9)*(1-Time!AC$58+Time!AC$45)</f>
        <v>4687.944626065586</v>
      </c>
      <c r="AD12" s="504">
        <f>SUMIFS($J11:$CO11,$J10:$CO10,"&gt;"&amp;AD10,$J10:$CO10,"&lt;="&amp;AD10+$F$9)*(1-Time!AD$58+Time!AD$45)</f>
        <v>4768.2963271119515</v>
      </c>
      <c r="AE12" s="504">
        <f>SUMIFS($J11:$CO11,$J10:$CO10,"&gt;"&amp;AE10,$J10:$CO10,"&lt;="&amp;AE10+$F$9)*(1-Time!AE$58+Time!AE$45)</f>
        <v>5230.632697360592</v>
      </c>
      <c r="AF12" s="504">
        <f>SUMIFS($J11:$CO11,$J10:$CO10,"&gt;"&amp;AF10,$J10:$CO10,"&lt;="&amp;AF10+$F$9)*(1-Time!AF$58+Time!AF$45)</f>
        <v>5251.0168086540225</v>
      </c>
      <c r="AG12" s="504">
        <f>SUMIFS($J11:$CO11,$J10:$CO10,"&gt;"&amp;AG10,$J10:$CO10,"&lt;="&amp;AG10+$F$9)*(1-Time!AG$58+Time!AG$45)</f>
        <v>5034.170828736949</v>
      </c>
      <c r="AH12" s="504">
        <f>SUMIFS($J11:$CO11,$J10:$CO10,"&gt;"&amp;AH10,$J10:$CO10,"&lt;="&amp;AH10+$F$9)*(1-Time!AH$58+Time!AH$45)</f>
        <v>5042.895672465524</v>
      </c>
      <c r="AI12" s="504">
        <f>SUMIFS($J11:$CO11,$J10:$CO10,"&gt;"&amp;AI10,$J10:$CO10,"&lt;="&amp;AI10+$F$9)*(1-Time!AI$58+Time!AI$45)</f>
        <v>5281.442255370333</v>
      </c>
      <c r="AJ12" s="504">
        <f>SUMIFS($J11:$CO11,$J10:$CO10,"&gt;"&amp;AJ10,$J10:$CO10,"&lt;="&amp;AJ10+$F$9)*(1-Time!AJ$58+Time!AJ$45)</f>
        <v>5303.773630028999</v>
      </c>
      <c r="AK12" s="504">
        <f>SUMIFS($J11:$CO11,$J10:$CO10,"&gt;"&amp;AK10,$J10:$CO10,"&lt;="&amp;AK10+$F$9)*(1-Time!AK$58+Time!AK$45)</f>
        <v>5004.192319409857</v>
      </c>
      <c r="AL12" s="504">
        <f>SUMIFS($J11:$CO11,$J10:$CO10,"&gt;"&amp;AL10,$J10:$CO10,"&lt;="&amp;AL10+$F$9)*(1-Time!AL$58+Time!AL$45)</f>
        <v>5236.626385862334</v>
      </c>
      <c r="AM12" s="504">
        <f>SUMIFS($J11:$CO11,$J10:$CO10,"&gt;"&amp;AM10,$J10:$CO10,"&lt;="&amp;AM10+$F$9)*(1-Time!AM$58+Time!AM$45)</f>
        <v>5800.630169872238</v>
      </c>
      <c r="AN12" s="504">
        <f>SUMIFS($J11:$CO11,$J10:$CO10,"&gt;"&amp;AN10,$J10:$CO10,"&lt;="&amp;AN10+$F$9)*(1-Time!AN$58+Time!AN$45)</f>
        <v>5837.903019356956</v>
      </c>
      <c r="AO12" s="504">
        <f>SUMIFS($J11:$CO11,$J10:$CO10,"&gt;"&amp;AO10,$J10:$CO10,"&lt;="&amp;AO10+$F$9)*(1-Time!AO$58+Time!AO$45)</f>
        <v>5410.405025950675</v>
      </c>
      <c r="AP12" s="504">
        <f>SUMIFS($J11:$CO11,$J10:$CO10,"&gt;"&amp;AP10,$J10:$CO10,"&lt;="&amp;AP10+$F$9)*(1-Time!AP$58+Time!AP$45)</f>
        <v>5427.536209537877</v>
      </c>
      <c r="AQ12" s="504">
        <f>SUMIFS($J11:$CO11,$J10:$CO10,"&gt;"&amp;AQ10,$J10:$CO10,"&lt;="&amp;AQ10+$F$9)*(1-Time!AQ$58+Time!AQ$45)</f>
        <v>5908.999377763162</v>
      </c>
      <c r="AR12" s="504">
        <f>SUMIFS($J11:$CO11,$J10:$CO10,"&gt;"&amp;AR10,$J10:$CO10,"&lt;="&amp;AR10+$F$9)*(1-Time!AR$58+Time!AR$45)</f>
        <v>5950.672897592678</v>
      </c>
      <c r="AS12" s="504">
        <f>SUMIFS($J11:$CO11,$J10:$CO10,"&gt;"&amp;AS10,$J10:$CO10,"&lt;="&amp;AS10+$F$9)*(1-Time!AS$58+Time!AS$45)</f>
        <v>5971.246102779231</v>
      </c>
      <c r="AT12" s="504">
        <f>SUMIFS($J11:$CO11,$J10:$CO10,"&gt;"&amp;AT10,$J10:$CO10,"&lt;="&amp;AT10+$F$9)*(1-Time!AT$58+Time!AT$45)</f>
        <v>5984.986997793771</v>
      </c>
      <c r="AU12" s="504">
        <f>SUMIFS($J11:$CO11,$J10:$CO10,"&gt;"&amp;AU10,$J10:$CO10,"&lt;="&amp;AU10+$F$9)*(1-Time!AU$58+Time!AU$45)</f>
        <v>6019.407270411772</v>
      </c>
      <c r="AV12" s="504">
        <f>SUMIFS($J11:$CO11,$J10:$CO10,"&gt;"&amp;AV10,$J10:$CO10,"&lt;="&amp;AV10+$F$9)*(1-Time!AV$58+Time!AV$45)</f>
        <v>6235.410744479499</v>
      </c>
      <c r="AW12" s="504">
        <f>SUMIFS($J11:$CO11,$J10:$CO10,"&gt;"&amp;AW10,$J10:$CO10,"&lt;="&amp;AW10+$F$9)*(1-Time!AW$58+Time!AW$45)</f>
        <v>6530.3364926536</v>
      </c>
      <c r="AX12" s="504">
        <f>SUMIFS($J11:$CO11,$J10:$CO10,"&gt;"&amp;AX10,$J10:$CO10,"&lt;="&amp;AX10+$F$9)*(1-Time!AX$58+Time!AX$45)</f>
        <v>3268.829755362464</v>
      </c>
      <c r="AY12" s="504">
        <f>SUMIFS($J11:$CO11,$J10:$CO10,"&gt;"&amp;AY10,$J10:$CO10,"&lt;="&amp;AY10+$F$9)*(1-Time!AY$58+Time!AY$45)</f>
        <v>2.9887006449925036e-13</v>
      </c>
      <c r="AZ12" s="504">
        <f>SUMIFS($J11:$CO11,$J10:$CO10,"&gt;"&amp;AZ10,$J10:$CO10,"&lt;="&amp;AZ10+$F$9)*(1-Time!AZ$58+Time!AZ$45)</f>
        <v>3.0051220771078487e-13</v>
      </c>
      <c r="BA12" s="504">
        <f>SUMIFS($J11:$CO11,$J10:$CO10,"&gt;"&amp;BA10,$J10:$CO10,"&lt;="&amp;BA10+$F$9)*(1-Time!BA$58+Time!BA$45)</f>
        <v>3.0215435092231917e-13</v>
      </c>
      <c r="BB12" s="504">
        <f>SUMIFS($J11:$CO11,$J10:$CO10,"&gt;"&amp;BB10,$J10:$CO10,"&lt;="&amp;BB10+$F$9)*(1-Time!BB$58+Time!BB$45)</f>
        <v>2.9887006449925046e-13</v>
      </c>
      <c r="BC12" s="504">
        <f>SUMIFS($J11:$CO11,$J10:$CO10,"&gt;"&amp;BC10,$J10:$CO10,"&lt;="&amp;BC10+$F$9)*(1-Time!BC$58+Time!BC$45)</f>
        <v>2.9722792128771605e-13</v>
      </c>
      <c r="BD12" s="504">
        <f>SUMIFS($J11:$CO11,$J10:$CO10,"&gt;"&amp;BD10,$J10:$CO10,"&lt;="&amp;BD10+$F$9)*(1-Time!BD$58+Time!BD$45)</f>
        <v>3.0051220771078436e-13</v>
      </c>
      <c r="BE12" s="504">
        <f>SUMIFS($J11:$CO11,$J10:$CO10,"&gt;"&amp;BE10,$J10:$CO10,"&lt;="&amp;BE10+$F$9)*(1-Time!BE$58+Time!BE$45)</f>
        <v>3.0215435092231847e-13</v>
      </c>
      <c r="BF12" s="504">
        <f>SUMIFS($J11:$CO11,$J10:$CO10,"&gt;"&amp;BF10,$J10:$CO10,"&lt;="&amp;BF10+$F$9)*(1-Time!BF$58+Time!BF$45)</f>
        <v>2.9887006449924965e-13</v>
      </c>
      <c r="BG12" s="504">
        <f>SUMIFS($J11:$CO11,$J10:$CO10,"&gt;"&amp;BG10,$J10:$CO10,"&lt;="&amp;BG10+$F$9)*(1-Time!BG$58+Time!BG$45)</f>
        <v>2.9722792128771534e-13</v>
      </c>
      <c r="BH12" s="504">
        <f>SUMIFS($J11:$CO11,$J10:$CO10,"&gt;"&amp;BH10,$J10:$CO10,"&lt;="&amp;BH10+$F$9)*(1-Time!BH$58+Time!BH$45)</f>
        <v>3.0051220771078396e-13</v>
      </c>
      <c r="BI12" s="504">
        <f>SUMIFS($J11:$CO11,$J10:$CO10,"&gt;"&amp;BI10,$J10:$CO10,"&lt;="&amp;BI10+$F$9)*(1-Time!BI$58+Time!BI$45)</f>
        <v>3.0215435092231826e-13</v>
      </c>
      <c r="BJ12" s="504">
        <f>SUMIFS($J11:$CO11,$J10:$CO10,"&gt;"&amp;BJ10,$J10:$CO10,"&lt;="&amp;BJ10+$F$9)*(1-Time!BJ$58+Time!BJ$45)</f>
        <v>2.9887006449924985e-13</v>
      </c>
      <c r="BK12" s="504">
        <f>SUMIFS($J11:$CO11,$J10:$CO10,"&gt;"&amp;BK10,$J10:$CO10,"&lt;="&amp;BK10+$F$9)*(1-Time!BK$58+Time!BK$45)</f>
        <v>2.9722792128771575e-13</v>
      </c>
      <c r="BL12" s="504">
        <f>SUMIFS($J11:$CO11,$J10:$CO10,"&gt;"&amp;BL10,$J10:$CO10,"&lt;="&amp;BL10+$F$9)*(1-Time!BL$58+Time!BL$45)</f>
        <v>3.0051220771078416e-13</v>
      </c>
      <c r="BM12" s="504">
        <f>SUMIFS($J11:$CO11,$J10:$CO10,"&gt;"&amp;BM10,$J10:$CO10,"&lt;="&amp;BM10+$F$9)*(1-Time!BM$58+Time!BM$45)</f>
        <v>3.0215435092231806e-13</v>
      </c>
      <c r="BN12" s="504">
        <f>SUMIFS($J11:$CO11,$J10:$CO10,"&gt;"&amp;BN10,$J10:$CO10,"&lt;="&amp;BN10+$F$9)*(1-Time!BN$58+Time!BN$45)</f>
        <v>3.0051220771078376e-13</v>
      </c>
      <c r="BO12" s="504">
        <f>SUMIFS($J11:$CO11,$J10:$CO10,"&gt;"&amp;BO10,$J10:$CO10,"&lt;="&amp;BO10+$F$9)*(1-Time!BO$58+Time!BO$45)</f>
        <v>2.9887006449924945e-13</v>
      </c>
      <c r="BP12" s="504">
        <f>SUMIFS($J11:$CO11,$J10:$CO10,"&gt;"&amp;BP10,$J10:$CO10,"&lt;="&amp;BP10+$F$9)*(1-Time!BP$58+Time!BP$45)</f>
        <v>3.0051220771078376e-13</v>
      </c>
      <c r="BQ12" s="504">
        <f>SUMIFS($J11:$CO11,$J10:$CO10,"&gt;"&amp;BQ10,$J10:$CO10,"&lt;="&amp;BQ10+$F$9)*(1-Time!BQ$58+Time!BQ$45)</f>
        <v>3.0215435092231826e-13</v>
      </c>
      <c r="BR12" s="504">
        <f>SUMIFS($J11:$CO11,$J10:$CO10,"&gt;"&amp;BR10,$J10:$CO10,"&lt;="&amp;BR10+$F$9)*(1-Time!BR$58+Time!BR$45)</f>
        <v>2.9887006449924965e-13</v>
      </c>
      <c r="BS12" s="504">
        <f>SUMIFS($J11:$CO11,$J10:$CO10,"&gt;"&amp;BS10,$J10:$CO10,"&lt;="&amp;BS10+$F$9)*(1-Time!BS$58+Time!BS$45)</f>
        <v>2.9722792128771534e-13</v>
      </c>
      <c r="BT12" s="504">
        <f>SUMIFS($J11:$CO11,$J10:$CO10,"&gt;"&amp;BT10,$J10:$CO10,"&lt;="&amp;BT10+$F$9)*(1-Time!BT$58+Time!BT$45)</f>
        <v>3.0051220771078396e-13</v>
      </c>
      <c r="BU12" s="504">
        <f>SUMIFS($J11:$CO11,$J10:$CO10,"&gt;"&amp;BU10,$J10:$CO10,"&lt;="&amp;BU10+$F$9)*(1-Time!BU$58+Time!BU$45)</f>
        <v>3.0215435092231806e-13</v>
      </c>
      <c r="BV12" s="504">
        <f>SUMIFS($J11:$CO11,$J10:$CO10,"&gt;"&amp;BV10,$J10:$CO10,"&lt;="&amp;BV10+$F$9)*(1-Time!BV$58+Time!BV$45)</f>
        <v>2.9887006449924945e-13</v>
      </c>
      <c r="BW12" s="504">
        <f>SUMIFS($J11:$CO11,$J10:$CO10,"&gt;"&amp;BW10,$J10:$CO10,"&lt;="&amp;BW10+$F$9)*(1-Time!BW$58+Time!BW$45)</f>
        <v>2.9722792128771534e-13</v>
      </c>
      <c r="BX12" s="504">
        <f>SUMIFS($J11:$CO11,$J10:$CO10,"&gt;"&amp;BX10,$J10:$CO10,"&lt;="&amp;BX10+$F$9)*(1-Time!BX$58+Time!BX$45)</f>
        <v>3.0051220771078416e-13</v>
      </c>
      <c r="BY12" s="504">
        <f>SUMIFS($J11:$CO11,$J10:$CO10,"&gt;"&amp;BY10,$J10:$CO10,"&lt;="&amp;BY10+$F$9)*(1-Time!BY$58+Time!BY$45)</f>
        <v>3.0215435092231806e-13</v>
      </c>
      <c r="BZ12" s="504">
        <f>SUMIFS($J11:$CO11,$J10:$CO10,"&gt;"&amp;BZ10,$J10:$CO10,"&lt;="&amp;BZ10+$F$9)*(1-Time!BZ$58+Time!BZ$45)</f>
        <v>2.9887006449924925e-13</v>
      </c>
      <c r="CA12" s="504">
        <f>SUMIFS($J11:$CO11,$J10:$CO10,"&gt;"&amp;CA10,$J10:$CO10,"&lt;="&amp;CA10+$F$9)*(1-Time!CA$58+Time!CA$45)</f>
        <v>2.9722792128771514e-13</v>
      </c>
      <c r="CB12" s="504">
        <f>SUMIFS($J11:$CO11,$J10:$CO10,"&gt;"&amp;CB10,$J10:$CO10,"&lt;="&amp;CB10+$F$9)*(1-Time!CB$58+Time!CB$45)</f>
        <v>3.0051220771078376e-13</v>
      </c>
      <c r="CC12" s="504">
        <f>SUMIFS($J11:$CO11,$J10:$CO10,"&gt;"&amp;CC10,$J10:$CO10,"&lt;="&amp;CC10+$F$9)*(1-Time!CC$58+Time!CC$45)</f>
        <v>3.0215435092231806e-13</v>
      </c>
      <c r="CD12" s="504">
        <f>SUMIFS($J11:$CO11,$J10:$CO10,"&gt;"&amp;CD10,$J10:$CO10,"&lt;="&amp;CD10+$F$9)*(1-Time!CD$58+Time!CD$45)</f>
        <v>3.0051220771078335e-13</v>
      </c>
      <c r="CE12" s="504">
        <f>SUMIFS($J11:$CO11,$J10:$CO10,"&gt;"&amp;CE10,$J10:$CO10,"&lt;="&amp;CE10+$F$9)*(1-Time!CE$58+Time!CE$45)</f>
        <v>2.9887006449924884e-13</v>
      </c>
      <c r="CF12" s="504">
        <f>SUMIFS($J11:$CO11,$J10:$CO10,"&gt;"&amp;CF10,$J10:$CO10,"&lt;="&amp;CF10+$F$9)*(1-Time!CF$58+Time!CF$45)</f>
        <v>3.0051220771078355e-13</v>
      </c>
      <c r="CG12" s="504">
        <f>SUMIFS($J11:$CO11,$J10:$CO10,"&gt;"&amp;CG10,$J10:$CO10,"&lt;="&amp;CG10+$F$9)*(1-Time!CG$58+Time!CG$45)</f>
        <v>3.0215435092231786e-13</v>
      </c>
      <c r="CH12" s="504">
        <f>SUMIFS($J11:$CO11,$J10:$CO10,"&gt;"&amp;CH10,$J10:$CO10,"&lt;="&amp;CH10+$F$9)*(1-Time!CH$58+Time!CH$45)</f>
        <v>2.9887006449924925e-13</v>
      </c>
      <c r="CI12" s="504">
        <f>SUMIFS($J11:$CO11,$J10:$CO10,"&gt;"&amp;CI10,$J10:$CO10,"&lt;="&amp;CI10+$F$9)*(1-Time!CI$58+Time!CI$45)</f>
        <v>2.9722792128771494e-13</v>
      </c>
      <c r="CJ12" s="504">
        <f>SUMIFS($J11:$CO11,$J10:$CO10,"&gt;"&amp;CJ10,$J10:$CO10,"&lt;="&amp;CJ10+$F$9)*(1-Time!CJ$58+Time!CJ$45)</f>
        <v>3.0051220771078355e-13</v>
      </c>
      <c r="CK12" s="504">
        <f>SUMIFS($J11:$CO11,$J10:$CO10,"&gt;"&amp;CK10,$J10:$CO10,"&lt;="&amp;CK10+$F$9)*(1-Time!CK$58+Time!CK$45)</f>
        <v>5.993822722100322e-13</v>
      </c>
      <c r="CL12" s="504">
        <f>SUMIFS($J11:$CO11,$J10:$CO10,"&gt;"&amp;CL10,$J10:$CO10,"&lt;="&amp;CL10+$F$9)*(1-Time!CL$58+Time!CL$45)</f>
        <v>4.4830509674887316e-13</v>
      </c>
      <c r="CM12" s="504">
        <f>SUMIFS($J11:$CO11,$J10:$CO10,"&gt;"&amp;CM10,$J10:$CO10,"&lt;="&amp;CM10+$F$9)*(1-Time!CM$58+Time!CM$45)</f>
        <v>0.0</v>
      </c>
      <c r="CN12" s="504">
        <f>SUMIFS($J11:$CO11,$J10:$CO10,"&gt;"&amp;CN10,$J10:$CO10,"&lt;="&amp;CN10+$F$9)*(1-Time!CN$58+Time!CN$45)</f>
        <v>0.0</v>
      </c>
      <c r="CO12" s="504">
        <f>SUMIFS($J11:$CO11,$J10:$CO10,"&gt;"&amp;CO10,$J10:$CO10,"&lt;="&amp;CO10+$F$9)*(1-Time!CO$58+Time!CO$45)</f>
        <v>0.0</v>
      </c>
    </row>
    <row r="13">
      <c r="E13" s="324" t="inlineStr">
        <is>
          <t>Cash flow after senior debt service</t>
        </is>
      </c>
      <c r="F13" s="498" t="n"/>
      <c r="G13" s="324" t="inlineStr">
        <is>
          <t>$ 000s</t>
        </is>
      </c>
      <c r="H13" s="498" t="n"/>
      <c r="I13" s="498" t="n"/>
      <c r="J13" s="498">
        <f>FinStat!J$43</f>
        <v>0.0</v>
      </c>
      <c r="K13" s="498">
        <f>FinStat!K$43</f>
        <v>0.0</v>
      </c>
      <c r="L13" s="498">
        <f>FinStat!L$43</f>
        <v>3268.6067374328723</v>
      </c>
      <c r="M13" s="498">
        <f>FinStat!M$43</f>
        <v>3381.623500975068</v>
      </c>
      <c r="N13" s="498">
        <f>FinStat!N$43</f>
        <v>3445.9615531252</v>
      </c>
      <c r="O13" s="498">
        <f>FinStat!O$43</f>
        <v>3340.770677430701</v>
      </c>
      <c r="P13" s="498">
        <f>FinStat!P$43</f>
        <v>3395.964358164935</v>
      </c>
      <c r="Q13" s="498">
        <f>FinStat!Q$43</f>
        <v>3303.498021906081</v>
      </c>
      <c r="R13" s="498">
        <f>FinStat!R$43</f>
        <v>3390.2919712168136</v>
      </c>
      <c r="S13" s="498">
        <f>FinStat!S$43</f>
        <v>2172.632362850543</v>
      </c>
      <c r="T13" s="498">
        <f>FinStat!T$43</f>
        <v>3454.532511840581</v>
      </c>
      <c r="U13" s="498">
        <f>FinStat!U$43</f>
        <v>3392.6046038503036</v>
      </c>
      <c r="V13" s="498">
        <f>FinStat!V$43</f>
        <v>3489.128378463418</v>
      </c>
      <c r="W13" s="498">
        <f>FinStat!W$43</f>
        <v>2821.9233193366836</v>
      </c>
      <c r="X13" s="498">
        <f>FinStat!X$43</f>
        <v>3460.694868303692</v>
      </c>
      <c r="Y13" s="498">
        <f>FinStat!Y$43</f>
        <v>3361.9395794575107</v>
      </c>
      <c r="Z13" s="498">
        <f>FinStat!Z$43</f>
        <v>3456.9748776258502</v>
      </c>
      <c r="AA13" s="498">
        <f>FinStat!AA$43</f>
        <v>2507.481802791853</v>
      </c>
      <c r="AB13" s="498">
        <f>FinStat!AB$43</f>
        <v>3436.3382195683917</v>
      </c>
      <c r="AC13" s="498">
        <f>FinStat!AC$43</f>
        <v>3338.513405610857</v>
      </c>
      <c r="AD13" s="498">
        <f>FinStat!AD$43</f>
        <v>3601.1578161313346</v>
      </c>
      <c r="AE13" s="498">
        <f>FinStat!AE$43</f>
        <v>3023.788565643726</v>
      </c>
      <c r="AF13" s="498">
        <f>FinStat!AF$43</f>
        <v>3678.335128124415</v>
      </c>
      <c r="AG13" s="498">
        <f>FinStat!AG$43</f>
        <v>3581.850875718215</v>
      </c>
      <c r="AH13" s="498">
        <f>FinStat!AH$43</f>
        <v>3693.364882750922</v>
      </c>
      <c r="AI13" s="498">
        <f>FinStat!AI$43</f>
        <v>3295.8768492358336</v>
      </c>
      <c r="AJ13" s="498">
        <f>FinStat!AJ$43</f>
        <v>3682.5828627819883</v>
      </c>
      <c r="AK13" s="498">
        <f>FinStat!AK$43</f>
        <v>3572.102597520725</v>
      </c>
      <c r="AL13" s="498">
        <f>FinStat!AL$43</f>
        <v>3694.1852546809396</v>
      </c>
      <c r="AM13" s="498">
        <f>FinStat!AM$43</f>
        <v>3180.7975544719648</v>
      </c>
      <c r="AN13" s="498">
        <f>FinStat!AN$43</f>
        <v>3959.1220961626022</v>
      </c>
      <c r="AO13" s="498">
        <f>FinStat!AO$43</f>
        <v>3862.009803438327</v>
      </c>
      <c r="AP13" s="498">
        <f>FinStat!AP$43</f>
        <v>3988.2591670473785</v>
      </c>
      <c r="AQ13" s="498">
        <f>FinStat!AQ$43</f>
        <v>3306.3107507051323</v>
      </c>
      <c r="AR13" s="498">
        <f>FinStat!AR$43</f>
        <v>3981.590294058692</v>
      </c>
      <c r="AS13" s="498">
        <f>FinStat!AS$43</f>
        <v>3882.4071014087394</v>
      </c>
      <c r="AT13" s="498">
        <f>FinStat!AT$43</f>
        <v>4013.1381104572188</v>
      </c>
      <c r="AU13" s="498">
        <f>FinStat!AU$43</f>
        <v>3884.1284907356026</v>
      </c>
      <c r="AV13" s="498">
        <f>FinStat!AV$43</f>
        <v>3998.9561205373157</v>
      </c>
      <c r="AW13" s="498">
        <f>FinStat!AW$43</f>
        <v>3897.544136828045</v>
      </c>
      <c r="AX13" s="498">
        <f>FinStat!AX$43</f>
        <v>4244.960209790772</v>
      </c>
      <c r="AY13" s="498">
        <f>FinStat!AY$43</f>
        <v>4238.388198031429</v>
      </c>
      <c r="AZ13" s="498">
        <f>FinStat!AZ$43</f>
        <v>7759.8450304382095</v>
      </c>
      <c r="BA13" s="498">
        <f>FinStat!BA$43</f>
        <v>7517.18227506947</v>
      </c>
      <c r="BB13" s="498">
        <f>FinStat!BB$43</f>
        <v>7765.071855591032</v>
      </c>
      <c r="BC13" s="498">
        <f>FinStat!BC$43</f>
        <v>7521.637238564551</v>
      </c>
      <c r="BD13" s="498">
        <f>FinStat!BD$43</f>
        <v>7786.862296074629</v>
      </c>
      <c r="BE13" s="498">
        <f>FinStat!BE$43</f>
        <v>7627.988950314166</v>
      </c>
      <c r="BF13" s="498">
        <f>FinStat!BF$43</f>
        <v>7926.412925883229</v>
      </c>
      <c r="BG13" s="498">
        <f>FinStat!BG$43</f>
        <v>7703.404245475238</v>
      </c>
      <c r="BH13" s="498">
        <f>FinStat!BH$43</f>
        <v>7569.490087277265</v>
      </c>
      <c r="BI13" s="498">
        <f>FinStat!BI$43</f>
        <v>8073.785152795242</v>
      </c>
      <c r="BJ13" s="498">
        <f>FinStat!BJ$43</f>
        <v>7864.656660041153</v>
      </c>
      <c r="BK13" s="498">
        <f>FinStat!BK$43</f>
        <v>8164.350522971761</v>
      </c>
      <c r="BL13" s="498">
        <f>FinStat!BL$43</f>
        <v>7920.158988451464</v>
      </c>
      <c r="BM13" s="498">
        <f>FinStat!BM$43</f>
        <v>8283.741323993563</v>
      </c>
      <c r="BN13" s="498">
        <f>FinStat!BN$43</f>
        <v>8069.951845626139</v>
      </c>
      <c r="BO13" s="498">
        <f>FinStat!BO$43</f>
        <v>8380.168750155472</v>
      </c>
      <c r="BP13" s="498">
        <f>FinStat!BP$43</f>
        <v>8145.432186534468</v>
      </c>
      <c r="BQ13" s="498">
        <f>FinStat!BQ$43</f>
        <v>8051.368270145524</v>
      </c>
      <c r="BR13" s="498">
        <f>FinStat!BR$43</f>
        <v>8564.966728450932</v>
      </c>
      <c r="BS13" s="498">
        <f>FinStat!BS$43</f>
        <v>8326.10105657528</v>
      </c>
      <c r="BT13" s="498">
        <f>FinStat!BT$43</f>
        <v>8631.592591488294</v>
      </c>
      <c r="BU13" s="498">
        <f>FinStat!BU$43</f>
        <v>8459.408717410737</v>
      </c>
      <c r="BV13" s="498">
        <f>FinStat!BV$43</f>
        <v>8801.585533466476</v>
      </c>
      <c r="BW13" s="498">
        <f>FinStat!BW$43</f>
        <v>9017.663894454512</v>
      </c>
      <c r="BX13" s="498">
        <f>FinStat!BX$43</f>
        <v>9044.339855832266</v>
      </c>
      <c r="BY13" s="498">
        <f>FinStat!BY$43</f>
        <v>9161.799265857671</v>
      </c>
      <c r="BZ13" s="498">
        <f>FinStat!BZ$43</f>
        <v>9225.704544162636</v>
      </c>
      <c r="CA13" s="498">
        <f>FinStat!CA$43</f>
        <v>9272.462692519282</v>
      </c>
      <c r="CB13" s="498">
        <f>FinStat!CB$43</f>
        <v>9300.72548867681</v>
      </c>
      <c r="CC13" s="498">
        <f>FinStat!CC$43</f>
        <v>9422.455909144512</v>
      </c>
      <c r="CD13" s="498">
        <f>FinStat!CD$43</f>
        <v>9488.988212533062</v>
      </c>
      <c r="CE13" s="498">
        <f>FinStat!CE$43</f>
        <v>9537.823478738128</v>
      </c>
      <c r="CF13" s="498">
        <f>FinStat!CF$43</f>
        <v>9586.890103432881</v>
      </c>
      <c r="CG13" s="498">
        <f>FinStat!CG$43</f>
        <v>9674.25047865673</v>
      </c>
      <c r="CH13" s="498">
        <f>FinStat!CH$43</f>
        <v>9762.672231963468</v>
      </c>
      <c r="CI13" s="498">
        <f>FinStat!CI$43</f>
        <v>9813.521837501972</v>
      </c>
      <c r="CJ13" s="498">
        <f>FinStat!CJ$43</f>
        <v>9844.687529595085</v>
      </c>
      <c r="CK13" s="498">
        <f>FinStat!CK$43</f>
        <v>9974.953939736379</v>
      </c>
      <c r="CL13" s="498">
        <f>FinStat!CL$43</f>
        <v>10046.604537115036</v>
      </c>
      <c r="CM13" s="498">
        <f>FinStat!CM$43</f>
        <v>10709.88562449671</v>
      </c>
      <c r="CN13" s="498">
        <f>FinStat!CN$43</f>
        <v>1810.7664905536142</v>
      </c>
      <c r="CO13" s="498">
        <f>FinStat!CO$43</f>
        <v>-6.786241523111914e-13</v>
      </c>
    </row>
    <row r="14">
      <c r="E14" s="61" t="inlineStr">
        <is>
          <t>DSRA balance BEG</t>
        </is>
      </c>
      <c r="F14" s="484" t="n"/>
      <c r="G14" s="61" t="inlineStr">
        <is>
          <t>$ 000s</t>
        </is>
      </c>
      <c r="H14" s="490" t="n"/>
      <c r="I14" s="484" t="n"/>
      <c r="J14" s="490">
        <f>I18</f>
        <v>0.0</v>
      </c>
      <c r="K14" s="490">
        <f>J18</f>
        <v>0.0</v>
      </c>
      <c r="L14" s="490">
        <f>K18</f>
        <v>0.0</v>
      </c>
      <c r="M14" s="490">
        <f>L18</f>
        <v>3268.6067374328723</v>
      </c>
      <c r="N14" s="490">
        <f>M18</f>
        <v>4658.351134366447</v>
      </c>
      <c r="O14" s="490">
        <f>N18</f>
        <v>4635.969261341143</v>
      </c>
      <c r="P14" s="490">
        <f>O18</f>
        <v>4619.762418979944</v>
      </c>
      <c r="Q14" s="490">
        <f>P18</f>
        <v>4616.68809487728</v>
      </c>
      <c r="R14" s="490">
        <f>Q18</f>
        <v>3717.679199770067</v>
      </c>
      <c r="S14" s="490">
        <f>R18</f>
        <v>3779.2867341662013</v>
      </c>
      <c r="T14" s="490">
        <f>S18</f>
        <v>4765.816288121549</v>
      </c>
      <c r="U14" s="490">
        <f>T18</f>
        <v>4800.310287345954</v>
      </c>
      <c r="V14" s="490">
        <f>U18</f>
        <v>4350.911958402309</v>
      </c>
      <c r="W14" s="490">
        <f>V18</f>
        <v>4344.984939960149</v>
      </c>
      <c r="X14" s="490">
        <f>W18</f>
        <v>4790.247759670805</v>
      </c>
      <c r="Y14" s="490">
        <f>X18</f>
        <v>4791.394947001525</v>
      </c>
      <c r="Z14" s="490">
        <f>Y18</f>
        <v>4115.850714014594</v>
      </c>
      <c r="AA14" s="490">
        <f>Z18</f>
        <v>4115.475146458879</v>
      </c>
      <c r="AB14" s="490">
        <f>AA18</f>
        <v>4793.096331740817</v>
      </c>
      <c r="AC14" s="490">
        <f>AB18</f>
        <v>4930.218997933473</v>
      </c>
      <c r="AD14" s="490">
        <f>AC18</f>
        <v>4687.944626065586</v>
      </c>
      <c r="AE14" s="490">
        <f>AD18</f>
        <v>4768.2963271119515</v>
      </c>
      <c r="AF14" s="490">
        <f>AE18</f>
        <v>5230.632697360592</v>
      </c>
      <c r="AG14" s="490">
        <f>AF18</f>
        <v>5251.0168086540225</v>
      </c>
      <c r="AH14" s="490">
        <f>AG18</f>
        <v>5034.170828736949</v>
      </c>
      <c r="AI14" s="490">
        <f>AH18</f>
        <v>5042.895672465524</v>
      </c>
      <c r="AJ14" s="490">
        <f>AI18</f>
        <v>5281.442255370333</v>
      </c>
      <c r="AK14" s="490">
        <f>AJ18</f>
        <v>5303.773630028999</v>
      </c>
      <c r="AL14" s="490">
        <f>AK18</f>
        <v>5004.192319409857</v>
      </c>
      <c r="AM14" s="490">
        <f>AL18</f>
        <v>5236.626385862334</v>
      </c>
      <c r="AN14" s="490">
        <f>AM18</f>
        <v>5800.630169872238</v>
      </c>
      <c r="AO14" s="490">
        <f>AN18</f>
        <v>5837.903019356956</v>
      </c>
      <c r="AP14" s="490">
        <f>AO18</f>
        <v>5410.405025950675</v>
      </c>
      <c r="AQ14" s="490">
        <f>AP18</f>
        <v>5427.536209537877</v>
      </c>
      <c r="AR14" s="490">
        <f>AQ18</f>
        <v>5908.999377763162</v>
      </c>
      <c r="AS14" s="490">
        <f>AR18</f>
        <v>5950.672897592678</v>
      </c>
      <c r="AT14" s="490">
        <f>AS18</f>
        <v>5971.246102779231</v>
      </c>
      <c r="AU14" s="490">
        <f>AT18</f>
        <v>5984.986997793771</v>
      </c>
      <c r="AV14" s="490">
        <f>AU18</f>
        <v>6019.407270411772</v>
      </c>
      <c r="AW14" s="490">
        <f>AV18</f>
        <v>6235.410744479499</v>
      </c>
      <c r="AX14" s="490">
        <f>AW18</f>
        <v>6530.3364926536</v>
      </c>
      <c r="AY14" s="490">
        <f>AX18</f>
        <v>3268.829755362464</v>
      </c>
      <c r="AZ14" s="490">
        <f>AY18</f>
        <v>4.547473508864641e-13</v>
      </c>
      <c r="BA14" s="490">
        <f>AZ18</f>
        <v>3.0051220771078487e-13</v>
      </c>
      <c r="BB14" s="490">
        <f>BA18</f>
        <v>3.0215435092231917e-13</v>
      </c>
      <c r="BC14" s="490">
        <f>BB18</f>
        <v>2.9887006449925046e-13</v>
      </c>
      <c r="BD14" s="490">
        <f>BC18</f>
        <v>2.9722792128771605e-13</v>
      </c>
      <c r="BE14" s="490">
        <f>BD18</f>
        <v>3.0051220771078436e-13</v>
      </c>
      <c r="BF14" s="490">
        <f>BE18</f>
        <v>3.0215435092231847e-13</v>
      </c>
      <c r="BG14" s="490">
        <f>BF18</f>
        <v>2.9887006449924965e-13</v>
      </c>
      <c r="BH14" s="490">
        <f>BG18</f>
        <v>2.9722792128771534e-13</v>
      </c>
      <c r="BI14" s="490">
        <f>BH18</f>
        <v>3.0051220771078396e-13</v>
      </c>
      <c r="BJ14" s="490">
        <f>BI18</f>
        <v>3.0215435092231826e-13</v>
      </c>
      <c r="BK14" s="490">
        <f>BJ18</f>
        <v>2.9887006449924985e-13</v>
      </c>
      <c r="BL14" s="490">
        <f>BK18</f>
        <v>2.9722792128771575e-13</v>
      </c>
      <c r="BM14" s="490">
        <f>BL18</f>
        <v>3.0051220771078416e-13</v>
      </c>
      <c r="BN14" s="490">
        <f>BM18</f>
        <v>3.0215435092231806e-13</v>
      </c>
      <c r="BO14" s="490">
        <f>BN18</f>
        <v>3.0051220771078376e-13</v>
      </c>
      <c r="BP14" s="490">
        <f>BO18</f>
        <v>2.9887006449924945e-13</v>
      </c>
      <c r="BQ14" s="490">
        <f>BP18</f>
        <v>3.0051220771078376e-13</v>
      </c>
      <c r="BR14" s="490">
        <f>BQ18</f>
        <v>3.0215435092231826e-13</v>
      </c>
      <c r="BS14" s="490">
        <f>BR18</f>
        <v>2.9887006449924965e-13</v>
      </c>
      <c r="BT14" s="490">
        <f>BS18</f>
        <v>2.9722792128771534e-13</v>
      </c>
      <c r="BU14" s="490">
        <f>BT18</f>
        <v>3.0051220771078396e-13</v>
      </c>
      <c r="BV14" s="490">
        <f>BU18</f>
        <v>3.0215435092231806e-13</v>
      </c>
      <c r="BW14" s="490">
        <f>BV18</f>
        <v>2.9887006449924945e-13</v>
      </c>
      <c r="BX14" s="490">
        <f>BW18</f>
        <v>2.9722792128771534e-13</v>
      </c>
      <c r="BY14" s="490">
        <f>BX18</f>
        <v>3.0051220771078416e-13</v>
      </c>
      <c r="BZ14" s="490">
        <f>BY18</f>
        <v>3.0215435092231806e-13</v>
      </c>
      <c r="CA14" s="490">
        <f>BZ18</f>
        <v>2.9887006449924925e-13</v>
      </c>
      <c r="CB14" s="490">
        <f>CA18</f>
        <v>2.9722792128771514e-13</v>
      </c>
      <c r="CC14" s="490">
        <f>CB18</f>
        <v>3.0051220771078376e-13</v>
      </c>
      <c r="CD14" s="490">
        <f>CC18</f>
        <v>3.0215435092231806e-13</v>
      </c>
      <c r="CE14" s="490">
        <f>CD18</f>
        <v>3.0051220771078335e-13</v>
      </c>
      <c r="CF14" s="490">
        <f>CE18</f>
        <v>2.9887006449924884e-13</v>
      </c>
      <c r="CG14" s="490">
        <f>CF18</f>
        <v>3.0051220771078355e-13</v>
      </c>
      <c r="CH14" s="490">
        <f>CG18</f>
        <v>3.0215435092231786e-13</v>
      </c>
      <c r="CI14" s="490">
        <f>CH18</f>
        <v>2.9887006449924925e-13</v>
      </c>
      <c r="CJ14" s="490">
        <f>CI18</f>
        <v>2.9722792128771494e-13</v>
      </c>
      <c r="CK14" s="490">
        <f>CJ18</f>
        <v>3.0051220771078355e-13</v>
      </c>
      <c r="CL14" s="490">
        <f>CK18</f>
        <v>5.993822722100322e-13</v>
      </c>
      <c r="CM14" s="490">
        <f>CL18</f>
        <v>4.4830509674887316e-13</v>
      </c>
      <c r="CN14" s="490">
        <f>CM18</f>
        <v>0.0</v>
      </c>
      <c r="CO14" s="490">
        <f>CN18</f>
        <v>0.0</v>
      </c>
    </row>
    <row r="15">
      <c r="E15" s="61" t="inlineStr">
        <is>
          <t>Funding</t>
        </is>
      </c>
      <c r="F15" s="484" t="n"/>
      <c r="G15" s="61" t="inlineStr">
        <is>
          <t>$ 000s</t>
        </is>
      </c>
      <c r="H15" s="490">
        <f>SUM(J15:CO15)</f>
        <v>9788.453230988813</v>
      </c>
      <c r="I15" s="484" t="n"/>
      <c r="J15" s="490">
        <f>MIN(MAX(J12-J14,0),MAX(J13,0))</f>
        <v>0.0</v>
      </c>
      <c r="K15" s="490">
        <f>MIN(MAX(K12-K14,0),MAX(K13,0))</f>
        <v>0.0</v>
      </c>
      <c r="L15" s="490">
        <f>MIN(MAX(L12-L14,0),MAX(L13,0))</f>
        <v>3268.6067374328723</v>
      </c>
      <c r="M15" s="490">
        <f>MIN(MAX(M12-M14,0),MAX(M13,0))</f>
        <v>1389.7443969335745</v>
      </c>
      <c r="N15" s="490">
        <f>MIN(MAX(N12-N14,0),MAX(N13,0))</f>
        <v>0.0</v>
      </c>
      <c r="O15" s="490">
        <f>MIN(MAX(O12-O14,0),MAX(O13,0))</f>
        <v>0.0</v>
      </c>
      <c r="P15" s="490">
        <f>MIN(MAX(P12-P14,0),MAX(P13,0))</f>
        <v>0.0</v>
      </c>
      <c r="Q15" s="490">
        <f>MIN(MAX(Q12-Q14,0),MAX(Q13,0))</f>
        <v>0.0</v>
      </c>
      <c r="R15" s="490">
        <f>MIN(MAX(R12-R14,0),MAX(R13,0))</f>
        <v>61.60753439613427</v>
      </c>
      <c r="S15" s="490">
        <f>MIN(MAX(S12-S14,0),MAX(S13,0))</f>
        <v>986.5295539553481</v>
      </c>
      <c r="T15" s="490">
        <f>MIN(MAX(T12-T14,0),MAX(T13,0))</f>
        <v>34.49399922440443</v>
      </c>
      <c r="U15" s="490">
        <f>MIN(MAX(U12-U14,0),MAX(U13,0))</f>
        <v>0.0</v>
      </c>
      <c r="V15" s="490">
        <f>MIN(MAX(V12-V14,0),MAX(V13,0))</f>
        <v>0.0</v>
      </c>
      <c r="W15" s="490">
        <f>MIN(MAX(W12-W14,0),MAX(W13,0))</f>
        <v>445.262819710656</v>
      </c>
      <c r="X15" s="490">
        <f>MIN(MAX(X12-X14,0),MAX(X13,0))</f>
        <v>1.147187330720044</v>
      </c>
      <c r="Y15" s="490">
        <f>MIN(MAX(Y12-Y14,0),MAX(Y13,0))</f>
        <v>0.0</v>
      </c>
      <c r="Z15" s="490">
        <f>MIN(MAX(Z12-Z14,0),MAX(Z13,0))</f>
        <v>0.0</v>
      </c>
      <c r="AA15" s="490">
        <f>MIN(MAX(AA12-AA14,0),MAX(AA13,0))</f>
        <v>677.6211852819379</v>
      </c>
      <c r="AB15" s="490">
        <f>MIN(MAX(AB12-AB14,0),MAX(AB13,0))</f>
        <v>137.12266619265574</v>
      </c>
      <c r="AC15" s="490">
        <f>MIN(MAX(AC12-AC14,0),MAX(AC13,0))</f>
        <v>0.0</v>
      </c>
      <c r="AD15" s="490">
        <f>MIN(MAX(AD12-AD14,0),MAX(AD13,0))</f>
        <v>80.35170104636563</v>
      </c>
      <c r="AE15" s="490">
        <f>MIN(MAX(AE12-AE14,0),MAX(AE13,0))</f>
        <v>462.3363702486404</v>
      </c>
      <c r="AF15" s="490">
        <f>MIN(MAX(AF12-AF14,0),MAX(AF13,0))</f>
        <v>20.38411129343058</v>
      </c>
      <c r="AG15" s="490">
        <f>MIN(MAX(AG12-AG14,0),MAX(AG13,0))</f>
        <v>0.0</v>
      </c>
      <c r="AH15" s="490">
        <f>MIN(MAX(AH12-AH14,0),MAX(AH13,0))</f>
        <v>8.724843728574342</v>
      </c>
      <c r="AI15" s="490">
        <f>MIN(MAX(AI12-AI14,0),MAX(AI13,0))</f>
        <v>238.54658290480984</v>
      </c>
      <c r="AJ15" s="490">
        <f>MIN(MAX(AJ12-AJ14,0),MAX(AJ13,0))</f>
        <v>22.33137465866548</v>
      </c>
      <c r="AK15" s="490">
        <f>MIN(MAX(AK12-AK14,0),MAX(AK13,0))</f>
        <v>0.0</v>
      </c>
      <c r="AL15" s="490">
        <f>MIN(MAX(AL12-AL14,0),MAX(AL13,0))</f>
        <v>232.43406645247705</v>
      </c>
      <c r="AM15" s="490">
        <f>MIN(MAX(AM12-AM14,0),MAX(AM13,0))</f>
        <v>564.0037840099039</v>
      </c>
      <c r="AN15" s="490">
        <f>MIN(MAX(AN12-AN14,0),MAX(AN13,0))</f>
        <v>37.27284948471788</v>
      </c>
      <c r="AO15" s="490">
        <f>MIN(MAX(AO12-AO14,0),MAX(AO13,0))</f>
        <v>0.0</v>
      </c>
      <c r="AP15" s="490">
        <f>MIN(MAX(AP12-AP14,0),MAX(AP13,0))</f>
        <v>17.13118358720203</v>
      </c>
      <c r="AQ15" s="490">
        <f>MIN(MAX(AQ12-AQ14,0),MAX(AQ13,0))</f>
        <v>481.4631682252848</v>
      </c>
      <c r="AR15" s="490">
        <f>MIN(MAX(AR12-AR14,0),MAX(AR13,0))</f>
        <v>41.67351982951641</v>
      </c>
      <c r="AS15" s="490">
        <f>MIN(MAX(AS12-AS14,0),MAX(AS13,0))</f>
        <v>20.573205186552514</v>
      </c>
      <c r="AT15" s="490">
        <f>MIN(MAX(AT12-AT14,0),MAX(AT13,0))</f>
        <v>13.740895014540001</v>
      </c>
      <c r="AU15" s="490">
        <f>MIN(MAX(AU12-AU14,0),MAX(AU13,0))</f>
        <v>34.420272618001036</v>
      </c>
      <c r="AV15" s="490">
        <f>MIN(MAX(AV12-AV14,0),MAX(AV13,0))</f>
        <v>216.00347406772744</v>
      </c>
      <c r="AW15" s="490">
        <f>MIN(MAX(AW12-AW14,0),MAX(AW13,0))</f>
        <v>294.9257481741006</v>
      </c>
      <c r="AX15" s="490">
        <f>MIN(MAX(AX12-AX14,0),MAX(AX13,0))</f>
        <v>0.0</v>
      </c>
      <c r="AY15" s="490">
        <f>MIN(MAX(AY12-AY14,0),MAX(AY13,0))</f>
        <v>0.0</v>
      </c>
      <c r="AZ15" s="490">
        <f>MIN(MAX(AZ12-AZ14,0),MAX(AZ13,0))</f>
        <v>0.0</v>
      </c>
      <c r="BA15" s="490">
        <f>MIN(MAX(BA12-BA14,0),MAX(BA13,0))</f>
        <v>1.6421432115343066e-15</v>
      </c>
      <c r="BB15" s="490">
        <f>MIN(MAX(BB12-BB14,0),MAX(BB13,0))</f>
        <v>0.0</v>
      </c>
      <c r="BC15" s="490">
        <f>MIN(MAX(BC12-BC14,0),MAX(BC13,0))</f>
        <v>0.0</v>
      </c>
      <c r="BD15" s="490">
        <f>MIN(MAX(BD12-BD14,0),MAX(BD13,0))</f>
        <v>3.2842864230683102e-15</v>
      </c>
      <c r="BE15" s="490">
        <f>MIN(MAX(BE12-BE14,0),MAX(BE13,0))</f>
        <v>1.6421432115341046e-15</v>
      </c>
      <c r="BF15" s="490">
        <f>MIN(MAX(BF12-BF14,0),MAX(BF13,0))</f>
        <v>0.0</v>
      </c>
      <c r="BG15" s="490">
        <f>MIN(MAX(BG12-BG14,0),MAX(BG13,0))</f>
        <v>0.0</v>
      </c>
      <c r="BH15" s="490">
        <f>MIN(MAX(BH12-BH14,0),MAX(BH13,0))</f>
        <v>3.284286423068613e-15</v>
      </c>
      <c r="BI15" s="490">
        <f>MIN(MAX(BI12-BI14,0),MAX(BI13,0))</f>
        <v>1.6421432115343066e-15</v>
      </c>
      <c r="BJ15" s="490">
        <f>MIN(MAX(BJ12-BJ14,0),MAX(BJ13,0))</f>
        <v>0.0</v>
      </c>
      <c r="BK15" s="490">
        <f>MIN(MAX(BK12-BK14,0),MAX(BK13,0))</f>
        <v>0.0</v>
      </c>
      <c r="BL15" s="490">
        <f>MIN(MAX(BL12-BL14,0),MAX(BL13,0))</f>
        <v>3.284286423068411e-15</v>
      </c>
      <c r="BM15" s="490">
        <f>MIN(MAX(BM12-BM14,0),MAX(BM13,0))</f>
        <v>1.6421432115339027e-15</v>
      </c>
      <c r="BN15" s="490">
        <f>MIN(MAX(BN12-BN14,0),MAX(BN13,0))</f>
        <v>0.0</v>
      </c>
      <c r="BO15" s="490">
        <f>MIN(MAX(BO12-BO14,0),MAX(BO13,0))</f>
        <v>0.0</v>
      </c>
      <c r="BP15" s="490">
        <f>MIN(MAX(BP12-BP14,0),MAX(BP13,0))</f>
        <v>1.6421432115343066e-15</v>
      </c>
      <c r="BQ15" s="490">
        <f>MIN(MAX(BQ12-BQ14,0),MAX(BQ13,0))</f>
        <v>1.6421432115345085e-15</v>
      </c>
      <c r="BR15" s="490">
        <f>MIN(MAX(BR12-BR14,0),MAX(BR13,0))</f>
        <v>0.0</v>
      </c>
      <c r="BS15" s="490">
        <f>MIN(MAX(BS12-BS14,0),MAX(BS13,0))</f>
        <v>0.0</v>
      </c>
      <c r="BT15" s="490">
        <f>MIN(MAX(BT12-BT14,0),MAX(BT13,0))</f>
        <v>3.284286423068613e-15</v>
      </c>
      <c r="BU15" s="490">
        <f>MIN(MAX(BU12-BU14,0),MAX(BU13,0))</f>
        <v>1.6421432115341046e-15</v>
      </c>
      <c r="BV15" s="490">
        <f>MIN(MAX(BV12-BV14,0),MAX(BV13,0))</f>
        <v>0.0</v>
      </c>
      <c r="BW15" s="490">
        <f>MIN(MAX(BW12-BW14,0),MAX(BW13,0))</f>
        <v>0.0</v>
      </c>
      <c r="BX15" s="490">
        <f>MIN(MAX(BX12-BX14,0),MAX(BX13,0))</f>
        <v>3.284286423068815e-15</v>
      </c>
      <c r="BY15" s="490">
        <f>MIN(MAX(BY12-BY14,0),MAX(BY13,0))</f>
        <v>1.6421432115339027e-15</v>
      </c>
      <c r="BZ15" s="490">
        <f>MIN(MAX(BZ12-BZ14,0),MAX(BZ13,0))</f>
        <v>0.0</v>
      </c>
      <c r="CA15" s="490">
        <f>MIN(MAX(CA12-CA14,0),MAX(CA13,0))</f>
        <v>0.0</v>
      </c>
      <c r="CB15" s="490">
        <f>MIN(MAX(CB12-CB14,0),MAX(CB13,0))</f>
        <v>3.284286423068613e-15</v>
      </c>
      <c r="CC15" s="490">
        <f>MIN(MAX(CC12-CC14,0),MAX(CC13,0))</f>
        <v>1.6421432115343066e-15</v>
      </c>
      <c r="CD15" s="490">
        <f>MIN(MAX(CD12-CD14,0),MAX(CD13,0))</f>
        <v>0.0</v>
      </c>
      <c r="CE15" s="490">
        <f>MIN(MAX(CE12-CE14,0),MAX(CE13,0))</f>
        <v>0.0</v>
      </c>
      <c r="CF15" s="490">
        <f>MIN(MAX(CF12-CF14,0),MAX(CF13,0))</f>
        <v>1.6421432115347105e-15</v>
      </c>
      <c r="CG15" s="490">
        <f>MIN(MAX(CG12-CG14,0),MAX(CG13,0))</f>
        <v>1.6421432115343066e-15</v>
      </c>
      <c r="CH15" s="490">
        <f>MIN(MAX(CH12-CH14,0),MAX(CH13,0))</f>
        <v>0.0</v>
      </c>
      <c r="CI15" s="490">
        <f>MIN(MAX(CI12-CI14,0),MAX(CI13,0))</f>
        <v>0.0</v>
      </c>
      <c r="CJ15" s="490">
        <f>MIN(MAX(CJ12-CJ14,0),MAX(CJ13,0))</f>
        <v>3.284286423068613e-15</v>
      </c>
      <c r="CK15" s="490">
        <f>MIN(MAX(CK12-CK14,0),MAX(CK13,0))</f>
        <v>2.9887006449924864e-13</v>
      </c>
      <c r="CL15" s="490">
        <f>MIN(MAX(CL12-CL14,0),MAX(CL13,0))</f>
        <v>0.0</v>
      </c>
      <c r="CM15" s="490">
        <f>MIN(MAX(CM12-CM14,0),MAX(CM13,0))</f>
        <v>0.0</v>
      </c>
      <c r="CN15" s="490">
        <f>MIN(MAX(CN12-CN14,0),MAX(CN13,0))</f>
        <v>0.0</v>
      </c>
      <c r="CO15" s="490">
        <f>MIN(MAX(CO12-CO14,0),MAX(CO13,0))</f>
        <v>0.0</v>
      </c>
    </row>
    <row r="16">
      <c r="E16" s="61" t="inlineStr">
        <is>
          <t>Release</t>
        </is>
      </c>
      <c r="F16" s="484" t="n"/>
      <c r="G16" s="61" t="inlineStr">
        <is>
          <t>$ 000s</t>
        </is>
      </c>
      <c r="H16" s="490">
        <f>SUM(J16:CO16)</f>
        <v>9788.453230988813</v>
      </c>
      <c r="I16" s="484" t="n"/>
      <c r="J16" s="490">
        <f>MAX(J14-J12,0)</f>
        <v>0.0</v>
      </c>
      <c r="K16" s="490">
        <f>MAX(K14-K12,0)</f>
        <v>0.0</v>
      </c>
      <c r="L16" s="490">
        <f>MAX(L14-L12,0)</f>
        <v>0.0</v>
      </c>
      <c r="M16" s="490">
        <f>MAX(M14-M12,0)</f>
        <v>0.0</v>
      </c>
      <c r="N16" s="490">
        <f>MAX(N14-N12,0)</f>
        <v>22.38187302530423</v>
      </c>
      <c r="O16" s="490">
        <f>MAX(O14-O12,0)</f>
        <v>16.20684236119814</v>
      </c>
      <c r="P16" s="490">
        <f>MAX(P14-P12,0)</f>
        <v>3.074324102664832</v>
      </c>
      <c r="Q16" s="490">
        <f>MAX(Q14-Q12,0)</f>
        <v>899.0088951072125</v>
      </c>
      <c r="R16" s="490">
        <f>MAX(R14-R12,0)</f>
        <v>0.0</v>
      </c>
      <c r="S16" s="490">
        <f>MAX(S14-S12,0)</f>
        <v>0.0</v>
      </c>
      <c r="T16" s="490">
        <f>MAX(T14-T12,0)</f>
        <v>0.0</v>
      </c>
      <c r="U16" s="490">
        <f>MAX(U14-U12,0)</f>
        <v>449.39832894364463</v>
      </c>
      <c r="V16" s="490">
        <f>MAX(V14-V12,0)</f>
        <v>5.927018442160261</v>
      </c>
      <c r="W16" s="490">
        <f>MAX(W14-W12,0)</f>
        <v>0.0</v>
      </c>
      <c r="X16" s="490">
        <f>MAX(X14-X12,0)</f>
        <v>0.0</v>
      </c>
      <c r="Y16" s="490">
        <f>MAX(Y14-Y12,0)</f>
        <v>675.5442329869311</v>
      </c>
      <c r="Z16" s="490">
        <f>MAX(Z14-Z12,0)</f>
        <v>0.3755675557149516</v>
      </c>
      <c r="AA16" s="490">
        <f>MAX(AA14-AA12,0)</f>
        <v>0.0</v>
      </c>
      <c r="AB16" s="490">
        <f>MAX(AB14-AB12,0)</f>
        <v>0.0</v>
      </c>
      <c r="AC16" s="490">
        <f>MAX(AC14-AC12,0)</f>
        <v>242.27437186788666</v>
      </c>
      <c r="AD16" s="490">
        <f>MAX(AD14-AD12,0)</f>
        <v>0.0</v>
      </c>
      <c r="AE16" s="490">
        <f>MAX(AE14-AE12,0)</f>
        <v>0.0</v>
      </c>
      <c r="AF16" s="490">
        <f>MAX(AF14-AF12,0)</f>
        <v>0.0</v>
      </c>
      <c r="AG16" s="490">
        <f>MAX(AG14-AG12,0)</f>
        <v>216.84597991707324</v>
      </c>
      <c r="AH16" s="490">
        <f>MAX(AH14-AH12,0)</f>
        <v>0.0</v>
      </c>
      <c r="AI16" s="490">
        <f>MAX(AI14-AI12,0)</f>
        <v>0.0</v>
      </c>
      <c r="AJ16" s="490">
        <f>MAX(AJ14-AJ12,0)</f>
        <v>0.0</v>
      </c>
      <c r="AK16" s="490">
        <f>MAX(AK14-AK12,0)</f>
        <v>299.58131061914173</v>
      </c>
      <c r="AL16" s="490">
        <f>MAX(AL14-AL12,0)</f>
        <v>0.0</v>
      </c>
      <c r="AM16" s="490">
        <f>MAX(AM14-AM12,0)</f>
        <v>0.0</v>
      </c>
      <c r="AN16" s="490">
        <f>MAX(AN14-AN12,0)</f>
        <v>0.0</v>
      </c>
      <c r="AO16" s="490">
        <f>MAX(AO14-AO12,0)</f>
        <v>427.49799340628124</v>
      </c>
      <c r="AP16" s="490">
        <f>MAX(AP14-AP12,0)</f>
        <v>0.0</v>
      </c>
      <c r="AQ16" s="490">
        <f>MAX(AQ14-AQ12,0)</f>
        <v>0.0</v>
      </c>
      <c r="AR16" s="490">
        <f>MAX(AR14-AR12,0)</f>
        <v>0.0</v>
      </c>
      <c r="AS16" s="490">
        <f>MAX(AS14-AS12,0)</f>
        <v>0.0</v>
      </c>
      <c r="AT16" s="490">
        <f>MAX(AT14-AT12,0)</f>
        <v>0.0</v>
      </c>
      <c r="AU16" s="490">
        <f>MAX(AU14-AU12,0)</f>
        <v>0.0</v>
      </c>
      <c r="AV16" s="490">
        <f>MAX(AV14-AV12,0)</f>
        <v>0.0</v>
      </c>
      <c r="AW16" s="490">
        <f>MAX(AW14-AW12,0)</f>
        <v>0.0</v>
      </c>
      <c r="AX16" s="490">
        <f>MAX(AX14-AX12,0)</f>
        <v>3261.506737291136</v>
      </c>
      <c r="AY16" s="490">
        <f>MAX(AY14-AY12,0)</f>
        <v>3268.8297553624634</v>
      </c>
      <c r="AZ16" s="490">
        <f>MAX(AZ14-AZ12,0)</f>
        <v>1.5423514317567925e-13</v>
      </c>
      <c r="BA16" s="490">
        <f>MAX(BA14-BA12,0)</f>
        <v>0.0</v>
      </c>
      <c r="BB16" s="490">
        <f>MAX(BB14-BB12,0)</f>
        <v>3.284286423068714e-15</v>
      </c>
      <c r="BC16" s="490">
        <f>MAX(BC14-BC12,0)</f>
        <v>1.6421432115344075e-15</v>
      </c>
      <c r="BD16" s="490">
        <f>MAX(BD14-BD12,0)</f>
        <v>0.0</v>
      </c>
      <c r="BE16" s="490">
        <f>MAX(BE14-BE12,0)</f>
        <v>0.0</v>
      </c>
      <c r="BF16" s="490">
        <f>MAX(BF14-BF12,0)</f>
        <v>3.284286423068815e-15</v>
      </c>
      <c r="BG16" s="490">
        <f>MAX(BG14-BG12,0)</f>
        <v>1.6421432115343066e-15</v>
      </c>
      <c r="BH16" s="490">
        <f>MAX(BH14-BH12,0)</f>
        <v>0.0</v>
      </c>
      <c r="BI16" s="490">
        <f>MAX(BI14-BI12,0)</f>
        <v>0.0</v>
      </c>
      <c r="BJ16" s="490">
        <f>MAX(BJ14-BJ12,0)</f>
        <v>3.284286423068411e-15</v>
      </c>
      <c r="BK16" s="490">
        <f>MAX(BK14-BK12,0)</f>
        <v>1.6421432115341046e-15</v>
      </c>
      <c r="BL16" s="490">
        <f>MAX(BL14-BL12,0)</f>
        <v>0.0</v>
      </c>
      <c r="BM16" s="490">
        <f>MAX(BM14-BM12,0)</f>
        <v>0.0</v>
      </c>
      <c r="BN16" s="490">
        <f>MAX(BN14-BN12,0)</f>
        <v>1.6421432115343066e-15</v>
      </c>
      <c r="BO16" s="490">
        <f>MAX(BO14-BO12,0)</f>
        <v>1.6421432115343066e-15</v>
      </c>
      <c r="BP16" s="490">
        <f>MAX(BP14-BP12,0)</f>
        <v>0.0</v>
      </c>
      <c r="BQ16" s="490">
        <f>MAX(BQ14-BQ12,0)</f>
        <v>0.0</v>
      </c>
      <c r="BR16" s="490">
        <f>MAX(BR14-BR12,0)</f>
        <v>3.284286423068613e-15</v>
      </c>
      <c r="BS16" s="490">
        <f>MAX(BS14-BS12,0)</f>
        <v>1.6421432115343066e-15</v>
      </c>
      <c r="BT16" s="490">
        <f>MAX(BT14-BT12,0)</f>
        <v>0.0</v>
      </c>
      <c r="BU16" s="490">
        <f>MAX(BU14-BU12,0)</f>
        <v>0.0</v>
      </c>
      <c r="BV16" s="490">
        <f>MAX(BV14-BV12,0)</f>
        <v>3.284286423068613e-15</v>
      </c>
      <c r="BW16" s="490">
        <f>MAX(BW14-BW12,0)</f>
        <v>1.6421432115341046e-15</v>
      </c>
      <c r="BX16" s="490">
        <f>MAX(BX14-BX12,0)</f>
        <v>0.0</v>
      </c>
      <c r="BY16" s="490">
        <f>MAX(BY14-BY12,0)</f>
        <v>0.0</v>
      </c>
      <c r="BZ16" s="490">
        <f>MAX(BZ14-BZ12,0)</f>
        <v>3.284286423068815e-15</v>
      </c>
      <c r="CA16" s="490">
        <f>MAX(CA14-CA12,0)</f>
        <v>1.6421432115341046e-15</v>
      </c>
      <c r="CB16" s="490">
        <f>MAX(CB14-CB12,0)</f>
        <v>0.0</v>
      </c>
      <c r="CC16" s="490">
        <f>MAX(CC14-CC12,0)</f>
        <v>0.0</v>
      </c>
      <c r="CD16" s="490">
        <f>MAX(CD14-CD12,0)</f>
        <v>1.6421432115347105e-15</v>
      </c>
      <c r="CE16" s="490">
        <f>MAX(CE14-CE12,0)</f>
        <v>1.6421432115345085e-15</v>
      </c>
      <c r="CF16" s="490">
        <f>MAX(CF14-CF12,0)</f>
        <v>0.0</v>
      </c>
      <c r="CG16" s="490">
        <f>MAX(CG14-CG12,0)</f>
        <v>0.0</v>
      </c>
      <c r="CH16" s="490">
        <f>MAX(CH14-CH12,0)</f>
        <v>3.284286423068613e-15</v>
      </c>
      <c r="CI16" s="490">
        <f>MAX(CI14-CI12,0)</f>
        <v>1.6421432115343066e-15</v>
      </c>
      <c r="CJ16" s="490">
        <f>MAX(CJ14-CJ12,0)</f>
        <v>0.0</v>
      </c>
      <c r="CK16" s="490">
        <f>MAX(CK14-CK12,0)</f>
        <v>0.0</v>
      </c>
      <c r="CL16" s="490">
        <f>MAX(CL14-CL12,0)</f>
        <v>1.5107717546115903e-13</v>
      </c>
      <c r="CM16" s="490">
        <f>MAX(CM14-CM12,0)</f>
        <v>4.4830509674887316e-13</v>
      </c>
      <c r="CN16" s="490">
        <f>MAX(CN14-CN12,0)</f>
        <v>0.0</v>
      </c>
      <c r="CO16" s="490">
        <f>MAX(CO14-CO12,0)</f>
        <v>0.0</v>
      </c>
    </row>
    <row r="17">
      <c r="E17" s="61" t="inlineStr">
        <is>
          <t>DSRA (funding) / release</t>
        </is>
      </c>
      <c r="F17" s="484" t="n"/>
      <c r="G17" s="61" t="inlineStr">
        <is>
          <t>$ 000s</t>
        </is>
      </c>
      <c r="H17" s="490">
        <f>SUM(J17:CO17)</f>
        <v>-8.273875411966398e-14</v>
      </c>
      <c r="I17" s="484" t="n"/>
      <c r="J17" s="490">
        <f>J16-J15</f>
        <v>0.0</v>
      </c>
      <c r="K17" s="490">
        <f>K16-K15</f>
        <v>0.0</v>
      </c>
      <c r="L17" s="490">
        <f>L16-L15</f>
        <v>-3268.6067374328723</v>
      </c>
      <c r="M17" s="490">
        <f>M16-M15</f>
        <v>-1389.7443969335745</v>
      </c>
      <c r="N17" s="490">
        <f>N16-N15</f>
        <v>22.38187302530423</v>
      </c>
      <c r="O17" s="490">
        <f>O16-O15</f>
        <v>16.20684236119814</v>
      </c>
      <c r="P17" s="490">
        <f>P16-P15</f>
        <v>3.074324102664832</v>
      </c>
      <c r="Q17" s="490">
        <f>Q16-Q15</f>
        <v>899.0088951072125</v>
      </c>
      <c r="R17" s="490">
        <f>R16-R15</f>
        <v>-61.60753439613427</v>
      </c>
      <c r="S17" s="490">
        <f>S16-S15</f>
        <v>-986.5295539553481</v>
      </c>
      <c r="T17" s="490">
        <f>T16-T15</f>
        <v>-34.49399922440443</v>
      </c>
      <c r="U17" s="490">
        <f>U16-U15</f>
        <v>449.39832894364463</v>
      </c>
      <c r="V17" s="490">
        <f>V16-V15</f>
        <v>5.927018442160261</v>
      </c>
      <c r="W17" s="490">
        <f>W16-W15</f>
        <v>-445.262819710656</v>
      </c>
      <c r="X17" s="490">
        <f>X16-X15</f>
        <v>-1.147187330720044</v>
      </c>
      <c r="Y17" s="490">
        <f>Y16-Y15</f>
        <v>675.5442329869311</v>
      </c>
      <c r="Z17" s="490">
        <f>Z16-Z15</f>
        <v>0.3755675557149516</v>
      </c>
      <c r="AA17" s="490">
        <f>AA16-AA15</f>
        <v>-677.6211852819379</v>
      </c>
      <c r="AB17" s="490">
        <f>AB16-AB15</f>
        <v>-137.12266619265574</v>
      </c>
      <c r="AC17" s="490">
        <f>AC16-AC15</f>
        <v>242.27437186788666</v>
      </c>
      <c r="AD17" s="490">
        <f>AD16-AD15</f>
        <v>-80.35170104636563</v>
      </c>
      <c r="AE17" s="490">
        <f>AE16-AE15</f>
        <v>-462.3363702486404</v>
      </c>
      <c r="AF17" s="490">
        <f>AF16-AF15</f>
        <v>-20.38411129343058</v>
      </c>
      <c r="AG17" s="490">
        <f>AG16-AG15</f>
        <v>216.84597991707324</v>
      </c>
      <c r="AH17" s="490">
        <f>AH16-AH15</f>
        <v>-8.724843728574342</v>
      </c>
      <c r="AI17" s="490">
        <f>AI16-AI15</f>
        <v>-238.54658290480984</v>
      </c>
      <c r="AJ17" s="490">
        <f>AJ16-AJ15</f>
        <v>-22.33137465866548</v>
      </c>
      <c r="AK17" s="490">
        <f>AK16-AK15</f>
        <v>299.58131061914173</v>
      </c>
      <c r="AL17" s="490">
        <f>AL16-AL15</f>
        <v>-232.43406645247705</v>
      </c>
      <c r="AM17" s="490">
        <f>AM16-AM15</f>
        <v>-564.0037840099039</v>
      </c>
      <c r="AN17" s="490">
        <f>AN16-AN15</f>
        <v>-37.27284948471788</v>
      </c>
      <c r="AO17" s="490">
        <f>AO16-AO15</f>
        <v>427.49799340628124</v>
      </c>
      <c r="AP17" s="490">
        <f>AP16-AP15</f>
        <v>-17.13118358720203</v>
      </c>
      <c r="AQ17" s="490">
        <f>AQ16-AQ15</f>
        <v>-481.4631682252848</v>
      </c>
      <c r="AR17" s="490">
        <f>AR16-AR15</f>
        <v>-41.67351982951641</v>
      </c>
      <c r="AS17" s="490">
        <f>AS16-AS15</f>
        <v>-20.573205186552514</v>
      </c>
      <c r="AT17" s="490">
        <f>AT16-AT15</f>
        <v>-13.740895014540001</v>
      </c>
      <c r="AU17" s="490">
        <f>AU16-AU15</f>
        <v>-34.420272618001036</v>
      </c>
      <c r="AV17" s="490">
        <f>AV16-AV15</f>
        <v>-216.00347406772744</v>
      </c>
      <c r="AW17" s="490">
        <f>AW16-AW15</f>
        <v>-294.9257481741006</v>
      </c>
      <c r="AX17" s="490">
        <f>AX16-AX15</f>
        <v>3261.506737291136</v>
      </c>
      <c r="AY17" s="490">
        <f>AY16-AY15</f>
        <v>3268.8297553624634</v>
      </c>
      <c r="AZ17" s="490">
        <f>AZ16-AZ15</f>
        <v>1.5423514317567925e-13</v>
      </c>
      <c r="BA17" s="490">
        <f>BA16-BA15</f>
        <v>-1.6421432115343066e-15</v>
      </c>
      <c r="BB17" s="490">
        <f>BB16-BB15</f>
        <v>3.284286423068714e-15</v>
      </c>
      <c r="BC17" s="490">
        <f>BC16-BC15</f>
        <v>1.6421432115344075e-15</v>
      </c>
      <c r="BD17" s="490">
        <f>BD16-BD15</f>
        <v>-3.2842864230683102e-15</v>
      </c>
      <c r="BE17" s="490">
        <f>BE16-BE15</f>
        <v>-1.6421432115341046e-15</v>
      </c>
      <c r="BF17" s="490">
        <f>BF16-BF15</f>
        <v>3.284286423068815e-15</v>
      </c>
      <c r="BG17" s="490">
        <f>BG16-BG15</f>
        <v>1.6421432115343066e-15</v>
      </c>
      <c r="BH17" s="490">
        <f>BH16-BH15</f>
        <v>-3.284286423068613e-15</v>
      </c>
      <c r="BI17" s="490">
        <f>BI16-BI15</f>
        <v>-1.6421432115343066e-15</v>
      </c>
      <c r="BJ17" s="490">
        <f>BJ16-BJ15</f>
        <v>3.284286423068411e-15</v>
      </c>
      <c r="BK17" s="490">
        <f>BK16-BK15</f>
        <v>1.6421432115341046e-15</v>
      </c>
      <c r="BL17" s="490">
        <f>BL16-BL15</f>
        <v>-3.284286423068411e-15</v>
      </c>
      <c r="BM17" s="490">
        <f>BM16-BM15</f>
        <v>-1.6421432115339027e-15</v>
      </c>
      <c r="BN17" s="490">
        <f>BN16-BN15</f>
        <v>1.6421432115343066e-15</v>
      </c>
      <c r="BO17" s="490">
        <f>BO16-BO15</f>
        <v>1.6421432115343066e-15</v>
      </c>
      <c r="BP17" s="490">
        <f>BP16-BP15</f>
        <v>-1.6421432115343066e-15</v>
      </c>
      <c r="BQ17" s="490">
        <f>BQ16-BQ15</f>
        <v>-1.6421432115345085e-15</v>
      </c>
      <c r="BR17" s="490">
        <f>BR16-BR15</f>
        <v>3.284286423068613e-15</v>
      </c>
      <c r="BS17" s="490">
        <f>BS16-BS15</f>
        <v>1.6421432115343066e-15</v>
      </c>
      <c r="BT17" s="490">
        <f>BT16-BT15</f>
        <v>-3.284286423068613e-15</v>
      </c>
      <c r="BU17" s="490">
        <f>BU16-BU15</f>
        <v>-1.6421432115341046e-15</v>
      </c>
      <c r="BV17" s="490">
        <f>BV16-BV15</f>
        <v>3.284286423068613e-15</v>
      </c>
      <c r="BW17" s="490">
        <f>BW16-BW15</f>
        <v>1.6421432115341046e-15</v>
      </c>
      <c r="BX17" s="490">
        <f>BX16-BX15</f>
        <v>-3.284286423068815e-15</v>
      </c>
      <c r="BY17" s="490">
        <f>BY16-BY15</f>
        <v>-1.6421432115339027e-15</v>
      </c>
      <c r="BZ17" s="490">
        <f>BZ16-BZ15</f>
        <v>3.284286423068815e-15</v>
      </c>
      <c r="CA17" s="490">
        <f>CA16-CA15</f>
        <v>1.6421432115341046e-15</v>
      </c>
      <c r="CB17" s="490">
        <f>CB16-CB15</f>
        <v>-3.284286423068613e-15</v>
      </c>
      <c r="CC17" s="490">
        <f>CC16-CC15</f>
        <v>-1.6421432115343066e-15</v>
      </c>
      <c r="CD17" s="490">
        <f>CD16-CD15</f>
        <v>1.6421432115347105e-15</v>
      </c>
      <c r="CE17" s="490">
        <f>CE16-CE15</f>
        <v>1.6421432115345085e-15</v>
      </c>
      <c r="CF17" s="490">
        <f>CF16-CF15</f>
        <v>-1.6421432115347105e-15</v>
      </c>
      <c r="CG17" s="490">
        <f>CG16-CG15</f>
        <v>-1.6421432115343066e-15</v>
      </c>
      <c r="CH17" s="490">
        <f>CH16-CH15</f>
        <v>3.284286423068613e-15</v>
      </c>
      <c r="CI17" s="490">
        <f>CI16-CI15</f>
        <v>1.6421432115343066e-15</v>
      </c>
      <c r="CJ17" s="490">
        <f>CJ16-CJ15</f>
        <v>-3.284286423068613e-15</v>
      </c>
      <c r="CK17" s="490">
        <f>CK16-CK15</f>
        <v>-2.9887006449924864e-13</v>
      </c>
      <c r="CL17" s="490">
        <f>CL16-CL15</f>
        <v>1.5107717546115903e-13</v>
      </c>
      <c r="CM17" s="490">
        <f>CM16-CM15</f>
        <v>4.4830509674887316e-13</v>
      </c>
      <c r="CN17" s="490">
        <f>CN16-CN15</f>
        <v>0.0</v>
      </c>
      <c r="CO17" s="490">
        <f>CO16-CO15</f>
        <v>0.0</v>
      </c>
    </row>
    <row r="18">
      <c r="A18" s="358" t="n"/>
      <c r="B18" s="358" t="n"/>
      <c r="C18" s="359" t="n"/>
      <c r="D18" s="360" t="n"/>
      <c r="E18" s="390" t="inlineStr">
        <is>
          <t>DSRA balance END</t>
        </is>
      </c>
      <c r="F18" s="504" t="n"/>
      <c r="G18" s="390" t="inlineStr">
        <is>
          <t>$ 000s</t>
        </is>
      </c>
      <c r="H18" s="504" t="n"/>
      <c r="I18" s="484" t="n"/>
      <c r="J18" s="504">
        <f>IF(Time!J$45=1,0,J14+J15-J16)</f>
        <v>0.0</v>
      </c>
      <c r="K18" s="504">
        <f>IF(Time!K$45=1,0,K14+K15-K16)</f>
        <v>0.0</v>
      </c>
      <c r="L18" s="504">
        <f>IF(Time!L$45=1,0,L14+L15-L16)</f>
        <v>3268.6067374328723</v>
      </c>
      <c r="M18" s="504">
        <f>IF(Time!M$45=1,0,M14+M15-M16)</f>
        <v>4658.351134366447</v>
      </c>
      <c r="N18" s="504">
        <f>IF(Time!N$45=1,0,N14+N15-N16)</f>
        <v>4635.969261341143</v>
      </c>
      <c r="O18" s="504">
        <f>IF(Time!O$45=1,0,O14+O15-O16)</f>
        <v>4619.762418979944</v>
      </c>
      <c r="P18" s="504">
        <f>IF(Time!P$45=1,0,P14+P15-P16)</f>
        <v>4616.68809487728</v>
      </c>
      <c r="Q18" s="504">
        <f>IF(Time!Q$45=1,0,Q14+Q15-Q16)</f>
        <v>3717.679199770067</v>
      </c>
      <c r="R18" s="504">
        <f>IF(Time!R$45=1,0,R14+R15-R16)</f>
        <v>3779.2867341662013</v>
      </c>
      <c r="S18" s="504">
        <f>IF(Time!S$45=1,0,S14+S15-S16)</f>
        <v>4765.816288121549</v>
      </c>
      <c r="T18" s="504">
        <f>IF(Time!T$45=1,0,T14+T15-T16)</f>
        <v>4800.310287345954</v>
      </c>
      <c r="U18" s="504">
        <f>IF(Time!U$45=1,0,U14+U15-U16)</f>
        <v>4350.911958402309</v>
      </c>
      <c r="V18" s="504">
        <f>IF(Time!V$45=1,0,V14+V15-V16)</f>
        <v>4344.984939960149</v>
      </c>
      <c r="W18" s="504">
        <f>IF(Time!W$45=1,0,W14+W15-W16)</f>
        <v>4790.247759670805</v>
      </c>
      <c r="X18" s="504">
        <f>IF(Time!X$45=1,0,X14+X15-X16)</f>
        <v>4791.394947001525</v>
      </c>
      <c r="Y18" s="504">
        <f>IF(Time!Y$45=1,0,Y14+Y15-Y16)</f>
        <v>4115.850714014594</v>
      </c>
      <c r="Z18" s="504">
        <f>IF(Time!Z$45=1,0,Z14+Z15-Z16)</f>
        <v>4115.475146458879</v>
      </c>
      <c r="AA18" s="504">
        <f>IF(Time!AA$45=1,0,AA14+AA15-AA16)</f>
        <v>4793.096331740817</v>
      </c>
      <c r="AB18" s="504">
        <f>IF(Time!AB$45=1,0,AB14+AB15-AB16)</f>
        <v>4930.218997933473</v>
      </c>
      <c r="AC18" s="504">
        <f>IF(Time!AC$45=1,0,AC14+AC15-AC16)</f>
        <v>4687.944626065586</v>
      </c>
      <c r="AD18" s="504">
        <f>IF(Time!AD$45=1,0,AD14+AD15-AD16)</f>
        <v>4768.2963271119515</v>
      </c>
      <c r="AE18" s="504">
        <f>IF(Time!AE$45=1,0,AE14+AE15-AE16)</f>
        <v>5230.632697360592</v>
      </c>
      <c r="AF18" s="504">
        <f>IF(Time!AF$45=1,0,AF14+AF15-AF16)</f>
        <v>5251.0168086540225</v>
      </c>
      <c r="AG18" s="504">
        <f>IF(Time!AG$45=1,0,AG14+AG15-AG16)</f>
        <v>5034.170828736949</v>
      </c>
      <c r="AH18" s="504">
        <f>IF(Time!AH$45=1,0,AH14+AH15-AH16)</f>
        <v>5042.895672465524</v>
      </c>
      <c r="AI18" s="504">
        <f>IF(Time!AI$45=1,0,AI14+AI15-AI16)</f>
        <v>5281.442255370333</v>
      </c>
      <c r="AJ18" s="504">
        <f>IF(Time!AJ$45=1,0,AJ14+AJ15-AJ16)</f>
        <v>5303.773630028999</v>
      </c>
      <c r="AK18" s="504">
        <f>IF(Time!AK$45=1,0,AK14+AK15-AK16)</f>
        <v>5004.192319409857</v>
      </c>
      <c r="AL18" s="504">
        <f>IF(Time!AL$45=1,0,AL14+AL15-AL16)</f>
        <v>5236.626385862334</v>
      </c>
      <c r="AM18" s="504">
        <f>IF(Time!AM$45=1,0,AM14+AM15-AM16)</f>
        <v>5800.630169872238</v>
      </c>
      <c r="AN18" s="504">
        <f>IF(Time!AN$45=1,0,AN14+AN15-AN16)</f>
        <v>5837.903019356956</v>
      </c>
      <c r="AO18" s="504">
        <f>IF(Time!AO$45=1,0,AO14+AO15-AO16)</f>
        <v>5410.405025950675</v>
      </c>
      <c r="AP18" s="504">
        <f>IF(Time!AP$45=1,0,AP14+AP15-AP16)</f>
        <v>5427.536209537877</v>
      </c>
      <c r="AQ18" s="504">
        <f>IF(Time!AQ$45=1,0,AQ14+AQ15-AQ16)</f>
        <v>5908.999377763162</v>
      </c>
      <c r="AR18" s="504">
        <f>IF(Time!AR$45=1,0,AR14+AR15-AR16)</f>
        <v>5950.672897592678</v>
      </c>
      <c r="AS18" s="504">
        <f>IF(Time!AS$45=1,0,AS14+AS15-AS16)</f>
        <v>5971.246102779231</v>
      </c>
      <c r="AT18" s="504">
        <f>IF(Time!AT$45=1,0,AT14+AT15-AT16)</f>
        <v>5984.986997793771</v>
      </c>
      <c r="AU18" s="504">
        <f>IF(Time!AU$45=1,0,AU14+AU15-AU16)</f>
        <v>6019.407270411772</v>
      </c>
      <c r="AV18" s="504">
        <f>IF(Time!AV$45=1,0,AV14+AV15-AV16)</f>
        <v>6235.410744479499</v>
      </c>
      <c r="AW18" s="504">
        <f>IF(Time!AW$45=1,0,AW14+AW15-AW16)</f>
        <v>6530.3364926536</v>
      </c>
      <c r="AX18" s="504">
        <f>IF(Time!AX$45=1,0,AX14+AX15-AX16)</f>
        <v>3268.829755362464</v>
      </c>
      <c r="AY18" s="504">
        <f>IF(Time!AY$45=1,0,AY14+AY15-AY16)</f>
        <v>4.547473508864641e-13</v>
      </c>
      <c r="AZ18" s="504">
        <f>IF(Time!AZ$45=1,0,AZ14+AZ15-AZ16)</f>
        <v>3.0051220771078487e-13</v>
      </c>
      <c r="BA18" s="504">
        <f>IF(Time!BA$45=1,0,BA14+BA15-BA16)</f>
        <v>3.0215435092231917e-13</v>
      </c>
      <c r="BB18" s="504">
        <f>IF(Time!BB$45=1,0,BB14+BB15-BB16)</f>
        <v>2.9887006449925046e-13</v>
      </c>
      <c r="BC18" s="504">
        <f>IF(Time!BC$45=1,0,BC14+BC15-BC16)</f>
        <v>2.9722792128771605e-13</v>
      </c>
      <c r="BD18" s="504">
        <f>IF(Time!BD$45=1,0,BD14+BD15-BD16)</f>
        <v>3.0051220771078436e-13</v>
      </c>
      <c r="BE18" s="504">
        <f>IF(Time!BE$45=1,0,BE14+BE15-BE16)</f>
        <v>3.0215435092231847e-13</v>
      </c>
      <c r="BF18" s="504">
        <f>IF(Time!BF$45=1,0,BF14+BF15-BF16)</f>
        <v>2.9887006449924965e-13</v>
      </c>
      <c r="BG18" s="504">
        <f>IF(Time!BG$45=1,0,BG14+BG15-BG16)</f>
        <v>2.9722792128771534e-13</v>
      </c>
      <c r="BH18" s="504">
        <f>IF(Time!BH$45=1,0,BH14+BH15-BH16)</f>
        <v>3.0051220771078396e-13</v>
      </c>
      <c r="BI18" s="504">
        <f>IF(Time!BI$45=1,0,BI14+BI15-BI16)</f>
        <v>3.0215435092231826e-13</v>
      </c>
      <c r="BJ18" s="504">
        <f>IF(Time!BJ$45=1,0,BJ14+BJ15-BJ16)</f>
        <v>2.9887006449924985e-13</v>
      </c>
      <c r="BK18" s="504">
        <f>IF(Time!BK$45=1,0,BK14+BK15-BK16)</f>
        <v>2.9722792128771575e-13</v>
      </c>
      <c r="BL18" s="504">
        <f>IF(Time!BL$45=1,0,BL14+BL15-BL16)</f>
        <v>3.0051220771078416e-13</v>
      </c>
      <c r="BM18" s="504">
        <f>IF(Time!BM$45=1,0,BM14+BM15-BM16)</f>
        <v>3.0215435092231806e-13</v>
      </c>
      <c r="BN18" s="504">
        <f>IF(Time!BN$45=1,0,BN14+BN15-BN16)</f>
        <v>3.0051220771078376e-13</v>
      </c>
      <c r="BO18" s="504">
        <f>IF(Time!BO$45=1,0,BO14+BO15-BO16)</f>
        <v>2.9887006449924945e-13</v>
      </c>
      <c r="BP18" s="504">
        <f>IF(Time!BP$45=1,0,BP14+BP15-BP16)</f>
        <v>3.0051220771078376e-13</v>
      </c>
      <c r="BQ18" s="504">
        <f>IF(Time!BQ$45=1,0,BQ14+BQ15-BQ16)</f>
        <v>3.0215435092231826e-13</v>
      </c>
      <c r="BR18" s="504">
        <f>IF(Time!BR$45=1,0,BR14+BR15-BR16)</f>
        <v>2.9887006449924965e-13</v>
      </c>
      <c r="BS18" s="504">
        <f>IF(Time!BS$45=1,0,BS14+BS15-BS16)</f>
        <v>2.9722792128771534e-13</v>
      </c>
      <c r="BT18" s="504">
        <f>IF(Time!BT$45=1,0,BT14+BT15-BT16)</f>
        <v>3.0051220771078396e-13</v>
      </c>
      <c r="BU18" s="504">
        <f>IF(Time!BU$45=1,0,BU14+BU15-BU16)</f>
        <v>3.0215435092231806e-13</v>
      </c>
      <c r="BV18" s="504">
        <f>IF(Time!BV$45=1,0,BV14+BV15-BV16)</f>
        <v>2.9887006449924945e-13</v>
      </c>
      <c r="BW18" s="504">
        <f>IF(Time!BW$45=1,0,BW14+BW15-BW16)</f>
        <v>2.9722792128771534e-13</v>
      </c>
      <c r="BX18" s="504">
        <f>IF(Time!BX$45=1,0,BX14+BX15-BX16)</f>
        <v>3.0051220771078416e-13</v>
      </c>
      <c r="BY18" s="504">
        <f>IF(Time!BY$45=1,0,BY14+BY15-BY16)</f>
        <v>3.0215435092231806e-13</v>
      </c>
      <c r="BZ18" s="504">
        <f>IF(Time!BZ$45=1,0,BZ14+BZ15-BZ16)</f>
        <v>2.9887006449924925e-13</v>
      </c>
      <c r="CA18" s="504">
        <f>IF(Time!CA$45=1,0,CA14+CA15-CA16)</f>
        <v>2.9722792128771514e-13</v>
      </c>
      <c r="CB18" s="504">
        <f>IF(Time!CB$45=1,0,CB14+CB15-CB16)</f>
        <v>3.0051220771078376e-13</v>
      </c>
      <c r="CC18" s="504">
        <f>IF(Time!CC$45=1,0,CC14+CC15-CC16)</f>
        <v>3.0215435092231806e-13</v>
      </c>
      <c r="CD18" s="504">
        <f>IF(Time!CD$45=1,0,CD14+CD15-CD16)</f>
        <v>3.0051220771078335e-13</v>
      </c>
      <c r="CE18" s="504">
        <f>IF(Time!CE$45=1,0,CE14+CE15-CE16)</f>
        <v>2.9887006449924884e-13</v>
      </c>
      <c r="CF18" s="504">
        <f>IF(Time!CF$45=1,0,CF14+CF15-CF16)</f>
        <v>3.0051220771078355e-13</v>
      </c>
      <c r="CG18" s="504">
        <f>IF(Time!CG$45=1,0,CG14+CG15-CG16)</f>
        <v>3.0215435092231786e-13</v>
      </c>
      <c r="CH18" s="504">
        <f>IF(Time!CH$45=1,0,CH14+CH15-CH16)</f>
        <v>2.9887006449924925e-13</v>
      </c>
      <c r="CI18" s="504">
        <f>IF(Time!CI$45=1,0,CI14+CI15-CI16)</f>
        <v>2.9722792128771494e-13</v>
      </c>
      <c r="CJ18" s="504">
        <f>IF(Time!CJ$45=1,0,CJ14+CJ15-CJ16)</f>
        <v>3.0051220771078355e-13</v>
      </c>
      <c r="CK18" s="504">
        <f>IF(Time!CK$45=1,0,CK14+CK15-CK16)</f>
        <v>5.993822722100322e-13</v>
      </c>
      <c r="CL18" s="504">
        <f>IF(Time!CL$45=1,0,CL14+CL15-CL16)</f>
        <v>4.4830509674887316e-13</v>
      </c>
      <c r="CM18" s="504">
        <f>IF(Time!CM$45=1,0,CM14+CM15-CM16)</f>
        <v>0.0</v>
      </c>
      <c r="CN18" s="504">
        <f>IF(Time!CN$45=1,0,CN14+CN15-CN16)</f>
        <v>0.0</v>
      </c>
      <c r="CO18" s="504">
        <f>IF(Time!CO$45=1,0,CO14+CO15-CO16)</f>
        <v>0.0</v>
      </c>
    </row>
  </sheetData>
  <pageMargins left="0.75" right="0.75" top="1" bottom="1" header="0.5" footer="0.5"/>
</worksheet>
</file>

<file path=xl/worksheets/sheet15.xml><?xml version="1.0" encoding="utf-8"?>
<worksheet xmlns="http://schemas.openxmlformats.org/spreadsheetml/2006/main">
  <sheetPr>
    <tabColor rgb="000B5E82"/>
    <outlinePr summaryBelow="1" summaryRight="1"/>
    <pageSetUpPr/>
  </sheetPr>
  <dimension ref="A1:CO27"/>
  <sheetViews>
    <sheetView showGridLines="0" zoomScale="100"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1.1640625" customWidth="1" style="396" min="1" max="2"/>
    <col width="1.1640625" customWidth="1" style="396" min="3" max="3"/>
    <col width="1.1640625" customWidth="1" style="396" min="4" max="4"/>
    <col width="40.83203125" customWidth="1" style="396" min="5" max="5"/>
    <col width="12.83203125" customWidth="1" style="396" min="6" max="6"/>
    <col width="11.6640625" customWidth="1" style="396" min="7" max="8"/>
    <col width="2.6640625" customWidth="1" style="396" min="9" max="9"/>
    <col width="11.6640625" customWidth="1" style="396" min="10" max="93"/>
  </cols>
  <sheetData>
    <row r="1">
      <c r="A1" s="1">
        <f> RIGHT(CELL("filename", A1), LEN(CELL("filename", A1)) - SEARCH("]", CELL("filename", A1)))</f>
        <v/>
      </c>
      <c r="B1" s="294" t="n"/>
      <c r="C1" s="212" t="n"/>
      <c r="D1" s="244" t="n"/>
    </row>
    <row r="2">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SHAREHOLDER LOAN</t>
        </is>
      </c>
    </row>
    <row r="9">
      <c r="E9" s="344" t="str">
        <f>InpC!E$147</f>
        <v>Shareholder loan share of sponsor funding</v>
      </c>
      <c r="F9" s="498">
        <f>InpC!F$147</f>
        <v>0.6</v>
      </c>
      <c r="G9" s="344" t="str">
        <f>InpC!G$147</f>
        <v>%</v>
      </c>
      <c r="H9" s="484" t="n"/>
      <c r="I9" s="484" t="n"/>
      <c r="J9" s="484" t="n"/>
      <c r="K9" s="484" t="n"/>
      <c r="L9" s="484" t="n"/>
      <c r="M9" s="484" t="n"/>
      <c r="N9" s="484" t="n"/>
      <c r="O9" s="484" t="n"/>
      <c r="P9" s="484" t="n"/>
      <c r="Q9" s="484" t="n"/>
      <c r="R9" s="484" t="n"/>
      <c r="S9" s="484" t="n"/>
      <c r="T9" s="484" t="n"/>
      <c r="U9" s="484" t="n"/>
      <c r="V9" s="484" t="n"/>
      <c r="W9" s="484" t="n"/>
      <c r="X9" s="484" t="n"/>
      <c r="Y9" s="484" t="n"/>
      <c r="Z9" s="484" t="n"/>
      <c r="AA9" s="484" t="n"/>
      <c r="AB9" s="484" t="n"/>
      <c r="AC9" s="484" t="n"/>
      <c r="AD9" s="484" t="n"/>
      <c r="AE9" s="484" t="n"/>
      <c r="AF9" s="484" t="n"/>
      <c r="AG9" s="484" t="n"/>
      <c r="AH9" s="484" t="n"/>
      <c r="AI9" s="484" t="n"/>
      <c r="AJ9" s="484" t="n"/>
      <c r="AK9" s="484" t="n"/>
      <c r="AL9" s="484" t="n"/>
      <c r="AM9" s="484" t="n"/>
      <c r="AN9" s="484" t="n"/>
      <c r="AO9" s="484" t="n"/>
      <c r="AP9" s="484" t="n"/>
      <c r="AQ9" s="484" t="n"/>
      <c r="AR9" s="484" t="n"/>
      <c r="AS9" s="484" t="n"/>
      <c r="AT9" s="484" t="n"/>
      <c r="AU9" s="484" t="n"/>
      <c r="AV9" s="484" t="n"/>
      <c r="AW9" s="484" t="n"/>
      <c r="AX9" s="484" t="n"/>
      <c r="AY9" s="484" t="n"/>
      <c r="AZ9" s="484" t="n"/>
      <c r="BA9" s="484" t="n"/>
      <c r="BB9" s="484" t="n"/>
      <c r="BC9" s="484" t="n"/>
      <c r="BD9" s="484" t="n"/>
      <c r="BE9" s="484" t="n"/>
      <c r="BF9" s="484" t="n"/>
      <c r="BG9" s="484" t="n"/>
      <c r="BH9" s="484" t="n"/>
      <c r="BI9" s="484" t="n"/>
      <c r="BJ9" s="484" t="n"/>
      <c r="BK9" s="484" t="n"/>
      <c r="BL9" s="484" t="n"/>
      <c r="BM9" s="484" t="n"/>
      <c r="BN9" s="484" t="n"/>
      <c r="BO9" s="484" t="n"/>
      <c r="BP9" s="484" t="n"/>
      <c r="BQ9" s="484" t="n"/>
      <c r="BR9" s="484" t="n"/>
      <c r="BS9" s="484" t="n"/>
      <c r="BT9" s="484" t="n"/>
      <c r="BU9" s="484" t="n"/>
      <c r="BV9" s="484" t="n"/>
      <c r="BW9" s="484" t="n"/>
      <c r="BX9" s="484" t="n"/>
      <c r="BY9" s="484" t="n"/>
      <c r="BZ9" s="484" t="n"/>
      <c r="CA9" s="484" t="n"/>
      <c r="CB9" s="484" t="n"/>
      <c r="CC9" s="484" t="n"/>
      <c r="CD9" s="484" t="n"/>
      <c r="CE9" s="484" t="n"/>
      <c r="CF9" s="484" t="n"/>
      <c r="CG9" s="484" t="n"/>
      <c r="CH9" s="484" t="n"/>
      <c r="CI9" s="484" t="n"/>
      <c r="CJ9" s="484" t="n"/>
      <c r="CK9" s="484" t="n"/>
      <c r="CL9" s="484" t="n"/>
      <c r="CM9" s="484" t="n"/>
      <c r="CN9" s="484" t="n"/>
      <c r="CO9" s="484" t="n"/>
    </row>
    <row r="10">
      <c r="E10" s="344" t="str">
        <f>InpC!E$148</f>
        <v>Shareholder loan interest rate</v>
      </c>
      <c r="F10" s="498">
        <f>InpC!F$148</f>
        <v>0.1</v>
      </c>
      <c r="G10" s="344" t="str">
        <f>InpC!G$148</f>
        <v>% p.a</v>
      </c>
      <c r="H10" s="484" t="n"/>
      <c r="I10" s="484" t="n"/>
      <c r="J10" s="484" t="n"/>
      <c r="K10" s="484" t="n"/>
      <c r="L10" s="484" t="n"/>
      <c r="M10" s="484" t="n"/>
      <c r="N10" s="484" t="n"/>
      <c r="O10" s="484" t="n"/>
      <c r="P10" s="484" t="n"/>
      <c r="Q10" s="484" t="n"/>
      <c r="R10" s="484" t="n"/>
      <c r="S10" s="484" t="n"/>
      <c r="T10" s="484" t="n"/>
      <c r="U10" s="484" t="n"/>
      <c r="V10" s="484" t="n"/>
      <c r="W10" s="484" t="n"/>
      <c r="X10" s="484" t="n"/>
      <c r="Y10" s="484" t="n"/>
      <c r="Z10" s="484" t="n"/>
      <c r="AA10" s="484" t="n"/>
      <c r="AB10" s="484" t="n"/>
      <c r="AC10" s="484" t="n"/>
      <c r="AD10" s="484" t="n"/>
      <c r="AE10" s="484" t="n"/>
      <c r="AF10" s="484" t="n"/>
      <c r="AG10" s="484" t="n"/>
      <c r="AH10" s="484" t="n"/>
      <c r="AI10" s="484" t="n"/>
      <c r="AJ10" s="484" t="n"/>
      <c r="AK10" s="484" t="n"/>
      <c r="AL10" s="484" t="n"/>
      <c r="AM10" s="484" t="n"/>
      <c r="AN10" s="484" t="n"/>
      <c r="AO10" s="484" t="n"/>
      <c r="AP10" s="484" t="n"/>
      <c r="AQ10" s="484" t="n"/>
      <c r="AR10" s="484" t="n"/>
      <c r="AS10" s="484" t="n"/>
      <c r="AT10" s="484" t="n"/>
      <c r="AU10" s="484" t="n"/>
      <c r="AV10" s="484" t="n"/>
      <c r="AW10" s="484" t="n"/>
      <c r="AX10" s="484" t="n"/>
      <c r="AY10" s="484" t="n"/>
      <c r="AZ10" s="484" t="n"/>
      <c r="BA10" s="484" t="n"/>
      <c r="BB10" s="484" t="n"/>
      <c r="BC10" s="484" t="n"/>
      <c r="BD10" s="484" t="n"/>
      <c r="BE10" s="484" t="n"/>
      <c r="BF10" s="484" t="n"/>
      <c r="BG10" s="484" t="n"/>
      <c r="BH10" s="484" t="n"/>
      <c r="BI10" s="484" t="n"/>
      <c r="BJ10" s="484" t="n"/>
      <c r="BK10" s="484" t="n"/>
      <c r="BL10" s="484" t="n"/>
      <c r="BM10" s="484" t="n"/>
      <c r="BN10" s="484" t="n"/>
      <c r="BO10" s="484" t="n"/>
      <c r="BP10" s="484" t="n"/>
      <c r="BQ10" s="484" t="n"/>
      <c r="BR10" s="484" t="n"/>
      <c r="BS10" s="484" t="n"/>
      <c r="BT10" s="484" t="n"/>
      <c r="BU10" s="484" t="n"/>
      <c r="BV10" s="484" t="n"/>
      <c r="BW10" s="484" t="n"/>
      <c r="BX10" s="484" t="n"/>
      <c r="BY10" s="484" t="n"/>
      <c r="BZ10" s="484" t="n"/>
      <c r="CA10" s="484" t="n"/>
      <c r="CB10" s="484" t="n"/>
      <c r="CC10" s="484" t="n"/>
      <c r="CD10" s="484" t="n"/>
      <c r="CE10" s="484" t="n"/>
      <c r="CF10" s="484" t="n"/>
      <c r="CG10" s="484" t="n"/>
      <c r="CH10" s="484" t="n"/>
      <c r="CI10" s="484" t="n"/>
      <c r="CJ10" s="484" t="n"/>
      <c r="CK10" s="484" t="n"/>
      <c r="CL10" s="484" t="n"/>
      <c r="CM10" s="484" t="n"/>
      <c r="CN10" s="484" t="n"/>
      <c r="CO10" s="484" t="n"/>
    </row>
    <row r="11">
      <c r="E11" s="344" t="str">
        <f>InpC!E$79</f>
        <v>Day count convention </v>
      </c>
      <c r="F11" s="498">
        <f>InpC!F$79</f>
        <v>360.0</v>
      </c>
      <c r="G11" s="344" t="str">
        <f>InpC!G$79</f>
        <v>days</v>
      </c>
      <c r="H11" s="484" t="n"/>
      <c r="I11" s="484" t="n"/>
      <c r="J11" s="484" t="n"/>
      <c r="K11" s="484" t="n"/>
      <c r="L11" s="484" t="n"/>
      <c r="M11" s="484" t="n"/>
      <c r="N11" s="484" t="n"/>
      <c r="O11" s="484" t="n"/>
      <c r="P11" s="484" t="n"/>
      <c r="Q11" s="484" t="n"/>
      <c r="R11" s="484" t="n"/>
      <c r="S11" s="484" t="n"/>
      <c r="T11" s="484" t="n"/>
      <c r="U11" s="484" t="n"/>
      <c r="V11" s="484" t="n"/>
      <c r="W11" s="484" t="n"/>
      <c r="X11" s="484" t="n"/>
      <c r="Y11" s="484" t="n"/>
      <c r="Z11" s="484" t="n"/>
      <c r="AA11" s="484" t="n"/>
      <c r="AB11" s="484" t="n"/>
      <c r="AC11" s="484" t="n"/>
      <c r="AD11" s="484" t="n"/>
      <c r="AE11" s="484" t="n"/>
      <c r="AF11" s="484" t="n"/>
      <c r="AG11" s="484" t="n"/>
      <c r="AH11" s="484" t="n"/>
      <c r="AI11" s="484" t="n"/>
      <c r="AJ11" s="484" t="n"/>
      <c r="AK11" s="484" t="n"/>
      <c r="AL11" s="484" t="n"/>
      <c r="AM11" s="484" t="n"/>
      <c r="AN11" s="484" t="n"/>
      <c r="AO11" s="484" t="n"/>
      <c r="AP11" s="484" t="n"/>
      <c r="AQ11" s="484" t="n"/>
      <c r="AR11" s="484" t="n"/>
      <c r="AS11" s="484" t="n"/>
      <c r="AT11" s="484" t="n"/>
      <c r="AU11" s="484" t="n"/>
      <c r="AV11" s="484" t="n"/>
      <c r="AW11" s="484" t="n"/>
      <c r="AX11" s="484" t="n"/>
      <c r="AY11" s="484" t="n"/>
      <c r="AZ11" s="484" t="n"/>
      <c r="BA11" s="484" t="n"/>
      <c r="BB11" s="484" t="n"/>
      <c r="BC11" s="484" t="n"/>
      <c r="BD11" s="484" t="n"/>
      <c r="BE11" s="484" t="n"/>
      <c r="BF11" s="484" t="n"/>
      <c r="BG11" s="484" t="n"/>
      <c r="BH11" s="484" t="n"/>
      <c r="BI11" s="484" t="n"/>
      <c r="BJ11" s="484" t="n"/>
      <c r="BK11" s="484" t="n"/>
      <c r="BL11" s="484" t="n"/>
      <c r="BM11" s="484" t="n"/>
      <c r="BN11" s="484" t="n"/>
      <c r="BO11" s="484" t="n"/>
      <c r="BP11" s="484" t="n"/>
      <c r="BQ11" s="484" t="n"/>
      <c r="BR11" s="484" t="n"/>
      <c r="BS11" s="484" t="n"/>
      <c r="BT11" s="484" t="n"/>
      <c r="BU11" s="484" t="n"/>
      <c r="BV11" s="484" t="n"/>
      <c r="BW11" s="484" t="n"/>
      <c r="BX11" s="484" t="n"/>
      <c r="BY11" s="484" t="n"/>
      <c r="BZ11" s="484" t="n"/>
      <c r="CA11" s="484" t="n"/>
      <c r="CB11" s="484" t="n"/>
      <c r="CC11" s="484" t="n"/>
      <c r="CD11" s="484" t="n"/>
      <c r="CE11" s="484" t="n"/>
      <c r="CF11" s="484" t="n"/>
      <c r="CG11" s="484" t="n"/>
      <c r="CH11" s="484" t="n"/>
      <c r="CI11" s="484" t="n"/>
      <c r="CJ11" s="484" t="n"/>
      <c r="CK11" s="484" t="n"/>
      <c r="CL11" s="484" t="n"/>
      <c r="CM11" s="484" t="n"/>
      <c r="CN11" s="484" t="n"/>
      <c r="CO11" s="484" t="n"/>
    </row>
    <row r="12">
      <c r="E12" s="61" t="inlineStr">
        <is>
          <t>Sponsor funding at COD</t>
        </is>
      </c>
      <c r="F12" s="484">
        <f>Constr!F54</f>
        <v>28913.57448326479</v>
      </c>
      <c r="G12" s="61" t="inlineStr">
        <is>
          <t>$ 000s</t>
        </is>
      </c>
      <c r="H12" s="490" t="n"/>
      <c r="I12" s="484" t="n"/>
      <c r="J12" s="490" t="n"/>
      <c r="K12" s="490" t="n"/>
      <c r="L12" s="490" t="n"/>
      <c r="M12" s="490" t="n"/>
      <c r="N12" s="490" t="n"/>
      <c r="O12" s="490" t="n"/>
      <c r="P12" s="490" t="n"/>
      <c r="Q12" s="490" t="n"/>
      <c r="R12" s="490" t="n"/>
      <c r="S12" s="490" t="n"/>
      <c r="T12" s="490" t="n"/>
      <c r="U12" s="490" t="n"/>
      <c r="V12" s="490" t="n"/>
      <c r="W12" s="490" t="n"/>
      <c r="X12" s="490" t="n"/>
      <c r="Y12" s="490" t="n"/>
      <c r="Z12" s="490" t="n"/>
      <c r="AA12" s="490" t="n"/>
      <c r="AB12" s="490" t="n"/>
      <c r="AC12" s="490" t="n"/>
      <c r="AD12" s="490" t="n"/>
      <c r="AE12" s="490" t="n"/>
      <c r="AF12" s="490" t="n"/>
      <c r="AG12" s="490" t="n"/>
      <c r="AH12" s="490" t="n"/>
      <c r="AI12" s="490" t="n"/>
      <c r="AJ12" s="490" t="n"/>
      <c r="AK12" s="490" t="n"/>
      <c r="AL12" s="490" t="n"/>
      <c r="AM12" s="490" t="n"/>
      <c r="AN12" s="490" t="n"/>
      <c r="AO12" s="490" t="n"/>
      <c r="AP12" s="490" t="n"/>
      <c r="AQ12" s="490" t="n"/>
      <c r="AR12" s="490" t="n"/>
      <c r="AS12" s="490" t="n"/>
      <c r="AT12" s="490" t="n"/>
      <c r="AU12" s="490" t="n"/>
      <c r="AV12" s="490" t="n"/>
      <c r="AW12" s="490" t="n"/>
      <c r="AX12" s="490" t="n"/>
      <c r="AY12" s="490" t="n"/>
      <c r="AZ12" s="490" t="n"/>
      <c r="BA12" s="490" t="n"/>
      <c r="BB12" s="490" t="n"/>
      <c r="BC12" s="490" t="n"/>
      <c r="BD12" s="490" t="n"/>
      <c r="BE12" s="490" t="n"/>
      <c r="BF12" s="490" t="n"/>
      <c r="BG12" s="490" t="n"/>
      <c r="BH12" s="490" t="n"/>
      <c r="BI12" s="490" t="n"/>
      <c r="BJ12" s="490" t="n"/>
      <c r="BK12" s="490" t="n"/>
      <c r="BL12" s="490" t="n"/>
      <c r="BM12" s="490" t="n"/>
      <c r="BN12" s="490" t="n"/>
      <c r="BO12" s="490" t="n"/>
      <c r="BP12" s="490" t="n"/>
      <c r="BQ12" s="490" t="n"/>
      <c r="BR12" s="490" t="n"/>
      <c r="BS12" s="490" t="n"/>
      <c r="BT12" s="490" t="n"/>
      <c r="BU12" s="490" t="n"/>
      <c r="BV12" s="490" t="n"/>
      <c r="BW12" s="490" t="n"/>
      <c r="BX12" s="490" t="n"/>
      <c r="BY12" s="490" t="n"/>
      <c r="BZ12" s="490" t="n"/>
      <c r="CA12" s="490" t="n"/>
      <c r="CB12" s="490" t="n"/>
      <c r="CC12" s="490" t="n"/>
      <c r="CD12" s="490" t="n"/>
      <c r="CE12" s="490" t="n"/>
      <c r="CF12" s="490" t="n"/>
      <c r="CG12" s="490" t="n"/>
      <c r="CH12" s="490" t="n"/>
      <c r="CI12" s="490" t="n"/>
      <c r="CJ12" s="490" t="n"/>
      <c r="CK12" s="490" t="n"/>
      <c r="CL12" s="490" t="n"/>
      <c r="CM12" s="490" t="n"/>
      <c r="CN12" s="490" t="n"/>
      <c r="CO12" s="490" t="n"/>
    </row>
    <row r="13">
      <c r="A13" s="358" t="n"/>
      <c r="B13" s="358" t="n"/>
      <c r="C13" s="359" t="n"/>
      <c r="D13" s="360" t="n"/>
      <c r="E13" s="390" t="inlineStr">
        <is>
          <t>Shareholder loan - initial balance</t>
        </is>
      </c>
      <c r="F13" s="504">
        <f>F12*F9</f>
        <v>17348.144689958874</v>
      </c>
      <c r="G13" s="390" t="inlineStr">
        <is>
          <t>$ 000s</t>
        </is>
      </c>
      <c r="H13" s="504" t="n"/>
      <c r="I13" s="484" t="n"/>
      <c r="J13" s="504" t="n"/>
      <c r="K13" s="504" t="n"/>
      <c r="L13" s="504" t="n"/>
      <c r="M13" s="504" t="n"/>
      <c r="N13" s="504" t="n"/>
      <c r="O13" s="504" t="n"/>
      <c r="P13" s="504" t="n"/>
      <c r="Q13" s="504" t="n"/>
      <c r="R13" s="504" t="n"/>
      <c r="S13" s="504" t="n"/>
      <c r="T13" s="504" t="n"/>
      <c r="U13" s="504" t="n"/>
      <c r="V13" s="504" t="n"/>
      <c r="W13" s="504" t="n"/>
      <c r="X13" s="504" t="n"/>
      <c r="Y13" s="504" t="n"/>
      <c r="Z13" s="504" t="n"/>
      <c r="AA13" s="504" t="n"/>
      <c r="AB13" s="504" t="n"/>
      <c r="AC13" s="504" t="n"/>
      <c r="AD13" s="504" t="n"/>
      <c r="AE13" s="504" t="n"/>
      <c r="AF13" s="504" t="n"/>
      <c r="AG13" s="504" t="n"/>
      <c r="AH13" s="504" t="n"/>
      <c r="AI13" s="504" t="n"/>
      <c r="AJ13" s="504" t="n"/>
      <c r="AK13" s="504" t="n"/>
      <c r="AL13" s="504" t="n"/>
      <c r="AM13" s="504" t="n"/>
      <c r="AN13" s="504" t="n"/>
      <c r="AO13" s="504" t="n"/>
      <c r="AP13" s="504" t="n"/>
      <c r="AQ13" s="504" t="n"/>
      <c r="AR13" s="504" t="n"/>
      <c r="AS13" s="504" t="n"/>
      <c r="AT13" s="504" t="n"/>
      <c r="AU13" s="504" t="n"/>
      <c r="AV13" s="504" t="n"/>
      <c r="AW13" s="504" t="n"/>
      <c r="AX13" s="504" t="n"/>
      <c r="AY13" s="504" t="n"/>
      <c r="AZ13" s="504" t="n"/>
      <c r="BA13" s="504" t="n"/>
      <c r="BB13" s="504" t="n"/>
      <c r="BC13" s="504" t="n"/>
      <c r="BD13" s="504" t="n"/>
      <c r="BE13" s="504" t="n"/>
      <c r="BF13" s="504" t="n"/>
      <c r="BG13" s="504" t="n"/>
      <c r="BH13" s="504" t="n"/>
      <c r="BI13" s="504" t="n"/>
      <c r="BJ13" s="504" t="n"/>
      <c r="BK13" s="504" t="n"/>
      <c r="BL13" s="504" t="n"/>
      <c r="BM13" s="504" t="n"/>
      <c r="BN13" s="504" t="n"/>
      <c r="BO13" s="504" t="n"/>
      <c r="BP13" s="504" t="n"/>
      <c r="BQ13" s="504" t="n"/>
      <c r="BR13" s="504" t="n"/>
      <c r="BS13" s="504" t="n"/>
      <c r="BT13" s="504" t="n"/>
      <c r="BU13" s="504" t="n"/>
      <c r="BV13" s="504" t="n"/>
      <c r="BW13" s="504" t="n"/>
      <c r="BX13" s="504" t="n"/>
      <c r="BY13" s="504" t="n"/>
      <c r="BZ13" s="504" t="n"/>
      <c r="CA13" s="504" t="n"/>
      <c r="CB13" s="504" t="n"/>
      <c r="CC13" s="504" t="n"/>
      <c r="CD13" s="504" t="n"/>
      <c r="CE13" s="504" t="n"/>
      <c r="CF13" s="504" t="n"/>
      <c r="CG13" s="504" t="n"/>
      <c r="CH13" s="504" t="n"/>
      <c r="CI13" s="504" t="n"/>
      <c r="CJ13" s="504" t="n"/>
      <c r="CK13" s="504" t="n"/>
      <c r="CL13" s="504" t="n"/>
      <c r="CM13" s="504" t="n"/>
      <c r="CN13" s="504" t="n"/>
      <c r="CO13" s="504" t="n"/>
    </row>
    <row r="14">
      <c r="A14" s="358" t="n"/>
      <c r="B14" s="358" t="n"/>
      <c r="C14" s="359" t="n"/>
      <c r="D14" s="360" t="n"/>
      <c r="E14" s="390" t="inlineStr">
        <is>
          <t>Share capital - initial balance</t>
        </is>
      </c>
      <c r="F14" s="504">
        <f>F12-F13</f>
        <v>11565.429793305917</v>
      </c>
      <c r="G14" s="390" t="inlineStr">
        <is>
          <t>$ 000s</t>
        </is>
      </c>
      <c r="H14" s="504" t="n"/>
      <c r="I14" s="484" t="n"/>
      <c r="J14" s="504" t="n"/>
      <c r="K14" s="504" t="n"/>
      <c r="L14" s="504" t="n"/>
      <c r="M14" s="504" t="n"/>
      <c r="N14" s="504" t="n"/>
      <c r="O14" s="504" t="n"/>
      <c r="P14" s="504" t="n"/>
      <c r="Q14" s="504" t="n"/>
      <c r="R14" s="504" t="n"/>
      <c r="S14" s="504" t="n"/>
      <c r="T14" s="504" t="n"/>
      <c r="U14" s="504" t="n"/>
      <c r="V14" s="504" t="n"/>
      <c r="W14" s="504" t="n"/>
      <c r="X14" s="504" t="n"/>
      <c r="Y14" s="504" t="n"/>
      <c r="Z14" s="504" t="n"/>
      <c r="AA14" s="504" t="n"/>
      <c r="AB14" s="504" t="n"/>
      <c r="AC14" s="504" t="n"/>
      <c r="AD14" s="504" t="n"/>
      <c r="AE14" s="504" t="n"/>
      <c r="AF14" s="504" t="n"/>
      <c r="AG14" s="504" t="n"/>
      <c r="AH14" s="504" t="n"/>
      <c r="AI14" s="504" t="n"/>
      <c r="AJ14" s="504" t="n"/>
      <c r="AK14" s="504" t="n"/>
      <c r="AL14" s="504" t="n"/>
      <c r="AM14" s="504" t="n"/>
      <c r="AN14" s="504" t="n"/>
      <c r="AO14" s="504" t="n"/>
      <c r="AP14" s="504" t="n"/>
      <c r="AQ14" s="504" t="n"/>
      <c r="AR14" s="504" t="n"/>
      <c r="AS14" s="504" t="n"/>
      <c r="AT14" s="504" t="n"/>
      <c r="AU14" s="504" t="n"/>
      <c r="AV14" s="504" t="n"/>
      <c r="AW14" s="504" t="n"/>
      <c r="AX14" s="504" t="n"/>
      <c r="AY14" s="504" t="n"/>
      <c r="AZ14" s="504" t="n"/>
      <c r="BA14" s="504" t="n"/>
      <c r="BB14" s="504" t="n"/>
      <c r="BC14" s="504" t="n"/>
      <c r="BD14" s="504" t="n"/>
      <c r="BE14" s="504" t="n"/>
      <c r="BF14" s="504" t="n"/>
      <c r="BG14" s="504" t="n"/>
      <c r="BH14" s="504" t="n"/>
      <c r="BI14" s="504" t="n"/>
      <c r="BJ14" s="504" t="n"/>
      <c r="BK14" s="504" t="n"/>
      <c r="BL14" s="504" t="n"/>
      <c r="BM14" s="504" t="n"/>
      <c r="BN14" s="504" t="n"/>
      <c r="BO14" s="504" t="n"/>
      <c r="BP14" s="504" t="n"/>
      <c r="BQ14" s="504" t="n"/>
      <c r="BR14" s="504" t="n"/>
      <c r="BS14" s="504" t="n"/>
      <c r="BT14" s="504" t="n"/>
      <c r="BU14" s="504" t="n"/>
      <c r="BV14" s="504" t="n"/>
      <c r="BW14" s="504" t="n"/>
      <c r="BX14" s="504" t="n"/>
      <c r="BY14" s="504" t="n"/>
      <c r="BZ14" s="504" t="n"/>
      <c r="CA14" s="504" t="n"/>
      <c r="CB14" s="504" t="n"/>
      <c r="CC14" s="504" t="n"/>
      <c r="CD14" s="504" t="n"/>
      <c r="CE14" s="504" t="n"/>
      <c r="CF14" s="504" t="n"/>
      <c r="CG14" s="504" t="n"/>
      <c r="CH14" s="504" t="n"/>
      <c r="CI14" s="504" t="n"/>
      <c r="CJ14" s="504" t="n"/>
      <c r="CK14" s="504" t="n"/>
      <c r="CL14" s="504" t="n"/>
      <c r="CM14" s="504" t="n"/>
      <c r="CN14" s="504" t="n"/>
      <c r="CO14" s="504" t="n"/>
    </row>
    <row r="16">
      <c r="E16" s="61" t="inlineStr">
        <is>
          <t>Cash available for shareholder loan</t>
        </is>
      </c>
      <c r="F16" s="484" t="n"/>
      <c r="G16" s="61" t="inlineStr">
        <is>
          <t>$ 000s</t>
        </is>
      </c>
      <c r="H16" s="490" t="n"/>
      <c r="I16" s="484" t="n"/>
      <c r="J16" s="490">
        <f>MAX(FinStat!J$43+DSRA!J$17,0)</f>
        <v>0.0</v>
      </c>
      <c r="K16" s="490">
        <f>MAX(FinStat!K$43+DSRA!K$17,0)</f>
        <v>0.0</v>
      </c>
      <c r="L16" s="490">
        <f>MAX(FinStat!L$43+DSRA!L$17,0)</f>
        <v>0.0</v>
      </c>
      <c r="M16" s="490">
        <f>MAX(FinStat!M$43+DSRA!M$17,0)</f>
        <v>1991.8791040414935</v>
      </c>
      <c r="N16" s="490">
        <f>MAX(FinStat!N$43+DSRA!N$17,0)</f>
        <v>3468.3434261505045</v>
      </c>
      <c r="O16" s="490">
        <f>MAX(FinStat!O$43+DSRA!O$17,0)</f>
        <v>3356.9775197918993</v>
      </c>
      <c r="P16" s="490">
        <f>MAX(FinStat!P$43+DSRA!P$17,0)</f>
        <v>3399.0386822676</v>
      </c>
      <c r="Q16" s="490">
        <f>MAX(FinStat!Q$43+DSRA!Q$17,0)</f>
        <v>4202.506917013294</v>
      </c>
      <c r="R16" s="490">
        <f>MAX(FinStat!R$43+DSRA!R$17,0)</f>
        <v>3328.6844368206794</v>
      </c>
      <c r="S16" s="490">
        <f>MAX(FinStat!S$43+DSRA!S$17,0)</f>
        <v>1186.1028088951948</v>
      </c>
      <c r="T16" s="490">
        <f>MAX(FinStat!T$43+DSRA!T$17,0)</f>
        <v>3420.0385126161764</v>
      </c>
      <c r="U16" s="490">
        <f>MAX(FinStat!U$43+DSRA!U$17,0)</f>
        <v>3842.0029327939483</v>
      </c>
      <c r="V16" s="490">
        <f>MAX(FinStat!V$43+DSRA!V$17,0)</f>
        <v>3495.055396905578</v>
      </c>
      <c r="W16" s="490">
        <f>MAX(FinStat!W$43+DSRA!W$17,0)</f>
        <v>2376.6604996260276</v>
      </c>
      <c r="X16" s="490">
        <f>MAX(FinStat!X$43+DSRA!X$17,0)</f>
        <v>3459.547680972972</v>
      </c>
      <c r="Y16" s="490">
        <f>MAX(FinStat!Y$43+DSRA!Y$17,0)</f>
        <v>4037.483812444442</v>
      </c>
      <c r="Z16" s="490">
        <f>MAX(FinStat!Z$43+DSRA!Z$17,0)</f>
        <v>3457.350445181565</v>
      </c>
      <c r="AA16" s="490">
        <f>MAX(FinStat!AA$43+DSRA!AA$17,0)</f>
        <v>1829.8606175099153</v>
      </c>
      <c r="AB16" s="490">
        <f>MAX(FinStat!AB$43+DSRA!AB$17,0)</f>
        <v>3299.215553375736</v>
      </c>
      <c r="AC16" s="490">
        <f>MAX(FinStat!AC$43+DSRA!AC$17,0)</f>
        <v>3580.7877774787435</v>
      </c>
      <c r="AD16" s="490">
        <f>MAX(FinStat!AD$43+DSRA!AD$17,0)</f>
        <v>3520.806115084969</v>
      </c>
      <c r="AE16" s="490">
        <f>MAX(FinStat!AE$43+DSRA!AE$17,0)</f>
        <v>2561.4521953950857</v>
      </c>
      <c r="AF16" s="490">
        <f>MAX(FinStat!AF$43+DSRA!AF$17,0)</f>
        <v>3657.9510168309844</v>
      </c>
      <c r="AG16" s="490">
        <f>MAX(FinStat!AG$43+DSRA!AG$17,0)</f>
        <v>3798.696855635288</v>
      </c>
      <c r="AH16" s="490">
        <f>MAX(FinStat!AH$43+DSRA!AH$17,0)</f>
        <v>3684.6400390223475</v>
      </c>
      <c r="AI16" s="490">
        <f>MAX(FinStat!AI$43+DSRA!AI$17,0)</f>
        <v>3057.3302663310237</v>
      </c>
      <c r="AJ16" s="490">
        <f>MAX(FinStat!AJ$43+DSRA!AJ$17,0)</f>
        <v>3660.251488123323</v>
      </c>
      <c r="AK16" s="490">
        <f>MAX(FinStat!AK$43+DSRA!AK$17,0)</f>
        <v>3871.6839081398666</v>
      </c>
      <c r="AL16" s="490">
        <f>MAX(FinStat!AL$43+DSRA!AL$17,0)</f>
        <v>3461.7511882284625</v>
      </c>
      <c r="AM16" s="490">
        <f>MAX(FinStat!AM$43+DSRA!AM$17,0)</f>
        <v>2616.793770462061</v>
      </c>
      <c r="AN16" s="490">
        <f>MAX(FinStat!AN$43+DSRA!AN$17,0)</f>
        <v>3921.8492466778844</v>
      </c>
      <c r="AO16" s="490">
        <f>MAX(FinStat!AO$43+DSRA!AO$17,0)</f>
        <v>4289.507796844608</v>
      </c>
      <c r="AP16" s="490">
        <f>MAX(FinStat!AP$43+DSRA!AP$17,0)</f>
        <v>3971.1279834601764</v>
      </c>
      <c r="AQ16" s="490">
        <f>MAX(FinStat!AQ$43+DSRA!AQ$17,0)</f>
        <v>2824.8475824798475</v>
      </c>
      <c r="AR16" s="490">
        <f>MAX(FinStat!AR$43+DSRA!AR$17,0)</f>
        <v>3939.9167742291756</v>
      </c>
      <c r="AS16" s="490">
        <f>MAX(FinStat!AS$43+DSRA!AS$17,0)</f>
        <v>3861.833896222187</v>
      </c>
      <c r="AT16" s="490">
        <f>MAX(FinStat!AT$43+DSRA!AT$17,0)</f>
        <v>3999.3972154426788</v>
      </c>
      <c r="AU16" s="490">
        <f>MAX(FinStat!AU$43+DSRA!AU$17,0)</f>
        <v>3849.7082181176015</v>
      </c>
      <c r="AV16" s="490">
        <f>MAX(FinStat!AV$43+DSRA!AV$17,0)</f>
        <v>3782.952646469588</v>
      </c>
      <c r="AW16" s="490">
        <f>MAX(FinStat!AW$43+DSRA!AW$17,0)</f>
        <v>3602.6183886539443</v>
      </c>
      <c r="AX16" s="490">
        <f>MAX(FinStat!AX$43+DSRA!AX$17,0)</f>
        <v>7506.466947081908</v>
      </c>
      <c r="AY16" s="490">
        <f>MAX(FinStat!AY$43+DSRA!AY$17,0)</f>
        <v>7507.2179533938925</v>
      </c>
      <c r="AZ16" s="490">
        <f>MAX(FinStat!AZ$43+DSRA!AZ$17,0)</f>
        <v>7759.8450304382095</v>
      </c>
      <c r="BA16" s="490">
        <f>MAX(FinStat!BA$43+DSRA!BA$17,0)</f>
        <v>7517.18227506947</v>
      </c>
      <c r="BB16" s="490">
        <f>MAX(FinStat!BB$43+DSRA!BB$17,0)</f>
        <v>7765.071855591032</v>
      </c>
      <c r="BC16" s="490">
        <f>MAX(FinStat!BC$43+DSRA!BC$17,0)</f>
        <v>7521.637238564551</v>
      </c>
      <c r="BD16" s="490">
        <f>MAX(FinStat!BD$43+DSRA!BD$17,0)</f>
        <v>7786.862296074629</v>
      </c>
      <c r="BE16" s="490">
        <f>MAX(FinStat!BE$43+DSRA!BE$17,0)</f>
        <v>7627.988950314166</v>
      </c>
      <c r="BF16" s="490">
        <f>MAX(FinStat!BF$43+DSRA!BF$17,0)</f>
        <v>7926.412925883229</v>
      </c>
      <c r="BG16" s="490">
        <f>MAX(FinStat!BG$43+DSRA!BG$17,0)</f>
        <v>7703.404245475238</v>
      </c>
      <c r="BH16" s="490">
        <f>MAX(FinStat!BH$43+DSRA!BH$17,0)</f>
        <v>7569.490087277265</v>
      </c>
      <c r="BI16" s="490">
        <f>MAX(FinStat!BI$43+DSRA!BI$17,0)</f>
        <v>8073.785152795242</v>
      </c>
      <c r="BJ16" s="490">
        <f>MAX(FinStat!BJ$43+DSRA!BJ$17,0)</f>
        <v>7864.656660041153</v>
      </c>
      <c r="BK16" s="490">
        <f>MAX(FinStat!BK$43+DSRA!BK$17,0)</f>
        <v>8164.350522971761</v>
      </c>
      <c r="BL16" s="490">
        <f>MAX(FinStat!BL$43+DSRA!BL$17,0)</f>
        <v>7920.158988451464</v>
      </c>
      <c r="BM16" s="490">
        <f>MAX(FinStat!BM$43+DSRA!BM$17,0)</f>
        <v>8283.741323993563</v>
      </c>
      <c r="BN16" s="490">
        <f>MAX(FinStat!BN$43+DSRA!BN$17,0)</f>
        <v>8069.951845626139</v>
      </c>
      <c r="BO16" s="490">
        <f>MAX(FinStat!BO$43+DSRA!BO$17,0)</f>
        <v>8380.168750155472</v>
      </c>
      <c r="BP16" s="490">
        <f>MAX(FinStat!BP$43+DSRA!BP$17,0)</f>
        <v>8145.432186534468</v>
      </c>
      <c r="BQ16" s="490">
        <f>MAX(FinStat!BQ$43+DSRA!BQ$17,0)</f>
        <v>8051.368270145524</v>
      </c>
      <c r="BR16" s="490">
        <f>MAX(FinStat!BR$43+DSRA!BR$17,0)</f>
        <v>8564.966728450932</v>
      </c>
      <c r="BS16" s="490">
        <f>MAX(FinStat!BS$43+DSRA!BS$17,0)</f>
        <v>8326.10105657528</v>
      </c>
      <c r="BT16" s="490">
        <f>MAX(FinStat!BT$43+DSRA!BT$17,0)</f>
        <v>8631.592591488294</v>
      </c>
      <c r="BU16" s="490">
        <f>MAX(FinStat!BU$43+DSRA!BU$17,0)</f>
        <v>8459.408717410737</v>
      </c>
      <c r="BV16" s="490">
        <f>MAX(FinStat!BV$43+DSRA!BV$17,0)</f>
        <v>8801.585533466476</v>
      </c>
      <c r="BW16" s="490">
        <f>MAX(FinStat!BW$43+DSRA!BW$17,0)</f>
        <v>9017.663894454512</v>
      </c>
      <c r="BX16" s="490">
        <f>MAX(FinStat!BX$43+DSRA!BX$17,0)</f>
        <v>9044.339855832266</v>
      </c>
      <c r="BY16" s="490">
        <f>MAX(FinStat!BY$43+DSRA!BY$17,0)</f>
        <v>9161.799265857671</v>
      </c>
      <c r="BZ16" s="490">
        <f>MAX(FinStat!BZ$43+DSRA!BZ$17,0)</f>
        <v>9225.704544162636</v>
      </c>
      <c r="CA16" s="490">
        <f>MAX(FinStat!CA$43+DSRA!CA$17,0)</f>
        <v>9272.462692519282</v>
      </c>
      <c r="CB16" s="490">
        <f>MAX(FinStat!CB$43+DSRA!CB$17,0)</f>
        <v>9300.72548867681</v>
      </c>
      <c r="CC16" s="490">
        <f>MAX(FinStat!CC$43+DSRA!CC$17,0)</f>
        <v>9422.455909144512</v>
      </c>
      <c r="CD16" s="490">
        <f>MAX(FinStat!CD$43+DSRA!CD$17,0)</f>
        <v>9488.988212533062</v>
      </c>
      <c r="CE16" s="490">
        <f>MAX(FinStat!CE$43+DSRA!CE$17,0)</f>
        <v>9537.823478738128</v>
      </c>
      <c r="CF16" s="490">
        <f>MAX(FinStat!CF$43+DSRA!CF$17,0)</f>
        <v>9586.890103432881</v>
      </c>
      <c r="CG16" s="490">
        <f>MAX(FinStat!CG$43+DSRA!CG$17,0)</f>
        <v>9674.25047865673</v>
      </c>
      <c r="CH16" s="490">
        <f>MAX(FinStat!CH$43+DSRA!CH$17,0)</f>
        <v>9762.672231963468</v>
      </c>
      <c r="CI16" s="490">
        <f>MAX(FinStat!CI$43+DSRA!CI$17,0)</f>
        <v>9813.521837501972</v>
      </c>
      <c r="CJ16" s="490">
        <f>MAX(FinStat!CJ$43+DSRA!CJ$17,0)</f>
        <v>9844.687529595085</v>
      </c>
      <c r="CK16" s="490">
        <f>MAX(FinStat!CK$43+DSRA!CK$17,0)</f>
        <v>9974.953939736379</v>
      </c>
      <c r="CL16" s="490">
        <f>MAX(FinStat!CL$43+DSRA!CL$17,0)</f>
        <v>10046.604537115036</v>
      </c>
      <c r="CM16" s="490">
        <f>MAX(FinStat!CM$43+DSRA!CM$17,0)</f>
        <v>10709.88562449671</v>
      </c>
      <c r="CN16" s="490">
        <f>MAX(FinStat!CN$43+DSRA!CN$17,0)</f>
        <v>1810.7664905536142</v>
      </c>
      <c r="CO16" s="490">
        <f>MAX(FinStat!CO$43+DSRA!CO$17,0)</f>
        <v>0.0</v>
      </c>
    </row>
    <row r="17">
      <c r="E17" s="61" t="inlineStr">
        <is>
          <t>Post-senior-loan flag</t>
        </is>
      </c>
      <c r="F17" s="501" t="n"/>
      <c r="G17" s="61" t="inlineStr">
        <is>
          <t>flag</t>
        </is>
      </c>
      <c r="H17" s="85" t="n"/>
      <c r="I17" s="501" t="n"/>
      <c r="J17" s="85">
        <f>IF(Sculpt!J$11&gt;Sculpt!$F$9,1,0)</f>
        <v>0.0</v>
      </c>
      <c r="K17" s="85">
        <f>IF(Sculpt!K$11&gt;Sculpt!$F$9,1,0)</f>
        <v>0.0</v>
      </c>
      <c r="L17" s="85">
        <f>IF(Sculpt!L$11&gt;Sculpt!$F$9,1,0)</f>
        <v>0.0</v>
      </c>
      <c r="M17" s="85">
        <f>IF(Sculpt!M$11&gt;Sculpt!$F$9,1,0)</f>
        <v>0.0</v>
      </c>
      <c r="N17" s="85">
        <f>IF(Sculpt!N$11&gt;Sculpt!$F$9,1,0)</f>
        <v>0.0</v>
      </c>
      <c r="O17" s="85">
        <f>IF(Sculpt!O$11&gt;Sculpt!$F$9,1,0)</f>
        <v>0.0</v>
      </c>
      <c r="P17" s="85">
        <f>IF(Sculpt!P$11&gt;Sculpt!$F$9,1,0)</f>
        <v>0.0</v>
      </c>
      <c r="Q17" s="85">
        <f>IF(Sculpt!Q$11&gt;Sculpt!$F$9,1,0)</f>
        <v>0.0</v>
      </c>
      <c r="R17" s="85">
        <f>IF(Sculpt!R$11&gt;Sculpt!$F$9,1,0)</f>
        <v>0.0</v>
      </c>
      <c r="S17" s="85">
        <f>IF(Sculpt!S$11&gt;Sculpt!$F$9,1,0)</f>
        <v>0.0</v>
      </c>
      <c r="T17" s="85">
        <f>IF(Sculpt!T$11&gt;Sculpt!$F$9,1,0)</f>
        <v>0.0</v>
      </c>
      <c r="U17" s="85">
        <f>IF(Sculpt!U$11&gt;Sculpt!$F$9,1,0)</f>
        <v>0.0</v>
      </c>
      <c r="V17" s="85">
        <f>IF(Sculpt!V$11&gt;Sculpt!$F$9,1,0)</f>
        <v>0.0</v>
      </c>
      <c r="W17" s="85">
        <f>IF(Sculpt!W$11&gt;Sculpt!$F$9,1,0)</f>
        <v>0.0</v>
      </c>
      <c r="X17" s="85">
        <f>IF(Sculpt!X$11&gt;Sculpt!$F$9,1,0)</f>
        <v>0.0</v>
      </c>
      <c r="Y17" s="85">
        <f>IF(Sculpt!Y$11&gt;Sculpt!$F$9,1,0)</f>
        <v>0.0</v>
      </c>
      <c r="Z17" s="85">
        <f>IF(Sculpt!Z$11&gt;Sculpt!$F$9,1,0)</f>
        <v>0.0</v>
      </c>
      <c r="AA17" s="85">
        <f>IF(Sculpt!AA$11&gt;Sculpt!$F$9,1,0)</f>
        <v>0.0</v>
      </c>
      <c r="AB17" s="85">
        <f>IF(Sculpt!AB$11&gt;Sculpt!$F$9,1,0)</f>
        <v>0.0</v>
      </c>
      <c r="AC17" s="85">
        <f>IF(Sculpt!AC$11&gt;Sculpt!$F$9,1,0)</f>
        <v>0.0</v>
      </c>
      <c r="AD17" s="85">
        <f>IF(Sculpt!AD$11&gt;Sculpt!$F$9,1,0)</f>
        <v>0.0</v>
      </c>
      <c r="AE17" s="85">
        <f>IF(Sculpt!AE$11&gt;Sculpt!$F$9,1,0)</f>
        <v>0.0</v>
      </c>
      <c r="AF17" s="85">
        <f>IF(Sculpt!AF$11&gt;Sculpt!$F$9,1,0)</f>
        <v>0.0</v>
      </c>
      <c r="AG17" s="85">
        <f>IF(Sculpt!AG$11&gt;Sculpt!$F$9,1,0)</f>
        <v>0.0</v>
      </c>
      <c r="AH17" s="85">
        <f>IF(Sculpt!AH$11&gt;Sculpt!$F$9,1,0)</f>
        <v>0.0</v>
      </c>
      <c r="AI17" s="85">
        <f>IF(Sculpt!AI$11&gt;Sculpt!$F$9,1,0)</f>
        <v>0.0</v>
      </c>
      <c r="AJ17" s="85">
        <f>IF(Sculpt!AJ$11&gt;Sculpt!$F$9,1,0)</f>
        <v>0.0</v>
      </c>
      <c r="AK17" s="85">
        <f>IF(Sculpt!AK$11&gt;Sculpt!$F$9,1,0)</f>
        <v>0.0</v>
      </c>
      <c r="AL17" s="85">
        <f>IF(Sculpt!AL$11&gt;Sculpt!$F$9,1,0)</f>
        <v>0.0</v>
      </c>
      <c r="AM17" s="85">
        <f>IF(Sculpt!AM$11&gt;Sculpt!$F$9,1,0)</f>
        <v>0.0</v>
      </c>
      <c r="AN17" s="85">
        <f>IF(Sculpt!AN$11&gt;Sculpt!$F$9,1,0)</f>
        <v>0.0</v>
      </c>
      <c r="AO17" s="85">
        <f>IF(Sculpt!AO$11&gt;Sculpt!$F$9,1,0)</f>
        <v>0.0</v>
      </c>
      <c r="AP17" s="85">
        <f>IF(Sculpt!AP$11&gt;Sculpt!$F$9,1,0)</f>
        <v>0.0</v>
      </c>
      <c r="AQ17" s="85">
        <f>IF(Sculpt!AQ$11&gt;Sculpt!$F$9,1,0)</f>
        <v>0.0</v>
      </c>
      <c r="AR17" s="85">
        <f>IF(Sculpt!AR$11&gt;Sculpt!$F$9,1,0)</f>
        <v>0.0</v>
      </c>
      <c r="AS17" s="85">
        <f>IF(Sculpt!AS$11&gt;Sculpt!$F$9,1,0)</f>
        <v>0.0</v>
      </c>
      <c r="AT17" s="85">
        <f>IF(Sculpt!AT$11&gt;Sculpt!$F$9,1,0)</f>
        <v>0.0</v>
      </c>
      <c r="AU17" s="85">
        <f>IF(Sculpt!AU$11&gt;Sculpt!$F$9,1,0)</f>
        <v>0.0</v>
      </c>
      <c r="AV17" s="85">
        <f>IF(Sculpt!AV$11&gt;Sculpt!$F$9,1,0)</f>
        <v>0.0</v>
      </c>
      <c r="AW17" s="85">
        <f>IF(Sculpt!AW$11&gt;Sculpt!$F$9,1,0)</f>
        <v>0.0</v>
      </c>
      <c r="AX17" s="85">
        <f>IF(Sculpt!AX$11&gt;Sculpt!$F$9,1,0)</f>
        <v>0.0</v>
      </c>
      <c r="AY17" s="85">
        <f>IF(Sculpt!AY$11&gt;Sculpt!$F$9,1,0)</f>
        <v>0.0</v>
      </c>
      <c r="AZ17" s="85">
        <f>IF(Sculpt!AZ$11&gt;Sculpt!$F$9,1,0)</f>
        <v>1.0</v>
      </c>
      <c r="BA17" s="85">
        <f>IF(Sculpt!BA$11&gt;Sculpt!$F$9,1,0)</f>
        <v>1.0</v>
      </c>
      <c r="BB17" s="85">
        <f>IF(Sculpt!BB$11&gt;Sculpt!$F$9,1,0)</f>
        <v>1.0</v>
      </c>
      <c r="BC17" s="85">
        <f>IF(Sculpt!BC$11&gt;Sculpt!$F$9,1,0)</f>
        <v>1.0</v>
      </c>
      <c r="BD17" s="85">
        <f>IF(Sculpt!BD$11&gt;Sculpt!$F$9,1,0)</f>
        <v>1.0</v>
      </c>
      <c r="BE17" s="85">
        <f>IF(Sculpt!BE$11&gt;Sculpt!$F$9,1,0)</f>
        <v>1.0</v>
      </c>
      <c r="BF17" s="85">
        <f>IF(Sculpt!BF$11&gt;Sculpt!$F$9,1,0)</f>
        <v>1.0</v>
      </c>
      <c r="BG17" s="85">
        <f>IF(Sculpt!BG$11&gt;Sculpt!$F$9,1,0)</f>
        <v>1.0</v>
      </c>
      <c r="BH17" s="85">
        <f>IF(Sculpt!BH$11&gt;Sculpt!$F$9,1,0)</f>
        <v>1.0</v>
      </c>
      <c r="BI17" s="85">
        <f>IF(Sculpt!BI$11&gt;Sculpt!$F$9,1,0)</f>
        <v>1.0</v>
      </c>
      <c r="BJ17" s="85">
        <f>IF(Sculpt!BJ$11&gt;Sculpt!$F$9,1,0)</f>
        <v>1.0</v>
      </c>
      <c r="BK17" s="85">
        <f>IF(Sculpt!BK$11&gt;Sculpt!$F$9,1,0)</f>
        <v>1.0</v>
      </c>
      <c r="BL17" s="85">
        <f>IF(Sculpt!BL$11&gt;Sculpt!$F$9,1,0)</f>
        <v>1.0</v>
      </c>
      <c r="BM17" s="85">
        <f>IF(Sculpt!BM$11&gt;Sculpt!$F$9,1,0)</f>
        <v>1.0</v>
      </c>
      <c r="BN17" s="85">
        <f>IF(Sculpt!BN$11&gt;Sculpt!$F$9,1,0)</f>
        <v>1.0</v>
      </c>
      <c r="BO17" s="85">
        <f>IF(Sculpt!BO$11&gt;Sculpt!$F$9,1,0)</f>
        <v>1.0</v>
      </c>
      <c r="BP17" s="85">
        <f>IF(Sculpt!BP$11&gt;Sculpt!$F$9,1,0)</f>
        <v>1.0</v>
      </c>
      <c r="BQ17" s="85">
        <f>IF(Sculpt!BQ$11&gt;Sculpt!$F$9,1,0)</f>
        <v>1.0</v>
      </c>
      <c r="BR17" s="85">
        <f>IF(Sculpt!BR$11&gt;Sculpt!$F$9,1,0)</f>
        <v>1.0</v>
      </c>
      <c r="BS17" s="85">
        <f>IF(Sculpt!BS$11&gt;Sculpt!$F$9,1,0)</f>
        <v>1.0</v>
      </c>
      <c r="BT17" s="85">
        <f>IF(Sculpt!BT$11&gt;Sculpt!$F$9,1,0)</f>
        <v>1.0</v>
      </c>
      <c r="BU17" s="85">
        <f>IF(Sculpt!BU$11&gt;Sculpt!$F$9,1,0)</f>
        <v>1.0</v>
      </c>
      <c r="BV17" s="85">
        <f>IF(Sculpt!BV$11&gt;Sculpt!$F$9,1,0)</f>
        <v>1.0</v>
      </c>
      <c r="BW17" s="85">
        <f>IF(Sculpt!BW$11&gt;Sculpt!$F$9,1,0)</f>
        <v>1.0</v>
      </c>
      <c r="BX17" s="85">
        <f>IF(Sculpt!BX$11&gt;Sculpt!$F$9,1,0)</f>
        <v>1.0</v>
      </c>
      <c r="BY17" s="85">
        <f>IF(Sculpt!BY$11&gt;Sculpt!$F$9,1,0)</f>
        <v>1.0</v>
      </c>
      <c r="BZ17" s="85">
        <f>IF(Sculpt!BZ$11&gt;Sculpt!$F$9,1,0)</f>
        <v>1.0</v>
      </c>
      <c r="CA17" s="85">
        <f>IF(Sculpt!CA$11&gt;Sculpt!$F$9,1,0)</f>
        <v>1.0</v>
      </c>
      <c r="CB17" s="85">
        <f>IF(Sculpt!CB$11&gt;Sculpt!$F$9,1,0)</f>
        <v>1.0</v>
      </c>
      <c r="CC17" s="85">
        <f>IF(Sculpt!CC$11&gt;Sculpt!$F$9,1,0)</f>
        <v>1.0</v>
      </c>
      <c r="CD17" s="85">
        <f>IF(Sculpt!CD$11&gt;Sculpt!$F$9,1,0)</f>
        <v>1.0</v>
      </c>
      <c r="CE17" s="85">
        <f>IF(Sculpt!CE$11&gt;Sculpt!$F$9,1,0)</f>
        <v>1.0</v>
      </c>
      <c r="CF17" s="85">
        <f>IF(Sculpt!CF$11&gt;Sculpt!$F$9,1,0)</f>
        <v>1.0</v>
      </c>
      <c r="CG17" s="85">
        <f>IF(Sculpt!CG$11&gt;Sculpt!$F$9,1,0)</f>
        <v>1.0</v>
      </c>
      <c r="CH17" s="85">
        <f>IF(Sculpt!CH$11&gt;Sculpt!$F$9,1,0)</f>
        <v>1.0</v>
      </c>
      <c r="CI17" s="85">
        <f>IF(Sculpt!CI$11&gt;Sculpt!$F$9,1,0)</f>
        <v>1.0</v>
      </c>
      <c r="CJ17" s="85">
        <f>IF(Sculpt!CJ$11&gt;Sculpt!$F$9,1,0)</f>
        <v>1.0</v>
      </c>
      <c r="CK17" s="85">
        <f>IF(Sculpt!CK$11&gt;Sculpt!$F$9,1,0)</f>
        <v>1.0</v>
      </c>
      <c r="CL17" s="85">
        <f>IF(Sculpt!CL$11&gt;Sculpt!$F$9,1,0)</f>
        <v>1.0</v>
      </c>
      <c r="CM17" s="85">
        <f>IF(Sculpt!CM$11&gt;Sculpt!$F$9,1,0)</f>
        <v>1.0</v>
      </c>
      <c r="CN17" s="85">
        <f>IF(Sculpt!CN$11&gt;Sculpt!$F$9,1,0)</f>
        <v>1.0</v>
      </c>
      <c r="CO17" s="85">
        <f>IF(Sculpt!CO$11&gt;Sculpt!$F$9,1,0)</f>
        <v>1.0</v>
      </c>
    </row>
    <row r="18">
      <c r="E18" s="324" t="inlineStr">
        <is>
          <t>Days in period</t>
        </is>
      </c>
      <c r="F18" s="508" t="n"/>
      <c r="G18" s="324" t="inlineStr">
        <is>
          <t>days</t>
        </is>
      </c>
      <c r="H18" s="508" t="n"/>
      <c r="I18" s="508" t="n"/>
      <c r="J18" s="508">
        <f>Time!J$30</f>
        <v>92.0</v>
      </c>
      <c r="K18" s="508">
        <f>Time!K$30</f>
        <v>92.0</v>
      </c>
      <c r="L18" s="508">
        <f>Time!L$30</f>
        <v>90.0</v>
      </c>
      <c r="M18" s="508">
        <f>Time!M$30</f>
        <v>91.0</v>
      </c>
      <c r="N18" s="508">
        <f>Time!N$30</f>
        <v>92.0</v>
      </c>
      <c r="O18" s="508">
        <f>Time!O$30</f>
        <v>92.0</v>
      </c>
      <c r="P18" s="508">
        <f>Time!P$30</f>
        <v>90.0</v>
      </c>
      <c r="Q18" s="508">
        <f>Time!Q$30</f>
        <v>91.0</v>
      </c>
      <c r="R18" s="508">
        <f>Time!R$30</f>
        <v>92.0</v>
      </c>
      <c r="S18" s="508">
        <f>Time!S$30</f>
        <v>92.0</v>
      </c>
      <c r="T18" s="508">
        <f>Time!T$30</f>
        <v>91.0</v>
      </c>
      <c r="U18" s="508">
        <f>Time!U$30</f>
        <v>91.0</v>
      </c>
      <c r="V18" s="508">
        <f>Time!V$30</f>
        <v>92.0</v>
      </c>
      <c r="W18" s="508">
        <f>Time!W$30</f>
        <v>92.0</v>
      </c>
      <c r="X18" s="508">
        <f>Time!X$30</f>
        <v>90.0</v>
      </c>
      <c r="Y18" s="508">
        <f>Time!Y$30</f>
        <v>91.0</v>
      </c>
      <c r="Z18" s="508">
        <f>Time!Z$30</f>
        <v>92.0</v>
      </c>
      <c r="AA18" s="508">
        <f>Time!AA$30</f>
        <v>92.0</v>
      </c>
      <c r="AB18" s="508">
        <f>Time!AB$30</f>
        <v>90.0</v>
      </c>
      <c r="AC18" s="508">
        <f>Time!AC$30</f>
        <v>91.0</v>
      </c>
      <c r="AD18" s="508">
        <f>Time!AD$30</f>
        <v>92.0</v>
      </c>
      <c r="AE18" s="508">
        <f>Time!AE$30</f>
        <v>92.0</v>
      </c>
      <c r="AF18" s="508">
        <f>Time!AF$30</f>
        <v>90.0</v>
      </c>
      <c r="AG18" s="508">
        <f>Time!AG$30</f>
        <v>91.0</v>
      </c>
      <c r="AH18" s="508">
        <f>Time!AH$30</f>
        <v>92.0</v>
      </c>
      <c r="AI18" s="508">
        <f>Time!AI$30</f>
        <v>92.0</v>
      </c>
      <c r="AJ18" s="508">
        <f>Time!AJ$30</f>
        <v>91.0</v>
      </c>
      <c r="AK18" s="508">
        <f>Time!AK$30</f>
        <v>91.0</v>
      </c>
      <c r="AL18" s="508">
        <f>Time!AL$30</f>
        <v>92.0</v>
      </c>
      <c r="AM18" s="508">
        <f>Time!AM$30</f>
        <v>92.0</v>
      </c>
      <c r="AN18" s="508">
        <f>Time!AN$30</f>
        <v>90.0</v>
      </c>
      <c r="AO18" s="508">
        <f>Time!AO$30</f>
        <v>91.0</v>
      </c>
      <c r="AP18" s="508">
        <f>Time!AP$30</f>
        <v>92.0</v>
      </c>
      <c r="AQ18" s="508">
        <f>Time!AQ$30</f>
        <v>92.0</v>
      </c>
      <c r="AR18" s="508">
        <f>Time!AR$30</f>
        <v>90.0</v>
      </c>
      <c r="AS18" s="508">
        <f>Time!AS$30</f>
        <v>91.0</v>
      </c>
      <c r="AT18" s="508">
        <f>Time!AT$30</f>
        <v>92.0</v>
      </c>
      <c r="AU18" s="508">
        <f>Time!AU$30</f>
        <v>92.0</v>
      </c>
      <c r="AV18" s="508">
        <f>Time!AV$30</f>
        <v>90.0</v>
      </c>
      <c r="AW18" s="508">
        <f>Time!AW$30</f>
        <v>91.0</v>
      </c>
      <c r="AX18" s="508">
        <f>Time!AX$30</f>
        <v>92.0</v>
      </c>
      <c r="AY18" s="508">
        <f>Time!AY$30</f>
        <v>92.0</v>
      </c>
      <c r="AZ18" s="508">
        <f>Time!AZ$30</f>
        <v>91.0</v>
      </c>
      <c r="BA18" s="508">
        <f>Time!BA$30</f>
        <v>91.0</v>
      </c>
      <c r="BB18" s="508">
        <f>Time!BB$30</f>
        <v>92.0</v>
      </c>
      <c r="BC18" s="508">
        <f>Time!BC$30</f>
        <v>92.0</v>
      </c>
      <c r="BD18" s="508">
        <f>Time!BD$30</f>
        <v>90.0</v>
      </c>
      <c r="BE18" s="508">
        <f>Time!BE$30</f>
        <v>91.0</v>
      </c>
      <c r="BF18" s="508">
        <f>Time!BF$30</f>
        <v>92.0</v>
      </c>
      <c r="BG18" s="508">
        <f>Time!BG$30</f>
        <v>92.0</v>
      </c>
      <c r="BH18" s="508">
        <f>Time!BH$30</f>
        <v>90.0</v>
      </c>
      <c r="BI18" s="508">
        <f>Time!BI$30</f>
        <v>91.0</v>
      </c>
      <c r="BJ18" s="508">
        <f>Time!BJ$30</f>
        <v>92.0</v>
      </c>
      <c r="BK18" s="508">
        <f>Time!BK$30</f>
        <v>92.0</v>
      </c>
      <c r="BL18" s="508">
        <f>Time!BL$30</f>
        <v>90.0</v>
      </c>
      <c r="BM18" s="508">
        <f>Time!BM$30</f>
        <v>91.0</v>
      </c>
      <c r="BN18" s="508">
        <f>Time!BN$30</f>
        <v>92.0</v>
      </c>
      <c r="BO18" s="508">
        <f>Time!BO$30</f>
        <v>92.0</v>
      </c>
      <c r="BP18" s="508">
        <f>Time!BP$30</f>
        <v>91.0</v>
      </c>
      <c r="BQ18" s="508">
        <f>Time!BQ$30</f>
        <v>91.0</v>
      </c>
      <c r="BR18" s="508">
        <f>Time!BR$30</f>
        <v>92.0</v>
      </c>
      <c r="BS18" s="508">
        <f>Time!BS$30</f>
        <v>92.0</v>
      </c>
      <c r="BT18" s="508">
        <f>Time!BT$30</f>
        <v>90.0</v>
      </c>
      <c r="BU18" s="508">
        <f>Time!BU$30</f>
        <v>91.0</v>
      </c>
      <c r="BV18" s="508">
        <f>Time!BV$30</f>
        <v>92.0</v>
      </c>
      <c r="BW18" s="508">
        <f>Time!BW$30</f>
        <v>92.0</v>
      </c>
      <c r="BX18" s="508">
        <f>Time!BX$30</f>
        <v>90.0</v>
      </c>
      <c r="BY18" s="508">
        <f>Time!BY$30</f>
        <v>91.0</v>
      </c>
      <c r="BZ18" s="508">
        <f>Time!BZ$30</f>
        <v>92.0</v>
      </c>
      <c r="CA18" s="508">
        <f>Time!CA$30</f>
        <v>92.0</v>
      </c>
      <c r="CB18" s="508">
        <f>Time!CB$30</f>
        <v>90.0</v>
      </c>
      <c r="CC18" s="508">
        <f>Time!CC$30</f>
        <v>91.0</v>
      </c>
      <c r="CD18" s="508">
        <f>Time!CD$30</f>
        <v>92.0</v>
      </c>
      <c r="CE18" s="508">
        <f>Time!CE$30</f>
        <v>92.0</v>
      </c>
      <c r="CF18" s="508">
        <f>Time!CF$30</f>
        <v>91.0</v>
      </c>
      <c r="CG18" s="508">
        <f>Time!CG$30</f>
        <v>91.0</v>
      </c>
      <c r="CH18" s="508">
        <f>Time!CH$30</f>
        <v>92.0</v>
      </c>
      <c r="CI18" s="508">
        <f>Time!CI$30</f>
        <v>92.0</v>
      </c>
      <c r="CJ18" s="508">
        <f>Time!CJ$30</f>
        <v>90.0</v>
      </c>
      <c r="CK18" s="508">
        <f>Time!CK$30</f>
        <v>91.0</v>
      </c>
      <c r="CL18" s="508">
        <f>Time!CL$30</f>
        <v>92.0</v>
      </c>
      <c r="CM18" s="508">
        <f>Time!CM$30</f>
        <v>92.0</v>
      </c>
      <c r="CN18" s="508">
        <f>Time!CN$30</f>
        <v>90.0</v>
      </c>
      <c r="CO18" s="508">
        <f>Time!CO$30</f>
        <v>91.0</v>
      </c>
    </row>
    <row r="19">
      <c r="E19" s="61" t="inlineStr">
        <is>
          <t>Shareholder loan balance BEG</t>
        </is>
      </c>
      <c r="F19" s="484" t="n"/>
      <c r="G19" s="61" t="inlineStr">
        <is>
          <t>$ 000s</t>
        </is>
      </c>
      <c r="H19" s="490" t="n"/>
      <c r="I19" s="484" t="n"/>
      <c r="J19" s="490">
        <f>I24</f>
        <v>0.0</v>
      </c>
      <c r="K19" s="490">
        <f>J24</f>
        <v>0.0</v>
      </c>
      <c r="L19" s="490">
        <f>K24</f>
        <v>17348.144689958874</v>
      </c>
      <c r="M19" s="490">
        <f>L24</f>
        <v>17781.848307207845</v>
      </c>
      <c r="N19" s="490">
        <f>M24</f>
        <v>17781.848307207845</v>
      </c>
      <c r="O19" s="490">
        <f>N24</f>
        <v>17781.848307207845</v>
      </c>
      <c r="P19" s="490">
        <f>O24</f>
        <v>17781.848307207845</v>
      </c>
      <c r="Q19" s="490">
        <f>P24</f>
        <v>17781.848307207845</v>
      </c>
      <c r="R19" s="490">
        <f>Q24</f>
        <v>17781.848307207845</v>
      </c>
      <c r="S19" s="490">
        <f>R24</f>
        <v>17781.848307207845</v>
      </c>
      <c r="T19" s="490">
        <f>S24</f>
        <v>17781.848307207845</v>
      </c>
      <c r="U19" s="490">
        <f>T24</f>
        <v>17781.848307207845</v>
      </c>
      <c r="V19" s="490">
        <f>U24</f>
        <v>17781.848307207845</v>
      </c>
      <c r="W19" s="490">
        <f>V24</f>
        <v>17781.848307207845</v>
      </c>
      <c r="X19" s="490">
        <f>W24</f>
        <v>17781.848307207845</v>
      </c>
      <c r="Y19" s="490">
        <f>X24</f>
        <v>17781.848307207845</v>
      </c>
      <c r="Z19" s="490">
        <f>Y24</f>
        <v>17781.848307207845</v>
      </c>
      <c r="AA19" s="490">
        <f>Z24</f>
        <v>17781.848307207845</v>
      </c>
      <c r="AB19" s="490">
        <f>AA24</f>
        <v>17781.848307207845</v>
      </c>
      <c r="AC19" s="490">
        <f>AB24</f>
        <v>17781.848307207845</v>
      </c>
      <c r="AD19" s="490">
        <f>AC24</f>
        <v>17781.848307207845</v>
      </c>
      <c r="AE19" s="490">
        <f>AD24</f>
        <v>17781.848307207845</v>
      </c>
      <c r="AF19" s="490">
        <f>AE24</f>
        <v>17781.848307207845</v>
      </c>
      <c r="AG19" s="490">
        <f>AF24</f>
        <v>17781.848307207845</v>
      </c>
      <c r="AH19" s="490">
        <f>AG24</f>
        <v>17781.848307207845</v>
      </c>
      <c r="AI19" s="490">
        <f>AH24</f>
        <v>17781.848307207845</v>
      </c>
      <c r="AJ19" s="490">
        <f>AI24</f>
        <v>17781.848307207845</v>
      </c>
      <c r="AK19" s="490">
        <f>AJ24</f>
        <v>17781.848307207845</v>
      </c>
      <c r="AL19" s="490">
        <f>AK24</f>
        <v>17781.848307207845</v>
      </c>
      <c r="AM19" s="490">
        <f>AL24</f>
        <v>17781.848307207845</v>
      </c>
      <c r="AN19" s="490">
        <f>AM24</f>
        <v>17781.848307207845</v>
      </c>
      <c r="AO19" s="490">
        <f>AN24</f>
        <v>17781.848307207845</v>
      </c>
      <c r="AP19" s="490">
        <f>AO24</f>
        <v>17781.848307207845</v>
      </c>
      <c r="AQ19" s="490">
        <f>AP24</f>
        <v>17781.848307207845</v>
      </c>
      <c r="AR19" s="490">
        <f>AQ24</f>
        <v>17781.848307207845</v>
      </c>
      <c r="AS19" s="490">
        <f>AR24</f>
        <v>17781.848307207845</v>
      </c>
      <c r="AT19" s="490">
        <f>AS24</f>
        <v>17781.848307207845</v>
      </c>
      <c r="AU19" s="490">
        <f>AT24</f>
        <v>17781.848307207845</v>
      </c>
      <c r="AV19" s="490">
        <f>AU24</f>
        <v>17781.848307207845</v>
      </c>
      <c r="AW19" s="490">
        <f>AV24</f>
        <v>17781.848307207845</v>
      </c>
      <c r="AX19" s="490">
        <f>AW24</f>
        <v>17781.848307207845</v>
      </c>
      <c r="AY19" s="490">
        <f>AX24</f>
        <v>17781.848307207845</v>
      </c>
      <c r="AZ19" s="490">
        <f>AY24</f>
        <v>17781.848307207845</v>
      </c>
      <c r="BA19" s="490">
        <f>AZ24</f>
        <v>10471.48888675739</v>
      </c>
      <c r="BB19" s="490">
        <f>BA24</f>
        <v>3219.002580769843</v>
      </c>
      <c r="BC19" s="490">
        <f>BB24</f>
        <v>0.0</v>
      </c>
      <c r="BD19" s="490">
        <f>BC24</f>
        <v>0.0</v>
      </c>
      <c r="BE19" s="490">
        <f>BD24</f>
        <v>0.0</v>
      </c>
      <c r="BF19" s="490">
        <f>BE24</f>
        <v>0.0</v>
      </c>
      <c r="BG19" s="490">
        <f>BF24</f>
        <v>0.0</v>
      </c>
      <c r="BH19" s="490">
        <f>BG24</f>
        <v>0.0</v>
      </c>
      <c r="BI19" s="490">
        <f>BH24</f>
        <v>0.0</v>
      </c>
      <c r="BJ19" s="490">
        <f>BI24</f>
        <v>0.0</v>
      </c>
      <c r="BK19" s="490">
        <f>BJ24</f>
        <v>0.0</v>
      </c>
      <c r="BL19" s="490">
        <f>BK24</f>
        <v>0.0</v>
      </c>
      <c r="BM19" s="490">
        <f>BL24</f>
        <v>0.0</v>
      </c>
      <c r="BN19" s="490">
        <f>BM24</f>
        <v>0.0</v>
      </c>
      <c r="BO19" s="490">
        <f>BN24</f>
        <v>0.0</v>
      </c>
      <c r="BP19" s="490">
        <f>BO24</f>
        <v>0.0</v>
      </c>
      <c r="BQ19" s="490">
        <f>BP24</f>
        <v>0.0</v>
      </c>
      <c r="BR19" s="490">
        <f>BQ24</f>
        <v>0.0</v>
      </c>
      <c r="BS19" s="490">
        <f>BR24</f>
        <v>0.0</v>
      </c>
      <c r="BT19" s="490">
        <f>BS24</f>
        <v>0.0</v>
      </c>
      <c r="BU19" s="490">
        <f>BT24</f>
        <v>0.0</v>
      </c>
      <c r="BV19" s="490">
        <f>BU24</f>
        <v>0.0</v>
      </c>
      <c r="BW19" s="490">
        <f>BV24</f>
        <v>0.0</v>
      </c>
      <c r="BX19" s="490">
        <f>BW24</f>
        <v>0.0</v>
      </c>
      <c r="BY19" s="490">
        <f>BX24</f>
        <v>0.0</v>
      </c>
      <c r="BZ19" s="490">
        <f>BY24</f>
        <v>0.0</v>
      </c>
      <c r="CA19" s="490">
        <f>BZ24</f>
        <v>0.0</v>
      </c>
      <c r="CB19" s="490">
        <f>CA24</f>
        <v>0.0</v>
      </c>
      <c r="CC19" s="490">
        <f>CB24</f>
        <v>0.0</v>
      </c>
      <c r="CD19" s="490">
        <f>CC24</f>
        <v>0.0</v>
      </c>
      <c r="CE19" s="490">
        <f>CD24</f>
        <v>0.0</v>
      </c>
      <c r="CF19" s="490">
        <f>CE24</f>
        <v>0.0</v>
      </c>
      <c r="CG19" s="490">
        <f>CF24</f>
        <v>0.0</v>
      </c>
      <c r="CH19" s="490">
        <f>CG24</f>
        <v>0.0</v>
      </c>
      <c r="CI19" s="490">
        <f>CH24</f>
        <v>0.0</v>
      </c>
      <c r="CJ19" s="490">
        <f>CI24</f>
        <v>0.0</v>
      </c>
      <c r="CK19" s="490">
        <f>CJ24</f>
        <v>0.0</v>
      </c>
      <c r="CL19" s="490">
        <f>CK24</f>
        <v>0.0</v>
      </c>
      <c r="CM19" s="490">
        <f>CL24</f>
        <v>0.0</v>
      </c>
      <c r="CN19" s="490">
        <f>CM24</f>
        <v>0.0</v>
      </c>
      <c r="CO19" s="490">
        <f>CN24</f>
        <v>0.0</v>
      </c>
    </row>
    <row r="20">
      <c r="E20" s="61" t="inlineStr">
        <is>
          <t>Interest due</t>
        </is>
      </c>
      <c r="F20" s="484" t="n"/>
      <c r="G20" s="61" t="inlineStr">
        <is>
          <t>$ 000s</t>
        </is>
      </c>
      <c r="H20" s="490">
        <f>SUM(J20:CO20)</f>
        <v>18824.29961512564</v>
      </c>
      <c r="I20" s="484" t="n"/>
      <c r="J20" s="490">
        <f>J19*$F$10/$F$11*J18</f>
        <v>0.0</v>
      </c>
      <c r="K20" s="490">
        <f>K19*$F$10/$F$11*K18</f>
        <v>0.0</v>
      </c>
      <c r="L20" s="490">
        <f>L19*$F$10/$F$11*L18</f>
        <v>433.7036172489719</v>
      </c>
      <c r="M20" s="490">
        <f>M19*$F$10/$F$11*M18</f>
        <v>449.4856099877539</v>
      </c>
      <c r="N20" s="490">
        <f>N19*$F$10/$F$11*N18</f>
        <v>454.4250122953116</v>
      </c>
      <c r="O20" s="490">
        <f>O19*$F$10/$F$11*O18</f>
        <v>454.4250122953116</v>
      </c>
      <c r="P20" s="490">
        <f>P19*$F$10/$F$11*P18</f>
        <v>444.5462076801962</v>
      </c>
      <c r="Q20" s="490">
        <f>Q19*$F$10/$F$11*Q18</f>
        <v>449.4856099877539</v>
      </c>
      <c r="R20" s="490">
        <f>R19*$F$10/$F$11*R18</f>
        <v>454.4250122953116</v>
      </c>
      <c r="S20" s="490">
        <f>S19*$F$10/$F$11*S18</f>
        <v>454.4250122953116</v>
      </c>
      <c r="T20" s="490">
        <f>T19*$F$10/$F$11*T18</f>
        <v>449.4856099877539</v>
      </c>
      <c r="U20" s="490">
        <f>U19*$F$10/$F$11*U18</f>
        <v>449.4856099877539</v>
      </c>
      <c r="V20" s="490">
        <f>V19*$F$10/$F$11*V18</f>
        <v>454.4250122953116</v>
      </c>
      <c r="W20" s="490">
        <f>W19*$F$10/$F$11*W18</f>
        <v>454.4250122953116</v>
      </c>
      <c r="X20" s="490">
        <f>X19*$F$10/$F$11*X18</f>
        <v>444.5462076801962</v>
      </c>
      <c r="Y20" s="490">
        <f>Y19*$F$10/$F$11*Y18</f>
        <v>449.4856099877539</v>
      </c>
      <c r="Z20" s="490">
        <f>Z19*$F$10/$F$11*Z18</f>
        <v>454.4250122953116</v>
      </c>
      <c r="AA20" s="490">
        <f>AA19*$F$10/$F$11*AA18</f>
        <v>454.4250122953116</v>
      </c>
      <c r="AB20" s="490">
        <f>AB19*$F$10/$F$11*AB18</f>
        <v>444.5462076801962</v>
      </c>
      <c r="AC20" s="490">
        <f>AC19*$F$10/$F$11*AC18</f>
        <v>449.4856099877539</v>
      </c>
      <c r="AD20" s="490">
        <f>AD19*$F$10/$F$11*AD18</f>
        <v>454.4250122953116</v>
      </c>
      <c r="AE20" s="490">
        <f>AE19*$F$10/$F$11*AE18</f>
        <v>454.4250122953116</v>
      </c>
      <c r="AF20" s="490">
        <f>AF19*$F$10/$F$11*AF18</f>
        <v>444.5462076801962</v>
      </c>
      <c r="AG20" s="490">
        <f>AG19*$F$10/$F$11*AG18</f>
        <v>449.4856099877539</v>
      </c>
      <c r="AH20" s="490">
        <f>AH19*$F$10/$F$11*AH18</f>
        <v>454.4250122953116</v>
      </c>
      <c r="AI20" s="490">
        <f>AI19*$F$10/$F$11*AI18</f>
        <v>454.4250122953116</v>
      </c>
      <c r="AJ20" s="490">
        <f>AJ19*$F$10/$F$11*AJ18</f>
        <v>449.4856099877539</v>
      </c>
      <c r="AK20" s="490">
        <f>AK19*$F$10/$F$11*AK18</f>
        <v>449.4856099877539</v>
      </c>
      <c r="AL20" s="490">
        <f>AL19*$F$10/$F$11*AL18</f>
        <v>454.4250122953116</v>
      </c>
      <c r="AM20" s="490">
        <f>AM19*$F$10/$F$11*AM18</f>
        <v>454.4250122953116</v>
      </c>
      <c r="AN20" s="490">
        <f>AN19*$F$10/$F$11*AN18</f>
        <v>444.5462076801962</v>
      </c>
      <c r="AO20" s="490">
        <f>AO19*$F$10/$F$11*AO18</f>
        <v>449.4856099877539</v>
      </c>
      <c r="AP20" s="490">
        <f>AP19*$F$10/$F$11*AP18</f>
        <v>454.4250122953116</v>
      </c>
      <c r="AQ20" s="490">
        <f>AQ19*$F$10/$F$11*AQ18</f>
        <v>454.4250122953116</v>
      </c>
      <c r="AR20" s="490">
        <f>AR19*$F$10/$F$11*AR18</f>
        <v>444.5462076801962</v>
      </c>
      <c r="AS20" s="490">
        <f>AS19*$F$10/$F$11*AS18</f>
        <v>449.4856099877539</v>
      </c>
      <c r="AT20" s="490">
        <f>AT19*$F$10/$F$11*AT18</f>
        <v>454.4250122953116</v>
      </c>
      <c r="AU20" s="490">
        <f>AU19*$F$10/$F$11*AU18</f>
        <v>454.4250122953116</v>
      </c>
      <c r="AV20" s="490">
        <f>AV19*$F$10/$F$11*AV18</f>
        <v>444.5462076801962</v>
      </c>
      <c r="AW20" s="490">
        <f>AW19*$F$10/$F$11*AW18</f>
        <v>449.4856099877539</v>
      </c>
      <c r="AX20" s="490">
        <f>AX19*$F$10/$F$11*AX18</f>
        <v>454.4250122953116</v>
      </c>
      <c r="AY20" s="490">
        <f>AY19*$F$10/$F$11*AY18</f>
        <v>454.4250122953116</v>
      </c>
      <c r="AZ20" s="490">
        <f>AZ19*$F$10/$F$11*AZ18</f>
        <v>449.4856099877539</v>
      </c>
      <c r="BA20" s="490">
        <f>BA19*$F$10/$F$11*BA18</f>
        <v>264.69596908192295</v>
      </c>
      <c r="BB20" s="490">
        <f>BB19*$F$10/$F$11*BB18</f>
        <v>82.26339928634043</v>
      </c>
      <c r="BC20" s="490">
        <f>BC19*$F$10/$F$11*BC18</f>
        <v>0.0</v>
      </c>
      <c r="BD20" s="490">
        <f>BD19*$F$10/$F$11*BD18</f>
        <v>0.0</v>
      </c>
      <c r="BE20" s="490">
        <f>BE19*$F$10/$F$11*BE18</f>
        <v>0.0</v>
      </c>
      <c r="BF20" s="490">
        <f>BF19*$F$10/$F$11*BF18</f>
        <v>0.0</v>
      </c>
      <c r="BG20" s="490">
        <f>BG19*$F$10/$F$11*BG18</f>
        <v>0.0</v>
      </c>
      <c r="BH20" s="490">
        <f>BH19*$F$10/$F$11*BH18</f>
        <v>0.0</v>
      </c>
      <c r="BI20" s="490">
        <f>BI19*$F$10/$F$11*BI18</f>
        <v>0.0</v>
      </c>
      <c r="BJ20" s="490">
        <f>BJ19*$F$10/$F$11*BJ18</f>
        <v>0.0</v>
      </c>
      <c r="BK20" s="490">
        <f>BK19*$F$10/$F$11*BK18</f>
        <v>0.0</v>
      </c>
      <c r="BL20" s="490">
        <f>BL19*$F$10/$F$11*BL18</f>
        <v>0.0</v>
      </c>
      <c r="BM20" s="490">
        <f>BM19*$F$10/$F$11*BM18</f>
        <v>0.0</v>
      </c>
      <c r="BN20" s="490">
        <f>BN19*$F$10/$F$11*BN18</f>
        <v>0.0</v>
      </c>
      <c r="BO20" s="490">
        <f>BO19*$F$10/$F$11*BO18</f>
        <v>0.0</v>
      </c>
      <c r="BP20" s="490">
        <f>BP19*$F$10/$F$11*BP18</f>
        <v>0.0</v>
      </c>
      <c r="BQ20" s="490">
        <f>BQ19*$F$10/$F$11*BQ18</f>
        <v>0.0</v>
      </c>
      <c r="BR20" s="490">
        <f>BR19*$F$10/$F$11*BR18</f>
        <v>0.0</v>
      </c>
      <c r="BS20" s="490">
        <f>BS19*$F$10/$F$11*BS18</f>
        <v>0.0</v>
      </c>
      <c r="BT20" s="490">
        <f>BT19*$F$10/$F$11*BT18</f>
        <v>0.0</v>
      </c>
      <c r="BU20" s="490">
        <f>BU19*$F$10/$F$11*BU18</f>
        <v>0.0</v>
      </c>
      <c r="BV20" s="490">
        <f>BV19*$F$10/$F$11*BV18</f>
        <v>0.0</v>
      </c>
      <c r="BW20" s="490">
        <f>BW19*$F$10/$F$11*BW18</f>
        <v>0.0</v>
      </c>
      <c r="BX20" s="490">
        <f>BX19*$F$10/$F$11*BX18</f>
        <v>0.0</v>
      </c>
      <c r="BY20" s="490">
        <f>BY19*$F$10/$F$11*BY18</f>
        <v>0.0</v>
      </c>
      <c r="BZ20" s="490">
        <f>BZ19*$F$10/$F$11*BZ18</f>
        <v>0.0</v>
      </c>
      <c r="CA20" s="490">
        <f>CA19*$F$10/$F$11*CA18</f>
        <v>0.0</v>
      </c>
      <c r="CB20" s="490">
        <f>CB19*$F$10/$F$11*CB18</f>
        <v>0.0</v>
      </c>
      <c r="CC20" s="490">
        <f>CC19*$F$10/$F$11*CC18</f>
        <v>0.0</v>
      </c>
      <c r="CD20" s="490">
        <f>CD19*$F$10/$F$11*CD18</f>
        <v>0.0</v>
      </c>
      <c r="CE20" s="490">
        <f>CE19*$F$10/$F$11*CE18</f>
        <v>0.0</v>
      </c>
      <c r="CF20" s="490">
        <f>CF19*$F$10/$F$11*CF18</f>
        <v>0.0</v>
      </c>
      <c r="CG20" s="490">
        <f>CG19*$F$10/$F$11*CG18</f>
        <v>0.0</v>
      </c>
      <c r="CH20" s="490">
        <f>CH19*$F$10/$F$11*CH18</f>
        <v>0.0</v>
      </c>
      <c r="CI20" s="490">
        <f>CI19*$F$10/$F$11*CI18</f>
        <v>0.0</v>
      </c>
      <c r="CJ20" s="490">
        <f>CJ19*$F$10/$F$11*CJ18</f>
        <v>0.0</v>
      </c>
      <c r="CK20" s="490">
        <f>CK19*$F$10/$F$11*CK18</f>
        <v>0.0</v>
      </c>
      <c r="CL20" s="490">
        <f>CL19*$F$10/$F$11*CL18</f>
        <v>0.0</v>
      </c>
      <c r="CM20" s="490">
        <f>CM19*$F$10/$F$11*CM18</f>
        <v>0.0</v>
      </c>
      <c r="CN20" s="490">
        <f>CN19*$F$10/$F$11*CN18</f>
        <v>0.0</v>
      </c>
      <c r="CO20" s="490">
        <f>CO19*$F$10/$F$11*CO18</f>
        <v>0.0</v>
      </c>
    </row>
    <row r="21">
      <c r="E21" s="61" t="inlineStr">
        <is>
          <t>Interest paid</t>
        </is>
      </c>
      <c r="F21" s="484" t="n"/>
      <c r="G21" s="61" t="inlineStr">
        <is>
          <t>$ 000s</t>
        </is>
      </c>
      <c r="H21" s="490">
        <f>SUM(J21:CO21)</f>
        <v>18390.59599787667</v>
      </c>
      <c r="I21" s="484" t="n"/>
      <c r="J21" s="490">
        <f>MIN(J20,J16)</f>
        <v>0.0</v>
      </c>
      <c r="K21" s="490">
        <f>MIN(K20,K16)</f>
        <v>0.0</v>
      </c>
      <c r="L21" s="490">
        <f>MIN(L20,L16)</f>
        <v>0.0</v>
      </c>
      <c r="M21" s="490">
        <f>MIN(M20,M16)</f>
        <v>449.4856099877539</v>
      </c>
      <c r="N21" s="490">
        <f>MIN(N20,N16)</f>
        <v>454.4250122953116</v>
      </c>
      <c r="O21" s="490">
        <f>MIN(O20,O16)</f>
        <v>454.4250122953116</v>
      </c>
      <c r="P21" s="490">
        <f>MIN(P20,P16)</f>
        <v>444.5462076801962</v>
      </c>
      <c r="Q21" s="490">
        <f>MIN(Q20,Q16)</f>
        <v>449.4856099877539</v>
      </c>
      <c r="R21" s="490">
        <f>MIN(R20,R16)</f>
        <v>454.4250122953116</v>
      </c>
      <c r="S21" s="490">
        <f>MIN(S20,S16)</f>
        <v>454.4250122953116</v>
      </c>
      <c r="T21" s="490">
        <f>MIN(T20,T16)</f>
        <v>449.4856099877539</v>
      </c>
      <c r="U21" s="490">
        <f>MIN(U20,U16)</f>
        <v>449.4856099877539</v>
      </c>
      <c r="V21" s="490">
        <f>MIN(V20,V16)</f>
        <v>454.4250122953116</v>
      </c>
      <c r="W21" s="490">
        <f>MIN(W20,W16)</f>
        <v>454.4250122953116</v>
      </c>
      <c r="X21" s="490">
        <f>MIN(X20,X16)</f>
        <v>444.5462076801962</v>
      </c>
      <c r="Y21" s="490">
        <f>MIN(Y20,Y16)</f>
        <v>449.4856099877539</v>
      </c>
      <c r="Z21" s="490">
        <f>MIN(Z20,Z16)</f>
        <v>454.4250122953116</v>
      </c>
      <c r="AA21" s="490">
        <f>MIN(AA20,AA16)</f>
        <v>454.4250122953116</v>
      </c>
      <c r="AB21" s="490">
        <f>MIN(AB20,AB16)</f>
        <v>444.5462076801962</v>
      </c>
      <c r="AC21" s="490">
        <f>MIN(AC20,AC16)</f>
        <v>449.4856099877539</v>
      </c>
      <c r="AD21" s="490">
        <f>MIN(AD20,AD16)</f>
        <v>454.4250122953116</v>
      </c>
      <c r="AE21" s="490">
        <f>MIN(AE20,AE16)</f>
        <v>454.4250122953116</v>
      </c>
      <c r="AF21" s="490">
        <f>MIN(AF20,AF16)</f>
        <v>444.5462076801962</v>
      </c>
      <c r="AG21" s="490">
        <f>MIN(AG20,AG16)</f>
        <v>449.4856099877539</v>
      </c>
      <c r="AH21" s="490">
        <f>MIN(AH20,AH16)</f>
        <v>454.4250122953116</v>
      </c>
      <c r="AI21" s="490">
        <f>MIN(AI20,AI16)</f>
        <v>454.4250122953116</v>
      </c>
      <c r="AJ21" s="490">
        <f>MIN(AJ20,AJ16)</f>
        <v>449.4856099877539</v>
      </c>
      <c r="AK21" s="490">
        <f>MIN(AK20,AK16)</f>
        <v>449.4856099877539</v>
      </c>
      <c r="AL21" s="490">
        <f>MIN(AL20,AL16)</f>
        <v>454.4250122953116</v>
      </c>
      <c r="AM21" s="490">
        <f>MIN(AM20,AM16)</f>
        <v>454.4250122953116</v>
      </c>
      <c r="AN21" s="490">
        <f>MIN(AN20,AN16)</f>
        <v>444.5462076801962</v>
      </c>
      <c r="AO21" s="490">
        <f>MIN(AO20,AO16)</f>
        <v>449.4856099877539</v>
      </c>
      <c r="AP21" s="490">
        <f>MIN(AP20,AP16)</f>
        <v>454.4250122953116</v>
      </c>
      <c r="AQ21" s="490">
        <f>MIN(AQ20,AQ16)</f>
        <v>454.4250122953116</v>
      </c>
      <c r="AR21" s="490">
        <f>MIN(AR20,AR16)</f>
        <v>444.5462076801962</v>
      </c>
      <c r="AS21" s="490">
        <f>MIN(AS20,AS16)</f>
        <v>449.4856099877539</v>
      </c>
      <c r="AT21" s="490">
        <f>MIN(AT20,AT16)</f>
        <v>454.4250122953116</v>
      </c>
      <c r="AU21" s="490">
        <f>MIN(AU20,AU16)</f>
        <v>454.4250122953116</v>
      </c>
      <c r="AV21" s="490">
        <f>MIN(AV20,AV16)</f>
        <v>444.5462076801962</v>
      </c>
      <c r="AW21" s="490">
        <f>MIN(AW20,AW16)</f>
        <v>449.4856099877539</v>
      </c>
      <c r="AX21" s="490">
        <f>MIN(AX20,AX16)</f>
        <v>454.4250122953116</v>
      </c>
      <c r="AY21" s="490">
        <f>MIN(AY20,AY16)</f>
        <v>454.4250122953116</v>
      </c>
      <c r="AZ21" s="490">
        <f>MIN(AZ20,AZ16)</f>
        <v>449.4856099877539</v>
      </c>
      <c r="BA21" s="490">
        <f>MIN(BA20,BA16)</f>
        <v>264.69596908192295</v>
      </c>
      <c r="BB21" s="490">
        <f>MIN(BB20,BB16)</f>
        <v>82.26339928634043</v>
      </c>
      <c r="BC21" s="490">
        <f>MIN(BC20,BC16)</f>
        <v>0.0</v>
      </c>
      <c r="BD21" s="490">
        <f>MIN(BD20,BD16)</f>
        <v>0.0</v>
      </c>
      <c r="BE21" s="490">
        <f>MIN(BE20,BE16)</f>
        <v>0.0</v>
      </c>
      <c r="BF21" s="490">
        <f>MIN(BF20,BF16)</f>
        <v>0.0</v>
      </c>
      <c r="BG21" s="490">
        <f>MIN(BG20,BG16)</f>
        <v>0.0</v>
      </c>
      <c r="BH21" s="490">
        <f>MIN(BH20,BH16)</f>
        <v>0.0</v>
      </c>
      <c r="BI21" s="490">
        <f>MIN(BI20,BI16)</f>
        <v>0.0</v>
      </c>
      <c r="BJ21" s="490">
        <f>MIN(BJ20,BJ16)</f>
        <v>0.0</v>
      </c>
      <c r="BK21" s="490">
        <f>MIN(BK20,BK16)</f>
        <v>0.0</v>
      </c>
      <c r="BL21" s="490">
        <f>MIN(BL20,BL16)</f>
        <v>0.0</v>
      </c>
      <c r="BM21" s="490">
        <f>MIN(BM20,BM16)</f>
        <v>0.0</v>
      </c>
      <c r="BN21" s="490">
        <f>MIN(BN20,BN16)</f>
        <v>0.0</v>
      </c>
      <c r="BO21" s="490">
        <f>MIN(BO20,BO16)</f>
        <v>0.0</v>
      </c>
      <c r="BP21" s="490">
        <f>MIN(BP20,BP16)</f>
        <v>0.0</v>
      </c>
      <c r="BQ21" s="490">
        <f>MIN(BQ20,BQ16)</f>
        <v>0.0</v>
      </c>
      <c r="BR21" s="490">
        <f>MIN(BR20,BR16)</f>
        <v>0.0</v>
      </c>
      <c r="BS21" s="490">
        <f>MIN(BS20,BS16)</f>
        <v>0.0</v>
      </c>
      <c r="BT21" s="490">
        <f>MIN(BT20,BT16)</f>
        <v>0.0</v>
      </c>
      <c r="BU21" s="490">
        <f>MIN(BU20,BU16)</f>
        <v>0.0</v>
      </c>
      <c r="BV21" s="490">
        <f>MIN(BV20,BV16)</f>
        <v>0.0</v>
      </c>
      <c r="BW21" s="490">
        <f>MIN(BW20,BW16)</f>
        <v>0.0</v>
      </c>
      <c r="BX21" s="490">
        <f>MIN(BX20,BX16)</f>
        <v>0.0</v>
      </c>
      <c r="BY21" s="490">
        <f>MIN(BY20,BY16)</f>
        <v>0.0</v>
      </c>
      <c r="BZ21" s="490">
        <f>MIN(BZ20,BZ16)</f>
        <v>0.0</v>
      </c>
      <c r="CA21" s="490">
        <f>MIN(CA20,CA16)</f>
        <v>0.0</v>
      </c>
      <c r="CB21" s="490">
        <f>MIN(CB20,CB16)</f>
        <v>0.0</v>
      </c>
      <c r="CC21" s="490">
        <f>MIN(CC20,CC16)</f>
        <v>0.0</v>
      </c>
      <c r="CD21" s="490">
        <f>MIN(CD20,CD16)</f>
        <v>0.0</v>
      </c>
      <c r="CE21" s="490">
        <f>MIN(CE20,CE16)</f>
        <v>0.0</v>
      </c>
      <c r="CF21" s="490">
        <f>MIN(CF20,CF16)</f>
        <v>0.0</v>
      </c>
      <c r="CG21" s="490">
        <f>MIN(CG20,CG16)</f>
        <v>0.0</v>
      </c>
      <c r="CH21" s="490">
        <f>MIN(CH20,CH16)</f>
        <v>0.0</v>
      </c>
      <c r="CI21" s="490">
        <f>MIN(CI20,CI16)</f>
        <v>0.0</v>
      </c>
      <c r="CJ21" s="490">
        <f>MIN(CJ20,CJ16)</f>
        <v>0.0</v>
      </c>
      <c r="CK21" s="490">
        <f>MIN(CK20,CK16)</f>
        <v>0.0</v>
      </c>
      <c r="CL21" s="490">
        <f>MIN(CL20,CL16)</f>
        <v>0.0</v>
      </c>
      <c r="CM21" s="490">
        <f>MIN(CM20,CM16)</f>
        <v>0.0</v>
      </c>
      <c r="CN21" s="490">
        <f>MIN(CN20,CN16)</f>
        <v>0.0</v>
      </c>
      <c r="CO21" s="490">
        <f>MIN(CO20,CO16)</f>
        <v>0.0</v>
      </c>
    </row>
    <row r="22">
      <c r="E22" s="61" t="inlineStr">
        <is>
          <t>Interest capitalised (unpaid)</t>
        </is>
      </c>
      <c r="F22" s="484" t="n"/>
      <c r="G22" s="61" t="inlineStr">
        <is>
          <t>$ 000s</t>
        </is>
      </c>
      <c r="H22" s="490">
        <f>SUM(J22:CO22)</f>
        <v>433.7036172489719</v>
      </c>
      <c r="I22" s="484" t="n"/>
      <c r="J22" s="490">
        <f>J20-J21</f>
        <v>0.0</v>
      </c>
      <c r="K22" s="490">
        <f>K20-K21</f>
        <v>0.0</v>
      </c>
      <c r="L22" s="490">
        <f>L20-L21</f>
        <v>433.7036172489719</v>
      </c>
      <c r="M22" s="490">
        <f>M20-M21</f>
        <v>0.0</v>
      </c>
      <c r="N22" s="490">
        <f>N20-N21</f>
        <v>0.0</v>
      </c>
      <c r="O22" s="490">
        <f>O20-O21</f>
        <v>0.0</v>
      </c>
      <c r="P22" s="490">
        <f>P20-P21</f>
        <v>0.0</v>
      </c>
      <c r="Q22" s="490">
        <f>Q20-Q21</f>
        <v>0.0</v>
      </c>
      <c r="R22" s="490">
        <f>R20-R21</f>
        <v>0.0</v>
      </c>
      <c r="S22" s="490">
        <f>S20-S21</f>
        <v>0.0</v>
      </c>
      <c r="T22" s="490">
        <f>T20-T21</f>
        <v>0.0</v>
      </c>
      <c r="U22" s="490">
        <f>U20-U21</f>
        <v>0.0</v>
      </c>
      <c r="V22" s="490">
        <f>V20-V21</f>
        <v>0.0</v>
      </c>
      <c r="W22" s="490">
        <f>W20-W21</f>
        <v>0.0</v>
      </c>
      <c r="X22" s="490">
        <f>X20-X21</f>
        <v>0.0</v>
      </c>
      <c r="Y22" s="490">
        <f>Y20-Y21</f>
        <v>0.0</v>
      </c>
      <c r="Z22" s="490">
        <f>Z20-Z21</f>
        <v>0.0</v>
      </c>
      <c r="AA22" s="490">
        <f>AA20-AA21</f>
        <v>0.0</v>
      </c>
      <c r="AB22" s="490">
        <f>AB20-AB21</f>
        <v>0.0</v>
      </c>
      <c r="AC22" s="490">
        <f>AC20-AC21</f>
        <v>0.0</v>
      </c>
      <c r="AD22" s="490">
        <f>AD20-AD21</f>
        <v>0.0</v>
      </c>
      <c r="AE22" s="490">
        <f>AE20-AE21</f>
        <v>0.0</v>
      </c>
      <c r="AF22" s="490">
        <f>AF20-AF21</f>
        <v>0.0</v>
      </c>
      <c r="AG22" s="490">
        <f>AG20-AG21</f>
        <v>0.0</v>
      </c>
      <c r="AH22" s="490">
        <f>AH20-AH21</f>
        <v>0.0</v>
      </c>
      <c r="AI22" s="490">
        <f>AI20-AI21</f>
        <v>0.0</v>
      </c>
      <c r="AJ22" s="490">
        <f>AJ20-AJ21</f>
        <v>0.0</v>
      </c>
      <c r="AK22" s="490">
        <f>AK20-AK21</f>
        <v>0.0</v>
      </c>
      <c r="AL22" s="490">
        <f>AL20-AL21</f>
        <v>0.0</v>
      </c>
      <c r="AM22" s="490">
        <f>AM20-AM21</f>
        <v>0.0</v>
      </c>
      <c r="AN22" s="490">
        <f>AN20-AN21</f>
        <v>0.0</v>
      </c>
      <c r="AO22" s="490">
        <f>AO20-AO21</f>
        <v>0.0</v>
      </c>
      <c r="AP22" s="490">
        <f>AP20-AP21</f>
        <v>0.0</v>
      </c>
      <c r="AQ22" s="490">
        <f>AQ20-AQ21</f>
        <v>0.0</v>
      </c>
      <c r="AR22" s="490">
        <f>AR20-AR21</f>
        <v>0.0</v>
      </c>
      <c r="AS22" s="490">
        <f>AS20-AS21</f>
        <v>0.0</v>
      </c>
      <c r="AT22" s="490">
        <f>AT20-AT21</f>
        <v>0.0</v>
      </c>
      <c r="AU22" s="490">
        <f>AU20-AU21</f>
        <v>0.0</v>
      </c>
      <c r="AV22" s="490">
        <f>AV20-AV21</f>
        <v>0.0</v>
      </c>
      <c r="AW22" s="490">
        <f>AW20-AW21</f>
        <v>0.0</v>
      </c>
      <c r="AX22" s="490">
        <f>AX20-AX21</f>
        <v>0.0</v>
      </c>
      <c r="AY22" s="490">
        <f>AY20-AY21</f>
        <v>0.0</v>
      </c>
      <c r="AZ22" s="490">
        <f>AZ20-AZ21</f>
        <v>0.0</v>
      </c>
      <c r="BA22" s="490">
        <f>BA20-BA21</f>
        <v>0.0</v>
      </c>
      <c r="BB22" s="490">
        <f>BB20-BB21</f>
        <v>0.0</v>
      </c>
      <c r="BC22" s="490">
        <f>BC20-BC21</f>
        <v>0.0</v>
      </c>
      <c r="BD22" s="490">
        <f>BD20-BD21</f>
        <v>0.0</v>
      </c>
      <c r="BE22" s="490">
        <f>BE20-BE21</f>
        <v>0.0</v>
      </c>
      <c r="BF22" s="490">
        <f>BF20-BF21</f>
        <v>0.0</v>
      </c>
      <c r="BG22" s="490">
        <f>BG20-BG21</f>
        <v>0.0</v>
      </c>
      <c r="BH22" s="490">
        <f>BH20-BH21</f>
        <v>0.0</v>
      </c>
      <c r="BI22" s="490">
        <f>BI20-BI21</f>
        <v>0.0</v>
      </c>
      <c r="BJ22" s="490">
        <f>BJ20-BJ21</f>
        <v>0.0</v>
      </c>
      <c r="BK22" s="490">
        <f>BK20-BK21</f>
        <v>0.0</v>
      </c>
      <c r="BL22" s="490">
        <f>BL20-BL21</f>
        <v>0.0</v>
      </c>
      <c r="BM22" s="490">
        <f>BM20-BM21</f>
        <v>0.0</v>
      </c>
      <c r="BN22" s="490">
        <f>BN20-BN21</f>
        <v>0.0</v>
      </c>
      <c r="BO22" s="490">
        <f>BO20-BO21</f>
        <v>0.0</v>
      </c>
      <c r="BP22" s="490">
        <f>BP20-BP21</f>
        <v>0.0</v>
      </c>
      <c r="BQ22" s="490">
        <f>BQ20-BQ21</f>
        <v>0.0</v>
      </c>
      <c r="BR22" s="490">
        <f>BR20-BR21</f>
        <v>0.0</v>
      </c>
      <c r="BS22" s="490">
        <f>BS20-BS21</f>
        <v>0.0</v>
      </c>
      <c r="BT22" s="490">
        <f>BT20-BT21</f>
        <v>0.0</v>
      </c>
      <c r="BU22" s="490">
        <f>BU20-BU21</f>
        <v>0.0</v>
      </c>
      <c r="BV22" s="490">
        <f>BV20-BV21</f>
        <v>0.0</v>
      </c>
      <c r="BW22" s="490">
        <f>BW20-BW21</f>
        <v>0.0</v>
      </c>
      <c r="BX22" s="490">
        <f>BX20-BX21</f>
        <v>0.0</v>
      </c>
      <c r="BY22" s="490">
        <f>BY20-BY21</f>
        <v>0.0</v>
      </c>
      <c r="BZ22" s="490">
        <f>BZ20-BZ21</f>
        <v>0.0</v>
      </c>
      <c r="CA22" s="490">
        <f>CA20-CA21</f>
        <v>0.0</v>
      </c>
      <c r="CB22" s="490">
        <f>CB20-CB21</f>
        <v>0.0</v>
      </c>
      <c r="CC22" s="490">
        <f>CC20-CC21</f>
        <v>0.0</v>
      </c>
      <c r="CD22" s="490">
        <f>CD20-CD21</f>
        <v>0.0</v>
      </c>
      <c r="CE22" s="490">
        <f>CE20-CE21</f>
        <v>0.0</v>
      </c>
      <c r="CF22" s="490">
        <f>CF20-CF21</f>
        <v>0.0</v>
      </c>
      <c r="CG22" s="490">
        <f>CG20-CG21</f>
        <v>0.0</v>
      </c>
      <c r="CH22" s="490">
        <f>CH20-CH21</f>
        <v>0.0</v>
      </c>
      <c r="CI22" s="490">
        <f>CI20-CI21</f>
        <v>0.0</v>
      </c>
      <c r="CJ22" s="490">
        <f>CJ20-CJ21</f>
        <v>0.0</v>
      </c>
      <c r="CK22" s="490">
        <f>CK20-CK21</f>
        <v>0.0</v>
      </c>
      <c r="CL22" s="490">
        <f>CL20-CL21</f>
        <v>0.0</v>
      </c>
      <c r="CM22" s="490">
        <f>CM20-CM21</f>
        <v>0.0</v>
      </c>
      <c r="CN22" s="490">
        <f>CN20-CN21</f>
        <v>0.0</v>
      </c>
      <c r="CO22" s="490">
        <f>CO20-CO21</f>
        <v>0.0</v>
      </c>
    </row>
    <row r="23">
      <c r="E23" s="61" t="inlineStr">
        <is>
          <t>Principal repaid</t>
        </is>
      </c>
      <c r="F23" s="484" t="n"/>
      <c r="G23" s="61" t="inlineStr">
        <is>
          <t>$ 000s</t>
        </is>
      </c>
      <c r="H23" s="490">
        <f>SUM(J23:CO23)</f>
        <v>17781.848307207845</v>
      </c>
      <c r="I23" s="484" t="n"/>
      <c r="J23" s="490">
        <f>J17*MIN(J19+J22,J16-J21)</f>
        <v>0.0</v>
      </c>
      <c r="K23" s="490">
        <f>K17*MIN(K19+K22,K16-K21)</f>
        <v>0.0</v>
      </c>
      <c r="L23" s="490">
        <f>L17*MIN(L19+L22,L16-L21)</f>
        <v>0.0</v>
      </c>
      <c r="M23" s="490">
        <f>M17*MIN(M19+M22,M16-M21)</f>
        <v>0.0</v>
      </c>
      <c r="N23" s="490">
        <f>N17*MIN(N19+N22,N16-N21)</f>
        <v>0.0</v>
      </c>
      <c r="O23" s="490">
        <f>O17*MIN(O19+O22,O16-O21)</f>
        <v>0.0</v>
      </c>
      <c r="P23" s="490">
        <f>P17*MIN(P19+P22,P16-P21)</f>
        <v>0.0</v>
      </c>
      <c r="Q23" s="490">
        <f>Q17*MIN(Q19+Q22,Q16-Q21)</f>
        <v>0.0</v>
      </c>
      <c r="R23" s="490">
        <f>R17*MIN(R19+R22,R16-R21)</f>
        <v>0.0</v>
      </c>
      <c r="S23" s="490">
        <f>S17*MIN(S19+S22,S16-S21)</f>
        <v>0.0</v>
      </c>
      <c r="T23" s="490">
        <f>T17*MIN(T19+T22,T16-T21)</f>
        <v>0.0</v>
      </c>
      <c r="U23" s="490">
        <f>U17*MIN(U19+U22,U16-U21)</f>
        <v>0.0</v>
      </c>
      <c r="V23" s="490">
        <f>V17*MIN(V19+V22,V16-V21)</f>
        <v>0.0</v>
      </c>
      <c r="W23" s="490">
        <f>W17*MIN(W19+W22,W16-W21)</f>
        <v>0.0</v>
      </c>
      <c r="X23" s="490">
        <f>X17*MIN(X19+X22,X16-X21)</f>
        <v>0.0</v>
      </c>
      <c r="Y23" s="490">
        <f>Y17*MIN(Y19+Y22,Y16-Y21)</f>
        <v>0.0</v>
      </c>
      <c r="Z23" s="490">
        <f>Z17*MIN(Z19+Z22,Z16-Z21)</f>
        <v>0.0</v>
      </c>
      <c r="AA23" s="490">
        <f>AA17*MIN(AA19+AA22,AA16-AA21)</f>
        <v>0.0</v>
      </c>
      <c r="AB23" s="490">
        <f>AB17*MIN(AB19+AB22,AB16-AB21)</f>
        <v>0.0</v>
      </c>
      <c r="AC23" s="490">
        <f>AC17*MIN(AC19+AC22,AC16-AC21)</f>
        <v>0.0</v>
      </c>
      <c r="AD23" s="490">
        <f>AD17*MIN(AD19+AD22,AD16-AD21)</f>
        <v>0.0</v>
      </c>
      <c r="AE23" s="490">
        <f>AE17*MIN(AE19+AE22,AE16-AE21)</f>
        <v>0.0</v>
      </c>
      <c r="AF23" s="490">
        <f>AF17*MIN(AF19+AF22,AF16-AF21)</f>
        <v>0.0</v>
      </c>
      <c r="AG23" s="490">
        <f>AG17*MIN(AG19+AG22,AG16-AG21)</f>
        <v>0.0</v>
      </c>
      <c r="AH23" s="490">
        <f>AH17*MIN(AH19+AH22,AH16-AH21)</f>
        <v>0.0</v>
      </c>
      <c r="AI23" s="490">
        <f>AI17*MIN(AI19+AI22,AI16-AI21)</f>
        <v>0.0</v>
      </c>
      <c r="AJ23" s="490">
        <f>AJ17*MIN(AJ19+AJ22,AJ16-AJ21)</f>
        <v>0.0</v>
      </c>
      <c r="AK23" s="490">
        <f>AK17*MIN(AK19+AK22,AK16-AK21)</f>
        <v>0.0</v>
      </c>
      <c r="AL23" s="490">
        <f>AL17*MIN(AL19+AL22,AL16-AL21)</f>
        <v>0.0</v>
      </c>
      <c r="AM23" s="490">
        <f>AM17*MIN(AM19+AM22,AM16-AM21)</f>
        <v>0.0</v>
      </c>
      <c r="AN23" s="490">
        <f>AN17*MIN(AN19+AN22,AN16-AN21)</f>
        <v>0.0</v>
      </c>
      <c r="AO23" s="490">
        <f>AO17*MIN(AO19+AO22,AO16-AO21)</f>
        <v>0.0</v>
      </c>
      <c r="AP23" s="490">
        <f>AP17*MIN(AP19+AP22,AP16-AP21)</f>
        <v>0.0</v>
      </c>
      <c r="AQ23" s="490">
        <f>AQ17*MIN(AQ19+AQ22,AQ16-AQ21)</f>
        <v>0.0</v>
      </c>
      <c r="AR23" s="490">
        <f>AR17*MIN(AR19+AR22,AR16-AR21)</f>
        <v>0.0</v>
      </c>
      <c r="AS23" s="490">
        <f>AS17*MIN(AS19+AS22,AS16-AS21)</f>
        <v>0.0</v>
      </c>
      <c r="AT23" s="490">
        <f>AT17*MIN(AT19+AT22,AT16-AT21)</f>
        <v>0.0</v>
      </c>
      <c r="AU23" s="490">
        <f>AU17*MIN(AU19+AU22,AU16-AU21)</f>
        <v>0.0</v>
      </c>
      <c r="AV23" s="490">
        <f>AV17*MIN(AV19+AV22,AV16-AV21)</f>
        <v>0.0</v>
      </c>
      <c r="AW23" s="490">
        <f>AW17*MIN(AW19+AW22,AW16-AW21)</f>
        <v>0.0</v>
      </c>
      <c r="AX23" s="490">
        <f>AX17*MIN(AX19+AX22,AX16-AX21)</f>
        <v>0.0</v>
      </c>
      <c r="AY23" s="490">
        <f>AY17*MIN(AY19+AY22,AY16-AY21)</f>
        <v>0.0</v>
      </c>
      <c r="AZ23" s="490">
        <f>AZ17*MIN(AZ19+AZ22,AZ16-AZ21)</f>
        <v>7310.359420450455</v>
      </c>
      <c r="BA23" s="490">
        <f>BA17*MIN(BA19+BA22,BA16-BA21)</f>
        <v>7252.486305987547</v>
      </c>
      <c r="BB23" s="490">
        <f>BB17*MIN(BB19+BB22,BB16-BB21)</f>
        <v>3219.002580769843</v>
      </c>
      <c r="BC23" s="490">
        <f>BC17*MIN(BC19+BC22,BC16-BC21)</f>
        <v>0.0</v>
      </c>
      <c r="BD23" s="490">
        <f>BD17*MIN(BD19+BD22,BD16-BD21)</f>
        <v>0.0</v>
      </c>
      <c r="BE23" s="490">
        <f>BE17*MIN(BE19+BE22,BE16-BE21)</f>
        <v>0.0</v>
      </c>
      <c r="BF23" s="490">
        <f>BF17*MIN(BF19+BF22,BF16-BF21)</f>
        <v>0.0</v>
      </c>
      <c r="BG23" s="490">
        <f>BG17*MIN(BG19+BG22,BG16-BG21)</f>
        <v>0.0</v>
      </c>
      <c r="BH23" s="490">
        <f>BH17*MIN(BH19+BH22,BH16-BH21)</f>
        <v>0.0</v>
      </c>
      <c r="BI23" s="490">
        <f>BI17*MIN(BI19+BI22,BI16-BI21)</f>
        <v>0.0</v>
      </c>
      <c r="BJ23" s="490">
        <f>BJ17*MIN(BJ19+BJ22,BJ16-BJ21)</f>
        <v>0.0</v>
      </c>
      <c r="BK23" s="490">
        <f>BK17*MIN(BK19+BK22,BK16-BK21)</f>
        <v>0.0</v>
      </c>
      <c r="BL23" s="490">
        <f>BL17*MIN(BL19+BL22,BL16-BL21)</f>
        <v>0.0</v>
      </c>
      <c r="BM23" s="490">
        <f>BM17*MIN(BM19+BM22,BM16-BM21)</f>
        <v>0.0</v>
      </c>
      <c r="BN23" s="490">
        <f>BN17*MIN(BN19+BN22,BN16-BN21)</f>
        <v>0.0</v>
      </c>
      <c r="BO23" s="490">
        <f>BO17*MIN(BO19+BO22,BO16-BO21)</f>
        <v>0.0</v>
      </c>
      <c r="BP23" s="490">
        <f>BP17*MIN(BP19+BP22,BP16-BP21)</f>
        <v>0.0</v>
      </c>
      <c r="BQ23" s="490">
        <f>BQ17*MIN(BQ19+BQ22,BQ16-BQ21)</f>
        <v>0.0</v>
      </c>
      <c r="BR23" s="490">
        <f>BR17*MIN(BR19+BR22,BR16-BR21)</f>
        <v>0.0</v>
      </c>
      <c r="BS23" s="490">
        <f>BS17*MIN(BS19+BS22,BS16-BS21)</f>
        <v>0.0</v>
      </c>
      <c r="BT23" s="490">
        <f>BT17*MIN(BT19+BT22,BT16-BT21)</f>
        <v>0.0</v>
      </c>
      <c r="BU23" s="490">
        <f>BU17*MIN(BU19+BU22,BU16-BU21)</f>
        <v>0.0</v>
      </c>
      <c r="BV23" s="490">
        <f>BV17*MIN(BV19+BV22,BV16-BV21)</f>
        <v>0.0</v>
      </c>
      <c r="BW23" s="490">
        <f>BW17*MIN(BW19+BW22,BW16-BW21)</f>
        <v>0.0</v>
      </c>
      <c r="BX23" s="490">
        <f>BX17*MIN(BX19+BX22,BX16-BX21)</f>
        <v>0.0</v>
      </c>
      <c r="BY23" s="490">
        <f>BY17*MIN(BY19+BY22,BY16-BY21)</f>
        <v>0.0</v>
      </c>
      <c r="BZ23" s="490">
        <f>BZ17*MIN(BZ19+BZ22,BZ16-BZ21)</f>
        <v>0.0</v>
      </c>
      <c r="CA23" s="490">
        <f>CA17*MIN(CA19+CA22,CA16-CA21)</f>
        <v>0.0</v>
      </c>
      <c r="CB23" s="490">
        <f>CB17*MIN(CB19+CB22,CB16-CB21)</f>
        <v>0.0</v>
      </c>
      <c r="CC23" s="490">
        <f>CC17*MIN(CC19+CC22,CC16-CC21)</f>
        <v>0.0</v>
      </c>
      <c r="CD23" s="490">
        <f>CD17*MIN(CD19+CD22,CD16-CD21)</f>
        <v>0.0</v>
      </c>
      <c r="CE23" s="490">
        <f>CE17*MIN(CE19+CE22,CE16-CE21)</f>
        <v>0.0</v>
      </c>
      <c r="CF23" s="490">
        <f>CF17*MIN(CF19+CF22,CF16-CF21)</f>
        <v>0.0</v>
      </c>
      <c r="CG23" s="490">
        <f>CG17*MIN(CG19+CG22,CG16-CG21)</f>
        <v>0.0</v>
      </c>
      <c r="CH23" s="490">
        <f>CH17*MIN(CH19+CH22,CH16-CH21)</f>
        <v>0.0</v>
      </c>
      <c r="CI23" s="490">
        <f>CI17*MIN(CI19+CI22,CI16-CI21)</f>
        <v>0.0</v>
      </c>
      <c r="CJ23" s="490">
        <f>CJ17*MIN(CJ19+CJ22,CJ16-CJ21)</f>
        <v>0.0</v>
      </c>
      <c r="CK23" s="490">
        <f>CK17*MIN(CK19+CK22,CK16-CK21)</f>
        <v>0.0</v>
      </c>
      <c r="CL23" s="490">
        <f>CL17*MIN(CL19+CL22,CL16-CL21)</f>
        <v>0.0</v>
      </c>
      <c r="CM23" s="490">
        <f>CM17*MIN(CM19+CM22,CM16-CM21)</f>
        <v>0.0</v>
      </c>
      <c r="CN23" s="490">
        <f>CN17*MIN(CN19+CN22,CN16-CN21)</f>
        <v>0.0</v>
      </c>
      <c r="CO23" s="490">
        <f>CO17*MIN(CO19+CO22,CO16-CO21)</f>
        <v>0.0</v>
      </c>
    </row>
    <row r="24">
      <c r="A24" s="358" t="n"/>
      <c r="B24" s="358" t="n"/>
      <c r="C24" s="359" t="n"/>
      <c r="D24" s="360" t="n"/>
      <c r="E24" s="390" t="inlineStr">
        <is>
          <t>Shareholder loan balance END</t>
        </is>
      </c>
      <c r="F24" s="504" t="n"/>
      <c r="G24" s="390" t="inlineStr">
        <is>
          <t>$ 000s</t>
        </is>
      </c>
      <c r="H24" s="504" t="n"/>
      <c r="I24" s="484" t="n"/>
      <c r="J24" s="504">
        <f>IF(Time!J$45=1,$F$13,J19+J22-J23)</f>
        <v>0.0</v>
      </c>
      <c r="K24" s="504">
        <f>IF(Time!K$45=1,$F$13,K19+K22-K23)</f>
        <v>17348.144689958874</v>
      </c>
      <c r="L24" s="504">
        <f>IF(Time!L$45=1,$F$13,L19+L22-L23)</f>
        <v>17781.848307207845</v>
      </c>
      <c r="M24" s="504">
        <f>IF(Time!M$45=1,$F$13,M19+M22-M23)</f>
        <v>17781.848307207845</v>
      </c>
      <c r="N24" s="504">
        <f>IF(Time!N$45=1,$F$13,N19+N22-N23)</f>
        <v>17781.848307207845</v>
      </c>
      <c r="O24" s="504">
        <f>IF(Time!O$45=1,$F$13,O19+O22-O23)</f>
        <v>17781.848307207845</v>
      </c>
      <c r="P24" s="504">
        <f>IF(Time!P$45=1,$F$13,P19+P22-P23)</f>
        <v>17781.848307207845</v>
      </c>
      <c r="Q24" s="504">
        <f>IF(Time!Q$45=1,$F$13,Q19+Q22-Q23)</f>
        <v>17781.848307207845</v>
      </c>
      <c r="R24" s="504">
        <f>IF(Time!R$45=1,$F$13,R19+R22-R23)</f>
        <v>17781.848307207845</v>
      </c>
      <c r="S24" s="504">
        <f>IF(Time!S$45=1,$F$13,S19+S22-S23)</f>
        <v>17781.848307207845</v>
      </c>
      <c r="T24" s="504">
        <f>IF(Time!T$45=1,$F$13,T19+T22-T23)</f>
        <v>17781.848307207845</v>
      </c>
      <c r="U24" s="504">
        <f>IF(Time!U$45=1,$F$13,U19+U22-U23)</f>
        <v>17781.848307207845</v>
      </c>
      <c r="V24" s="504">
        <f>IF(Time!V$45=1,$F$13,V19+V22-V23)</f>
        <v>17781.848307207845</v>
      </c>
      <c r="W24" s="504">
        <f>IF(Time!W$45=1,$F$13,W19+W22-W23)</f>
        <v>17781.848307207845</v>
      </c>
      <c r="X24" s="504">
        <f>IF(Time!X$45=1,$F$13,X19+X22-X23)</f>
        <v>17781.848307207845</v>
      </c>
      <c r="Y24" s="504">
        <f>IF(Time!Y$45=1,$F$13,Y19+Y22-Y23)</f>
        <v>17781.848307207845</v>
      </c>
      <c r="Z24" s="504">
        <f>IF(Time!Z$45=1,$F$13,Z19+Z22-Z23)</f>
        <v>17781.848307207845</v>
      </c>
      <c r="AA24" s="504">
        <f>IF(Time!AA$45=1,$F$13,AA19+AA22-AA23)</f>
        <v>17781.848307207845</v>
      </c>
      <c r="AB24" s="504">
        <f>IF(Time!AB$45=1,$F$13,AB19+AB22-AB23)</f>
        <v>17781.848307207845</v>
      </c>
      <c r="AC24" s="504">
        <f>IF(Time!AC$45=1,$F$13,AC19+AC22-AC23)</f>
        <v>17781.848307207845</v>
      </c>
      <c r="AD24" s="504">
        <f>IF(Time!AD$45=1,$F$13,AD19+AD22-AD23)</f>
        <v>17781.848307207845</v>
      </c>
      <c r="AE24" s="504">
        <f>IF(Time!AE$45=1,$F$13,AE19+AE22-AE23)</f>
        <v>17781.848307207845</v>
      </c>
      <c r="AF24" s="504">
        <f>IF(Time!AF$45=1,$F$13,AF19+AF22-AF23)</f>
        <v>17781.848307207845</v>
      </c>
      <c r="AG24" s="504">
        <f>IF(Time!AG$45=1,$F$13,AG19+AG22-AG23)</f>
        <v>17781.848307207845</v>
      </c>
      <c r="AH24" s="504">
        <f>IF(Time!AH$45=1,$F$13,AH19+AH22-AH23)</f>
        <v>17781.848307207845</v>
      </c>
      <c r="AI24" s="504">
        <f>IF(Time!AI$45=1,$F$13,AI19+AI22-AI23)</f>
        <v>17781.848307207845</v>
      </c>
      <c r="AJ24" s="504">
        <f>IF(Time!AJ$45=1,$F$13,AJ19+AJ22-AJ23)</f>
        <v>17781.848307207845</v>
      </c>
      <c r="AK24" s="504">
        <f>IF(Time!AK$45=1,$F$13,AK19+AK22-AK23)</f>
        <v>17781.848307207845</v>
      </c>
      <c r="AL24" s="504">
        <f>IF(Time!AL$45=1,$F$13,AL19+AL22-AL23)</f>
        <v>17781.848307207845</v>
      </c>
      <c r="AM24" s="504">
        <f>IF(Time!AM$45=1,$F$13,AM19+AM22-AM23)</f>
        <v>17781.848307207845</v>
      </c>
      <c r="AN24" s="504">
        <f>IF(Time!AN$45=1,$F$13,AN19+AN22-AN23)</f>
        <v>17781.848307207845</v>
      </c>
      <c r="AO24" s="504">
        <f>IF(Time!AO$45=1,$F$13,AO19+AO22-AO23)</f>
        <v>17781.848307207845</v>
      </c>
      <c r="AP24" s="504">
        <f>IF(Time!AP$45=1,$F$13,AP19+AP22-AP23)</f>
        <v>17781.848307207845</v>
      </c>
      <c r="AQ24" s="504">
        <f>IF(Time!AQ$45=1,$F$13,AQ19+AQ22-AQ23)</f>
        <v>17781.848307207845</v>
      </c>
      <c r="AR24" s="504">
        <f>IF(Time!AR$45=1,$F$13,AR19+AR22-AR23)</f>
        <v>17781.848307207845</v>
      </c>
      <c r="AS24" s="504">
        <f>IF(Time!AS$45=1,$F$13,AS19+AS22-AS23)</f>
        <v>17781.848307207845</v>
      </c>
      <c r="AT24" s="504">
        <f>IF(Time!AT$45=1,$F$13,AT19+AT22-AT23)</f>
        <v>17781.848307207845</v>
      </c>
      <c r="AU24" s="504">
        <f>IF(Time!AU$45=1,$F$13,AU19+AU22-AU23)</f>
        <v>17781.848307207845</v>
      </c>
      <c r="AV24" s="504">
        <f>IF(Time!AV$45=1,$F$13,AV19+AV22-AV23)</f>
        <v>17781.848307207845</v>
      </c>
      <c r="AW24" s="504">
        <f>IF(Time!AW$45=1,$F$13,AW19+AW22-AW23)</f>
        <v>17781.848307207845</v>
      </c>
      <c r="AX24" s="504">
        <f>IF(Time!AX$45=1,$F$13,AX19+AX22-AX23)</f>
        <v>17781.848307207845</v>
      </c>
      <c r="AY24" s="504">
        <f>IF(Time!AY$45=1,$F$13,AY19+AY22-AY23)</f>
        <v>17781.848307207845</v>
      </c>
      <c r="AZ24" s="504">
        <f>IF(Time!AZ$45=1,$F$13,AZ19+AZ22-AZ23)</f>
        <v>10471.48888675739</v>
      </c>
      <c r="BA24" s="504">
        <f>IF(Time!BA$45=1,$F$13,BA19+BA22-BA23)</f>
        <v>3219.002580769843</v>
      </c>
      <c r="BB24" s="504">
        <f>IF(Time!BB$45=1,$F$13,BB19+BB22-BB23)</f>
        <v>0.0</v>
      </c>
      <c r="BC24" s="504">
        <f>IF(Time!BC$45=1,$F$13,BC19+BC22-BC23)</f>
        <v>0.0</v>
      </c>
      <c r="BD24" s="504">
        <f>IF(Time!BD$45=1,$F$13,BD19+BD22-BD23)</f>
        <v>0.0</v>
      </c>
      <c r="BE24" s="504">
        <f>IF(Time!BE$45=1,$F$13,BE19+BE22-BE23)</f>
        <v>0.0</v>
      </c>
      <c r="BF24" s="504">
        <f>IF(Time!BF$45=1,$F$13,BF19+BF22-BF23)</f>
        <v>0.0</v>
      </c>
      <c r="BG24" s="504">
        <f>IF(Time!BG$45=1,$F$13,BG19+BG22-BG23)</f>
        <v>0.0</v>
      </c>
      <c r="BH24" s="504">
        <f>IF(Time!BH$45=1,$F$13,BH19+BH22-BH23)</f>
        <v>0.0</v>
      </c>
      <c r="BI24" s="504">
        <f>IF(Time!BI$45=1,$F$13,BI19+BI22-BI23)</f>
        <v>0.0</v>
      </c>
      <c r="BJ24" s="504">
        <f>IF(Time!BJ$45=1,$F$13,BJ19+BJ22-BJ23)</f>
        <v>0.0</v>
      </c>
      <c r="BK24" s="504">
        <f>IF(Time!BK$45=1,$F$13,BK19+BK22-BK23)</f>
        <v>0.0</v>
      </c>
      <c r="BL24" s="504">
        <f>IF(Time!BL$45=1,$F$13,BL19+BL22-BL23)</f>
        <v>0.0</v>
      </c>
      <c r="BM24" s="504">
        <f>IF(Time!BM$45=1,$F$13,BM19+BM22-BM23)</f>
        <v>0.0</v>
      </c>
      <c r="BN24" s="504">
        <f>IF(Time!BN$45=1,$F$13,BN19+BN22-BN23)</f>
        <v>0.0</v>
      </c>
      <c r="BO24" s="504">
        <f>IF(Time!BO$45=1,$F$13,BO19+BO22-BO23)</f>
        <v>0.0</v>
      </c>
      <c r="BP24" s="504">
        <f>IF(Time!BP$45=1,$F$13,BP19+BP22-BP23)</f>
        <v>0.0</v>
      </c>
      <c r="BQ24" s="504">
        <f>IF(Time!BQ$45=1,$F$13,BQ19+BQ22-BQ23)</f>
        <v>0.0</v>
      </c>
      <c r="BR24" s="504">
        <f>IF(Time!BR$45=1,$F$13,BR19+BR22-BR23)</f>
        <v>0.0</v>
      </c>
      <c r="BS24" s="504">
        <f>IF(Time!BS$45=1,$F$13,BS19+BS22-BS23)</f>
        <v>0.0</v>
      </c>
      <c r="BT24" s="504">
        <f>IF(Time!BT$45=1,$F$13,BT19+BT22-BT23)</f>
        <v>0.0</v>
      </c>
      <c r="BU24" s="504">
        <f>IF(Time!BU$45=1,$F$13,BU19+BU22-BU23)</f>
        <v>0.0</v>
      </c>
      <c r="BV24" s="504">
        <f>IF(Time!BV$45=1,$F$13,BV19+BV22-BV23)</f>
        <v>0.0</v>
      </c>
      <c r="BW24" s="504">
        <f>IF(Time!BW$45=1,$F$13,BW19+BW22-BW23)</f>
        <v>0.0</v>
      </c>
      <c r="BX24" s="504">
        <f>IF(Time!BX$45=1,$F$13,BX19+BX22-BX23)</f>
        <v>0.0</v>
      </c>
      <c r="BY24" s="504">
        <f>IF(Time!BY$45=1,$F$13,BY19+BY22-BY23)</f>
        <v>0.0</v>
      </c>
      <c r="BZ24" s="504">
        <f>IF(Time!BZ$45=1,$F$13,BZ19+BZ22-BZ23)</f>
        <v>0.0</v>
      </c>
      <c r="CA24" s="504">
        <f>IF(Time!CA$45=1,$F$13,CA19+CA22-CA23)</f>
        <v>0.0</v>
      </c>
      <c r="CB24" s="504">
        <f>IF(Time!CB$45=1,$F$13,CB19+CB22-CB23)</f>
        <v>0.0</v>
      </c>
      <c r="CC24" s="504">
        <f>IF(Time!CC$45=1,$F$13,CC19+CC22-CC23)</f>
        <v>0.0</v>
      </c>
      <c r="CD24" s="504">
        <f>IF(Time!CD$45=1,$F$13,CD19+CD22-CD23)</f>
        <v>0.0</v>
      </c>
      <c r="CE24" s="504">
        <f>IF(Time!CE$45=1,$F$13,CE19+CE22-CE23)</f>
        <v>0.0</v>
      </c>
      <c r="CF24" s="504">
        <f>IF(Time!CF$45=1,$F$13,CF19+CF22-CF23)</f>
        <v>0.0</v>
      </c>
      <c r="CG24" s="504">
        <f>IF(Time!CG$45=1,$F$13,CG19+CG22-CG23)</f>
        <v>0.0</v>
      </c>
      <c r="CH24" s="504">
        <f>IF(Time!CH$45=1,$F$13,CH19+CH22-CH23)</f>
        <v>0.0</v>
      </c>
      <c r="CI24" s="504">
        <f>IF(Time!CI$45=1,$F$13,CI19+CI22-CI23)</f>
        <v>0.0</v>
      </c>
      <c r="CJ24" s="504">
        <f>IF(Time!CJ$45=1,$F$13,CJ19+CJ22-CJ23)</f>
        <v>0.0</v>
      </c>
      <c r="CK24" s="504">
        <f>IF(Time!CK$45=1,$F$13,CK19+CK22-CK23)</f>
        <v>0.0</v>
      </c>
      <c r="CL24" s="504">
        <f>IF(Time!CL$45=1,$F$13,CL19+CL22-CL23)</f>
        <v>0.0</v>
      </c>
      <c r="CM24" s="504">
        <f>IF(Time!CM$45=1,$F$13,CM19+CM22-CM23)</f>
        <v>0.0</v>
      </c>
      <c r="CN24" s="504">
        <f>IF(Time!CN$45=1,$F$13,CN19+CN22-CN23)</f>
        <v>0.0</v>
      </c>
      <c r="CO24" s="504">
        <f>IF(Time!CO$45=1,$F$13,CO19+CO22-CO23)</f>
        <v>0.0</v>
      </c>
    </row>
    <row r="25">
      <c r="E25" s="345" t="inlineStr">
        <is>
          <t>Shareholder loan interest</t>
        </is>
      </c>
      <c r="F25" s="484" t="n"/>
      <c r="G25" s="61" t="inlineStr">
        <is>
          <t>$ 000s</t>
        </is>
      </c>
      <c r="H25" s="490">
        <f>SUM(J25:CO25)</f>
        <v>-18824.29961512564</v>
      </c>
      <c r="I25" s="484" t="n"/>
      <c r="J25" s="490">
        <f>-1*J20</f>
        <v>-0.0</v>
      </c>
      <c r="K25" s="490">
        <f>-1*K20</f>
        <v>-0.0</v>
      </c>
      <c r="L25" s="490">
        <f>-1*L20</f>
        <v>-433.7036172489719</v>
      </c>
      <c r="M25" s="490">
        <f>-1*M20</f>
        <v>-449.4856099877539</v>
      </c>
      <c r="N25" s="490">
        <f>-1*N20</f>
        <v>-454.4250122953116</v>
      </c>
      <c r="O25" s="490">
        <f>-1*O20</f>
        <v>-454.4250122953116</v>
      </c>
      <c r="P25" s="490">
        <f>-1*P20</f>
        <v>-444.5462076801962</v>
      </c>
      <c r="Q25" s="490">
        <f>-1*Q20</f>
        <v>-449.4856099877539</v>
      </c>
      <c r="R25" s="490">
        <f>-1*R20</f>
        <v>-454.4250122953116</v>
      </c>
      <c r="S25" s="490">
        <f>-1*S20</f>
        <v>-454.4250122953116</v>
      </c>
      <c r="T25" s="490">
        <f>-1*T20</f>
        <v>-449.4856099877539</v>
      </c>
      <c r="U25" s="490">
        <f>-1*U20</f>
        <v>-449.4856099877539</v>
      </c>
      <c r="V25" s="490">
        <f>-1*V20</f>
        <v>-454.4250122953116</v>
      </c>
      <c r="W25" s="490">
        <f>-1*W20</f>
        <v>-454.4250122953116</v>
      </c>
      <c r="X25" s="490">
        <f>-1*X20</f>
        <v>-444.5462076801962</v>
      </c>
      <c r="Y25" s="490">
        <f>-1*Y20</f>
        <v>-449.4856099877539</v>
      </c>
      <c r="Z25" s="490">
        <f>-1*Z20</f>
        <v>-454.4250122953116</v>
      </c>
      <c r="AA25" s="490">
        <f>-1*AA20</f>
        <v>-454.4250122953116</v>
      </c>
      <c r="AB25" s="490">
        <f>-1*AB20</f>
        <v>-444.5462076801962</v>
      </c>
      <c r="AC25" s="490">
        <f>-1*AC20</f>
        <v>-449.4856099877539</v>
      </c>
      <c r="AD25" s="490">
        <f>-1*AD20</f>
        <v>-454.4250122953116</v>
      </c>
      <c r="AE25" s="490">
        <f>-1*AE20</f>
        <v>-454.4250122953116</v>
      </c>
      <c r="AF25" s="490">
        <f>-1*AF20</f>
        <v>-444.5462076801962</v>
      </c>
      <c r="AG25" s="490">
        <f>-1*AG20</f>
        <v>-449.4856099877539</v>
      </c>
      <c r="AH25" s="490">
        <f>-1*AH20</f>
        <v>-454.4250122953116</v>
      </c>
      <c r="AI25" s="490">
        <f>-1*AI20</f>
        <v>-454.4250122953116</v>
      </c>
      <c r="AJ25" s="490">
        <f>-1*AJ20</f>
        <v>-449.4856099877539</v>
      </c>
      <c r="AK25" s="490">
        <f>-1*AK20</f>
        <v>-449.4856099877539</v>
      </c>
      <c r="AL25" s="490">
        <f>-1*AL20</f>
        <v>-454.4250122953116</v>
      </c>
      <c r="AM25" s="490">
        <f>-1*AM20</f>
        <v>-454.4250122953116</v>
      </c>
      <c r="AN25" s="490">
        <f>-1*AN20</f>
        <v>-444.5462076801962</v>
      </c>
      <c r="AO25" s="490">
        <f>-1*AO20</f>
        <v>-449.4856099877539</v>
      </c>
      <c r="AP25" s="490">
        <f>-1*AP20</f>
        <v>-454.4250122953116</v>
      </c>
      <c r="AQ25" s="490">
        <f>-1*AQ20</f>
        <v>-454.4250122953116</v>
      </c>
      <c r="AR25" s="490">
        <f>-1*AR20</f>
        <v>-444.5462076801962</v>
      </c>
      <c r="AS25" s="490">
        <f>-1*AS20</f>
        <v>-449.4856099877539</v>
      </c>
      <c r="AT25" s="490">
        <f>-1*AT20</f>
        <v>-454.4250122953116</v>
      </c>
      <c r="AU25" s="490">
        <f>-1*AU20</f>
        <v>-454.4250122953116</v>
      </c>
      <c r="AV25" s="490">
        <f>-1*AV20</f>
        <v>-444.5462076801962</v>
      </c>
      <c r="AW25" s="490">
        <f>-1*AW20</f>
        <v>-449.4856099877539</v>
      </c>
      <c r="AX25" s="490">
        <f>-1*AX20</f>
        <v>-454.4250122953116</v>
      </c>
      <c r="AY25" s="490">
        <f>-1*AY20</f>
        <v>-454.4250122953116</v>
      </c>
      <c r="AZ25" s="490">
        <f>-1*AZ20</f>
        <v>-449.4856099877539</v>
      </c>
      <c r="BA25" s="490">
        <f>-1*BA20</f>
        <v>-264.69596908192295</v>
      </c>
      <c r="BB25" s="490">
        <f>-1*BB20</f>
        <v>-82.26339928634043</v>
      </c>
      <c r="BC25" s="490">
        <f>-1*BC20</f>
        <v>-0.0</v>
      </c>
      <c r="BD25" s="490">
        <f>-1*BD20</f>
        <v>-0.0</v>
      </c>
      <c r="BE25" s="490">
        <f>-1*BE20</f>
        <v>-0.0</v>
      </c>
      <c r="BF25" s="490">
        <f>-1*BF20</f>
        <v>-0.0</v>
      </c>
      <c r="BG25" s="490">
        <f>-1*BG20</f>
        <v>-0.0</v>
      </c>
      <c r="BH25" s="490">
        <f>-1*BH20</f>
        <v>-0.0</v>
      </c>
      <c r="BI25" s="490">
        <f>-1*BI20</f>
        <v>-0.0</v>
      </c>
      <c r="BJ25" s="490">
        <f>-1*BJ20</f>
        <v>-0.0</v>
      </c>
      <c r="BK25" s="490">
        <f>-1*BK20</f>
        <v>-0.0</v>
      </c>
      <c r="BL25" s="490">
        <f>-1*BL20</f>
        <v>-0.0</v>
      </c>
      <c r="BM25" s="490">
        <f>-1*BM20</f>
        <v>-0.0</v>
      </c>
      <c r="BN25" s="490">
        <f>-1*BN20</f>
        <v>-0.0</v>
      </c>
      <c r="BO25" s="490">
        <f>-1*BO20</f>
        <v>-0.0</v>
      </c>
      <c r="BP25" s="490">
        <f>-1*BP20</f>
        <v>-0.0</v>
      </c>
      <c r="BQ25" s="490">
        <f>-1*BQ20</f>
        <v>-0.0</v>
      </c>
      <c r="BR25" s="490">
        <f>-1*BR20</f>
        <v>-0.0</v>
      </c>
      <c r="BS25" s="490">
        <f>-1*BS20</f>
        <v>-0.0</v>
      </c>
      <c r="BT25" s="490">
        <f>-1*BT20</f>
        <v>-0.0</v>
      </c>
      <c r="BU25" s="490">
        <f>-1*BU20</f>
        <v>-0.0</v>
      </c>
      <c r="BV25" s="490">
        <f>-1*BV20</f>
        <v>-0.0</v>
      </c>
      <c r="BW25" s="490">
        <f>-1*BW20</f>
        <v>-0.0</v>
      </c>
      <c r="BX25" s="490">
        <f>-1*BX20</f>
        <v>-0.0</v>
      </c>
      <c r="BY25" s="490">
        <f>-1*BY20</f>
        <v>-0.0</v>
      </c>
      <c r="BZ25" s="490">
        <f>-1*BZ20</f>
        <v>-0.0</v>
      </c>
      <c r="CA25" s="490">
        <f>-1*CA20</f>
        <v>-0.0</v>
      </c>
      <c r="CB25" s="490">
        <f>-1*CB20</f>
        <v>-0.0</v>
      </c>
      <c r="CC25" s="490">
        <f>-1*CC20</f>
        <v>-0.0</v>
      </c>
      <c r="CD25" s="490">
        <f>-1*CD20</f>
        <v>-0.0</v>
      </c>
      <c r="CE25" s="490">
        <f>-1*CE20</f>
        <v>-0.0</v>
      </c>
      <c r="CF25" s="490">
        <f>-1*CF20</f>
        <v>-0.0</v>
      </c>
      <c r="CG25" s="490">
        <f>-1*CG20</f>
        <v>-0.0</v>
      </c>
      <c r="CH25" s="490">
        <f>-1*CH20</f>
        <v>-0.0</v>
      </c>
      <c r="CI25" s="490">
        <f>-1*CI20</f>
        <v>-0.0</v>
      </c>
      <c r="CJ25" s="490">
        <f>-1*CJ20</f>
        <v>-0.0</v>
      </c>
      <c r="CK25" s="490">
        <f>-1*CK20</f>
        <v>-0.0</v>
      </c>
      <c r="CL25" s="490">
        <f>-1*CL20</f>
        <v>-0.0</v>
      </c>
      <c r="CM25" s="490">
        <f>-1*CM20</f>
        <v>-0.0</v>
      </c>
      <c r="CN25" s="490">
        <f>-1*CN20</f>
        <v>-0.0</v>
      </c>
      <c r="CO25" s="490">
        <f>-1*CO20</f>
        <v>-0.0</v>
      </c>
    </row>
    <row r="26">
      <c r="E26" s="61" t="inlineStr">
        <is>
          <t>Shareholder loan interest paid</t>
        </is>
      </c>
      <c r="F26" s="484" t="n"/>
      <c r="G26" s="61" t="inlineStr">
        <is>
          <t>$ 000s</t>
        </is>
      </c>
      <c r="H26" s="490">
        <f>SUM(J26:CO26)</f>
        <v>-18390.59599787667</v>
      </c>
      <c r="I26" s="484" t="n"/>
      <c r="J26" s="490">
        <f>-1*J21</f>
        <v>-0.0</v>
      </c>
      <c r="K26" s="490">
        <f>-1*K21</f>
        <v>-0.0</v>
      </c>
      <c r="L26" s="490">
        <f>-1*L21</f>
        <v>-0.0</v>
      </c>
      <c r="M26" s="490">
        <f>-1*M21</f>
        <v>-449.4856099877539</v>
      </c>
      <c r="N26" s="490">
        <f>-1*N21</f>
        <v>-454.4250122953116</v>
      </c>
      <c r="O26" s="490">
        <f>-1*O21</f>
        <v>-454.4250122953116</v>
      </c>
      <c r="P26" s="490">
        <f>-1*P21</f>
        <v>-444.5462076801962</v>
      </c>
      <c r="Q26" s="490">
        <f>-1*Q21</f>
        <v>-449.4856099877539</v>
      </c>
      <c r="R26" s="490">
        <f>-1*R21</f>
        <v>-454.4250122953116</v>
      </c>
      <c r="S26" s="490">
        <f>-1*S21</f>
        <v>-454.4250122953116</v>
      </c>
      <c r="T26" s="490">
        <f>-1*T21</f>
        <v>-449.4856099877539</v>
      </c>
      <c r="U26" s="490">
        <f>-1*U21</f>
        <v>-449.4856099877539</v>
      </c>
      <c r="V26" s="490">
        <f>-1*V21</f>
        <v>-454.4250122953116</v>
      </c>
      <c r="W26" s="490">
        <f>-1*W21</f>
        <v>-454.4250122953116</v>
      </c>
      <c r="X26" s="490">
        <f>-1*X21</f>
        <v>-444.5462076801962</v>
      </c>
      <c r="Y26" s="490">
        <f>-1*Y21</f>
        <v>-449.4856099877539</v>
      </c>
      <c r="Z26" s="490">
        <f>-1*Z21</f>
        <v>-454.4250122953116</v>
      </c>
      <c r="AA26" s="490">
        <f>-1*AA21</f>
        <v>-454.4250122953116</v>
      </c>
      <c r="AB26" s="490">
        <f>-1*AB21</f>
        <v>-444.5462076801962</v>
      </c>
      <c r="AC26" s="490">
        <f>-1*AC21</f>
        <v>-449.4856099877539</v>
      </c>
      <c r="AD26" s="490">
        <f>-1*AD21</f>
        <v>-454.4250122953116</v>
      </c>
      <c r="AE26" s="490">
        <f>-1*AE21</f>
        <v>-454.4250122953116</v>
      </c>
      <c r="AF26" s="490">
        <f>-1*AF21</f>
        <v>-444.5462076801962</v>
      </c>
      <c r="AG26" s="490">
        <f>-1*AG21</f>
        <v>-449.4856099877539</v>
      </c>
      <c r="AH26" s="490">
        <f>-1*AH21</f>
        <v>-454.4250122953116</v>
      </c>
      <c r="AI26" s="490">
        <f>-1*AI21</f>
        <v>-454.4250122953116</v>
      </c>
      <c r="AJ26" s="490">
        <f>-1*AJ21</f>
        <v>-449.4856099877539</v>
      </c>
      <c r="AK26" s="490">
        <f>-1*AK21</f>
        <v>-449.4856099877539</v>
      </c>
      <c r="AL26" s="490">
        <f>-1*AL21</f>
        <v>-454.4250122953116</v>
      </c>
      <c r="AM26" s="490">
        <f>-1*AM21</f>
        <v>-454.4250122953116</v>
      </c>
      <c r="AN26" s="490">
        <f>-1*AN21</f>
        <v>-444.5462076801962</v>
      </c>
      <c r="AO26" s="490">
        <f>-1*AO21</f>
        <v>-449.4856099877539</v>
      </c>
      <c r="AP26" s="490">
        <f>-1*AP21</f>
        <v>-454.4250122953116</v>
      </c>
      <c r="AQ26" s="490">
        <f>-1*AQ21</f>
        <v>-454.4250122953116</v>
      </c>
      <c r="AR26" s="490">
        <f>-1*AR21</f>
        <v>-444.5462076801962</v>
      </c>
      <c r="AS26" s="490">
        <f>-1*AS21</f>
        <v>-449.4856099877539</v>
      </c>
      <c r="AT26" s="490">
        <f>-1*AT21</f>
        <v>-454.4250122953116</v>
      </c>
      <c r="AU26" s="490">
        <f>-1*AU21</f>
        <v>-454.4250122953116</v>
      </c>
      <c r="AV26" s="490">
        <f>-1*AV21</f>
        <v>-444.5462076801962</v>
      </c>
      <c r="AW26" s="490">
        <f>-1*AW21</f>
        <v>-449.4856099877539</v>
      </c>
      <c r="AX26" s="490">
        <f>-1*AX21</f>
        <v>-454.4250122953116</v>
      </c>
      <c r="AY26" s="490">
        <f>-1*AY21</f>
        <v>-454.4250122953116</v>
      </c>
      <c r="AZ26" s="490">
        <f>-1*AZ21</f>
        <v>-449.4856099877539</v>
      </c>
      <c r="BA26" s="490">
        <f>-1*BA21</f>
        <v>-264.69596908192295</v>
      </c>
      <c r="BB26" s="490">
        <f>-1*BB21</f>
        <v>-82.26339928634043</v>
      </c>
      <c r="BC26" s="490">
        <f>-1*BC21</f>
        <v>-0.0</v>
      </c>
      <c r="BD26" s="490">
        <f>-1*BD21</f>
        <v>-0.0</v>
      </c>
      <c r="BE26" s="490">
        <f>-1*BE21</f>
        <v>-0.0</v>
      </c>
      <c r="BF26" s="490">
        <f>-1*BF21</f>
        <v>-0.0</v>
      </c>
      <c r="BG26" s="490">
        <f>-1*BG21</f>
        <v>-0.0</v>
      </c>
      <c r="BH26" s="490">
        <f>-1*BH21</f>
        <v>-0.0</v>
      </c>
      <c r="BI26" s="490">
        <f>-1*BI21</f>
        <v>-0.0</v>
      </c>
      <c r="BJ26" s="490">
        <f>-1*BJ21</f>
        <v>-0.0</v>
      </c>
      <c r="BK26" s="490">
        <f>-1*BK21</f>
        <v>-0.0</v>
      </c>
      <c r="BL26" s="490">
        <f>-1*BL21</f>
        <v>-0.0</v>
      </c>
      <c r="BM26" s="490">
        <f>-1*BM21</f>
        <v>-0.0</v>
      </c>
      <c r="BN26" s="490">
        <f>-1*BN21</f>
        <v>-0.0</v>
      </c>
      <c r="BO26" s="490">
        <f>-1*BO21</f>
        <v>-0.0</v>
      </c>
      <c r="BP26" s="490">
        <f>-1*BP21</f>
        <v>-0.0</v>
      </c>
      <c r="BQ26" s="490">
        <f>-1*BQ21</f>
        <v>-0.0</v>
      </c>
      <c r="BR26" s="490">
        <f>-1*BR21</f>
        <v>-0.0</v>
      </c>
      <c r="BS26" s="490">
        <f>-1*BS21</f>
        <v>-0.0</v>
      </c>
      <c r="BT26" s="490">
        <f>-1*BT21</f>
        <v>-0.0</v>
      </c>
      <c r="BU26" s="490">
        <f>-1*BU21</f>
        <v>-0.0</v>
      </c>
      <c r="BV26" s="490">
        <f>-1*BV21</f>
        <v>-0.0</v>
      </c>
      <c r="BW26" s="490">
        <f>-1*BW21</f>
        <v>-0.0</v>
      </c>
      <c r="BX26" s="490">
        <f>-1*BX21</f>
        <v>-0.0</v>
      </c>
      <c r="BY26" s="490">
        <f>-1*BY21</f>
        <v>-0.0</v>
      </c>
      <c r="BZ26" s="490">
        <f>-1*BZ21</f>
        <v>-0.0</v>
      </c>
      <c r="CA26" s="490">
        <f>-1*CA21</f>
        <v>-0.0</v>
      </c>
      <c r="CB26" s="490">
        <f>-1*CB21</f>
        <v>-0.0</v>
      </c>
      <c r="CC26" s="490">
        <f>-1*CC21</f>
        <v>-0.0</v>
      </c>
      <c r="CD26" s="490">
        <f>-1*CD21</f>
        <v>-0.0</v>
      </c>
      <c r="CE26" s="490">
        <f>-1*CE21</f>
        <v>-0.0</v>
      </c>
      <c r="CF26" s="490">
        <f>-1*CF21</f>
        <v>-0.0</v>
      </c>
      <c r="CG26" s="490">
        <f>-1*CG21</f>
        <v>-0.0</v>
      </c>
      <c r="CH26" s="490">
        <f>-1*CH21</f>
        <v>-0.0</v>
      </c>
      <c r="CI26" s="490">
        <f>-1*CI21</f>
        <v>-0.0</v>
      </c>
      <c r="CJ26" s="490">
        <f>-1*CJ21</f>
        <v>-0.0</v>
      </c>
      <c r="CK26" s="490">
        <f>-1*CK21</f>
        <v>-0.0</v>
      </c>
      <c r="CL26" s="490">
        <f>-1*CL21</f>
        <v>-0.0</v>
      </c>
      <c r="CM26" s="490">
        <f>-1*CM21</f>
        <v>-0.0</v>
      </c>
      <c r="CN26" s="490">
        <f>-1*CN21</f>
        <v>-0.0</v>
      </c>
      <c r="CO26" s="490">
        <f>-1*CO21</f>
        <v>-0.0</v>
      </c>
    </row>
    <row r="27">
      <c r="E27" s="61" t="inlineStr">
        <is>
          <t>Shareholder loan principal repaid</t>
        </is>
      </c>
      <c r="F27" s="484" t="n"/>
      <c r="G27" s="61" t="inlineStr">
        <is>
          <t>$ 000s</t>
        </is>
      </c>
      <c r="H27" s="490">
        <f>SUM(J27:CO27)</f>
        <v>-17781.848307207845</v>
      </c>
      <c r="I27" s="484" t="n"/>
      <c r="J27" s="490">
        <f>-1*J23</f>
        <v>-0.0</v>
      </c>
      <c r="K27" s="490">
        <f>-1*K23</f>
        <v>-0.0</v>
      </c>
      <c r="L27" s="490">
        <f>-1*L23</f>
        <v>-0.0</v>
      </c>
      <c r="M27" s="490">
        <f>-1*M23</f>
        <v>-0.0</v>
      </c>
      <c r="N27" s="490">
        <f>-1*N23</f>
        <v>-0.0</v>
      </c>
      <c r="O27" s="490">
        <f>-1*O23</f>
        <v>-0.0</v>
      </c>
      <c r="P27" s="490">
        <f>-1*P23</f>
        <v>-0.0</v>
      </c>
      <c r="Q27" s="490">
        <f>-1*Q23</f>
        <v>-0.0</v>
      </c>
      <c r="R27" s="490">
        <f>-1*R23</f>
        <v>-0.0</v>
      </c>
      <c r="S27" s="490">
        <f>-1*S23</f>
        <v>-0.0</v>
      </c>
      <c r="T27" s="490">
        <f>-1*T23</f>
        <v>-0.0</v>
      </c>
      <c r="U27" s="490">
        <f>-1*U23</f>
        <v>-0.0</v>
      </c>
      <c r="V27" s="490">
        <f>-1*V23</f>
        <v>-0.0</v>
      </c>
      <c r="W27" s="490">
        <f>-1*W23</f>
        <v>-0.0</v>
      </c>
      <c r="X27" s="490">
        <f>-1*X23</f>
        <v>-0.0</v>
      </c>
      <c r="Y27" s="490">
        <f>-1*Y23</f>
        <v>-0.0</v>
      </c>
      <c r="Z27" s="490">
        <f>-1*Z23</f>
        <v>-0.0</v>
      </c>
      <c r="AA27" s="490">
        <f>-1*AA23</f>
        <v>-0.0</v>
      </c>
      <c r="AB27" s="490">
        <f>-1*AB23</f>
        <v>-0.0</v>
      </c>
      <c r="AC27" s="490">
        <f>-1*AC23</f>
        <v>-0.0</v>
      </c>
      <c r="AD27" s="490">
        <f>-1*AD23</f>
        <v>-0.0</v>
      </c>
      <c r="AE27" s="490">
        <f>-1*AE23</f>
        <v>-0.0</v>
      </c>
      <c r="AF27" s="490">
        <f>-1*AF23</f>
        <v>-0.0</v>
      </c>
      <c r="AG27" s="490">
        <f>-1*AG23</f>
        <v>-0.0</v>
      </c>
      <c r="AH27" s="490">
        <f>-1*AH23</f>
        <v>-0.0</v>
      </c>
      <c r="AI27" s="490">
        <f>-1*AI23</f>
        <v>-0.0</v>
      </c>
      <c r="AJ27" s="490">
        <f>-1*AJ23</f>
        <v>-0.0</v>
      </c>
      <c r="AK27" s="490">
        <f>-1*AK23</f>
        <v>-0.0</v>
      </c>
      <c r="AL27" s="490">
        <f>-1*AL23</f>
        <v>-0.0</v>
      </c>
      <c r="AM27" s="490">
        <f>-1*AM23</f>
        <v>-0.0</v>
      </c>
      <c r="AN27" s="490">
        <f>-1*AN23</f>
        <v>-0.0</v>
      </c>
      <c r="AO27" s="490">
        <f>-1*AO23</f>
        <v>-0.0</v>
      </c>
      <c r="AP27" s="490">
        <f>-1*AP23</f>
        <v>-0.0</v>
      </c>
      <c r="AQ27" s="490">
        <f>-1*AQ23</f>
        <v>-0.0</v>
      </c>
      <c r="AR27" s="490">
        <f>-1*AR23</f>
        <v>-0.0</v>
      </c>
      <c r="AS27" s="490">
        <f>-1*AS23</f>
        <v>-0.0</v>
      </c>
      <c r="AT27" s="490">
        <f>-1*AT23</f>
        <v>-0.0</v>
      </c>
      <c r="AU27" s="490">
        <f>-1*AU23</f>
        <v>-0.0</v>
      </c>
      <c r="AV27" s="490">
        <f>-1*AV23</f>
        <v>-0.0</v>
      </c>
      <c r="AW27" s="490">
        <f>-1*AW23</f>
        <v>-0.0</v>
      </c>
      <c r="AX27" s="490">
        <f>-1*AX23</f>
        <v>-0.0</v>
      </c>
      <c r="AY27" s="490">
        <f>-1*AY23</f>
        <v>-0.0</v>
      </c>
      <c r="AZ27" s="490">
        <f>-1*AZ23</f>
        <v>-7310.359420450455</v>
      </c>
      <c r="BA27" s="490">
        <f>-1*BA23</f>
        <v>-7252.486305987547</v>
      </c>
      <c r="BB27" s="490">
        <f>-1*BB23</f>
        <v>-3219.002580769843</v>
      </c>
      <c r="BC27" s="490">
        <f>-1*BC23</f>
        <v>-0.0</v>
      </c>
      <c r="BD27" s="490">
        <f>-1*BD23</f>
        <v>-0.0</v>
      </c>
      <c r="BE27" s="490">
        <f>-1*BE23</f>
        <v>-0.0</v>
      </c>
      <c r="BF27" s="490">
        <f>-1*BF23</f>
        <v>-0.0</v>
      </c>
      <c r="BG27" s="490">
        <f>-1*BG23</f>
        <v>-0.0</v>
      </c>
      <c r="BH27" s="490">
        <f>-1*BH23</f>
        <v>-0.0</v>
      </c>
      <c r="BI27" s="490">
        <f>-1*BI23</f>
        <v>-0.0</v>
      </c>
      <c r="BJ27" s="490">
        <f>-1*BJ23</f>
        <v>-0.0</v>
      </c>
      <c r="BK27" s="490">
        <f>-1*BK23</f>
        <v>-0.0</v>
      </c>
      <c r="BL27" s="490">
        <f>-1*BL23</f>
        <v>-0.0</v>
      </c>
      <c r="BM27" s="490">
        <f>-1*BM23</f>
        <v>-0.0</v>
      </c>
      <c r="BN27" s="490">
        <f>-1*BN23</f>
        <v>-0.0</v>
      </c>
      <c r="BO27" s="490">
        <f>-1*BO23</f>
        <v>-0.0</v>
      </c>
      <c r="BP27" s="490">
        <f>-1*BP23</f>
        <v>-0.0</v>
      </c>
      <c r="BQ27" s="490">
        <f>-1*BQ23</f>
        <v>-0.0</v>
      </c>
      <c r="BR27" s="490">
        <f>-1*BR23</f>
        <v>-0.0</v>
      </c>
      <c r="BS27" s="490">
        <f>-1*BS23</f>
        <v>-0.0</v>
      </c>
      <c r="BT27" s="490">
        <f>-1*BT23</f>
        <v>-0.0</v>
      </c>
      <c r="BU27" s="490">
        <f>-1*BU23</f>
        <v>-0.0</v>
      </c>
      <c r="BV27" s="490">
        <f>-1*BV23</f>
        <v>-0.0</v>
      </c>
      <c r="BW27" s="490">
        <f>-1*BW23</f>
        <v>-0.0</v>
      </c>
      <c r="BX27" s="490">
        <f>-1*BX23</f>
        <v>-0.0</v>
      </c>
      <c r="BY27" s="490">
        <f>-1*BY23</f>
        <v>-0.0</v>
      </c>
      <c r="BZ27" s="490">
        <f>-1*BZ23</f>
        <v>-0.0</v>
      </c>
      <c r="CA27" s="490">
        <f>-1*CA23</f>
        <v>-0.0</v>
      </c>
      <c r="CB27" s="490">
        <f>-1*CB23</f>
        <v>-0.0</v>
      </c>
      <c r="CC27" s="490">
        <f>-1*CC23</f>
        <v>-0.0</v>
      </c>
      <c r="CD27" s="490">
        <f>-1*CD23</f>
        <v>-0.0</v>
      </c>
      <c r="CE27" s="490">
        <f>-1*CE23</f>
        <v>-0.0</v>
      </c>
      <c r="CF27" s="490">
        <f>-1*CF23</f>
        <v>-0.0</v>
      </c>
      <c r="CG27" s="490">
        <f>-1*CG23</f>
        <v>-0.0</v>
      </c>
      <c r="CH27" s="490">
        <f>-1*CH23</f>
        <v>-0.0</v>
      </c>
      <c r="CI27" s="490">
        <f>-1*CI23</f>
        <v>-0.0</v>
      </c>
      <c r="CJ27" s="490">
        <f>-1*CJ23</f>
        <v>-0.0</v>
      </c>
      <c r="CK27" s="490">
        <f>-1*CK23</f>
        <v>-0.0</v>
      </c>
      <c r="CL27" s="490">
        <f>-1*CL23</f>
        <v>-0.0</v>
      </c>
      <c r="CM27" s="490">
        <f>-1*CM23</f>
        <v>-0.0</v>
      </c>
      <c r="CN27" s="490">
        <f>-1*CN23</f>
        <v>-0.0</v>
      </c>
      <c r="CO27" s="490">
        <f>-1*CO23</f>
        <v>-0.0</v>
      </c>
    </row>
  </sheetData>
  <pageMargins left="0.75" right="0.75" top="1" bottom="1" header="0.5" footer="0.5"/>
</worksheet>
</file>

<file path=xl/worksheets/sheet16.xml><?xml version="1.0" encoding="utf-8"?>
<worksheet xmlns="http://schemas.openxmlformats.org/spreadsheetml/2006/main">
  <sheetPr>
    <tabColor rgb="000B5E82"/>
    <outlinePr summaryBelow="0" summaryRight="0"/>
    <pageSetUpPr/>
  </sheetPr>
  <dimension ref="A1:CO61"/>
  <sheetViews>
    <sheetView showGridLines="0" defaultGridColor="0" colorId="22" zoomScaleNormal="100" workbookViewId="0">
      <pane xSplit="9" ySplit="5" topLeftCell="J30" activePane="bottomRight" state="frozen"/>
      <selection activeCell="I34" sqref="I34"/>
      <selection pane="topRight" activeCell="I34" sqref="I34"/>
      <selection pane="bottomLeft" activeCell="I34" sqref="I34"/>
      <selection pane="bottomRight" activeCell="K45" sqref="A45:XFD45"/>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SHARE CAPITAL REDEMPTION</t>
        </is>
      </c>
    </row>
    <row r="8">
      <c r="E8" s="29" t="str">
        <f> E$21</f>
        <v>Share capital balance BEG</v>
      </c>
      <c r="F8" s="29">
        <f> F$21</f>
        <v>0.0</v>
      </c>
      <c r="G8" s="29" t="str">
        <f> G$21</f>
        <v>$ 000s</v>
      </c>
      <c r="H8" s="29">
        <f> H$21</f>
        <v>0.0</v>
      </c>
      <c r="I8" s="29">
        <f> I$21</f>
        <v>0.0</v>
      </c>
      <c r="J8" s="29">
        <f> J$21</f>
        <v>0.0</v>
      </c>
      <c r="K8" s="29">
        <f> K$21</f>
        <v>0.0</v>
      </c>
      <c r="L8" s="29">
        <f> L$21</f>
        <v>11565.429793305917</v>
      </c>
      <c r="M8" s="29">
        <f> M$21</f>
        <v>11565.429793305917</v>
      </c>
      <c r="N8" s="29">
        <f> N$21</f>
        <v>11565.429793305917</v>
      </c>
      <c r="O8" s="29">
        <f> O$21</f>
        <v>11565.429793305917</v>
      </c>
      <c r="P8" s="29">
        <f> P$21</f>
        <v>11565.429793305917</v>
      </c>
      <c r="Q8" s="29">
        <f> Q$21</f>
        <v>11565.429793305917</v>
      </c>
      <c r="R8" s="29">
        <f> R$21</f>
        <v>11565.429793305917</v>
      </c>
      <c r="S8" s="29">
        <f> S$21</f>
        <v>11565.429793305917</v>
      </c>
      <c r="T8" s="29">
        <f> T$21</f>
        <v>11565.429793305917</v>
      </c>
      <c r="U8" s="29">
        <f> U$21</f>
        <v>11565.429793305917</v>
      </c>
      <c r="V8" s="29">
        <f> V$21</f>
        <v>11565.429793305917</v>
      </c>
      <c r="W8" s="29">
        <f> W$21</f>
        <v>11565.429793305917</v>
      </c>
      <c r="X8" s="29">
        <f> X$21</f>
        <v>11565.429793305917</v>
      </c>
      <c r="Y8" s="29">
        <f> Y$21</f>
        <v>11565.429793305917</v>
      </c>
      <c r="Z8" s="29">
        <f> Z$21</f>
        <v>11565.429793305917</v>
      </c>
      <c r="AA8" s="29">
        <f> AA$21</f>
        <v>11565.429793305917</v>
      </c>
      <c r="AB8" s="29">
        <f> AB$21</f>
        <v>11565.429793305917</v>
      </c>
      <c r="AC8" s="29">
        <f> AC$21</f>
        <v>11565.429793305917</v>
      </c>
      <c r="AD8" s="29">
        <f> AD$21</f>
        <v>11565.429793305917</v>
      </c>
      <c r="AE8" s="29">
        <f> AE$21</f>
        <v>11565.429793305917</v>
      </c>
      <c r="AF8" s="29">
        <f> AF$21</f>
        <v>11565.429793305917</v>
      </c>
      <c r="AG8" s="29">
        <f> AG$21</f>
        <v>11565.429793305917</v>
      </c>
      <c r="AH8" s="29">
        <f> AH$21</f>
        <v>11565.429793305917</v>
      </c>
      <c r="AI8" s="29">
        <f> AI$21</f>
        <v>11565.429793305917</v>
      </c>
      <c r="AJ8" s="29">
        <f> AJ$21</f>
        <v>11565.429793305917</v>
      </c>
      <c r="AK8" s="29">
        <f> AK$21</f>
        <v>11565.429793305917</v>
      </c>
      <c r="AL8" s="29">
        <f> AL$21</f>
        <v>11565.429793305917</v>
      </c>
      <c r="AM8" s="29">
        <f> AM$21</f>
        <v>11565.429793305917</v>
      </c>
      <c r="AN8" s="29">
        <f> AN$21</f>
        <v>11565.429793305917</v>
      </c>
      <c r="AO8" s="29">
        <f> AO$21</f>
        <v>11565.429793305917</v>
      </c>
      <c r="AP8" s="29">
        <f> AP$21</f>
        <v>11565.429793305917</v>
      </c>
      <c r="AQ8" s="29">
        <f> AQ$21</f>
        <v>11565.429793305917</v>
      </c>
      <c r="AR8" s="29">
        <f> AR$21</f>
        <v>11565.429793305917</v>
      </c>
      <c r="AS8" s="29">
        <f> AS$21</f>
        <v>11565.429793305917</v>
      </c>
      <c r="AT8" s="29">
        <f> AT$21</f>
        <v>11565.429793305917</v>
      </c>
      <c r="AU8" s="29">
        <f> AU$21</f>
        <v>11565.429793305917</v>
      </c>
      <c r="AV8" s="29">
        <f> AV$21</f>
        <v>11565.429793305917</v>
      </c>
      <c r="AW8" s="29">
        <f> AW$21</f>
        <v>11565.429793305917</v>
      </c>
      <c r="AX8" s="29">
        <f> AX$21</f>
        <v>11565.429793305917</v>
      </c>
      <c r="AY8" s="29">
        <f> AY$21</f>
        <v>11565.429793305917</v>
      </c>
      <c r="AZ8" s="29">
        <f> AZ$21</f>
        <v>11565.429793305917</v>
      </c>
      <c r="BA8" s="29">
        <f> BA$21</f>
        <v>11565.429793305917</v>
      </c>
      <c r="BB8" s="29">
        <f> BB$21</f>
        <v>11565.429793305917</v>
      </c>
      <c r="BC8" s="29">
        <f> BC$21</f>
        <v>11565.429793305917</v>
      </c>
      <c r="BD8" s="29">
        <f> BD$21</f>
        <v>11565.429793305917</v>
      </c>
      <c r="BE8" s="29">
        <f> BE$21</f>
        <v>11565.429793305917</v>
      </c>
      <c r="BF8" s="29">
        <f> BF$21</f>
        <v>11565.429793305917</v>
      </c>
      <c r="BG8" s="29">
        <f> BG$21</f>
        <v>11565.429793305917</v>
      </c>
      <c r="BH8" s="29">
        <f> BH$21</f>
        <v>11565.429793305917</v>
      </c>
      <c r="BI8" s="29">
        <f> BI$21</f>
        <v>11565.429793305917</v>
      </c>
      <c r="BJ8" s="29">
        <f> BJ$21</f>
        <v>11565.429793305917</v>
      </c>
      <c r="BK8" s="29">
        <f> BK$21</f>
        <v>11565.429793305917</v>
      </c>
      <c r="BL8" s="29">
        <f> BL$21</f>
        <v>11565.429793305917</v>
      </c>
      <c r="BM8" s="29">
        <f> BM$21</f>
        <v>11565.429793305917</v>
      </c>
      <c r="BN8" s="29">
        <f> BN$21</f>
        <v>11565.429793305917</v>
      </c>
      <c r="BO8" s="29">
        <f> BO$21</f>
        <v>11565.429793305917</v>
      </c>
      <c r="BP8" s="29">
        <f> BP$21</f>
        <v>11565.429793305917</v>
      </c>
      <c r="BQ8" s="29">
        <f> BQ$21</f>
        <v>11565.429793305917</v>
      </c>
      <c r="BR8" s="29">
        <f> BR$21</f>
        <v>11565.429793305917</v>
      </c>
      <c r="BS8" s="29">
        <f> BS$21</f>
        <v>11565.429793305917</v>
      </c>
      <c r="BT8" s="29">
        <f> BT$21</f>
        <v>11565.429793305917</v>
      </c>
      <c r="BU8" s="29">
        <f> BU$21</f>
        <v>11565.429793305917</v>
      </c>
      <c r="BV8" s="29">
        <f> BV$21</f>
        <v>11565.429793305917</v>
      </c>
      <c r="BW8" s="29">
        <f> BW$21</f>
        <v>11565.429793305917</v>
      </c>
      <c r="BX8" s="29">
        <f> BX$21</f>
        <v>11565.429793305917</v>
      </c>
      <c r="BY8" s="29">
        <f> BY$21</f>
        <v>11565.429793305917</v>
      </c>
      <c r="BZ8" s="29">
        <f> BZ$21</f>
        <v>11565.429793305917</v>
      </c>
      <c r="CA8" s="29">
        <f> CA$21</f>
        <v>11565.429793305917</v>
      </c>
      <c r="CB8" s="29">
        <f> CB$21</f>
        <v>11565.429793305917</v>
      </c>
      <c r="CC8" s="29">
        <f> CC$21</f>
        <v>11565.429793305917</v>
      </c>
      <c r="CD8" s="29">
        <f> CD$21</f>
        <v>11565.429793305917</v>
      </c>
      <c r="CE8" s="29">
        <f> CE$21</f>
        <v>11565.429793305917</v>
      </c>
      <c r="CF8" s="29">
        <f> CF$21</f>
        <v>11565.429793305917</v>
      </c>
      <c r="CG8" s="29">
        <f> CG$21</f>
        <v>11565.429793305917</v>
      </c>
      <c r="CH8" s="29">
        <f> CH$21</f>
        <v>11565.429793305917</v>
      </c>
      <c r="CI8" s="29">
        <f> CI$21</f>
        <v>11565.429793305917</v>
      </c>
      <c r="CJ8" s="29">
        <f> CJ$21</f>
        <v>11565.429793305917</v>
      </c>
      <c r="CK8" s="29">
        <f> CK$21</f>
        <v>11565.429793305917</v>
      </c>
      <c r="CL8" s="29">
        <f> CL$21</f>
        <v>11565.429793305917</v>
      </c>
      <c r="CM8" s="29">
        <f> CM$21</f>
        <v>11565.429793305917</v>
      </c>
      <c r="CN8" s="29">
        <f> CN$21</f>
        <v>0.0</v>
      </c>
      <c r="CO8" s="29">
        <f> CO$21</f>
        <v>0.0</v>
      </c>
    </row>
    <row r="9">
      <c r="E9" s="325" t="str">
        <f> Time!E$75</f>
        <v>Last forecast period flag</v>
      </c>
      <c r="F9" s="325">
        <f> Time!F$75</f>
        <v>0.0</v>
      </c>
      <c r="G9" s="325" t="str">
        <f> Time!G$75</f>
        <v>flag</v>
      </c>
      <c r="H9" s="325">
        <f> Time!H$75</f>
        <v>1.0</v>
      </c>
      <c r="I9" s="325">
        <f> Time!I$75</f>
        <v>0.0</v>
      </c>
      <c r="J9" s="325">
        <f> Time!J$75</f>
        <v>0.0</v>
      </c>
      <c r="K9" s="325">
        <f> Time!K$75</f>
        <v>0.0</v>
      </c>
      <c r="L9" s="325">
        <f> Time!L$75</f>
        <v>0.0</v>
      </c>
      <c r="M9" s="325">
        <f> Time!M$75</f>
        <v>0.0</v>
      </c>
      <c r="N9" s="325">
        <f> Time!N$75</f>
        <v>0.0</v>
      </c>
      <c r="O9" s="325">
        <f> Time!O$75</f>
        <v>0.0</v>
      </c>
      <c r="P9" s="325">
        <f> Time!P$75</f>
        <v>0.0</v>
      </c>
      <c r="Q9" s="325">
        <f> Time!Q$75</f>
        <v>0.0</v>
      </c>
      <c r="R9" s="325">
        <f> Time!R$75</f>
        <v>0.0</v>
      </c>
      <c r="S9" s="325">
        <f> Time!S$75</f>
        <v>0.0</v>
      </c>
      <c r="T9" s="325">
        <f> Time!T$75</f>
        <v>0.0</v>
      </c>
      <c r="U9" s="325">
        <f> Time!U$75</f>
        <v>0.0</v>
      </c>
      <c r="V9" s="325">
        <f> Time!V$75</f>
        <v>0.0</v>
      </c>
      <c r="W9" s="325">
        <f> Time!W$75</f>
        <v>0.0</v>
      </c>
      <c r="X9" s="325">
        <f> Time!X$75</f>
        <v>0.0</v>
      </c>
      <c r="Y9" s="325">
        <f> Time!Y$75</f>
        <v>0.0</v>
      </c>
      <c r="Z9" s="325">
        <f> Time!Z$75</f>
        <v>0.0</v>
      </c>
      <c r="AA9" s="325">
        <f> Time!AA$75</f>
        <v>0.0</v>
      </c>
      <c r="AB9" s="325">
        <f> Time!AB$75</f>
        <v>0.0</v>
      </c>
      <c r="AC9" s="325">
        <f> Time!AC$75</f>
        <v>0.0</v>
      </c>
      <c r="AD9" s="325">
        <f> Time!AD$75</f>
        <v>0.0</v>
      </c>
      <c r="AE9" s="325">
        <f> Time!AE$75</f>
        <v>0.0</v>
      </c>
      <c r="AF9" s="325">
        <f> Time!AF$75</f>
        <v>0.0</v>
      </c>
      <c r="AG9" s="325">
        <f> Time!AG$75</f>
        <v>0.0</v>
      </c>
      <c r="AH9" s="325">
        <f> Time!AH$75</f>
        <v>0.0</v>
      </c>
      <c r="AI9" s="325">
        <f> Time!AI$75</f>
        <v>0.0</v>
      </c>
      <c r="AJ9" s="325">
        <f> Time!AJ$75</f>
        <v>0.0</v>
      </c>
      <c r="AK9" s="325">
        <f> Time!AK$75</f>
        <v>0.0</v>
      </c>
      <c r="AL9" s="325">
        <f> Time!AL$75</f>
        <v>0.0</v>
      </c>
      <c r="AM9" s="325">
        <f> Time!AM$75</f>
        <v>0.0</v>
      </c>
      <c r="AN9" s="325">
        <f> Time!AN$75</f>
        <v>0.0</v>
      </c>
      <c r="AO9" s="325">
        <f> Time!AO$75</f>
        <v>0.0</v>
      </c>
      <c r="AP9" s="325">
        <f> Time!AP$75</f>
        <v>0.0</v>
      </c>
      <c r="AQ9" s="325">
        <f> Time!AQ$75</f>
        <v>0.0</v>
      </c>
      <c r="AR9" s="325">
        <f> Time!AR$75</f>
        <v>0.0</v>
      </c>
      <c r="AS9" s="325">
        <f> Time!AS$75</f>
        <v>0.0</v>
      </c>
      <c r="AT9" s="325">
        <f> Time!AT$75</f>
        <v>0.0</v>
      </c>
      <c r="AU9" s="325">
        <f> Time!AU$75</f>
        <v>0.0</v>
      </c>
      <c r="AV9" s="325">
        <f> Time!AV$75</f>
        <v>0.0</v>
      </c>
      <c r="AW9" s="325">
        <f> Time!AW$75</f>
        <v>0.0</v>
      </c>
      <c r="AX9" s="325">
        <f> Time!AX$75</f>
        <v>0.0</v>
      </c>
      <c r="AY9" s="325">
        <f> Time!AY$75</f>
        <v>0.0</v>
      </c>
      <c r="AZ9" s="325">
        <f> Time!AZ$75</f>
        <v>0.0</v>
      </c>
      <c r="BA9" s="325">
        <f> Time!BA$75</f>
        <v>0.0</v>
      </c>
      <c r="BB9" s="325">
        <f> Time!BB$75</f>
        <v>0.0</v>
      </c>
      <c r="BC9" s="325">
        <f> Time!BC$75</f>
        <v>0.0</v>
      </c>
      <c r="BD9" s="325">
        <f> Time!BD$75</f>
        <v>0.0</v>
      </c>
      <c r="BE9" s="325">
        <f> Time!BE$75</f>
        <v>0.0</v>
      </c>
      <c r="BF9" s="325">
        <f> Time!BF$75</f>
        <v>0.0</v>
      </c>
      <c r="BG9" s="325">
        <f> Time!BG$75</f>
        <v>0.0</v>
      </c>
      <c r="BH9" s="325">
        <f> Time!BH$75</f>
        <v>0.0</v>
      </c>
      <c r="BI9" s="325">
        <f> Time!BI$75</f>
        <v>0.0</v>
      </c>
      <c r="BJ9" s="325">
        <f> Time!BJ$75</f>
        <v>0.0</v>
      </c>
      <c r="BK9" s="325">
        <f> Time!BK$75</f>
        <v>0.0</v>
      </c>
      <c r="BL9" s="325">
        <f> Time!BL$75</f>
        <v>0.0</v>
      </c>
      <c r="BM9" s="325">
        <f> Time!BM$75</f>
        <v>0.0</v>
      </c>
      <c r="BN9" s="325">
        <f> Time!BN$75</f>
        <v>0.0</v>
      </c>
      <c r="BO9" s="325">
        <f> Time!BO$75</f>
        <v>0.0</v>
      </c>
      <c r="BP9" s="325">
        <f> Time!BP$75</f>
        <v>0.0</v>
      </c>
      <c r="BQ9" s="325">
        <f> Time!BQ$75</f>
        <v>0.0</v>
      </c>
      <c r="BR9" s="325">
        <f> Time!BR$75</f>
        <v>0.0</v>
      </c>
      <c r="BS9" s="325">
        <f> Time!BS$75</f>
        <v>0.0</v>
      </c>
      <c r="BT9" s="325">
        <f> Time!BT$75</f>
        <v>0.0</v>
      </c>
      <c r="BU9" s="325">
        <f> Time!BU$75</f>
        <v>0.0</v>
      </c>
      <c r="BV9" s="325">
        <f> Time!BV$75</f>
        <v>0.0</v>
      </c>
      <c r="BW9" s="325">
        <f> Time!BW$75</f>
        <v>0.0</v>
      </c>
      <c r="BX9" s="325">
        <f> Time!BX$75</f>
        <v>0.0</v>
      </c>
      <c r="BY9" s="325">
        <f> Time!BY$75</f>
        <v>0.0</v>
      </c>
      <c r="BZ9" s="325">
        <f> Time!BZ$75</f>
        <v>0.0</v>
      </c>
      <c r="CA9" s="325">
        <f> Time!CA$75</f>
        <v>0.0</v>
      </c>
      <c r="CB9" s="325">
        <f> Time!CB$75</f>
        <v>0.0</v>
      </c>
      <c r="CC9" s="325">
        <f> Time!CC$75</f>
        <v>0.0</v>
      </c>
      <c r="CD9" s="325">
        <f> Time!CD$75</f>
        <v>0.0</v>
      </c>
      <c r="CE9" s="325">
        <f> Time!CE$75</f>
        <v>0.0</v>
      </c>
      <c r="CF9" s="325">
        <f> Time!CF$75</f>
        <v>0.0</v>
      </c>
      <c r="CG9" s="325">
        <f> Time!CG$75</f>
        <v>0.0</v>
      </c>
      <c r="CH9" s="325">
        <f> Time!CH$75</f>
        <v>0.0</v>
      </c>
      <c r="CI9" s="325">
        <f> Time!CI$75</f>
        <v>0.0</v>
      </c>
      <c r="CJ9" s="325">
        <f> Time!CJ$75</f>
        <v>0.0</v>
      </c>
      <c r="CK9" s="325">
        <f> Time!CK$75</f>
        <v>0.0</v>
      </c>
      <c r="CL9" s="325">
        <f> Time!CL$75</f>
        <v>0.0</v>
      </c>
      <c r="CM9" s="325">
        <f> Time!CM$75</f>
        <v>1.0</v>
      </c>
      <c r="CN9" s="325">
        <f> Time!CN$75</f>
        <v>0.0</v>
      </c>
      <c r="CO9" s="325">
        <f> Time!CO$75</f>
        <v>0.0</v>
      </c>
    </row>
    <row r="10" customFormat="1" s="390">
      <c r="A10" s="358" t="n"/>
      <c r="B10" s="358" t="n"/>
      <c r="C10" s="359" t="n"/>
      <c r="D10" s="360" t="n"/>
      <c r="E10" s="390" t="inlineStr">
        <is>
          <t>Share capital redemption POS</t>
        </is>
      </c>
      <c r="G10" s="390" t="str">
        <f>SMU</f>
        <v>$ 000s</v>
      </c>
      <c r="H10" s="390">
        <f> SUM(J10:CO10)</f>
        <v>11565.429793305917</v>
      </c>
      <c r="J10" s="390">
        <f> J8 * J9</f>
        <v>0.0</v>
      </c>
      <c r="K10" s="390">
        <f> K8 * K9</f>
        <v>0.0</v>
      </c>
      <c r="L10" s="390">
        <f> L8 * L9</f>
        <v>0.0</v>
      </c>
      <c r="M10" s="390">
        <f> M8 * M9</f>
        <v>0.0</v>
      </c>
      <c r="N10" s="390">
        <f> N8 * N9</f>
        <v>0.0</v>
      </c>
      <c r="O10" s="390">
        <f> O8 * O9</f>
        <v>0.0</v>
      </c>
      <c r="P10" s="390">
        <f> P8 * P9</f>
        <v>0.0</v>
      </c>
      <c r="Q10" s="390">
        <f> Q8 * Q9</f>
        <v>0.0</v>
      </c>
      <c r="R10" s="390">
        <f> R8 * R9</f>
        <v>0.0</v>
      </c>
      <c r="S10" s="390">
        <f> S8 * S9</f>
        <v>0.0</v>
      </c>
      <c r="T10" s="390">
        <f> T8 * T9</f>
        <v>0.0</v>
      </c>
      <c r="U10" s="390">
        <f> U8 * U9</f>
        <v>0.0</v>
      </c>
      <c r="V10" s="390">
        <f> V8 * V9</f>
        <v>0.0</v>
      </c>
      <c r="W10" s="390">
        <f> W8 * W9</f>
        <v>0.0</v>
      </c>
      <c r="X10" s="390">
        <f> X8 * X9</f>
        <v>0.0</v>
      </c>
      <c r="Y10" s="390">
        <f> Y8 * Y9</f>
        <v>0.0</v>
      </c>
      <c r="Z10" s="390">
        <f> Z8 * Z9</f>
        <v>0.0</v>
      </c>
      <c r="AA10" s="390">
        <f> AA8 * AA9</f>
        <v>0.0</v>
      </c>
      <c r="AB10" s="390">
        <f> AB8 * AB9</f>
        <v>0.0</v>
      </c>
      <c r="AC10" s="390">
        <f> AC8 * AC9</f>
        <v>0.0</v>
      </c>
      <c r="AD10" s="390">
        <f> AD8 * AD9</f>
        <v>0.0</v>
      </c>
      <c r="AE10" s="390">
        <f> AE8 * AE9</f>
        <v>0.0</v>
      </c>
      <c r="AF10" s="390">
        <f> AF8 * AF9</f>
        <v>0.0</v>
      </c>
      <c r="AG10" s="390">
        <f> AG8 * AG9</f>
        <v>0.0</v>
      </c>
      <c r="AH10" s="390">
        <f> AH8 * AH9</f>
        <v>0.0</v>
      </c>
      <c r="AI10" s="390">
        <f> AI8 * AI9</f>
        <v>0.0</v>
      </c>
      <c r="AJ10" s="390">
        <f> AJ8 * AJ9</f>
        <v>0.0</v>
      </c>
      <c r="AK10" s="390">
        <f> AK8 * AK9</f>
        <v>0.0</v>
      </c>
      <c r="AL10" s="390">
        <f> AL8 * AL9</f>
        <v>0.0</v>
      </c>
      <c r="AM10" s="390">
        <f> AM8 * AM9</f>
        <v>0.0</v>
      </c>
      <c r="AN10" s="390">
        <f> AN8 * AN9</f>
        <v>0.0</v>
      </c>
      <c r="AO10" s="390">
        <f> AO8 * AO9</f>
        <v>0.0</v>
      </c>
      <c r="AP10" s="390">
        <f> AP8 * AP9</f>
        <v>0.0</v>
      </c>
      <c r="AQ10" s="390">
        <f> AQ8 * AQ9</f>
        <v>0.0</v>
      </c>
      <c r="AR10" s="390">
        <f> AR8 * AR9</f>
        <v>0.0</v>
      </c>
      <c r="AS10" s="390">
        <f> AS8 * AS9</f>
        <v>0.0</v>
      </c>
      <c r="AT10" s="390">
        <f> AT8 * AT9</f>
        <v>0.0</v>
      </c>
      <c r="AU10" s="390">
        <f> AU8 * AU9</f>
        <v>0.0</v>
      </c>
      <c r="AV10" s="390">
        <f> AV8 * AV9</f>
        <v>0.0</v>
      </c>
      <c r="AW10" s="390">
        <f> AW8 * AW9</f>
        <v>0.0</v>
      </c>
      <c r="AX10" s="390">
        <f> AX8 * AX9</f>
        <v>0.0</v>
      </c>
      <c r="AY10" s="390">
        <f> AY8 * AY9</f>
        <v>0.0</v>
      </c>
      <c r="AZ10" s="390">
        <f> AZ8 * AZ9</f>
        <v>0.0</v>
      </c>
      <c r="BA10" s="390">
        <f> BA8 * BA9</f>
        <v>0.0</v>
      </c>
      <c r="BB10" s="390">
        <f> BB8 * BB9</f>
        <v>0.0</v>
      </c>
      <c r="BC10" s="390">
        <f> BC8 * BC9</f>
        <v>0.0</v>
      </c>
      <c r="BD10" s="390">
        <f> BD8 * BD9</f>
        <v>0.0</v>
      </c>
      <c r="BE10" s="390">
        <f> BE8 * BE9</f>
        <v>0.0</v>
      </c>
      <c r="BF10" s="390">
        <f> BF8 * BF9</f>
        <v>0.0</v>
      </c>
      <c r="BG10" s="390">
        <f> BG8 * BG9</f>
        <v>0.0</v>
      </c>
      <c r="BH10" s="390">
        <f> BH8 * BH9</f>
        <v>0.0</v>
      </c>
      <c r="BI10" s="390">
        <f> BI8 * BI9</f>
        <v>0.0</v>
      </c>
      <c r="BJ10" s="390">
        <f> BJ8 * BJ9</f>
        <v>0.0</v>
      </c>
      <c r="BK10" s="390">
        <f> BK8 * BK9</f>
        <v>0.0</v>
      </c>
      <c r="BL10" s="390">
        <f> BL8 * BL9</f>
        <v>0.0</v>
      </c>
      <c r="BM10" s="390">
        <f> BM8 * BM9</f>
        <v>0.0</v>
      </c>
      <c r="BN10" s="390">
        <f> BN8 * BN9</f>
        <v>0.0</v>
      </c>
      <c r="BO10" s="390">
        <f> BO8 * BO9</f>
        <v>0.0</v>
      </c>
      <c r="BP10" s="390">
        <f> BP8 * BP9</f>
        <v>0.0</v>
      </c>
      <c r="BQ10" s="390">
        <f> BQ8 * BQ9</f>
        <v>0.0</v>
      </c>
      <c r="BR10" s="390">
        <f> BR8 * BR9</f>
        <v>0.0</v>
      </c>
      <c r="BS10" s="390">
        <f> BS8 * BS9</f>
        <v>0.0</v>
      </c>
      <c r="BT10" s="390">
        <f> BT8 * BT9</f>
        <v>0.0</v>
      </c>
      <c r="BU10" s="390">
        <f> BU8 * BU9</f>
        <v>0.0</v>
      </c>
      <c r="BV10" s="390">
        <f> BV8 * BV9</f>
        <v>0.0</v>
      </c>
      <c r="BW10" s="390">
        <f> BW8 * BW9</f>
        <v>0.0</v>
      </c>
      <c r="BX10" s="390">
        <f> BX8 * BX9</f>
        <v>0.0</v>
      </c>
      <c r="BY10" s="390">
        <f> BY8 * BY9</f>
        <v>0.0</v>
      </c>
      <c r="BZ10" s="390">
        <f> BZ8 * BZ9</f>
        <v>0.0</v>
      </c>
      <c r="CA10" s="390">
        <f> CA8 * CA9</f>
        <v>0.0</v>
      </c>
      <c r="CB10" s="390">
        <f> CB8 * CB9</f>
        <v>0.0</v>
      </c>
      <c r="CC10" s="390">
        <f> CC8 * CC9</f>
        <v>0.0</v>
      </c>
      <c r="CD10" s="390">
        <f> CD8 * CD9</f>
        <v>0.0</v>
      </c>
      <c r="CE10" s="390">
        <f> CE8 * CE9</f>
        <v>0.0</v>
      </c>
      <c r="CF10" s="390">
        <f> CF8 * CF9</f>
        <v>0.0</v>
      </c>
      <c r="CG10" s="390">
        <f> CG8 * CG9</f>
        <v>0.0</v>
      </c>
      <c r="CH10" s="390">
        <f> CH8 * CH9</f>
        <v>0.0</v>
      </c>
      <c r="CI10" s="390">
        <f> CI8 * CI9</f>
        <v>0.0</v>
      </c>
      <c r="CJ10" s="390">
        <f> CJ8 * CJ9</f>
        <v>0.0</v>
      </c>
      <c r="CK10" s="390">
        <f> CK8 * CK9</f>
        <v>0.0</v>
      </c>
      <c r="CL10" s="390">
        <f> CL8 * CL9</f>
        <v>0.0</v>
      </c>
      <c r="CM10" s="390">
        <f> CM8 * CM9</f>
        <v>11565.429793305917</v>
      </c>
      <c r="CN10" s="390">
        <f> CN8 * CN9</f>
        <v>0.0</v>
      </c>
      <c r="CO10" s="390">
        <f> CO8 * CO9</f>
        <v>0.0</v>
      </c>
    </row>
    <row r="11" customFormat="1" s="150">
      <c r="A11" s="348" t="n"/>
      <c r="B11" s="348" t="n"/>
      <c r="C11" s="349" t="n"/>
      <c r="D11" s="193" t="n"/>
      <c r="E11" s="150" t="str">
        <f> LEFT(E10, LEN(E10) - 4)</f>
        <v>Share capital redemption</v>
      </c>
      <c r="F11" s="150" t="inlineStr">
        <is>
          <t>CF</t>
        </is>
      </c>
      <c r="G11" s="150" t="str">
        <f> G10</f>
        <v>$ 000s</v>
      </c>
      <c r="H11" s="150">
        <f> SUM(J11:CO11)</f>
        <v>-11565.429793305917</v>
      </c>
      <c r="I11" s="150" t="n"/>
      <c r="J11" s="150">
        <f> -1 * J10</f>
        <v>-0.0</v>
      </c>
      <c r="K11" s="150">
        <f> -1 * K10</f>
        <v>-0.0</v>
      </c>
      <c r="L11" s="150">
        <f> -1 * L10</f>
        <v>-0.0</v>
      </c>
      <c r="M11" s="150">
        <f> -1 * M10</f>
        <v>-0.0</v>
      </c>
      <c r="N11" s="150">
        <f> -1 * N10</f>
        <v>-0.0</v>
      </c>
      <c r="O11" s="150">
        <f> -1 * O10</f>
        <v>-0.0</v>
      </c>
      <c r="P11" s="150">
        <f> -1 * P10</f>
        <v>-0.0</v>
      </c>
      <c r="Q11" s="150">
        <f> -1 * Q10</f>
        <v>-0.0</v>
      </c>
      <c r="R11" s="150">
        <f> -1 * R10</f>
        <v>-0.0</v>
      </c>
      <c r="S11" s="150">
        <f> -1 * S10</f>
        <v>-0.0</v>
      </c>
      <c r="T11" s="150">
        <f> -1 * T10</f>
        <v>-0.0</v>
      </c>
      <c r="U11" s="150">
        <f> -1 * U10</f>
        <v>-0.0</v>
      </c>
      <c r="V11" s="150">
        <f> -1 * V10</f>
        <v>-0.0</v>
      </c>
      <c r="W11" s="150">
        <f> -1 * W10</f>
        <v>-0.0</v>
      </c>
      <c r="X11" s="150">
        <f> -1 * X10</f>
        <v>-0.0</v>
      </c>
      <c r="Y11" s="150">
        <f> -1 * Y10</f>
        <v>-0.0</v>
      </c>
      <c r="Z11" s="150">
        <f> -1 * Z10</f>
        <v>-0.0</v>
      </c>
      <c r="AA11" s="150">
        <f> -1 * AA10</f>
        <v>-0.0</v>
      </c>
      <c r="AB11" s="150">
        <f> -1 * AB10</f>
        <v>-0.0</v>
      </c>
      <c r="AC11" s="150">
        <f> -1 * AC10</f>
        <v>-0.0</v>
      </c>
      <c r="AD11" s="150">
        <f> -1 * AD10</f>
        <v>-0.0</v>
      </c>
      <c r="AE11" s="150">
        <f> -1 * AE10</f>
        <v>-0.0</v>
      </c>
      <c r="AF11" s="150">
        <f> -1 * AF10</f>
        <v>-0.0</v>
      </c>
      <c r="AG11" s="150">
        <f> -1 * AG10</f>
        <v>-0.0</v>
      </c>
      <c r="AH11" s="150">
        <f> -1 * AH10</f>
        <v>-0.0</v>
      </c>
      <c r="AI11" s="150">
        <f> -1 * AI10</f>
        <v>-0.0</v>
      </c>
      <c r="AJ11" s="150">
        <f> -1 * AJ10</f>
        <v>-0.0</v>
      </c>
      <c r="AK11" s="150">
        <f> -1 * AK10</f>
        <v>-0.0</v>
      </c>
      <c r="AL11" s="150">
        <f> -1 * AL10</f>
        <v>-0.0</v>
      </c>
      <c r="AM11" s="150">
        <f> -1 * AM10</f>
        <v>-0.0</v>
      </c>
      <c r="AN11" s="150">
        <f> -1 * AN10</f>
        <v>-0.0</v>
      </c>
      <c r="AO11" s="150">
        <f> -1 * AO10</f>
        <v>-0.0</v>
      </c>
      <c r="AP11" s="150">
        <f> -1 * AP10</f>
        <v>-0.0</v>
      </c>
      <c r="AQ11" s="150">
        <f> -1 * AQ10</f>
        <v>-0.0</v>
      </c>
      <c r="AR11" s="150">
        <f> -1 * AR10</f>
        <v>-0.0</v>
      </c>
      <c r="AS11" s="150">
        <f> -1 * AS10</f>
        <v>-0.0</v>
      </c>
      <c r="AT11" s="150">
        <f> -1 * AT10</f>
        <v>-0.0</v>
      </c>
      <c r="AU11" s="150">
        <f> -1 * AU10</f>
        <v>-0.0</v>
      </c>
      <c r="AV11" s="150">
        <f> -1 * AV10</f>
        <v>-0.0</v>
      </c>
      <c r="AW11" s="150">
        <f> -1 * AW10</f>
        <v>-0.0</v>
      </c>
      <c r="AX11" s="150">
        <f> -1 * AX10</f>
        <v>-0.0</v>
      </c>
      <c r="AY11" s="150">
        <f> -1 * AY10</f>
        <v>-0.0</v>
      </c>
      <c r="AZ11" s="150">
        <f> -1 * AZ10</f>
        <v>-0.0</v>
      </c>
      <c r="BA11" s="150">
        <f> -1 * BA10</f>
        <v>-0.0</v>
      </c>
      <c r="BB11" s="150">
        <f> -1 * BB10</f>
        <v>-0.0</v>
      </c>
      <c r="BC11" s="150">
        <f> -1 * BC10</f>
        <v>-0.0</v>
      </c>
      <c r="BD11" s="150">
        <f> -1 * BD10</f>
        <v>-0.0</v>
      </c>
      <c r="BE11" s="150">
        <f> -1 * BE10</f>
        <v>-0.0</v>
      </c>
      <c r="BF11" s="150">
        <f> -1 * BF10</f>
        <v>-0.0</v>
      </c>
      <c r="BG11" s="150">
        <f> -1 * BG10</f>
        <v>-0.0</v>
      </c>
      <c r="BH11" s="150">
        <f> -1 * BH10</f>
        <v>-0.0</v>
      </c>
      <c r="BI11" s="150">
        <f> -1 * BI10</f>
        <v>-0.0</v>
      </c>
      <c r="BJ11" s="150">
        <f> -1 * BJ10</f>
        <v>-0.0</v>
      </c>
      <c r="BK11" s="150">
        <f> -1 * BK10</f>
        <v>-0.0</v>
      </c>
      <c r="BL11" s="150">
        <f> -1 * BL10</f>
        <v>-0.0</v>
      </c>
      <c r="BM11" s="150">
        <f> -1 * BM10</f>
        <v>-0.0</v>
      </c>
      <c r="BN11" s="150">
        <f> -1 * BN10</f>
        <v>-0.0</v>
      </c>
      <c r="BO11" s="150">
        <f> -1 * BO10</f>
        <v>-0.0</v>
      </c>
      <c r="BP11" s="150">
        <f> -1 * BP10</f>
        <v>-0.0</v>
      </c>
      <c r="BQ11" s="150">
        <f> -1 * BQ10</f>
        <v>-0.0</v>
      </c>
      <c r="BR11" s="150">
        <f> -1 * BR10</f>
        <v>-0.0</v>
      </c>
      <c r="BS11" s="150">
        <f> -1 * BS10</f>
        <v>-0.0</v>
      </c>
      <c r="BT11" s="150">
        <f> -1 * BT10</f>
        <v>-0.0</v>
      </c>
      <c r="BU11" s="150">
        <f> -1 * BU10</f>
        <v>-0.0</v>
      </c>
      <c r="BV11" s="150">
        <f> -1 * BV10</f>
        <v>-0.0</v>
      </c>
      <c r="BW11" s="150">
        <f> -1 * BW10</f>
        <v>-0.0</v>
      </c>
      <c r="BX11" s="150">
        <f> -1 * BX10</f>
        <v>-0.0</v>
      </c>
      <c r="BY11" s="150">
        <f> -1 * BY10</f>
        <v>-0.0</v>
      </c>
      <c r="BZ11" s="150">
        <f> -1 * BZ10</f>
        <v>-0.0</v>
      </c>
      <c r="CA11" s="150">
        <f> -1 * CA10</f>
        <v>-0.0</v>
      </c>
      <c r="CB11" s="150">
        <f> -1 * CB10</f>
        <v>-0.0</v>
      </c>
      <c r="CC11" s="150">
        <f> -1 * CC10</f>
        <v>-0.0</v>
      </c>
      <c r="CD11" s="150">
        <f> -1 * CD10</f>
        <v>-0.0</v>
      </c>
      <c r="CE11" s="150">
        <f> -1 * CE10</f>
        <v>-0.0</v>
      </c>
      <c r="CF11" s="150">
        <f> -1 * CF10</f>
        <v>-0.0</v>
      </c>
      <c r="CG11" s="150">
        <f> -1 * CG10</f>
        <v>-0.0</v>
      </c>
      <c r="CH11" s="150">
        <f> -1 * CH10</f>
        <v>-0.0</v>
      </c>
      <c r="CI11" s="150">
        <f> -1 * CI10</f>
        <v>-0.0</v>
      </c>
      <c r="CJ11" s="150">
        <f> -1 * CJ10</f>
        <v>-0.0</v>
      </c>
      <c r="CK11" s="150">
        <f> -1 * CK10</f>
        <v>-0.0</v>
      </c>
      <c r="CL11" s="150">
        <f> -1 * CL10</f>
        <v>-0.0</v>
      </c>
      <c r="CM11" s="150">
        <f> -1 * CM10</f>
        <v>-11565.429793305917</v>
      </c>
      <c r="CN11" s="150">
        <f> -1 * CN10</f>
        <v>-0.0</v>
      </c>
      <c r="CO11" s="150">
        <f> -1 * CO10</f>
        <v>-0.0</v>
      </c>
    </row>
    <row r="13">
      <c r="A13" s="294" t="inlineStr">
        <is>
          <t>SHARE CAPITAL BALANCE</t>
        </is>
      </c>
    </row>
    <row r="14">
      <c r="E14" s="325" t="str">
        <f> InpC!E$64</f>
        <v>Non current asset - initial balance</v>
      </c>
      <c r="F14" s="325">
        <f> InpC!F$64</f>
        <v>101067.79924517678</v>
      </c>
      <c r="G14" s="325" t="str">
        <f> InpC!G$64</f>
        <v>$ 000s</v>
      </c>
    </row>
    <row r="15">
      <c r="E15" s="336" t="str">
        <f> InpC!E$72</f>
        <v>% of NCA financed with debt</v>
      </c>
      <c r="F15" s="336">
        <f> InpC!F$72</f>
        <v>0.713919025652034</v>
      </c>
      <c r="G15" s="336" t="str">
        <f> InpC!G$72</f>
        <v>%</v>
      </c>
    </row>
    <row r="16">
      <c r="E16" s="345" t="inlineStr">
        <is>
          <t>Share capital - Initial balance</t>
        </is>
      </c>
      <c r="F16" s="345">
        <f>SHL!$F$14</f>
        <v>11565.429793305917</v>
      </c>
      <c r="G16" s="345" t="str">
        <f>SMU</f>
        <v>$ 000s</v>
      </c>
    </row>
    <row r="18" customFormat="1" s="182">
      <c r="A18" s="177" t="n"/>
      <c r="B18" s="177" t="n"/>
      <c r="C18" s="178" t="n"/>
      <c r="D18" s="179" t="n"/>
      <c r="E18" s="182" t="str">
        <f> E$16</f>
        <v>Share capital - Initial balance</v>
      </c>
      <c r="F18" s="182">
        <f> F$16</f>
        <v>11565.429793305917</v>
      </c>
      <c r="G18" s="182" t="str">
        <f> G$16</f>
        <v>$ 000s</v>
      </c>
    </row>
    <row r="19" customFormat="1" s="100">
      <c r="A19" s="294" t="n"/>
      <c r="B19" s="294" t="n"/>
      <c r="C19" s="212" t="n"/>
      <c r="D19" s="244" t="n"/>
      <c r="E19" s="325" t="str">
        <f> Time!E$45</f>
        <v>Acquisition / initial balance date flag</v>
      </c>
      <c r="F19" s="325">
        <f> Time!F$45</f>
        <v>0.0</v>
      </c>
      <c r="G19" s="325" t="str">
        <f> Time!G$45</f>
        <v>flag</v>
      </c>
      <c r="H19" s="325">
        <f> Time!H$45</f>
        <v>1.0</v>
      </c>
      <c r="I19" s="325">
        <f> Time!I$45</f>
        <v>0.0</v>
      </c>
      <c r="J19" s="325">
        <f> Time!J$45</f>
        <v>0.0</v>
      </c>
      <c r="K19" s="325">
        <f> Time!K$45</f>
        <v>1.0</v>
      </c>
      <c r="L19" s="325">
        <f> Time!L$45</f>
        <v>0.0</v>
      </c>
      <c r="M19" s="325">
        <f> Time!M$45</f>
        <v>0.0</v>
      </c>
      <c r="N19" s="325">
        <f> Time!N$45</f>
        <v>0.0</v>
      </c>
      <c r="O19" s="325">
        <f> Time!O$45</f>
        <v>0.0</v>
      </c>
      <c r="P19" s="325">
        <f> Time!P$45</f>
        <v>0.0</v>
      </c>
      <c r="Q19" s="325">
        <f> Time!Q$45</f>
        <v>0.0</v>
      </c>
      <c r="R19" s="325">
        <f> Time!R$45</f>
        <v>0.0</v>
      </c>
      <c r="S19" s="325">
        <f> Time!S$45</f>
        <v>0.0</v>
      </c>
      <c r="T19" s="325">
        <f> Time!T$45</f>
        <v>0.0</v>
      </c>
      <c r="U19" s="325">
        <f> Time!U$45</f>
        <v>0.0</v>
      </c>
      <c r="V19" s="325">
        <f> Time!V$45</f>
        <v>0.0</v>
      </c>
      <c r="W19" s="325">
        <f> Time!W$45</f>
        <v>0.0</v>
      </c>
      <c r="X19" s="325">
        <f> Time!X$45</f>
        <v>0.0</v>
      </c>
      <c r="Y19" s="325">
        <f> Time!Y$45</f>
        <v>0.0</v>
      </c>
      <c r="Z19" s="325">
        <f> Time!Z$45</f>
        <v>0.0</v>
      </c>
      <c r="AA19" s="325">
        <f> Time!AA$45</f>
        <v>0.0</v>
      </c>
      <c r="AB19" s="325">
        <f> Time!AB$45</f>
        <v>0.0</v>
      </c>
      <c r="AC19" s="325">
        <f> Time!AC$45</f>
        <v>0.0</v>
      </c>
      <c r="AD19" s="325">
        <f> Time!AD$45</f>
        <v>0.0</v>
      </c>
      <c r="AE19" s="325">
        <f> Time!AE$45</f>
        <v>0.0</v>
      </c>
      <c r="AF19" s="325">
        <f> Time!AF$45</f>
        <v>0.0</v>
      </c>
      <c r="AG19" s="325">
        <f> Time!AG$45</f>
        <v>0.0</v>
      </c>
      <c r="AH19" s="325">
        <f> Time!AH$45</f>
        <v>0.0</v>
      </c>
      <c r="AI19" s="325">
        <f> Time!AI$45</f>
        <v>0.0</v>
      </c>
      <c r="AJ19" s="325">
        <f> Time!AJ$45</f>
        <v>0.0</v>
      </c>
      <c r="AK19" s="325">
        <f> Time!AK$45</f>
        <v>0.0</v>
      </c>
      <c r="AL19" s="325">
        <f> Time!AL$45</f>
        <v>0.0</v>
      </c>
      <c r="AM19" s="325">
        <f> Time!AM$45</f>
        <v>0.0</v>
      </c>
      <c r="AN19" s="325">
        <f> Time!AN$45</f>
        <v>0.0</v>
      </c>
      <c r="AO19" s="325">
        <f> Time!AO$45</f>
        <v>0.0</v>
      </c>
      <c r="AP19" s="325">
        <f> Time!AP$45</f>
        <v>0.0</v>
      </c>
      <c r="AQ19" s="325">
        <f> Time!AQ$45</f>
        <v>0.0</v>
      </c>
      <c r="AR19" s="325">
        <f> Time!AR$45</f>
        <v>0.0</v>
      </c>
      <c r="AS19" s="325">
        <f> Time!AS$45</f>
        <v>0.0</v>
      </c>
      <c r="AT19" s="325">
        <f> Time!AT$45</f>
        <v>0.0</v>
      </c>
      <c r="AU19" s="325">
        <f> Time!AU$45</f>
        <v>0.0</v>
      </c>
      <c r="AV19" s="325">
        <f> Time!AV$45</f>
        <v>0.0</v>
      </c>
      <c r="AW19" s="325">
        <f> Time!AW$45</f>
        <v>0.0</v>
      </c>
      <c r="AX19" s="325">
        <f> Time!AX$45</f>
        <v>0.0</v>
      </c>
      <c r="AY19" s="325">
        <f> Time!AY$45</f>
        <v>0.0</v>
      </c>
      <c r="AZ19" s="325">
        <f> Time!AZ$45</f>
        <v>0.0</v>
      </c>
      <c r="BA19" s="325">
        <f> Time!BA$45</f>
        <v>0.0</v>
      </c>
      <c r="BB19" s="325">
        <f> Time!BB$45</f>
        <v>0.0</v>
      </c>
      <c r="BC19" s="325">
        <f> Time!BC$45</f>
        <v>0.0</v>
      </c>
      <c r="BD19" s="325">
        <f> Time!BD$45</f>
        <v>0.0</v>
      </c>
      <c r="BE19" s="325">
        <f> Time!BE$45</f>
        <v>0.0</v>
      </c>
      <c r="BF19" s="325">
        <f> Time!BF$45</f>
        <v>0.0</v>
      </c>
      <c r="BG19" s="325">
        <f> Time!BG$45</f>
        <v>0.0</v>
      </c>
      <c r="BH19" s="325">
        <f> Time!BH$45</f>
        <v>0.0</v>
      </c>
      <c r="BI19" s="325">
        <f> Time!BI$45</f>
        <v>0.0</v>
      </c>
      <c r="BJ19" s="325">
        <f> Time!BJ$45</f>
        <v>0.0</v>
      </c>
      <c r="BK19" s="325">
        <f> Time!BK$45</f>
        <v>0.0</v>
      </c>
      <c r="BL19" s="325">
        <f> Time!BL$45</f>
        <v>0.0</v>
      </c>
      <c r="BM19" s="325">
        <f> Time!BM$45</f>
        <v>0.0</v>
      </c>
      <c r="BN19" s="325">
        <f> Time!BN$45</f>
        <v>0.0</v>
      </c>
      <c r="BO19" s="325">
        <f> Time!BO$45</f>
        <v>0.0</v>
      </c>
      <c r="BP19" s="325">
        <f> Time!BP$45</f>
        <v>0.0</v>
      </c>
      <c r="BQ19" s="325">
        <f> Time!BQ$45</f>
        <v>0.0</v>
      </c>
      <c r="BR19" s="325">
        <f> Time!BR$45</f>
        <v>0.0</v>
      </c>
      <c r="BS19" s="325">
        <f> Time!BS$45</f>
        <v>0.0</v>
      </c>
      <c r="BT19" s="325">
        <f> Time!BT$45</f>
        <v>0.0</v>
      </c>
      <c r="BU19" s="325">
        <f> Time!BU$45</f>
        <v>0.0</v>
      </c>
      <c r="BV19" s="325">
        <f> Time!BV$45</f>
        <v>0.0</v>
      </c>
      <c r="BW19" s="325">
        <f> Time!BW$45</f>
        <v>0.0</v>
      </c>
      <c r="BX19" s="325">
        <f> Time!BX$45</f>
        <v>0.0</v>
      </c>
      <c r="BY19" s="325">
        <f> Time!BY$45</f>
        <v>0.0</v>
      </c>
      <c r="BZ19" s="325">
        <f> Time!BZ$45</f>
        <v>0.0</v>
      </c>
      <c r="CA19" s="325">
        <f> Time!CA$45</f>
        <v>0.0</v>
      </c>
      <c r="CB19" s="325">
        <f> Time!CB$45</f>
        <v>0.0</v>
      </c>
      <c r="CC19" s="325">
        <f> Time!CC$45</f>
        <v>0.0</v>
      </c>
      <c r="CD19" s="325">
        <f> Time!CD$45</f>
        <v>0.0</v>
      </c>
      <c r="CE19" s="325">
        <f> Time!CE$45</f>
        <v>0.0</v>
      </c>
      <c r="CF19" s="325">
        <f> Time!CF$45</f>
        <v>0.0</v>
      </c>
      <c r="CG19" s="325">
        <f> Time!CG$45</f>
        <v>0.0</v>
      </c>
      <c r="CH19" s="325">
        <f> Time!CH$45</f>
        <v>0.0</v>
      </c>
      <c r="CI19" s="325">
        <f> Time!CI$45</f>
        <v>0.0</v>
      </c>
      <c r="CJ19" s="325">
        <f> Time!CJ$45</f>
        <v>0.0</v>
      </c>
      <c r="CK19" s="325">
        <f> Time!CK$45</f>
        <v>0.0</v>
      </c>
      <c r="CL19" s="325">
        <f> Time!CL$45</f>
        <v>0.0</v>
      </c>
      <c r="CM19" s="325">
        <f> Time!CM$45</f>
        <v>0.0</v>
      </c>
      <c r="CN19" s="325">
        <f> Time!CN$45</f>
        <v>0.0</v>
      </c>
      <c r="CO19" s="325">
        <f> Time!CO$45</f>
        <v>0.0</v>
      </c>
    </row>
    <row r="20" customFormat="1" s="61">
      <c r="A20" s="294" t="n"/>
      <c r="B20" s="294" t="n"/>
      <c r="C20" s="212" t="n"/>
      <c r="D20" s="244" t="n"/>
    </row>
    <row r="21" customFormat="1" s="61">
      <c r="A21" s="294" t="n"/>
      <c r="B21" s="294" t="n"/>
      <c r="C21" s="212" t="n"/>
      <c r="D21" s="244" t="n"/>
      <c r="E21" s="61" t="inlineStr">
        <is>
          <t>Share capital balance BEG</t>
        </is>
      </c>
      <c r="G21" s="61" t="inlineStr">
        <is>
          <t>$ 000s</t>
        </is>
      </c>
      <c r="J21" s="61">
        <f> I24</f>
        <v>0.0</v>
      </c>
      <c r="K21" s="61">
        <f> J24</f>
        <v>0.0</v>
      </c>
      <c r="L21" s="61">
        <f> K24</f>
        <v>11565.429793305917</v>
      </c>
      <c r="M21" s="61">
        <f> L24</f>
        <v>11565.429793305917</v>
      </c>
      <c r="N21" s="61">
        <f> M24</f>
        <v>11565.429793305917</v>
      </c>
      <c r="O21" s="61">
        <f> N24</f>
        <v>11565.429793305917</v>
      </c>
      <c r="P21" s="61">
        <f> O24</f>
        <v>11565.429793305917</v>
      </c>
      <c r="Q21" s="61">
        <f> P24</f>
        <v>11565.429793305917</v>
      </c>
      <c r="R21" s="61">
        <f> Q24</f>
        <v>11565.429793305917</v>
      </c>
      <c r="S21" s="61">
        <f> R24</f>
        <v>11565.429793305917</v>
      </c>
      <c r="T21" s="61">
        <f> S24</f>
        <v>11565.429793305917</v>
      </c>
      <c r="U21" s="61">
        <f> T24</f>
        <v>11565.429793305917</v>
      </c>
      <c r="V21" s="61">
        <f> U24</f>
        <v>11565.429793305917</v>
      </c>
      <c r="W21" s="61">
        <f> V24</f>
        <v>11565.429793305917</v>
      </c>
      <c r="X21" s="61">
        <f> W24</f>
        <v>11565.429793305917</v>
      </c>
      <c r="Y21" s="61">
        <f> X24</f>
        <v>11565.429793305917</v>
      </c>
      <c r="Z21" s="61">
        <f> Y24</f>
        <v>11565.429793305917</v>
      </c>
      <c r="AA21" s="61">
        <f> Z24</f>
        <v>11565.429793305917</v>
      </c>
      <c r="AB21" s="61">
        <f> AA24</f>
        <v>11565.429793305917</v>
      </c>
      <c r="AC21" s="61">
        <f> AB24</f>
        <v>11565.429793305917</v>
      </c>
      <c r="AD21" s="61">
        <f> AC24</f>
        <v>11565.429793305917</v>
      </c>
      <c r="AE21" s="61">
        <f> AD24</f>
        <v>11565.429793305917</v>
      </c>
      <c r="AF21" s="61">
        <f> AE24</f>
        <v>11565.429793305917</v>
      </c>
      <c r="AG21" s="61">
        <f> AF24</f>
        <v>11565.429793305917</v>
      </c>
      <c r="AH21" s="61">
        <f> AG24</f>
        <v>11565.429793305917</v>
      </c>
      <c r="AI21" s="61">
        <f> AH24</f>
        <v>11565.429793305917</v>
      </c>
      <c r="AJ21" s="61">
        <f> AI24</f>
        <v>11565.429793305917</v>
      </c>
      <c r="AK21" s="61">
        <f> AJ24</f>
        <v>11565.429793305917</v>
      </c>
      <c r="AL21" s="61">
        <f> AK24</f>
        <v>11565.429793305917</v>
      </c>
      <c r="AM21" s="61">
        <f> AL24</f>
        <v>11565.429793305917</v>
      </c>
      <c r="AN21" s="61">
        <f> AM24</f>
        <v>11565.429793305917</v>
      </c>
      <c r="AO21" s="61">
        <f> AN24</f>
        <v>11565.429793305917</v>
      </c>
      <c r="AP21" s="61">
        <f> AO24</f>
        <v>11565.429793305917</v>
      </c>
      <c r="AQ21" s="61">
        <f> AP24</f>
        <v>11565.429793305917</v>
      </c>
      <c r="AR21" s="61">
        <f> AQ24</f>
        <v>11565.429793305917</v>
      </c>
      <c r="AS21" s="61">
        <f> AR24</f>
        <v>11565.429793305917</v>
      </c>
      <c r="AT21" s="61">
        <f> AS24</f>
        <v>11565.429793305917</v>
      </c>
      <c r="AU21" s="61">
        <f> AT24</f>
        <v>11565.429793305917</v>
      </c>
      <c r="AV21" s="61">
        <f> AU24</f>
        <v>11565.429793305917</v>
      </c>
      <c r="AW21" s="61">
        <f> AV24</f>
        <v>11565.429793305917</v>
      </c>
      <c r="AX21" s="61">
        <f> AW24</f>
        <v>11565.429793305917</v>
      </c>
      <c r="AY21" s="61">
        <f> AX24</f>
        <v>11565.429793305917</v>
      </c>
      <c r="AZ21" s="61">
        <f> AY24</f>
        <v>11565.429793305917</v>
      </c>
      <c r="BA21" s="61">
        <f> AZ24</f>
        <v>11565.429793305917</v>
      </c>
      <c r="BB21" s="61">
        <f> BA24</f>
        <v>11565.429793305917</v>
      </c>
      <c r="BC21" s="61">
        <f> BB24</f>
        <v>11565.429793305917</v>
      </c>
      <c r="BD21" s="61">
        <f> BC24</f>
        <v>11565.429793305917</v>
      </c>
      <c r="BE21" s="61">
        <f> BD24</f>
        <v>11565.429793305917</v>
      </c>
      <c r="BF21" s="61">
        <f> BE24</f>
        <v>11565.429793305917</v>
      </c>
      <c r="BG21" s="61">
        <f> BF24</f>
        <v>11565.429793305917</v>
      </c>
      <c r="BH21" s="61">
        <f> BG24</f>
        <v>11565.429793305917</v>
      </c>
      <c r="BI21" s="61">
        <f> BH24</f>
        <v>11565.429793305917</v>
      </c>
      <c r="BJ21" s="61">
        <f> BI24</f>
        <v>11565.429793305917</v>
      </c>
      <c r="BK21" s="61">
        <f> BJ24</f>
        <v>11565.429793305917</v>
      </c>
      <c r="BL21" s="61">
        <f> BK24</f>
        <v>11565.429793305917</v>
      </c>
      <c r="BM21" s="61">
        <f> BL24</f>
        <v>11565.429793305917</v>
      </c>
      <c r="BN21" s="61">
        <f> BM24</f>
        <v>11565.429793305917</v>
      </c>
      <c r="BO21" s="61">
        <f> BN24</f>
        <v>11565.429793305917</v>
      </c>
      <c r="BP21" s="61">
        <f> BO24</f>
        <v>11565.429793305917</v>
      </c>
      <c r="BQ21" s="61">
        <f> BP24</f>
        <v>11565.429793305917</v>
      </c>
      <c r="BR21" s="61">
        <f> BQ24</f>
        <v>11565.429793305917</v>
      </c>
      <c r="BS21" s="61">
        <f> BR24</f>
        <v>11565.429793305917</v>
      </c>
      <c r="BT21" s="61">
        <f> BS24</f>
        <v>11565.429793305917</v>
      </c>
      <c r="BU21" s="61">
        <f> BT24</f>
        <v>11565.429793305917</v>
      </c>
      <c r="BV21" s="61">
        <f> BU24</f>
        <v>11565.429793305917</v>
      </c>
      <c r="BW21" s="61">
        <f> BV24</f>
        <v>11565.429793305917</v>
      </c>
      <c r="BX21" s="61">
        <f> BW24</f>
        <v>11565.429793305917</v>
      </c>
      <c r="BY21" s="61">
        <f> BX24</f>
        <v>11565.429793305917</v>
      </c>
      <c r="BZ21" s="61">
        <f> BY24</f>
        <v>11565.429793305917</v>
      </c>
      <c r="CA21" s="61">
        <f> BZ24</f>
        <v>11565.429793305917</v>
      </c>
      <c r="CB21" s="61">
        <f> CA24</f>
        <v>11565.429793305917</v>
      </c>
      <c r="CC21" s="61">
        <f> CB24</f>
        <v>11565.429793305917</v>
      </c>
      <c r="CD21" s="61">
        <f> CC24</f>
        <v>11565.429793305917</v>
      </c>
      <c r="CE21" s="61">
        <f> CD24</f>
        <v>11565.429793305917</v>
      </c>
      <c r="CF21" s="61">
        <f> CE24</f>
        <v>11565.429793305917</v>
      </c>
      <c r="CG21" s="61">
        <f> CF24</f>
        <v>11565.429793305917</v>
      </c>
      <c r="CH21" s="61">
        <f> CG24</f>
        <v>11565.429793305917</v>
      </c>
      <c r="CI21" s="61">
        <f> CH24</f>
        <v>11565.429793305917</v>
      </c>
      <c r="CJ21" s="61">
        <f> CI24</f>
        <v>11565.429793305917</v>
      </c>
      <c r="CK21" s="61">
        <f> CJ24</f>
        <v>11565.429793305917</v>
      </c>
      <c r="CL21" s="61">
        <f> CK24</f>
        <v>11565.429793305917</v>
      </c>
      <c r="CM21" s="61">
        <f> CL24</f>
        <v>11565.429793305917</v>
      </c>
      <c r="CN21" s="61">
        <f> CM24</f>
        <v>0.0</v>
      </c>
      <c r="CO21" s="61">
        <f> CN24</f>
        <v>0.0</v>
      </c>
    </row>
    <row r="22" customFormat="1" s="183">
      <c r="A22" s="294" t="n"/>
      <c r="B22" s="294" t="n"/>
      <c r="C22" s="212" t="n"/>
      <c r="D22" s="244" t="inlineStr">
        <is>
          <t>plus</t>
        </is>
      </c>
      <c r="E22" s="183" t="str">
        <f>InpS!E$23</f>
        <v>Share capital - additional injection</v>
      </c>
      <c r="F22" s="0">
        <f>InpS!F$23</f>
        <v>0.0</v>
      </c>
      <c r="G22" s="0" t="str">
        <f>InpS!G$23</f>
        <v>$ 000s</v>
      </c>
      <c r="H22" s="0">
        <f>SUM(J22:CO22)</f>
        <v>0.0</v>
      </c>
      <c r="J22" s="0">
        <f>InpS!J$23</f>
        <v>0.0</v>
      </c>
      <c r="K22" s="0">
        <f>InpS!K$23</f>
        <v>0.0</v>
      </c>
      <c r="L22" s="0">
        <f>InpS!L$23</f>
        <v>0.0</v>
      </c>
      <c r="M22" s="0">
        <f>InpS!M$23</f>
        <v>0.0</v>
      </c>
      <c r="N22" s="0">
        <f>InpS!N$23</f>
        <v>0.0</v>
      </c>
      <c r="O22" s="0">
        <f>InpS!O$23</f>
        <v>0.0</v>
      </c>
      <c r="P22" s="0">
        <f>InpS!P$23</f>
        <v>0.0</v>
      </c>
      <c r="Q22" s="0">
        <f>InpS!Q$23</f>
        <v>0.0</v>
      </c>
      <c r="R22" s="0">
        <f>InpS!R$23</f>
        <v>0.0</v>
      </c>
      <c r="S22" s="0">
        <f>InpS!S$23</f>
        <v>0.0</v>
      </c>
      <c r="T22" s="0">
        <f>InpS!T$23</f>
        <v>0.0</v>
      </c>
      <c r="U22" s="0">
        <f>InpS!U$23</f>
        <v>0.0</v>
      </c>
      <c r="V22" s="0">
        <f>InpS!V$23</f>
        <v>0.0</v>
      </c>
      <c r="W22" s="0">
        <f>InpS!W$23</f>
        <v>0.0</v>
      </c>
      <c r="X22" s="0">
        <f>InpS!X$23</f>
        <v>0.0</v>
      </c>
      <c r="Y22" s="0">
        <f>InpS!Y$23</f>
        <v>0.0</v>
      </c>
      <c r="Z22" s="0">
        <f>InpS!Z$23</f>
        <v>0.0</v>
      </c>
      <c r="AA22" s="0">
        <f>InpS!AA$23</f>
        <v>0.0</v>
      </c>
      <c r="AB22" s="0">
        <f>InpS!AB$23</f>
        <v>0.0</v>
      </c>
      <c r="AC22" s="0">
        <f>InpS!AC$23</f>
        <v>0.0</v>
      </c>
      <c r="AD22" s="0">
        <f>InpS!AD$23</f>
        <v>0.0</v>
      </c>
      <c r="AE22" s="0">
        <f>InpS!AE$23</f>
        <v>0.0</v>
      </c>
      <c r="AF22" s="0">
        <f>InpS!AF$23</f>
        <v>0.0</v>
      </c>
      <c r="AG22" s="0">
        <f>InpS!AG$23</f>
        <v>0.0</v>
      </c>
      <c r="AH22" s="0">
        <f>InpS!AH$23</f>
        <v>0.0</v>
      </c>
      <c r="AI22" s="0">
        <f>InpS!AI$23</f>
        <v>0.0</v>
      </c>
      <c r="AJ22" s="0">
        <f>InpS!AJ$23</f>
        <v>0.0</v>
      </c>
      <c r="AK22" s="0">
        <f>InpS!AK$23</f>
        <v>0.0</v>
      </c>
      <c r="AL22" s="0">
        <f>InpS!AL$23</f>
        <v>0.0</v>
      </c>
      <c r="AM22" s="0">
        <f>InpS!AM$23</f>
        <v>0.0</v>
      </c>
      <c r="AN22" s="0">
        <f>InpS!AN$23</f>
        <v>0.0</v>
      </c>
      <c r="AO22" s="0">
        <f>InpS!AO$23</f>
        <v>0.0</v>
      </c>
      <c r="AP22" s="0">
        <f>InpS!AP$23</f>
        <v>0.0</v>
      </c>
      <c r="AQ22" s="0">
        <f>InpS!AQ$23</f>
        <v>0.0</v>
      </c>
      <c r="AR22" s="0">
        <f>InpS!AR$23</f>
        <v>0.0</v>
      </c>
      <c r="AS22" s="0">
        <f>InpS!AS$23</f>
        <v>0.0</v>
      </c>
      <c r="AT22" s="0">
        <f>InpS!AT$23</f>
        <v>0.0</v>
      </c>
      <c r="AU22" s="0">
        <f>InpS!AU$23</f>
        <v>0.0</v>
      </c>
      <c r="AV22" s="0">
        <f>InpS!AV$23</f>
        <v>0.0</v>
      </c>
      <c r="AW22" s="0">
        <f>InpS!AW$23</f>
        <v>0.0</v>
      </c>
      <c r="AX22" s="0">
        <f>InpS!AX$23</f>
        <v>0.0</v>
      </c>
      <c r="AY22" s="0">
        <f>InpS!AY$23</f>
        <v>0.0</v>
      </c>
      <c r="AZ22" s="0">
        <f>InpS!AZ$23</f>
        <v>0.0</v>
      </c>
      <c r="BA22" s="0">
        <f>InpS!BA$23</f>
        <v>0.0</v>
      </c>
      <c r="BB22" s="0">
        <f>InpS!BB$23</f>
        <v>0.0</v>
      </c>
      <c r="BC22" s="0">
        <f>InpS!BC$23</f>
        <v>0.0</v>
      </c>
      <c r="BD22" s="0">
        <f>InpS!BD$23</f>
        <v>0.0</v>
      </c>
      <c r="BE22" s="0">
        <f>InpS!BE$23</f>
        <v>0.0</v>
      </c>
      <c r="BF22" s="0">
        <f>InpS!BF$23</f>
        <v>0.0</v>
      </c>
      <c r="BG22" s="0">
        <f>InpS!BG$23</f>
        <v>0.0</v>
      </c>
      <c r="BH22" s="0">
        <f>InpS!BH$23</f>
        <v>0.0</v>
      </c>
      <c r="BI22" s="0">
        <f>InpS!BI$23</f>
        <v>0.0</v>
      </c>
      <c r="BJ22" s="0">
        <f>InpS!BJ$23</f>
        <v>0.0</v>
      </c>
      <c r="BK22" s="0">
        <f>InpS!BK$23</f>
        <v>0.0</v>
      </c>
      <c r="BL22" s="0">
        <f>InpS!BL$23</f>
        <v>0.0</v>
      </c>
      <c r="BM22" s="0">
        <f>InpS!BM$23</f>
        <v>0.0</v>
      </c>
      <c r="BN22" s="0">
        <f>InpS!BN$23</f>
        <v>0.0</v>
      </c>
      <c r="BO22" s="0">
        <f>InpS!BO$23</f>
        <v>0.0</v>
      </c>
      <c r="BP22" s="0">
        <f>InpS!BP$23</f>
        <v>0.0</v>
      </c>
      <c r="BQ22" s="0">
        <f>InpS!BQ$23</f>
        <v>0.0</v>
      </c>
      <c r="BR22" s="0">
        <f>InpS!BR$23</f>
        <v>0.0</v>
      </c>
      <c r="BS22" s="0">
        <f>InpS!BS$23</f>
        <v>0.0</v>
      </c>
      <c r="BT22" s="0">
        <f>InpS!BT$23</f>
        <v>0.0</v>
      </c>
      <c r="BU22" s="0">
        <f>InpS!BU$23</f>
        <v>0.0</v>
      </c>
      <c r="BV22" s="0">
        <f>InpS!BV$23</f>
        <v>0.0</v>
      </c>
      <c r="BW22" s="0">
        <f>InpS!BW$23</f>
        <v>0.0</v>
      </c>
      <c r="BX22" s="0">
        <f>InpS!BX$23</f>
        <v>0.0</v>
      </c>
      <c r="BY22" s="0">
        <f>InpS!BY$23</f>
        <v>0.0</v>
      </c>
      <c r="BZ22" s="0">
        <f>InpS!BZ$23</f>
        <v>0.0</v>
      </c>
      <c r="CA22" s="0">
        <f>InpS!CA$23</f>
        <v>0.0</v>
      </c>
      <c r="CB22" s="0">
        <f>InpS!CB$23</f>
        <v>0.0</v>
      </c>
      <c r="CC22" s="0">
        <f>InpS!CC$23</f>
        <v>0.0</v>
      </c>
      <c r="CD22" s="0">
        <f>InpS!CD$23</f>
        <v>0.0</v>
      </c>
      <c r="CE22" s="0">
        <f>InpS!CE$23</f>
        <v>0.0</v>
      </c>
      <c r="CF22" s="0">
        <f>InpS!CF$23</f>
        <v>0.0</v>
      </c>
      <c r="CG22" s="0">
        <f>InpS!CG$23</f>
        <v>0.0</v>
      </c>
      <c r="CH22" s="0">
        <f>InpS!CH$23</f>
        <v>0.0</v>
      </c>
      <c r="CI22" s="0">
        <f>InpS!CI$23</f>
        <v>0.0</v>
      </c>
      <c r="CJ22" s="0">
        <f>InpS!CJ$23</f>
        <v>0.0</v>
      </c>
      <c r="CK22" s="0">
        <f>InpS!CK$23</f>
        <v>0.0</v>
      </c>
      <c r="CL22" s="0">
        <f>InpS!CL$23</f>
        <v>0.0</v>
      </c>
      <c r="CM22" s="0">
        <f>InpS!CM$23</f>
        <v>0.0</v>
      </c>
      <c r="CN22" s="0">
        <f>InpS!CN$23</f>
        <v>0.0</v>
      </c>
      <c r="CO22" s="0">
        <f>InpS!CO$23</f>
        <v>0.0</v>
      </c>
    </row>
    <row r="23" customFormat="1" s="183">
      <c r="A23" s="294" t="n"/>
      <c r="B23" s="294" t="n"/>
      <c r="C23" s="212" t="n"/>
      <c r="D23" s="244" t="inlineStr">
        <is>
          <t>less</t>
        </is>
      </c>
      <c r="E23" s="61" t="str">
        <f> E$10</f>
        <v>Share capital redemption POS</v>
      </c>
      <c r="F23" s="61">
        <f> F$10</f>
        <v>0.0</v>
      </c>
      <c r="G23" s="61" t="str">
        <f> G$10</f>
        <v>$ 000s</v>
      </c>
      <c r="H23" s="61">
        <f> H$10</f>
        <v>11565.429793305917</v>
      </c>
      <c r="I23" s="61">
        <f> I$10</f>
        <v>0.0</v>
      </c>
      <c r="J23" s="61">
        <f> J$10</f>
        <v>0.0</v>
      </c>
      <c r="K23" s="61">
        <f> K$10</f>
        <v>0.0</v>
      </c>
      <c r="L23" s="61">
        <f> L$10</f>
        <v>0.0</v>
      </c>
      <c r="M23" s="61">
        <f> M$10</f>
        <v>0.0</v>
      </c>
      <c r="N23" s="61">
        <f> N$10</f>
        <v>0.0</v>
      </c>
      <c r="O23" s="61">
        <f> O$10</f>
        <v>0.0</v>
      </c>
      <c r="P23" s="61">
        <f> P$10</f>
        <v>0.0</v>
      </c>
      <c r="Q23" s="61">
        <f> Q$10</f>
        <v>0.0</v>
      </c>
      <c r="R23" s="61">
        <f> R$10</f>
        <v>0.0</v>
      </c>
      <c r="S23" s="61">
        <f> S$10</f>
        <v>0.0</v>
      </c>
      <c r="T23" s="61">
        <f> T$10</f>
        <v>0.0</v>
      </c>
      <c r="U23" s="61">
        <f> U$10</f>
        <v>0.0</v>
      </c>
      <c r="V23" s="61">
        <f> V$10</f>
        <v>0.0</v>
      </c>
      <c r="W23" s="61">
        <f> W$10</f>
        <v>0.0</v>
      </c>
      <c r="X23" s="61">
        <f> X$10</f>
        <v>0.0</v>
      </c>
      <c r="Y23" s="61">
        <f> Y$10</f>
        <v>0.0</v>
      </c>
      <c r="Z23" s="61">
        <f> Z$10</f>
        <v>0.0</v>
      </c>
      <c r="AA23" s="61">
        <f> AA$10</f>
        <v>0.0</v>
      </c>
      <c r="AB23" s="61">
        <f> AB$10</f>
        <v>0.0</v>
      </c>
      <c r="AC23" s="61">
        <f> AC$10</f>
        <v>0.0</v>
      </c>
      <c r="AD23" s="61">
        <f> AD$10</f>
        <v>0.0</v>
      </c>
      <c r="AE23" s="61">
        <f> AE$10</f>
        <v>0.0</v>
      </c>
      <c r="AF23" s="61">
        <f> AF$10</f>
        <v>0.0</v>
      </c>
      <c r="AG23" s="61">
        <f> AG$10</f>
        <v>0.0</v>
      </c>
      <c r="AH23" s="61">
        <f> AH$10</f>
        <v>0.0</v>
      </c>
      <c r="AI23" s="61">
        <f> AI$10</f>
        <v>0.0</v>
      </c>
      <c r="AJ23" s="61">
        <f> AJ$10</f>
        <v>0.0</v>
      </c>
      <c r="AK23" s="61">
        <f> AK$10</f>
        <v>0.0</v>
      </c>
      <c r="AL23" s="61">
        <f> AL$10</f>
        <v>0.0</v>
      </c>
      <c r="AM23" s="61">
        <f> AM$10</f>
        <v>0.0</v>
      </c>
      <c r="AN23" s="61">
        <f> AN$10</f>
        <v>0.0</v>
      </c>
      <c r="AO23" s="61">
        <f> AO$10</f>
        <v>0.0</v>
      </c>
      <c r="AP23" s="61">
        <f> AP$10</f>
        <v>0.0</v>
      </c>
      <c r="AQ23" s="61">
        <f> AQ$10</f>
        <v>0.0</v>
      </c>
      <c r="AR23" s="61">
        <f> AR$10</f>
        <v>0.0</v>
      </c>
      <c r="AS23" s="61">
        <f> AS$10</f>
        <v>0.0</v>
      </c>
      <c r="AT23" s="61">
        <f> AT$10</f>
        <v>0.0</v>
      </c>
      <c r="AU23" s="61">
        <f> AU$10</f>
        <v>0.0</v>
      </c>
      <c r="AV23" s="61">
        <f> AV$10</f>
        <v>0.0</v>
      </c>
      <c r="AW23" s="61">
        <f> AW$10</f>
        <v>0.0</v>
      </c>
      <c r="AX23" s="61">
        <f> AX$10</f>
        <v>0.0</v>
      </c>
      <c r="AY23" s="61">
        <f> AY$10</f>
        <v>0.0</v>
      </c>
      <c r="AZ23" s="61">
        <f> AZ$10</f>
        <v>0.0</v>
      </c>
      <c r="BA23" s="61">
        <f> BA$10</f>
        <v>0.0</v>
      </c>
      <c r="BB23" s="61">
        <f> BB$10</f>
        <v>0.0</v>
      </c>
      <c r="BC23" s="61">
        <f> BC$10</f>
        <v>0.0</v>
      </c>
      <c r="BD23" s="61">
        <f> BD$10</f>
        <v>0.0</v>
      </c>
      <c r="BE23" s="61">
        <f> BE$10</f>
        <v>0.0</v>
      </c>
      <c r="BF23" s="61">
        <f> BF$10</f>
        <v>0.0</v>
      </c>
      <c r="BG23" s="61">
        <f> BG$10</f>
        <v>0.0</v>
      </c>
      <c r="BH23" s="61">
        <f> BH$10</f>
        <v>0.0</v>
      </c>
      <c r="BI23" s="61">
        <f> BI$10</f>
        <v>0.0</v>
      </c>
      <c r="BJ23" s="61">
        <f> BJ$10</f>
        <v>0.0</v>
      </c>
      <c r="BK23" s="61">
        <f> BK$10</f>
        <v>0.0</v>
      </c>
      <c r="BL23" s="61">
        <f> BL$10</f>
        <v>0.0</v>
      </c>
      <c r="BM23" s="61">
        <f> BM$10</f>
        <v>0.0</v>
      </c>
      <c r="BN23" s="61">
        <f> BN$10</f>
        <v>0.0</v>
      </c>
      <c r="BO23" s="61">
        <f> BO$10</f>
        <v>0.0</v>
      </c>
      <c r="BP23" s="61">
        <f> BP$10</f>
        <v>0.0</v>
      </c>
      <c r="BQ23" s="61">
        <f> BQ$10</f>
        <v>0.0</v>
      </c>
      <c r="BR23" s="61">
        <f> BR$10</f>
        <v>0.0</v>
      </c>
      <c r="BS23" s="61">
        <f> BS$10</f>
        <v>0.0</v>
      </c>
      <c r="BT23" s="61">
        <f> BT$10</f>
        <v>0.0</v>
      </c>
      <c r="BU23" s="61">
        <f> BU$10</f>
        <v>0.0</v>
      </c>
      <c r="BV23" s="61">
        <f> BV$10</f>
        <v>0.0</v>
      </c>
      <c r="BW23" s="61">
        <f> BW$10</f>
        <v>0.0</v>
      </c>
      <c r="BX23" s="61">
        <f> BX$10</f>
        <v>0.0</v>
      </c>
      <c r="BY23" s="61">
        <f> BY$10</f>
        <v>0.0</v>
      </c>
      <c r="BZ23" s="61">
        <f> BZ$10</f>
        <v>0.0</v>
      </c>
      <c r="CA23" s="61">
        <f> CA$10</f>
        <v>0.0</v>
      </c>
      <c r="CB23" s="61">
        <f> CB$10</f>
        <v>0.0</v>
      </c>
      <c r="CC23" s="61">
        <f> CC$10</f>
        <v>0.0</v>
      </c>
      <c r="CD23" s="61">
        <f> CD$10</f>
        <v>0.0</v>
      </c>
      <c r="CE23" s="61">
        <f> CE$10</f>
        <v>0.0</v>
      </c>
      <c r="CF23" s="61">
        <f> CF$10</f>
        <v>0.0</v>
      </c>
      <c r="CG23" s="61">
        <f> CG$10</f>
        <v>0.0</v>
      </c>
      <c r="CH23" s="61">
        <f> CH$10</f>
        <v>0.0</v>
      </c>
      <c r="CI23" s="61">
        <f> CI$10</f>
        <v>0.0</v>
      </c>
      <c r="CJ23" s="61">
        <f> CJ$10</f>
        <v>0.0</v>
      </c>
      <c r="CK23" s="61">
        <f> CK$10</f>
        <v>0.0</v>
      </c>
      <c r="CL23" s="61">
        <f> CL$10</f>
        <v>0.0</v>
      </c>
      <c r="CM23" s="61">
        <f> CM$10</f>
        <v>11565.429793305917</v>
      </c>
      <c r="CN23" s="61">
        <f> CN$10</f>
        <v>0.0</v>
      </c>
      <c r="CO23" s="61">
        <f> CO$10</f>
        <v>0.0</v>
      </c>
    </row>
    <row r="24" customFormat="1" s="322">
      <c r="A24" s="318" t="n"/>
      <c r="B24" s="318" t="n"/>
      <c r="C24" s="319" t="n"/>
      <c r="D24" s="320" t="n"/>
      <c r="E24" s="322" t="inlineStr">
        <is>
          <t>Share capital balance</t>
        </is>
      </c>
      <c r="F24" s="322" t="inlineStr">
        <is>
          <t>BS</t>
        </is>
      </c>
      <c r="G24" s="322" t="inlineStr">
        <is>
          <t>$ 000s</t>
        </is>
      </c>
      <c r="I24" s="323" t="n"/>
      <c r="J24" s="322">
        <f> IF(J19 = 1, $F18, J21 + J22 - J23)</f>
        <v>0.0</v>
      </c>
      <c r="K24" s="322">
        <f> IF(K19 = 1, $F18, K21 + K22 - K23)</f>
        <v>11565.429793305917</v>
      </c>
      <c r="L24" s="322">
        <f> IF(L19 = 1, $F18, L21 + L22 - L23)</f>
        <v>11565.429793305917</v>
      </c>
      <c r="M24" s="322">
        <f> IF(M19 = 1, $F18, M21 + M22 - M23)</f>
        <v>11565.429793305917</v>
      </c>
      <c r="N24" s="322">
        <f> IF(N19 = 1, $F18, N21 + N22 - N23)</f>
        <v>11565.429793305917</v>
      </c>
      <c r="O24" s="322">
        <f> IF(O19 = 1, $F18, O21 + O22 - O23)</f>
        <v>11565.429793305917</v>
      </c>
      <c r="P24" s="322">
        <f> IF(P19 = 1, $F18, P21 + P22 - P23)</f>
        <v>11565.429793305917</v>
      </c>
      <c r="Q24" s="322">
        <f> IF(Q19 = 1, $F18, Q21 + Q22 - Q23)</f>
        <v>11565.429793305917</v>
      </c>
      <c r="R24" s="322">
        <f> IF(R19 = 1, $F18, R21 + R22 - R23)</f>
        <v>11565.429793305917</v>
      </c>
      <c r="S24" s="322">
        <f> IF(S19 = 1, $F18, S21 + S22 - S23)</f>
        <v>11565.429793305917</v>
      </c>
      <c r="T24" s="322">
        <f> IF(T19 = 1, $F18, T21 + T22 - T23)</f>
        <v>11565.429793305917</v>
      </c>
      <c r="U24" s="322">
        <f> IF(U19 = 1, $F18, U21 + U22 - U23)</f>
        <v>11565.429793305917</v>
      </c>
      <c r="V24" s="322">
        <f> IF(V19 = 1, $F18, V21 + V22 - V23)</f>
        <v>11565.429793305917</v>
      </c>
      <c r="W24" s="322">
        <f> IF(W19 = 1, $F18, W21 + W22 - W23)</f>
        <v>11565.429793305917</v>
      </c>
      <c r="X24" s="322">
        <f> IF(X19 = 1, $F18, X21 + X22 - X23)</f>
        <v>11565.429793305917</v>
      </c>
      <c r="Y24" s="322">
        <f> IF(Y19 = 1, $F18, Y21 + Y22 - Y23)</f>
        <v>11565.429793305917</v>
      </c>
      <c r="Z24" s="322">
        <f> IF(Z19 = 1, $F18, Z21 + Z22 - Z23)</f>
        <v>11565.429793305917</v>
      </c>
      <c r="AA24" s="322">
        <f> IF(AA19 = 1, $F18, AA21 + AA22 - AA23)</f>
        <v>11565.429793305917</v>
      </c>
      <c r="AB24" s="322">
        <f> IF(AB19 = 1, $F18, AB21 + AB22 - AB23)</f>
        <v>11565.429793305917</v>
      </c>
      <c r="AC24" s="322">
        <f> IF(AC19 = 1, $F18, AC21 + AC22 - AC23)</f>
        <v>11565.429793305917</v>
      </c>
      <c r="AD24" s="322">
        <f> IF(AD19 = 1, $F18, AD21 + AD22 - AD23)</f>
        <v>11565.429793305917</v>
      </c>
      <c r="AE24" s="322">
        <f> IF(AE19 = 1, $F18, AE21 + AE22 - AE23)</f>
        <v>11565.429793305917</v>
      </c>
      <c r="AF24" s="322">
        <f> IF(AF19 = 1, $F18, AF21 + AF22 - AF23)</f>
        <v>11565.429793305917</v>
      </c>
      <c r="AG24" s="322">
        <f> IF(AG19 = 1, $F18, AG21 + AG22 - AG23)</f>
        <v>11565.429793305917</v>
      </c>
      <c r="AH24" s="322">
        <f> IF(AH19 = 1, $F18, AH21 + AH22 - AH23)</f>
        <v>11565.429793305917</v>
      </c>
      <c r="AI24" s="322">
        <f> IF(AI19 = 1, $F18, AI21 + AI22 - AI23)</f>
        <v>11565.429793305917</v>
      </c>
      <c r="AJ24" s="322">
        <f> IF(AJ19 = 1, $F18, AJ21 + AJ22 - AJ23)</f>
        <v>11565.429793305917</v>
      </c>
      <c r="AK24" s="322">
        <f> IF(AK19 = 1, $F18, AK21 + AK22 - AK23)</f>
        <v>11565.429793305917</v>
      </c>
      <c r="AL24" s="322">
        <f> IF(AL19 = 1, $F18, AL21 + AL22 - AL23)</f>
        <v>11565.429793305917</v>
      </c>
      <c r="AM24" s="322">
        <f> IF(AM19 = 1, $F18, AM21 + AM22 - AM23)</f>
        <v>11565.429793305917</v>
      </c>
      <c r="AN24" s="322">
        <f> IF(AN19 = 1, $F18, AN21 + AN22 - AN23)</f>
        <v>11565.429793305917</v>
      </c>
      <c r="AO24" s="322">
        <f> IF(AO19 = 1, $F18, AO21 + AO22 - AO23)</f>
        <v>11565.429793305917</v>
      </c>
      <c r="AP24" s="322">
        <f> IF(AP19 = 1, $F18, AP21 + AP22 - AP23)</f>
        <v>11565.429793305917</v>
      </c>
      <c r="AQ24" s="322">
        <f> IF(AQ19 = 1, $F18, AQ21 + AQ22 - AQ23)</f>
        <v>11565.429793305917</v>
      </c>
      <c r="AR24" s="322">
        <f> IF(AR19 = 1, $F18, AR21 + AR22 - AR23)</f>
        <v>11565.429793305917</v>
      </c>
      <c r="AS24" s="322">
        <f> IF(AS19 = 1, $F18, AS21 + AS22 - AS23)</f>
        <v>11565.429793305917</v>
      </c>
      <c r="AT24" s="322">
        <f> IF(AT19 = 1, $F18, AT21 + AT22 - AT23)</f>
        <v>11565.429793305917</v>
      </c>
      <c r="AU24" s="322">
        <f> IF(AU19 = 1, $F18, AU21 + AU22 - AU23)</f>
        <v>11565.429793305917</v>
      </c>
      <c r="AV24" s="322">
        <f> IF(AV19 = 1, $F18, AV21 + AV22 - AV23)</f>
        <v>11565.429793305917</v>
      </c>
      <c r="AW24" s="322">
        <f> IF(AW19 = 1, $F18, AW21 + AW22 - AW23)</f>
        <v>11565.429793305917</v>
      </c>
      <c r="AX24" s="322">
        <f> IF(AX19 = 1, $F18, AX21 + AX22 - AX23)</f>
        <v>11565.429793305917</v>
      </c>
      <c r="AY24" s="322">
        <f> IF(AY19 = 1, $F18, AY21 + AY22 - AY23)</f>
        <v>11565.429793305917</v>
      </c>
      <c r="AZ24" s="322">
        <f> IF(AZ19 = 1, $F18, AZ21 + AZ22 - AZ23)</f>
        <v>11565.429793305917</v>
      </c>
      <c r="BA24" s="322">
        <f> IF(BA19 = 1, $F18, BA21 + BA22 - BA23)</f>
        <v>11565.429793305917</v>
      </c>
      <c r="BB24" s="322">
        <f> IF(BB19 = 1, $F18, BB21 + BB22 - BB23)</f>
        <v>11565.429793305917</v>
      </c>
      <c r="BC24" s="322">
        <f> IF(BC19 = 1, $F18, BC21 + BC22 - BC23)</f>
        <v>11565.429793305917</v>
      </c>
      <c r="BD24" s="322">
        <f> IF(BD19 = 1, $F18, BD21 + BD22 - BD23)</f>
        <v>11565.429793305917</v>
      </c>
      <c r="BE24" s="322">
        <f> IF(BE19 = 1, $F18, BE21 + BE22 - BE23)</f>
        <v>11565.429793305917</v>
      </c>
      <c r="BF24" s="322">
        <f> IF(BF19 = 1, $F18, BF21 + BF22 - BF23)</f>
        <v>11565.429793305917</v>
      </c>
      <c r="BG24" s="322">
        <f> IF(BG19 = 1, $F18, BG21 + BG22 - BG23)</f>
        <v>11565.429793305917</v>
      </c>
      <c r="BH24" s="322">
        <f> IF(BH19 = 1, $F18, BH21 + BH22 - BH23)</f>
        <v>11565.429793305917</v>
      </c>
      <c r="BI24" s="322">
        <f> IF(BI19 = 1, $F18, BI21 + BI22 - BI23)</f>
        <v>11565.429793305917</v>
      </c>
      <c r="BJ24" s="322">
        <f> IF(BJ19 = 1, $F18, BJ21 + BJ22 - BJ23)</f>
        <v>11565.429793305917</v>
      </c>
      <c r="BK24" s="322">
        <f> IF(BK19 = 1, $F18, BK21 + BK22 - BK23)</f>
        <v>11565.429793305917</v>
      </c>
      <c r="BL24" s="322">
        <f> IF(BL19 = 1, $F18, BL21 + BL22 - BL23)</f>
        <v>11565.429793305917</v>
      </c>
      <c r="BM24" s="322">
        <f> IF(BM19 = 1, $F18, BM21 + BM22 - BM23)</f>
        <v>11565.429793305917</v>
      </c>
      <c r="BN24" s="322">
        <f> IF(BN19 = 1, $F18, BN21 + BN22 - BN23)</f>
        <v>11565.429793305917</v>
      </c>
      <c r="BO24" s="322">
        <f> IF(BO19 = 1, $F18, BO21 + BO22 - BO23)</f>
        <v>11565.429793305917</v>
      </c>
      <c r="BP24" s="322">
        <f> IF(BP19 = 1, $F18, BP21 + BP22 - BP23)</f>
        <v>11565.429793305917</v>
      </c>
      <c r="BQ24" s="322">
        <f> IF(BQ19 = 1, $F18, BQ21 + BQ22 - BQ23)</f>
        <v>11565.429793305917</v>
      </c>
      <c r="BR24" s="322">
        <f> IF(BR19 = 1, $F18, BR21 + BR22 - BR23)</f>
        <v>11565.429793305917</v>
      </c>
      <c r="BS24" s="322">
        <f> IF(BS19 = 1, $F18, BS21 + BS22 - BS23)</f>
        <v>11565.429793305917</v>
      </c>
      <c r="BT24" s="322">
        <f> IF(BT19 = 1, $F18, BT21 + BT22 - BT23)</f>
        <v>11565.429793305917</v>
      </c>
      <c r="BU24" s="322">
        <f> IF(BU19 = 1, $F18, BU21 + BU22 - BU23)</f>
        <v>11565.429793305917</v>
      </c>
      <c r="BV24" s="322">
        <f> IF(BV19 = 1, $F18, BV21 + BV22 - BV23)</f>
        <v>11565.429793305917</v>
      </c>
      <c r="BW24" s="322">
        <f> IF(BW19 = 1, $F18, BW21 + BW22 - BW23)</f>
        <v>11565.429793305917</v>
      </c>
      <c r="BX24" s="322">
        <f> IF(BX19 = 1, $F18, BX21 + BX22 - BX23)</f>
        <v>11565.429793305917</v>
      </c>
      <c r="BY24" s="322">
        <f> IF(BY19 = 1, $F18, BY21 + BY22 - BY23)</f>
        <v>11565.429793305917</v>
      </c>
      <c r="BZ24" s="322">
        <f> IF(BZ19 = 1, $F18, BZ21 + BZ22 - BZ23)</f>
        <v>11565.429793305917</v>
      </c>
      <c r="CA24" s="322">
        <f> IF(CA19 = 1, $F18, CA21 + CA22 - CA23)</f>
        <v>11565.429793305917</v>
      </c>
      <c r="CB24" s="322">
        <f> IF(CB19 = 1, $F18, CB21 + CB22 - CB23)</f>
        <v>11565.429793305917</v>
      </c>
      <c r="CC24" s="322">
        <f> IF(CC19 = 1, $F18, CC21 + CC22 - CC23)</f>
        <v>11565.429793305917</v>
      </c>
      <c r="CD24" s="322">
        <f> IF(CD19 = 1, $F18, CD21 + CD22 - CD23)</f>
        <v>11565.429793305917</v>
      </c>
      <c r="CE24" s="322">
        <f> IF(CE19 = 1, $F18, CE21 + CE22 - CE23)</f>
        <v>11565.429793305917</v>
      </c>
      <c r="CF24" s="322">
        <f> IF(CF19 = 1, $F18, CF21 + CF22 - CF23)</f>
        <v>11565.429793305917</v>
      </c>
      <c r="CG24" s="322">
        <f> IF(CG19 = 1, $F18, CG21 + CG22 - CG23)</f>
        <v>11565.429793305917</v>
      </c>
      <c r="CH24" s="322">
        <f> IF(CH19 = 1, $F18, CH21 + CH22 - CH23)</f>
        <v>11565.429793305917</v>
      </c>
      <c r="CI24" s="322">
        <f> IF(CI19 = 1, $F18, CI21 + CI22 - CI23)</f>
        <v>11565.429793305917</v>
      </c>
      <c r="CJ24" s="322">
        <f> IF(CJ19 = 1, $F18, CJ21 + CJ22 - CJ23)</f>
        <v>11565.429793305917</v>
      </c>
      <c r="CK24" s="322">
        <f> IF(CK19 = 1, $F18, CK21 + CK22 - CK23)</f>
        <v>11565.429793305917</v>
      </c>
      <c r="CL24" s="322">
        <f> IF(CL19 = 1, $F18, CL21 + CL22 - CL23)</f>
        <v>11565.429793305917</v>
      </c>
      <c r="CM24" s="322">
        <f> IF(CM19 = 1, $F18, CM21 + CM22 - CM23)</f>
        <v>0.0</v>
      </c>
      <c r="CN24" s="322">
        <f> IF(CN19 = 1, $F18, CN21 + CN22 - CN23)</f>
        <v>0.0</v>
      </c>
      <c r="CO24" s="322">
        <f> IF(CO19 = 1, $F18, CO21 + CO22 - CO23)</f>
        <v>0.0</v>
      </c>
    </row>
    <row r="25" customFormat="1" s="61">
      <c r="A25" s="294" t="n"/>
      <c r="B25" s="294" t="n"/>
      <c r="C25" s="212" t="n"/>
      <c r="D25" s="244" t="n"/>
    </row>
    <row r="26" customFormat="1" s="61">
      <c r="A26" s="294" t="n"/>
      <c r="B26" s="294" t="n"/>
      <c r="C26" s="212" t="n"/>
      <c r="D26" s="244" t="n"/>
    </row>
    <row r="27" customFormat="1" s="61">
      <c r="A27" s="294" t="inlineStr">
        <is>
          <t>DIVIDEND DECLARED AND PAID</t>
        </is>
      </c>
      <c r="B27" s="294" t="n"/>
      <c r="C27" s="212" t="n"/>
      <c r="D27" s="244" t="n"/>
    </row>
    <row r="28" customFormat="1" s="61">
      <c r="A28" s="294" t="n"/>
      <c r="B28" s="294" t="n"/>
      <c r="C28" s="212" t="n"/>
      <c r="D28" s="244" t="n"/>
    </row>
    <row r="29" customFormat="1" s="61">
      <c r="A29" s="294" t="n"/>
      <c r="B29" s="294" t="n"/>
      <c r="C29" s="212" t="n"/>
      <c r="D29" s="244" t="n"/>
      <c r="E29" s="29" t="str">
        <f> E$47</f>
        <v>Retained cash balance BEG</v>
      </c>
      <c r="F29" s="29">
        <f> F$47</f>
        <v>0.0</v>
      </c>
      <c r="G29" s="29" t="str">
        <f> G$47</f>
        <v>$ 000s</v>
      </c>
      <c r="H29" s="29">
        <f> H$47</f>
        <v>0.0</v>
      </c>
      <c r="I29" s="29">
        <f> I$47</f>
        <v>0.0</v>
      </c>
      <c r="J29" s="29">
        <f> J$47</f>
        <v>0.0</v>
      </c>
      <c r="K29" s="29">
        <f> K$47</f>
        <v>0.0</v>
      </c>
      <c r="L29" s="29">
        <f> L$47</f>
        <v>0.0</v>
      </c>
      <c r="M29" s="29">
        <f> M$47</f>
        <v>0.0</v>
      </c>
      <c r="N29" s="29">
        <f> N$47</f>
        <v>0.0</v>
      </c>
      <c r="O29" s="29">
        <f> O$47</f>
        <v>0.0</v>
      </c>
      <c r="P29" s="29">
        <f> P$47</f>
        <v>1249.9939929253885</v>
      </c>
      <c r="Q29" s="29">
        <f> Q$47</f>
        <v>2327.2098043714486</v>
      </c>
      <c r="R29" s="29">
        <f> R$47</f>
        <v>4474.552292165947</v>
      </c>
      <c r="S29" s="29">
        <f> S$47</f>
        <v>5365.11597258347</v>
      </c>
      <c r="T29" s="29">
        <f> T$47</f>
        <v>4379.152655512729</v>
      </c>
      <c r="U29" s="29">
        <f> U$47</f>
        <v>5093.372276738803</v>
      </c>
      <c r="V29" s="29">
        <f> V$47</f>
        <v>6520.318220189434</v>
      </c>
      <c r="W29" s="29">
        <f> W$47</f>
        <v>7194.59489156086</v>
      </c>
      <c r="X29" s="29">
        <f> X$47</f>
        <v>7046.345874702457</v>
      </c>
      <c r="Y29" s="29">
        <f> Y$47</f>
        <v>7600.434139387089</v>
      </c>
      <c r="Z29" s="29">
        <f> Z$47</f>
        <v>9049.845607172283</v>
      </c>
      <c r="AA29" s="29">
        <f> AA$47</f>
        <v>9509.523864274108</v>
      </c>
      <c r="AB29" s="29">
        <f> AB$47</f>
        <v>8657.558612634912</v>
      </c>
      <c r="AC29" s="29">
        <f> AC$47</f>
        <v>8903.069132701552</v>
      </c>
      <c r="AD29" s="29">
        <f> AD$47</f>
        <v>9755.758404504279</v>
      </c>
      <c r="AE29" s="29">
        <f> AE$47</f>
        <v>9651.157261950964</v>
      </c>
      <c r="AF29" s="29">
        <f> AF$47</f>
        <v>8932.721957688518</v>
      </c>
      <c r="AG29" s="29">
        <f> AG$47</f>
        <v>8875.312172594693</v>
      </c>
      <c r="AH29" s="29">
        <f> AH$47</f>
        <v>9312.616748707987</v>
      </c>
      <c r="AI29" s="29">
        <f> AI$47</f>
        <v>9165.879959824253</v>
      </c>
      <c r="AJ29" s="29">
        <f> AJ$47</f>
        <v>8745.846462738387</v>
      </c>
      <c r="AK29" s="29">
        <f> AK$47</f>
        <v>8463.584793828726</v>
      </c>
      <c r="AL29" s="29">
        <f> AL$47</f>
        <v>8751.748472824085</v>
      </c>
      <c r="AM29" s="29">
        <f> AM$47</f>
        <v>8143.7805927729505</v>
      </c>
      <c r="AN29" s="29">
        <f> AN$47</f>
        <v>6575.07745999463</v>
      </c>
      <c r="AO29" s="29">
        <f> AO$47</f>
        <v>5746.479038033717</v>
      </c>
      <c r="AP29" s="29">
        <f> AP$47</f>
        <v>5678.095206822565</v>
      </c>
      <c r="AQ29" s="29">
        <f> AQ$47</f>
        <v>4753.839544569996</v>
      </c>
      <c r="AR29" s="29">
        <f> AR$47</f>
        <v>3077.9831312393007</v>
      </c>
      <c r="AS29" s="29">
        <f> AS$47</f>
        <v>1971.132703170907</v>
      </c>
      <c r="AT29" s="29">
        <f> AT$47</f>
        <v>1187.7363620520919</v>
      </c>
      <c r="AU29" s="29">
        <f> AU$47</f>
        <v>0.0</v>
      </c>
      <c r="AV29" s="29">
        <f> AV$47</f>
        <v>0.0</v>
      </c>
      <c r="AW29" s="29">
        <f> AW$47</f>
        <v>0.0</v>
      </c>
      <c r="AX29" s="29">
        <f> AX$47</f>
        <v>0.0</v>
      </c>
      <c r="AY29" s="29">
        <f> AY$47</f>
        <v>0.0</v>
      </c>
      <c r="AZ29" s="29">
        <f> AZ$47</f>
        <v>0.0</v>
      </c>
      <c r="BA29" s="29">
        <f> BA$47</f>
        <v>0.0</v>
      </c>
      <c r="BB29" s="29">
        <f> BB$47</f>
        <v>0.0</v>
      </c>
      <c r="BC29" s="29">
        <f> BC$47</f>
        <v>0.0</v>
      </c>
      <c r="BD29" s="29">
        <f> BD$47</f>
        <v>0.0</v>
      </c>
      <c r="BE29" s="29">
        <f> BE$47</f>
        <v>0.0</v>
      </c>
      <c r="BF29" s="29">
        <f> BF$47</f>
        <v>0.0</v>
      </c>
      <c r="BG29" s="29">
        <f> BG$47</f>
        <v>0.0</v>
      </c>
      <c r="BH29" s="29">
        <f> BH$47</f>
        <v>0.0</v>
      </c>
      <c r="BI29" s="29">
        <f> BI$47</f>
        <v>0.0</v>
      </c>
      <c r="BJ29" s="29">
        <f> BJ$47</f>
        <v>0.0</v>
      </c>
      <c r="BK29" s="29">
        <f> BK$47</f>
        <v>0.0</v>
      </c>
      <c r="BL29" s="29">
        <f> BL$47</f>
        <v>0.0</v>
      </c>
      <c r="BM29" s="29">
        <f> BM$47</f>
        <v>0.0</v>
      </c>
      <c r="BN29" s="29">
        <f> BN$47</f>
        <v>663.468900987793</v>
      </c>
      <c r="BO29" s="29">
        <f> BO$47</f>
        <v>2124.8291202737946</v>
      </c>
      <c r="BP29" s="29">
        <f> BP$47</f>
        <v>3241.7538363685544</v>
      </c>
      <c r="BQ29" s="29">
        <f> BQ$47</f>
        <v>4662.64187492106</v>
      </c>
      <c r="BR29" s="29">
        <f> BR$47</f>
        <v>5930.8439207166175</v>
      </c>
      <c r="BS29" s="29">
        <f> BS$47</f>
        <v>7043.316895195412</v>
      </c>
      <c r="BT29" s="29">
        <f> BT$47</f>
        <v>8467.6999372666</v>
      </c>
      <c r="BU29" s="29">
        <f> BU$47</f>
        <v>8339.156937757089</v>
      </c>
      <c r="BV29" s="29">
        <f> BV$47</f>
        <v>8597.40638982449</v>
      </c>
      <c r="BW29" s="29">
        <f> BW$47</f>
        <v>8508.425302436794</v>
      </c>
      <c r="BX29" s="29">
        <f> BX$47</f>
        <v>8569.58060526554</v>
      </c>
      <c r="BY29" s="29">
        <f> BY$47</f>
        <v>8590.980802370072</v>
      </c>
      <c r="BZ29" s="29">
        <f> BZ$47</f>
        <v>8662.916618405074</v>
      </c>
      <c r="CA29" s="29">
        <f> CA$47</f>
        <v>8731.337543087913</v>
      </c>
      <c r="CB29" s="29">
        <f> CB$47</f>
        <v>8778.596386232657</v>
      </c>
      <c r="CC29" s="29">
        <f> CC$47</f>
        <v>8785.694026419902</v>
      </c>
      <c r="CD29" s="29">
        <f> CD$47</f>
        <v>8845.590582247065</v>
      </c>
      <c r="CE29" s="29">
        <f> CE$47</f>
        <v>8902.57666671594</v>
      </c>
      <c r="CF29" s="29">
        <f> CF$47</f>
        <v>8938.440180598303</v>
      </c>
      <c r="CG29" s="29">
        <f> CG$47</f>
        <v>8952.893600086936</v>
      </c>
      <c r="CH29" s="29">
        <f> CH$47</f>
        <v>8983.7079448268</v>
      </c>
      <c r="CI29" s="29">
        <f> CI$47</f>
        <v>9031.41798488416</v>
      </c>
      <c r="CJ29" s="29">
        <f> CJ$47</f>
        <v>9057.921058584694</v>
      </c>
      <c r="CK29" s="29">
        <f> CK$47</f>
        <v>9042.998803717204</v>
      </c>
      <c r="CL29" s="29">
        <f> CL$47</f>
        <v>9085.213525519215</v>
      </c>
      <c r="CM29" s="29">
        <f> CM$47</f>
        <v>9125.407004970959</v>
      </c>
      <c r="CN29" s="29">
        <f> CN$47</f>
        <v>0.0</v>
      </c>
      <c r="CO29" s="29">
        <f> CO$47</f>
        <v>0.0</v>
      </c>
    </row>
    <row r="30" customFormat="1" s="61">
      <c r="A30" s="294" t="n"/>
      <c r="B30" s="294" t="n"/>
      <c r="C30" s="212" t="n"/>
      <c r="D30" s="244" t="n"/>
      <c r="E30" s="367" t="str">
        <f> FinStat!E$49</f>
        <v>Cash flow available for dividends</v>
      </c>
      <c r="F30" s="367">
        <f> FinStat!F$49</f>
        <v>0.0</v>
      </c>
      <c r="G30" s="367" t="str">
        <f> FinStat!G$49</f>
        <v>$ 000s</v>
      </c>
      <c r="H30" s="367">
        <f> FinStat!H$49</f>
        <v>442553.8228655873</v>
      </c>
      <c r="I30" s="367">
        <f> FinStat!I$49</f>
        <v>0.0</v>
      </c>
      <c r="J30" s="367">
        <f> FinStat!J$49</f>
        <v>0.0</v>
      </c>
      <c r="K30" s="367">
        <f> FinStat!K$49</f>
        <v>0.0</v>
      </c>
      <c r="L30" s="367">
        <f> FinStat!L$49</f>
        <v>0.0</v>
      </c>
      <c r="M30" s="367">
        <f> FinStat!M$49</f>
        <v>1542.3934940537397</v>
      </c>
      <c r="N30" s="367">
        <f> FinStat!N$49</f>
        <v>3013.9184138551927</v>
      </c>
      <c r="O30" s="367">
        <f> FinStat!O$49</f>
        <v>2902.5525074965876</v>
      </c>
      <c r="P30" s="367">
        <f> FinStat!P$49</f>
        <v>2954.492474587404</v>
      </c>
      <c r="Q30" s="367">
        <f> FinStat!Q$49</f>
        <v>3753.0213070255395</v>
      </c>
      <c r="R30" s="367">
        <f> FinStat!R$49</f>
        <v>2874.2594245253676</v>
      </c>
      <c r="S30" s="367">
        <f> FinStat!S$49</f>
        <v>731.6777965998831</v>
      </c>
      <c r="T30" s="367">
        <f> FinStat!T$49</f>
        <v>2970.5529026284225</v>
      </c>
      <c r="U30" s="367">
        <f> FinStat!U$49</f>
        <v>3392.5173228061944</v>
      </c>
      <c r="V30" s="367">
        <f> FinStat!V$49</f>
        <v>3040.6303846102664</v>
      </c>
      <c r="W30" s="367">
        <f> FinStat!W$49</f>
        <v>1922.2354873307158</v>
      </c>
      <c r="X30" s="367">
        <f> FinStat!X$49</f>
        <v>3015.0014732927757</v>
      </c>
      <c r="Y30" s="367">
        <f> FinStat!Y$49</f>
        <v>3587.998202456688</v>
      </c>
      <c r="Z30" s="367">
        <f> FinStat!Z$49</f>
        <v>3002.9254328862535</v>
      </c>
      <c r="AA30" s="367">
        <f> FinStat!AA$49</f>
        <v>1375.4356052146036</v>
      </c>
      <c r="AB30" s="367">
        <f> FinStat!AB$49</f>
        <v>2854.66934569554</v>
      </c>
      <c r="AC30" s="367">
        <f> FinStat!AC$49</f>
        <v>3131.3021674909896</v>
      </c>
      <c r="AD30" s="367">
        <f> FinStat!AD$49</f>
        <v>3066.3811027896572</v>
      </c>
      <c r="AE30" s="367">
        <f> FinStat!AE$49</f>
        <v>2107.027183099774</v>
      </c>
      <c r="AF30" s="367">
        <f> FinStat!AF$49</f>
        <v>3213.4048091507884</v>
      </c>
      <c r="AG30" s="367">
        <f> FinStat!AG$49</f>
        <v>3349.2112456475343</v>
      </c>
      <c r="AH30" s="367">
        <f> FinStat!AH$49</f>
        <v>3230.215026727036</v>
      </c>
      <c r="AI30" s="367">
        <f> FinStat!AI$49</f>
        <v>2602.905254035712</v>
      </c>
      <c r="AJ30" s="367">
        <f> FinStat!AJ$49</f>
        <v>3210.765878135569</v>
      </c>
      <c r="AK30" s="367">
        <f> FinStat!AK$49</f>
        <v>3422.198298152113</v>
      </c>
      <c r="AL30" s="367">
        <f> FinStat!AL$49</f>
        <v>3007.326175933151</v>
      </c>
      <c r="AM30" s="367">
        <f> FinStat!AM$49</f>
        <v>2162.368758166749</v>
      </c>
      <c r="AN30" s="367">
        <f> FinStat!AN$49</f>
        <v>3477.3030389976884</v>
      </c>
      <c r="AO30" s="367">
        <f> FinStat!AO$49</f>
        <v>3840.022186856854</v>
      </c>
      <c r="AP30" s="367">
        <f> FinStat!AP$49</f>
        <v>3516.7029711648647</v>
      </c>
      <c r="AQ30" s="367">
        <f> FinStat!AQ$49</f>
        <v>2370.4225701845357</v>
      </c>
      <c r="AR30" s="367">
        <f> FinStat!AR$49</f>
        <v>3495.3705665489797</v>
      </c>
      <c r="AS30" s="367">
        <f> FinStat!AS$49</f>
        <v>3412.348286234433</v>
      </c>
      <c r="AT30" s="367">
        <f> FinStat!AT$49</f>
        <v>3544.972203147367</v>
      </c>
      <c r="AU30" s="367">
        <f> FinStat!AU$49</f>
        <v>3395.28320582229</v>
      </c>
      <c r="AV30" s="367">
        <f> FinStat!AV$49</f>
        <v>3338.4064387893923</v>
      </c>
      <c r="AW30" s="367">
        <f> FinStat!AW$49</f>
        <v>3153.1327786661905</v>
      </c>
      <c r="AX30" s="367">
        <f> FinStat!AX$49</f>
        <v>7052.041934786595</v>
      </c>
      <c r="AY30" s="367">
        <f> FinStat!AY$49</f>
        <v>7052.792941098581</v>
      </c>
      <c r="AZ30" s="367">
        <f> FinStat!AZ$49</f>
        <v>9.094947017729282e-13</v>
      </c>
      <c r="BA30" s="367">
        <f> FinStat!BA$49</f>
        <v>0.0</v>
      </c>
      <c r="BB30" s="367">
        <f> FinStat!BB$49</f>
        <v>4463.805875534848</v>
      </c>
      <c r="BC30" s="367">
        <f> FinStat!BC$49</f>
        <v>7521.637238564551</v>
      </c>
      <c r="BD30" s="367">
        <f> FinStat!BD$49</f>
        <v>7786.862296074629</v>
      </c>
      <c r="BE30" s="367">
        <f> FinStat!BE$49</f>
        <v>7627.988950314166</v>
      </c>
      <c r="BF30" s="367">
        <f> FinStat!BF$49</f>
        <v>7926.412925883229</v>
      </c>
      <c r="BG30" s="367">
        <f> FinStat!BG$49</f>
        <v>7703.404245475238</v>
      </c>
      <c r="BH30" s="367">
        <f> FinStat!BH$49</f>
        <v>7569.490087277265</v>
      </c>
      <c r="BI30" s="367">
        <f> FinStat!BI$49</f>
        <v>8073.785152795242</v>
      </c>
      <c r="BJ30" s="367">
        <f> FinStat!BJ$49</f>
        <v>7864.656660041153</v>
      </c>
      <c r="BK30" s="367">
        <f> FinStat!BK$49</f>
        <v>8164.350522971761</v>
      </c>
      <c r="BL30" s="367">
        <f> FinStat!BL$49</f>
        <v>7920.158988451464</v>
      </c>
      <c r="BM30" s="367">
        <f> FinStat!BM$49</f>
        <v>8283.741323993563</v>
      </c>
      <c r="BN30" s="367">
        <f> FinStat!BN$49</f>
        <v>8069.951845626139</v>
      </c>
      <c r="BO30" s="367">
        <f> FinStat!BO$49</f>
        <v>8380.168750155472</v>
      </c>
      <c r="BP30" s="367">
        <f> FinStat!BP$49</f>
        <v>8145.432186534468</v>
      </c>
      <c r="BQ30" s="367">
        <f> FinStat!BQ$49</f>
        <v>8051.368270145524</v>
      </c>
      <c r="BR30" s="367">
        <f> FinStat!BR$49</f>
        <v>8564.966728450932</v>
      </c>
      <c r="BS30" s="367">
        <f> FinStat!BS$49</f>
        <v>8326.10105657528</v>
      </c>
      <c r="BT30" s="367">
        <f> FinStat!BT$49</f>
        <v>8631.592591488294</v>
      </c>
      <c r="BU30" s="367">
        <f> FinStat!BU$49</f>
        <v>8459.408717410737</v>
      </c>
      <c r="BV30" s="367">
        <f> FinStat!BV$49</f>
        <v>8801.585533466476</v>
      </c>
      <c r="BW30" s="367">
        <f> FinStat!BW$49</f>
        <v>9017.663894454512</v>
      </c>
      <c r="BX30" s="367">
        <f> FinStat!BX$49</f>
        <v>9044.339855832266</v>
      </c>
      <c r="BY30" s="367">
        <f> FinStat!BY$49</f>
        <v>9161.799265857671</v>
      </c>
      <c r="BZ30" s="367">
        <f> FinStat!BZ$49</f>
        <v>9225.704544162636</v>
      </c>
      <c r="CA30" s="367">
        <f> FinStat!CA$49</f>
        <v>9272.462692519282</v>
      </c>
      <c r="CB30" s="367">
        <f> FinStat!CB$49</f>
        <v>9300.72548867681</v>
      </c>
      <c r="CC30" s="367">
        <f> FinStat!CC$49</f>
        <v>9422.455909144512</v>
      </c>
      <c r="CD30" s="367">
        <f> FinStat!CD$49</f>
        <v>9488.988212533062</v>
      </c>
      <c r="CE30" s="367">
        <f> FinStat!CE$49</f>
        <v>9537.823478738128</v>
      </c>
      <c r="CF30" s="367">
        <f> FinStat!CF$49</f>
        <v>9586.890103432881</v>
      </c>
      <c r="CG30" s="367">
        <f> FinStat!CG$49</f>
        <v>9674.25047865673</v>
      </c>
      <c r="CH30" s="367">
        <f> FinStat!CH$49</f>
        <v>9762.672231963468</v>
      </c>
      <c r="CI30" s="367">
        <f> FinStat!CI$49</f>
        <v>9813.521837501972</v>
      </c>
      <c r="CJ30" s="367">
        <f> FinStat!CJ$49</f>
        <v>9844.687529595085</v>
      </c>
      <c r="CK30" s="367">
        <f> FinStat!CK$49</f>
        <v>9974.953939736379</v>
      </c>
      <c r="CL30" s="367">
        <f> FinStat!CL$49</f>
        <v>10046.604537115036</v>
      </c>
      <c r="CM30" s="367">
        <f> FinStat!CM$49</f>
        <v>-855.5441688092069</v>
      </c>
      <c r="CN30" s="367">
        <f> FinStat!CN$49</f>
        <v>1810.7664905536142</v>
      </c>
      <c r="CO30" s="367">
        <f> FinStat!CO$49</f>
        <v>-6.786241523111914e-13</v>
      </c>
    </row>
    <row r="31" customFormat="1" s="260">
      <c r="A31" s="263" t="n"/>
      <c r="B31" s="263" t="n"/>
      <c r="C31" s="264" t="n"/>
      <c r="D31" s="335" t="n"/>
      <c r="E31" s="260" t="inlineStr">
        <is>
          <t>Aggregate cash available for dividend</t>
        </is>
      </c>
      <c r="G31" s="260" t="str">
        <f>SMU</f>
        <v>$ 000s</v>
      </c>
      <c r="H31" s="260">
        <f> SUM(J31:CO31)</f>
        <v>848378.4769255064</v>
      </c>
      <c r="J31" s="260">
        <f>MAX(SUM(J29:J30), 0)</f>
        <v>0.0</v>
      </c>
      <c r="K31" s="260">
        <f>MAX(SUM(K29:K30), 0)</f>
        <v>0.0</v>
      </c>
      <c r="L31" s="260">
        <f>MAX(SUM(L29:L30), 0)</f>
        <v>0.0</v>
      </c>
      <c r="M31" s="260">
        <f>MAX(SUM(M29:M30), 0)</f>
        <v>1542.3934940537397</v>
      </c>
      <c r="N31" s="260">
        <f>MAX(SUM(N29:N30), 0)</f>
        <v>3013.9184138551927</v>
      </c>
      <c r="O31" s="260">
        <f>MAX(SUM(O29:O30), 0)</f>
        <v>2902.5525074965876</v>
      </c>
      <c r="P31" s="260">
        <f>MAX(SUM(P29:P30), 0)</f>
        <v>4204.486467512793</v>
      </c>
      <c r="Q31" s="260">
        <f>MAX(SUM(Q29:Q30), 0)</f>
        <v>6080.231111396988</v>
      </c>
      <c r="R31" s="260">
        <f>MAX(SUM(R29:R30), 0)</f>
        <v>7348.811716691314</v>
      </c>
      <c r="S31" s="260">
        <f>MAX(SUM(S29:S30), 0)</f>
        <v>6096.793769183352</v>
      </c>
      <c r="T31" s="260">
        <f>MAX(SUM(T29:T30), 0)</f>
        <v>7349.705558141151</v>
      </c>
      <c r="U31" s="260">
        <f>MAX(SUM(U29:U30), 0)</f>
        <v>8485.889599544997</v>
      </c>
      <c r="V31" s="260">
        <f>MAX(SUM(V29:V30), 0)</f>
        <v>9560.948604799702</v>
      </c>
      <c r="W31" s="260">
        <f>MAX(SUM(W29:W30), 0)</f>
        <v>9116.830378891576</v>
      </c>
      <c r="X31" s="260">
        <f>MAX(SUM(X29:X30), 0)</f>
        <v>10061.347347995234</v>
      </c>
      <c r="Y31" s="260">
        <f>MAX(SUM(Y29:Y30), 0)</f>
        <v>11188.432341843778</v>
      </c>
      <c r="Z31" s="260">
        <f>MAX(SUM(Z29:Z30), 0)</f>
        <v>12052.771040058537</v>
      </c>
      <c r="AA31" s="260">
        <f>MAX(SUM(AA29:AA30), 0)</f>
        <v>10884.959469488711</v>
      </c>
      <c r="AB31" s="260">
        <f>MAX(SUM(AB29:AB30), 0)</f>
        <v>11512.227958330452</v>
      </c>
      <c r="AC31" s="260">
        <f>MAX(SUM(AC29:AC30), 0)</f>
        <v>12034.371300192543</v>
      </c>
      <c r="AD31" s="260">
        <f>MAX(SUM(AD29:AD30), 0)</f>
        <v>12822.139507293936</v>
      </c>
      <c r="AE31" s="260">
        <f>MAX(SUM(AE29:AE30), 0)</f>
        <v>11758.184445050738</v>
      </c>
      <c r="AF31" s="260">
        <f>MAX(SUM(AF29:AF30), 0)</f>
        <v>12146.126766839307</v>
      </c>
      <c r="AG31" s="260">
        <f>MAX(SUM(AG29:AG30), 0)</f>
        <v>12224.523418242228</v>
      </c>
      <c r="AH31" s="260">
        <f>MAX(SUM(AH29:AH30), 0)</f>
        <v>12542.831775435023</v>
      </c>
      <c r="AI31" s="260">
        <f>MAX(SUM(AI29:AI30), 0)</f>
        <v>11768.785213859965</v>
      </c>
      <c r="AJ31" s="260">
        <f>MAX(SUM(AJ29:AJ30), 0)</f>
        <v>11956.612340873957</v>
      </c>
      <c r="AK31" s="260">
        <f>MAX(SUM(AK29:AK30), 0)</f>
        <v>11885.783091980838</v>
      </c>
      <c r="AL31" s="260">
        <f>MAX(SUM(AL29:AL30), 0)</f>
        <v>11759.074648757236</v>
      </c>
      <c r="AM31" s="260">
        <f>MAX(SUM(AM29:AM30), 0)</f>
        <v>10306.1493509397</v>
      </c>
      <c r="AN31" s="260">
        <f>MAX(SUM(AN29:AN30), 0)</f>
        <v>10052.38049899232</v>
      </c>
      <c r="AO31" s="260">
        <f>MAX(SUM(AO29:AO30), 0)</f>
        <v>9586.501224890571</v>
      </c>
      <c r="AP31" s="260">
        <f>MAX(SUM(AP29:AP30), 0)</f>
        <v>9194.79817798743</v>
      </c>
      <c r="AQ31" s="260">
        <f>MAX(SUM(AQ29:AQ30), 0)</f>
        <v>7124.262114754532</v>
      </c>
      <c r="AR31" s="260">
        <f>MAX(SUM(AR29:AR30), 0)</f>
        <v>6573.35369778828</v>
      </c>
      <c r="AS31" s="260">
        <f>MAX(SUM(AS29:AS30), 0)</f>
        <v>5383.48098940534</v>
      </c>
      <c r="AT31" s="260">
        <f>MAX(SUM(AT29:AT30), 0)</f>
        <v>4732.7085651994585</v>
      </c>
      <c r="AU31" s="260">
        <f>MAX(SUM(AU29:AU30), 0)</f>
        <v>3395.28320582229</v>
      </c>
      <c r="AV31" s="260">
        <f>MAX(SUM(AV29:AV30), 0)</f>
        <v>3338.4064387893923</v>
      </c>
      <c r="AW31" s="260">
        <f>MAX(SUM(AW29:AW30), 0)</f>
        <v>3153.1327786661905</v>
      </c>
      <c r="AX31" s="260">
        <f>MAX(SUM(AX29:AX30), 0)</f>
        <v>7052.041934786595</v>
      </c>
      <c r="AY31" s="260">
        <f>MAX(SUM(AY29:AY30), 0)</f>
        <v>7052.792941098581</v>
      </c>
      <c r="AZ31" s="260">
        <f>MAX(SUM(AZ29:AZ30), 0)</f>
        <v>9.094947017729282e-13</v>
      </c>
      <c r="BA31" s="260">
        <f>MAX(SUM(BA29:BA30), 0)</f>
        <v>0.0</v>
      </c>
      <c r="BB31" s="260">
        <f>MAX(SUM(BB29:BB30), 0)</f>
        <v>4463.805875534848</v>
      </c>
      <c r="BC31" s="260">
        <f>MAX(SUM(BC29:BC30), 0)</f>
        <v>7521.637238564551</v>
      </c>
      <c r="BD31" s="260">
        <f>MAX(SUM(BD29:BD30), 0)</f>
        <v>7786.862296074629</v>
      </c>
      <c r="BE31" s="260">
        <f>MAX(SUM(BE29:BE30), 0)</f>
        <v>7627.988950314166</v>
      </c>
      <c r="BF31" s="260">
        <f>MAX(SUM(BF29:BF30), 0)</f>
        <v>7926.412925883229</v>
      </c>
      <c r="BG31" s="260">
        <f>MAX(SUM(BG29:BG30), 0)</f>
        <v>7703.404245475238</v>
      </c>
      <c r="BH31" s="260">
        <f>MAX(SUM(BH29:BH30), 0)</f>
        <v>7569.490087277265</v>
      </c>
      <c r="BI31" s="260">
        <f>MAX(SUM(BI29:BI30), 0)</f>
        <v>8073.785152795242</v>
      </c>
      <c r="BJ31" s="260">
        <f>MAX(SUM(BJ29:BJ30), 0)</f>
        <v>7864.656660041153</v>
      </c>
      <c r="BK31" s="260">
        <f>MAX(SUM(BK29:BK30), 0)</f>
        <v>8164.350522971761</v>
      </c>
      <c r="BL31" s="260">
        <f>MAX(SUM(BL29:BL30), 0)</f>
        <v>7920.158988451464</v>
      </c>
      <c r="BM31" s="260">
        <f>MAX(SUM(BM29:BM30), 0)</f>
        <v>8283.741323993563</v>
      </c>
      <c r="BN31" s="260">
        <f>MAX(SUM(BN29:BN30), 0)</f>
        <v>8733.420746613932</v>
      </c>
      <c r="BO31" s="260">
        <f>MAX(SUM(BO29:BO30), 0)</f>
        <v>10504.997870429266</v>
      </c>
      <c r="BP31" s="260">
        <f>MAX(SUM(BP29:BP30), 0)</f>
        <v>11387.186022903023</v>
      </c>
      <c r="BQ31" s="260">
        <f>MAX(SUM(BQ29:BQ30), 0)</f>
        <v>12714.010145066582</v>
      </c>
      <c r="BR31" s="260">
        <f>MAX(SUM(BR29:BR30), 0)</f>
        <v>14495.81064916755</v>
      </c>
      <c r="BS31" s="260">
        <f>MAX(SUM(BS29:BS30), 0)</f>
        <v>15369.417951770693</v>
      </c>
      <c r="BT31" s="260">
        <f>MAX(SUM(BT29:BT30), 0)</f>
        <v>17099.292528754893</v>
      </c>
      <c r="BU31" s="260">
        <f>MAX(SUM(BU29:BU30), 0)</f>
        <v>16798.565655167826</v>
      </c>
      <c r="BV31" s="260">
        <f>MAX(SUM(BV29:BV30), 0)</f>
        <v>17398.991923290967</v>
      </c>
      <c r="BW31" s="260">
        <f>MAX(SUM(BW29:BW30), 0)</f>
        <v>17526.089196891306</v>
      </c>
      <c r="BX31" s="260">
        <f>MAX(SUM(BX29:BX30), 0)</f>
        <v>17613.920461097805</v>
      </c>
      <c r="BY31" s="260">
        <f>MAX(SUM(BY29:BY30), 0)</f>
        <v>17752.780068227745</v>
      </c>
      <c r="BZ31" s="260">
        <f>MAX(SUM(BZ29:BZ30), 0)</f>
        <v>17888.62116256771</v>
      </c>
      <c r="CA31" s="260">
        <f>MAX(SUM(CA29:CA30), 0)</f>
        <v>18003.800235607196</v>
      </c>
      <c r="CB31" s="260">
        <f>MAX(SUM(CB29:CB30), 0)</f>
        <v>18079.321874909467</v>
      </c>
      <c r="CC31" s="260">
        <f>MAX(SUM(CC29:CC30), 0)</f>
        <v>18208.149935564412</v>
      </c>
      <c r="CD31" s="260">
        <f>MAX(SUM(CD29:CD30), 0)</f>
        <v>18334.57879478013</v>
      </c>
      <c r="CE31" s="260">
        <f>MAX(SUM(CE29:CE30), 0)</f>
        <v>18440.40014545407</v>
      </c>
      <c r="CF31" s="260">
        <f>MAX(SUM(CF29:CF30), 0)</f>
        <v>18525.330284031184</v>
      </c>
      <c r="CG31" s="260">
        <f>MAX(SUM(CG29:CG30), 0)</f>
        <v>18627.144078743666</v>
      </c>
      <c r="CH31" s="260">
        <f>MAX(SUM(CH29:CH30), 0)</f>
        <v>18746.38017679027</v>
      </c>
      <c r="CI31" s="260">
        <f>MAX(SUM(CI29:CI30), 0)</f>
        <v>18844.93982238613</v>
      </c>
      <c r="CJ31" s="260">
        <f>MAX(SUM(CJ29:CJ30), 0)</f>
        <v>18902.608588179777</v>
      </c>
      <c r="CK31" s="260">
        <f>MAX(SUM(CK29:CK30), 0)</f>
        <v>19017.952743453585</v>
      </c>
      <c r="CL31" s="260">
        <f>MAX(SUM(CL29:CL30), 0)</f>
        <v>19131.81806263425</v>
      </c>
      <c r="CM31" s="260">
        <f>MAX(SUM(CM29:CM30), 0)</f>
        <v>8269.862836161752</v>
      </c>
      <c r="CN31" s="260">
        <f>MAX(SUM(CN29:CN30), 0)</f>
        <v>1810.7664905536142</v>
      </c>
      <c r="CO31" s="260">
        <f>MAX(SUM(CO29:CO30), 0)</f>
        <v>0.0</v>
      </c>
    </row>
    <row r="32" customFormat="1" s="61">
      <c r="A32" s="294" t="n"/>
      <c r="B32" s="294" t="n"/>
      <c r="C32" s="212" t="n"/>
      <c r="D32" s="244" t="n"/>
    </row>
    <row r="33" customFormat="1" s="61">
      <c r="A33" s="294" t="n"/>
      <c r="B33" s="294" t="n"/>
      <c r="C33" s="212" t="n"/>
      <c r="D33" s="244" t="n"/>
      <c r="E33" s="29" t="str">
        <f> E$58</f>
        <v>Retained earnings balance BEG</v>
      </c>
      <c r="F33" s="29">
        <f> F$58</f>
        <v>0.0</v>
      </c>
      <c r="G33" s="29" t="str">
        <f> G$58</f>
        <v>$ 000s</v>
      </c>
      <c r="H33" s="29">
        <f> H$58</f>
        <v>0.0</v>
      </c>
      <c r="I33" s="29">
        <f> I$58</f>
        <v>0.0</v>
      </c>
      <c r="J33" s="29">
        <f> J$58</f>
        <v>0.0</v>
      </c>
      <c r="K33" s="29">
        <f> K$58</f>
        <v>0.0</v>
      </c>
      <c r="L33" s="29">
        <f> L$58</f>
        <v>0.0</v>
      </c>
      <c r="M33" s="29">
        <f> M$58</f>
        <v>1646.366409097422</v>
      </c>
      <c r="N33" s="29">
        <f> N$58</f>
        <v>1465.2206488448728</v>
      </c>
      <c r="O33" s="29">
        <f> O$58</f>
        <v>179.6655296880358</v>
      </c>
      <c r="P33" s="29">
        <f> P$58</f>
        <v>0.0</v>
      </c>
      <c r="Q33" s="29">
        <f> Q$58</f>
        <v>0.0</v>
      </c>
      <c r="R33" s="29">
        <f> R$58</f>
        <v>0.0</v>
      </c>
      <c r="S33" s="29">
        <f> S$58</f>
        <v>0.0</v>
      </c>
      <c r="T33" s="29">
        <f> T$58</f>
        <v>0.0</v>
      </c>
      <c r="U33" s="29">
        <f> U$58</f>
        <v>0.0</v>
      </c>
      <c r="V33" s="29">
        <f> V$58</f>
        <v>0.0</v>
      </c>
      <c r="W33" s="29">
        <f> W$58</f>
        <v>0.0</v>
      </c>
      <c r="X33" s="29">
        <f> X$58</f>
        <v>0.0</v>
      </c>
      <c r="Y33" s="29">
        <f> Y$58</f>
        <v>0.0</v>
      </c>
      <c r="Z33" s="29">
        <f> Z$58</f>
        <v>0.0</v>
      </c>
      <c r="AA33" s="29">
        <f> AA$58</f>
        <v>0.0</v>
      </c>
      <c r="AB33" s="29">
        <f> AB$58</f>
        <v>0.0</v>
      </c>
      <c r="AC33" s="29">
        <f> AC$58</f>
        <v>0.0</v>
      </c>
      <c r="AD33" s="29">
        <f> AD$58</f>
        <v>0.0</v>
      </c>
      <c r="AE33" s="29">
        <f> AE$58</f>
        <v>0.0</v>
      </c>
      <c r="AF33" s="29">
        <f> AF$58</f>
        <v>0.0</v>
      </c>
      <c r="AG33" s="29">
        <f> AG$58</f>
        <v>0.0</v>
      </c>
      <c r="AH33" s="29">
        <f> AH$58</f>
        <v>0.0</v>
      </c>
      <c r="AI33" s="29">
        <f> AI$58</f>
        <v>0.0</v>
      </c>
      <c r="AJ33" s="29">
        <f> AJ$58</f>
        <v>0.0</v>
      </c>
      <c r="AK33" s="29">
        <f> AK$58</f>
        <v>0.0</v>
      </c>
      <c r="AL33" s="29">
        <f> AL$58</f>
        <v>0.0</v>
      </c>
      <c r="AM33" s="29">
        <f> AM$58</f>
        <v>0.0</v>
      </c>
      <c r="AN33" s="29">
        <f> AN$58</f>
        <v>0.0</v>
      </c>
      <c r="AO33" s="29">
        <f> AO$58</f>
        <v>0.0</v>
      </c>
      <c r="AP33" s="29">
        <f> AP$58</f>
        <v>0.0</v>
      </c>
      <c r="AQ33" s="29">
        <f> AQ$58</f>
        <v>0.0</v>
      </c>
      <c r="AR33" s="29">
        <f> AR$58</f>
        <v>0.0</v>
      </c>
      <c r="AS33" s="29">
        <f> AS$58</f>
        <v>0.0</v>
      </c>
      <c r="AT33" s="29">
        <f> AT$58</f>
        <v>0.0</v>
      </c>
      <c r="AU33" s="29">
        <f> AU$58</f>
        <v>14.609753322781216</v>
      </c>
      <c r="AV33" s="29">
        <f> AV$58</f>
        <v>961.8141010850882</v>
      </c>
      <c r="AW33" s="29">
        <f> AW$58</f>
        <v>2595.0026776833547</v>
      </c>
      <c r="AX33" s="29">
        <f> AX$58</f>
        <v>3998.052314989248</v>
      </c>
      <c r="AY33" s="29">
        <f> AY$58</f>
        <v>2697.916461225692</v>
      </c>
      <c r="AZ33" s="29">
        <f> AZ$58</f>
        <v>958.6191068725047</v>
      </c>
      <c r="BA33" s="29">
        <f> BA$58</f>
        <v>6933.92476854509</v>
      </c>
      <c r="BB33" s="29">
        <f> BB$58</f>
        <v>12556.40529007943</v>
      </c>
      <c r="BC33" s="29">
        <f> BC$58</f>
        <v>14437.471575818536</v>
      </c>
      <c r="BD33" s="29">
        <f> BD$58</f>
        <v>12828.933767204835</v>
      </c>
      <c r="BE33" s="29">
        <f> BE$58</f>
        <v>11576.214157189948</v>
      </c>
      <c r="BF33" s="29">
        <f> BF$58</f>
        <v>9985.72466750003</v>
      </c>
      <c r="BG33" s="29">
        <f> BG$58</f>
        <v>8709.340708350235</v>
      </c>
      <c r="BH33" s="29">
        <f> BH$58</f>
        <v>7151.927605460183</v>
      </c>
      <c r="BI33" s="29">
        <f> BI$58</f>
        <v>5818.278762992297</v>
      </c>
      <c r="BJ33" s="29">
        <f> BJ$58</f>
        <v>4606.5952281596665</v>
      </c>
      <c r="BK33" s="29">
        <f> BK$58</f>
        <v>3088.703516278054</v>
      </c>
      <c r="BL33" s="29">
        <f> BL$58</f>
        <v>1906.7028033304687</v>
      </c>
      <c r="BM33" s="29">
        <f> BM$58</f>
        <v>480.8840267684727</v>
      </c>
      <c r="BN33" s="29">
        <f> BN$58</f>
        <v>0.0</v>
      </c>
      <c r="BO33" s="29">
        <f> BO$58</f>
        <v>0.0</v>
      </c>
      <c r="BP33" s="29">
        <f> BP$58</f>
        <v>0.0</v>
      </c>
      <c r="BQ33" s="29">
        <f> BQ$58</f>
        <v>0.0</v>
      </c>
      <c r="BR33" s="29">
        <f> BR$58</f>
        <v>0.0</v>
      </c>
      <c r="BS33" s="29">
        <f> BS$58</f>
        <v>0.0</v>
      </c>
      <c r="BT33" s="29">
        <f> BT$58</f>
        <v>0.0</v>
      </c>
      <c r="BU33" s="29">
        <f> BU$58</f>
        <v>0.0</v>
      </c>
      <c r="BV33" s="29">
        <f> BV$58</f>
        <v>0.0</v>
      </c>
      <c r="BW33" s="29">
        <f> BW$58</f>
        <v>0.0</v>
      </c>
      <c r="BX33" s="29">
        <f> BX$58</f>
        <v>0.0</v>
      </c>
      <c r="BY33" s="29">
        <f> BY$58</f>
        <v>0.0</v>
      </c>
      <c r="BZ33" s="29">
        <f> BZ$58</f>
        <v>0.0</v>
      </c>
      <c r="CA33" s="29">
        <f> CA$58</f>
        <v>0.0</v>
      </c>
      <c r="CB33" s="29">
        <f> CB$58</f>
        <v>0.0</v>
      </c>
      <c r="CC33" s="29">
        <f> CC$58</f>
        <v>0.0</v>
      </c>
      <c r="CD33" s="29">
        <f> CD$58</f>
        <v>0.0</v>
      </c>
      <c r="CE33" s="29">
        <f> CE$58</f>
        <v>0.0</v>
      </c>
      <c r="CF33" s="29">
        <f> CF$58</f>
        <v>0.0</v>
      </c>
      <c r="CG33" s="29">
        <f> CG$58</f>
        <v>0.0</v>
      </c>
      <c r="CH33" s="29">
        <f> CH$58</f>
        <v>0.0</v>
      </c>
      <c r="CI33" s="29">
        <f> CI$58</f>
        <v>0.0</v>
      </c>
      <c r="CJ33" s="29">
        <f> CJ$58</f>
        <v>0.0</v>
      </c>
      <c r="CK33" s="29">
        <f> CK$58</f>
        <v>0.0</v>
      </c>
      <c r="CL33" s="29">
        <f> CL$58</f>
        <v>0.0</v>
      </c>
      <c r="CM33" s="29">
        <f> CM$58</f>
        <v>0.0</v>
      </c>
      <c r="CN33" s="29">
        <f> CN$58</f>
        <v>1810.7664905537276</v>
      </c>
      <c r="CO33" s="29">
        <f> CO$58</f>
        <v>1.1459633242338896e-10</v>
      </c>
    </row>
    <row r="34" customFormat="1" s="61">
      <c r="A34" s="294" t="n"/>
      <c r="B34" s="294" t="n"/>
      <c r="C34" s="212" t="n"/>
      <c r="D34" s="244" t="n"/>
      <c r="E34" s="367" t="str">
        <f> FinStat!E$19</f>
        <v>Profit after tax</v>
      </c>
      <c r="F34" s="367">
        <f> FinStat!F$19</f>
        <v>0.0</v>
      </c>
      <c r="G34" s="367" t="str">
        <f> FinStat!G$19</f>
        <v>$ 000s</v>
      </c>
      <c r="H34" s="367">
        <f> FinStat!H$19</f>
        <v>442553.82286558737</v>
      </c>
      <c r="I34" s="367">
        <f> FinStat!I$19</f>
        <v>0.0</v>
      </c>
      <c r="J34" s="367">
        <f> FinStat!J$19</f>
        <v>0.0</v>
      </c>
      <c r="K34" s="367">
        <f> FinStat!K$19</f>
        <v>0.0</v>
      </c>
      <c r="L34" s="367">
        <f> FinStat!L$19</f>
        <v>1646.366409097422</v>
      </c>
      <c r="M34" s="367">
        <f> FinStat!M$19</f>
        <v>1361.2477338011904</v>
      </c>
      <c r="N34" s="367">
        <f> FinStat!N$19</f>
        <v>1728.3632946983557</v>
      </c>
      <c r="O34" s="367">
        <f> FinStat!O$19</f>
        <v>1472.8929848831633</v>
      </c>
      <c r="P34" s="367">
        <f> FinStat!P$19</f>
        <v>1877.2766631413442</v>
      </c>
      <c r="Q34" s="367">
        <f> FinStat!Q$19</f>
        <v>1605.6788192310419</v>
      </c>
      <c r="R34" s="367">
        <f> FinStat!R$19</f>
        <v>1983.6957441078443</v>
      </c>
      <c r="S34" s="367">
        <f> FinStat!S$19</f>
        <v>1717.6411136706224</v>
      </c>
      <c r="T34" s="367">
        <f> FinStat!T$19</f>
        <v>2256.3332814023483</v>
      </c>
      <c r="U34" s="367">
        <f> FinStat!U$19</f>
        <v>1965.571379355562</v>
      </c>
      <c r="V34" s="367">
        <f> FinStat!V$19</f>
        <v>2366.353713238842</v>
      </c>
      <c r="W34" s="367">
        <f> FinStat!W$19</f>
        <v>2070.4845041891194</v>
      </c>
      <c r="X34" s="367">
        <f> FinStat!X$19</f>
        <v>2460.9132086081445</v>
      </c>
      <c r="Y34" s="367">
        <f> FinStat!Y$19</f>
        <v>2138.5867346714954</v>
      </c>
      <c r="Z34" s="367">
        <f> FinStat!Z$19</f>
        <v>2543.247175784429</v>
      </c>
      <c r="AA34" s="367">
        <f> FinStat!AA$19</f>
        <v>2227.4008568537993</v>
      </c>
      <c r="AB34" s="367">
        <f> FinStat!AB$19</f>
        <v>2609.1588256288996</v>
      </c>
      <c r="AC34" s="367">
        <f> FinStat!AC$19</f>
        <v>2278.612895688263</v>
      </c>
      <c r="AD34" s="367">
        <f> FinStat!AD$19</f>
        <v>3170.982245342971</v>
      </c>
      <c r="AE34" s="367">
        <f> FinStat!AE$19</f>
        <v>2825.462487362219</v>
      </c>
      <c r="AF34" s="367">
        <f> FinStat!AF$19</f>
        <v>3270.814594244614</v>
      </c>
      <c r="AG34" s="367">
        <f> FinStat!AG$19</f>
        <v>2911.906669534241</v>
      </c>
      <c r="AH34" s="367">
        <f> FinStat!AH$19</f>
        <v>3376.9518156107697</v>
      </c>
      <c r="AI34" s="367">
        <f> FinStat!AI$19</f>
        <v>3022.938751121577</v>
      </c>
      <c r="AJ34" s="367">
        <f> FinStat!AJ$19</f>
        <v>3493.0275470452298</v>
      </c>
      <c r="AK34" s="367">
        <f> FinStat!AK$19</f>
        <v>3134.0346191567533</v>
      </c>
      <c r="AL34" s="367">
        <f> FinStat!AL$19</f>
        <v>3615.2940559842855</v>
      </c>
      <c r="AM34" s="367">
        <f> FinStat!AM$19</f>
        <v>3731.0718909450707</v>
      </c>
      <c r="AN34" s="367">
        <f> FinStat!AN$19</f>
        <v>4305.901460958602</v>
      </c>
      <c r="AO34" s="367">
        <f> FinStat!AO$19</f>
        <v>3908.4060180680067</v>
      </c>
      <c r="AP34" s="367">
        <f> FinStat!AP$19</f>
        <v>4440.958633417434</v>
      </c>
      <c r="AQ34" s="367">
        <f> FinStat!AQ$19</f>
        <v>4046.2789835152316</v>
      </c>
      <c r="AR34" s="367">
        <f> FinStat!AR$19</f>
        <v>4602.220994617373</v>
      </c>
      <c r="AS34" s="367">
        <f> FinStat!AS$19</f>
        <v>4195.744627353248</v>
      </c>
      <c r="AT34" s="367">
        <f> FinStat!AT$19</f>
        <v>4747.31831852224</v>
      </c>
      <c r="AU34" s="367">
        <f> FinStat!AU$19</f>
        <v>4342.487553584597</v>
      </c>
      <c r="AV34" s="367">
        <f> FinStat!AV$19</f>
        <v>4971.595015387658</v>
      </c>
      <c r="AW34" s="367">
        <f> FinStat!AW$19</f>
        <v>4556.182415972084</v>
      </c>
      <c r="AX34" s="367">
        <f> FinStat!AX$19</f>
        <v>5751.906081023039</v>
      </c>
      <c r="AY34" s="367">
        <f> FinStat!AY$19</f>
        <v>5313.495586745394</v>
      </c>
      <c r="AZ34" s="367">
        <f> FinStat!AZ$19</f>
        <v>5975.305661672586</v>
      </c>
      <c r="BA34" s="367">
        <f> FinStat!BA$19</f>
        <v>5622.48052153434</v>
      </c>
      <c r="BB34" s="367">
        <f> FinStat!BB$19</f>
        <v>6344.872161273954</v>
      </c>
      <c r="BC34" s="367">
        <f> FinStat!BC$19</f>
        <v>5913.099429950849</v>
      </c>
      <c r="BD34" s="367">
        <f> FinStat!BD$19</f>
        <v>6534.142686059744</v>
      </c>
      <c r="BE34" s="367">
        <f> FinStat!BE$19</f>
        <v>6037.499460624249</v>
      </c>
      <c r="BF34" s="367">
        <f> FinStat!BF$19</f>
        <v>6650.028966733434</v>
      </c>
      <c r="BG34" s="367">
        <f> FinStat!BG$19</f>
        <v>6145.991142585185</v>
      </c>
      <c r="BH34" s="367">
        <f> FinStat!BH$19</f>
        <v>6235.841244809379</v>
      </c>
      <c r="BI34" s="367">
        <f> FinStat!BI$19</f>
        <v>6862.101617962611</v>
      </c>
      <c r="BJ34" s="367">
        <f> FinStat!BJ$19</f>
        <v>6346.764948159541</v>
      </c>
      <c r="BK34" s="367">
        <f> FinStat!BK$19</f>
        <v>6982.349810024176</v>
      </c>
      <c r="BL34" s="367">
        <f> FinStat!BL$19</f>
        <v>6494.340211889469</v>
      </c>
      <c r="BM34" s="367">
        <f> FinStat!BM$19</f>
        <v>7139.3883962372975</v>
      </c>
      <c r="BN34" s="367">
        <f> FinStat!BN$19</f>
        <v>6608.591626340138</v>
      </c>
      <c r="BO34" s="367">
        <f> FinStat!BO$19</f>
        <v>7263.244034060712</v>
      </c>
      <c r="BP34" s="367">
        <f> FinStat!BP$19</f>
        <v>6724.544147981963</v>
      </c>
      <c r="BQ34" s="367">
        <f> FinStat!BQ$19</f>
        <v>6783.166224349965</v>
      </c>
      <c r="BR34" s="367">
        <f> FinStat!BR$19</f>
        <v>7452.493753972138</v>
      </c>
      <c r="BS34" s="367">
        <f> FinStat!BS$19</f>
        <v>6901.718014504093</v>
      </c>
      <c r="BT34" s="367">
        <f> FinStat!BT$19</f>
        <v>8760.135590997805</v>
      </c>
      <c r="BU34" s="367">
        <f> FinStat!BU$19</f>
        <v>8201.159265343336</v>
      </c>
      <c r="BV34" s="367">
        <f> FinStat!BV$19</f>
        <v>8890.566620854173</v>
      </c>
      <c r="BW34" s="367">
        <f> FinStat!BW$19</f>
        <v>8956.508591625765</v>
      </c>
      <c r="BX34" s="367">
        <f> FinStat!BX$19</f>
        <v>9022.939658727733</v>
      </c>
      <c r="BY34" s="367">
        <f> FinStat!BY$19</f>
        <v>9089.863449822671</v>
      </c>
      <c r="BZ34" s="367">
        <f> FinStat!BZ$19</f>
        <v>9157.283619479796</v>
      </c>
      <c r="CA34" s="367">
        <f> FinStat!CA$19</f>
        <v>9225.203849374539</v>
      </c>
      <c r="CB34" s="367">
        <f> FinStat!CB$19</f>
        <v>9293.627848489565</v>
      </c>
      <c r="CC34" s="367">
        <f> FinStat!CC$19</f>
        <v>9362.559353317347</v>
      </c>
      <c r="CD34" s="367">
        <f> FinStat!CD$19</f>
        <v>9432.002128064189</v>
      </c>
      <c r="CE34" s="367">
        <f> FinStat!CE$19</f>
        <v>9501.959964855767</v>
      </c>
      <c r="CF34" s="367">
        <f> FinStat!CF$19</f>
        <v>9572.436683944248</v>
      </c>
      <c r="CG34" s="367">
        <f> FinStat!CG$19</f>
        <v>9643.436133916866</v>
      </c>
      <c r="CH34" s="367">
        <f> FinStat!CH$19</f>
        <v>9714.96219190611</v>
      </c>
      <c r="CI34" s="367">
        <f> FinStat!CI$19</f>
        <v>9787.018763801438</v>
      </c>
      <c r="CJ34" s="367">
        <f> FinStat!CJ$19</f>
        <v>9859.609784462573</v>
      </c>
      <c r="CK34" s="367">
        <f> FinStat!CK$19</f>
        <v>9932.73921793437</v>
      </c>
      <c r="CL34" s="367">
        <f> FinStat!CL$19</f>
        <v>10006.411057663292</v>
      </c>
      <c r="CM34" s="367">
        <f> FinStat!CM$19</f>
        <v>10080.62932671548</v>
      </c>
      <c r="CN34" s="367">
        <f> FinStat!CN$19</f>
        <v>1.2000241255279027e-12</v>
      </c>
      <c r="CO34" s="367">
        <f> FinStat!CO$19</f>
        <v>1.2347746134769898e-12</v>
      </c>
    </row>
    <row r="35" customFormat="1" s="260">
      <c r="A35" s="263" t="n"/>
      <c r="B35" s="263" t="n"/>
      <c r="C35" s="264" t="n"/>
      <c r="D35" s="335" t="n"/>
      <c r="E35" s="260" t="inlineStr">
        <is>
          <t>Aggregate earnings available for dividend</t>
        </is>
      </c>
      <c r="G35" s="260" t="str">
        <f>SMU</f>
        <v>$ 000s</v>
      </c>
      <c r="H35" s="260">
        <f> SUM(J35:CO35)</f>
        <v>558962.9632366275</v>
      </c>
      <c r="J35" s="260">
        <f>MAX(SUM(J33:J34), 0)</f>
        <v>0.0</v>
      </c>
      <c r="K35" s="260">
        <f>MAX(SUM(K33:K34), 0)</f>
        <v>0.0</v>
      </c>
      <c r="L35" s="260">
        <f>MAX(SUM(L33:L34), 0)</f>
        <v>1646.366409097422</v>
      </c>
      <c r="M35" s="260">
        <f>MAX(SUM(M33:M34), 0)</f>
        <v>3007.6141428986125</v>
      </c>
      <c r="N35" s="260">
        <f>MAX(SUM(N33:N34), 0)</f>
        <v>3193.5839435432285</v>
      </c>
      <c r="O35" s="260">
        <f>MAX(SUM(O33:O34), 0)</f>
        <v>1652.558514571199</v>
      </c>
      <c r="P35" s="260">
        <f>MAX(SUM(P33:P34), 0)</f>
        <v>1877.2766631413442</v>
      </c>
      <c r="Q35" s="260">
        <f>MAX(SUM(Q33:Q34), 0)</f>
        <v>1605.6788192310419</v>
      </c>
      <c r="R35" s="260">
        <f>MAX(SUM(R33:R34), 0)</f>
        <v>1983.6957441078443</v>
      </c>
      <c r="S35" s="260">
        <f>MAX(SUM(S33:S34), 0)</f>
        <v>1717.6411136706224</v>
      </c>
      <c r="T35" s="260">
        <f>MAX(SUM(T33:T34), 0)</f>
        <v>2256.3332814023483</v>
      </c>
      <c r="U35" s="260">
        <f>MAX(SUM(U33:U34), 0)</f>
        <v>1965.571379355562</v>
      </c>
      <c r="V35" s="260">
        <f>MAX(SUM(V33:V34), 0)</f>
        <v>2366.353713238842</v>
      </c>
      <c r="W35" s="260">
        <f>MAX(SUM(W33:W34), 0)</f>
        <v>2070.4845041891194</v>
      </c>
      <c r="X35" s="260">
        <f>MAX(SUM(X33:X34), 0)</f>
        <v>2460.9132086081445</v>
      </c>
      <c r="Y35" s="260">
        <f>MAX(SUM(Y33:Y34), 0)</f>
        <v>2138.5867346714954</v>
      </c>
      <c r="Z35" s="260">
        <f>MAX(SUM(Z33:Z34), 0)</f>
        <v>2543.247175784429</v>
      </c>
      <c r="AA35" s="260">
        <f>MAX(SUM(AA33:AA34), 0)</f>
        <v>2227.4008568537993</v>
      </c>
      <c r="AB35" s="260">
        <f>MAX(SUM(AB33:AB34), 0)</f>
        <v>2609.1588256288996</v>
      </c>
      <c r="AC35" s="260">
        <f>MAX(SUM(AC33:AC34), 0)</f>
        <v>2278.612895688263</v>
      </c>
      <c r="AD35" s="260">
        <f>MAX(SUM(AD33:AD34), 0)</f>
        <v>3170.982245342971</v>
      </c>
      <c r="AE35" s="260">
        <f>MAX(SUM(AE33:AE34), 0)</f>
        <v>2825.462487362219</v>
      </c>
      <c r="AF35" s="260">
        <f>MAX(SUM(AF33:AF34), 0)</f>
        <v>3270.814594244614</v>
      </c>
      <c r="AG35" s="260">
        <f>MAX(SUM(AG33:AG34), 0)</f>
        <v>2911.906669534241</v>
      </c>
      <c r="AH35" s="260">
        <f>MAX(SUM(AH33:AH34), 0)</f>
        <v>3376.9518156107697</v>
      </c>
      <c r="AI35" s="260">
        <f>MAX(SUM(AI33:AI34), 0)</f>
        <v>3022.938751121577</v>
      </c>
      <c r="AJ35" s="260">
        <f>MAX(SUM(AJ33:AJ34), 0)</f>
        <v>3493.0275470452298</v>
      </c>
      <c r="AK35" s="260">
        <f>MAX(SUM(AK33:AK34), 0)</f>
        <v>3134.0346191567533</v>
      </c>
      <c r="AL35" s="260">
        <f>MAX(SUM(AL33:AL34), 0)</f>
        <v>3615.2940559842855</v>
      </c>
      <c r="AM35" s="260">
        <f>MAX(SUM(AM33:AM34), 0)</f>
        <v>3731.0718909450707</v>
      </c>
      <c r="AN35" s="260">
        <f>MAX(SUM(AN33:AN34), 0)</f>
        <v>4305.901460958602</v>
      </c>
      <c r="AO35" s="260">
        <f>MAX(SUM(AO33:AO34), 0)</f>
        <v>3908.4060180680067</v>
      </c>
      <c r="AP35" s="260">
        <f>MAX(SUM(AP33:AP34), 0)</f>
        <v>4440.958633417434</v>
      </c>
      <c r="AQ35" s="260">
        <f>MAX(SUM(AQ33:AQ34), 0)</f>
        <v>4046.2789835152316</v>
      </c>
      <c r="AR35" s="260">
        <f>MAX(SUM(AR33:AR34), 0)</f>
        <v>4602.220994617373</v>
      </c>
      <c r="AS35" s="260">
        <f>MAX(SUM(AS33:AS34), 0)</f>
        <v>4195.744627353248</v>
      </c>
      <c r="AT35" s="260">
        <f>MAX(SUM(AT33:AT34), 0)</f>
        <v>4747.31831852224</v>
      </c>
      <c r="AU35" s="260">
        <f>MAX(SUM(AU33:AU34), 0)</f>
        <v>4357.097306907378</v>
      </c>
      <c r="AV35" s="260">
        <f>MAX(SUM(AV33:AV34), 0)</f>
        <v>5933.409116472747</v>
      </c>
      <c r="AW35" s="260">
        <f>MAX(SUM(AW33:AW34), 0)</f>
        <v>7151.185093655438</v>
      </c>
      <c r="AX35" s="260">
        <f>MAX(SUM(AX33:AX34), 0)</f>
        <v>9749.958396012287</v>
      </c>
      <c r="AY35" s="260">
        <f>MAX(SUM(AY33:AY34), 0)</f>
        <v>8011.4120479710855</v>
      </c>
      <c r="AZ35" s="260">
        <f>MAX(SUM(AZ33:AZ34), 0)</f>
        <v>6933.924768545091</v>
      </c>
      <c r="BA35" s="260">
        <f>MAX(SUM(BA33:BA34), 0)</f>
        <v>12556.40529007943</v>
      </c>
      <c r="BB35" s="260">
        <f>MAX(SUM(BB33:BB34), 0)</f>
        <v>18901.277451353384</v>
      </c>
      <c r="BC35" s="260">
        <f>MAX(SUM(BC33:BC34), 0)</f>
        <v>20350.571005769387</v>
      </c>
      <c r="BD35" s="260">
        <f>MAX(SUM(BD33:BD34), 0)</f>
        <v>19363.076453264577</v>
      </c>
      <c r="BE35" s="260">
        <f>MAX(SUM(BE33:BE34), 0)</f>
        <v>17613.713617814195</v>
      </c>
      <c r="BF35" s="260">
        <f>MAX(SUM(BF33:BF34), 0)</f>
        <v>16635.753634233464</v>
      </c>
      <c r="BG35" s="260">
        <f>MAX(SUM(BG33:BG34), 0)</f>
        <v>14855.331850935421</v>
      </c>
      <c r="BH35" s="260">
        <f>MAX(SUM(BH33:BH34), 0)</f>
        <v>13387.768850269562</v>
      </c>
      <c r="BI35" s="260">
        <f>MAX(SUM(BI33:BI34), 0)</f>
        <v>12680.380380954908</v>
      </c>
      <c r="BJ35" s="260">
        <f>MAX(SUM(BJ33:BJ34), 0)</f>
        <v>10953.360176319207</v>
      </c>
      <c r="BK35" s="260">
        <f>MAX(SUM(BK33:BK34), 0)</f>
        <v>10071.05332630223</v>
      </c>
      <c r="BL35" s="260">
        <f>MAX(SUM(BL33:BL34), 0)</f>
        <v>8401.043015219937</v>
      </c>
      <c r="BM35" s="260">
        <f>MAX(SUM(BM33:BM34), 0)</f>
        <v>7620.27242300577</v>
      </c>
      <c r="BN35" s="260">
        <f>MAX(SUM(BN33:BN34), 0)</f>
        <v>6608.591626340138</v>
      </c>
      <c r="BO35" s="260">
        <f>MAX(SUM(BO33:BO34), 0)</f>
        <v>7263.244034060712</v>
      </c>
      <c r="BP35" s="260">
        <f>MAX(SUM(BP33:BP34), 0)</f>
        <v>6724.544147981963</v>
      </c>
      <c r="BQ35" s="260">
        <f>MAX(SUM(BQ33:BQ34), 0)</f>
        <v>6783.166224349965</v>
      </c>
      <c r="BR35" s="260">
        <f>MAX(SUM(BR33:BR34), 0)</f>
        <v>7452.493753972138</v>
      </c>
      <c r="BS35" s="260">
        <f>MAX(SUM(BS33:BS34), 0)</f>
        <v>6901.718014504093</v>
      </c>
      <c r="BT35" s="260">
        <f>MAX(SUM(BT33:BT34), 0)</f>
        <v>8760.135590997805</v>
      </c>
      <c r="BU35" s="260">
        <f>MAX(SUM(BU33:BU34), 0)</f>
        <v>8201.159265343336</v>
      </c>
      <c r="BV35" s="260">
        <f>MAX(SUM(BV33:BV34), 0)</f>
        <v>8890.566620854173</v>
      </c>
      <c r="BW35" s="260">
        <f>MAX(SUM(BW33:BW34), 0)</f>
        <v>8956.508591625765</v>
      </c>
      <c r="BX35" s="260">
        <f>MAX(SUM(BX33:BX34), 0)</f>
        <v>9022.939658727733</v>
      </c>
      <c r="BY35" s="260">
        <f>MAX(SUM(BY33:BY34), 0)</f>
        <v>9089.863449822671</v>
      </c>
      <c r="BZ35" s="260">
        <f>MAX(SUM(BZ33:BZ34), 0)</f>
        <v>9157.283619479796</v>
      </c>
      <c r="CA35" s="260">
        <f>MAX(SUM(CA33:CA34), 0)</f>
        <v>9225.203849374539</v>
      </c>
      <c r="CB35" s="260">
        <f>MAX(SUM(CB33:CB34), 0)</f>
        <v>9293.627848489565</v>
      </c>
      <c r="CC35" s="260">
        <f>MAX(SUM(CC33:CC34), 0)</f>
        <v>9362.559353317347</v>
      </c>
      <c r="CD35" s="260">
        <f>MAX(SUM(CD33:CD34), 0)</f>
        <v>9432.002128064189</v>
      </c>
      <c r="CE35" s="260">
        <f>MAX(SUM(CE33:CE34), 0)</f>
        <v>9501.959964855767</v>
      </c>
      <c r="CF35" s="260">
        <f>MAX(SUM(CF33:CF34), 0)</f>
        <v>9572.436683944248</v>
      </c>
      <c r="CG35" s="260">
        <f>MAX(SUM(CG33:CG34), 0)</f>
        <v>9643.436133916866</v>
      </c>
      <c r="CH35" s="260">
        <f>MAX(SUM(CH33:CH34), 0)</f>
        <v>9714.96219190611</v>
      </c>
      <c r="CI35" s="260">
        <f>MAX(SUM(CI33:CI34), 0)</f>
        <v>9787.018763801438</v>
      </c>
      <c r="CJ35" s="260">
        <f>MAX(SUM(CJ33:CJ34), 0)</f>
        <v>9859.609784462573</v>
      </c>
      <c r="CK35" s="260">
        <f>MAX(SUM(CK33:CK34), 0)</f>
        <v>9932.73921793437</v>
      </c>
      <c r="CL35" s="260">
        <f>MAX(SUM(CL33:CL34), 0)</f>
        <v>10006.411057663292</v>
      </c>
      <c r="CM35" s="260">
        <f>MAX(SUM(CM33:CM34), 0)</f>
        <v>10080.62932671548</v>
      </c>
      <c r="CN35" s="260">
        <f>MAX(SUM(CN33:CN34), 0)</f>
        <v>1810.7664905537288</v>
      </c>
      <c r="CO35" s="260">
        <f>MAX(SUM(CO33:CO34), 0)</f>
        <v>1.1583110703686594e-10</v>
      </c>
    </row>
    <row r="36" customFormat="1" s="61">
      <c r="A36" s="294" t="n"/>
      <c r="B36" s="294" t="n"/>
      <c r="C36" s="212" t="n"/>
      <c r="D36" s="244" t="n"/>
    </row>
    <row r="37" customFormat="1" s="61">
      <c r="A37" s="294" t="n"/>
      <c r="B37" s="294" t="n"/>
      <c r="C37" s="212" t="n"/>
      <c r="D37" s="244" t="n"/>
      <c r="E37" s="61" t="str">
        <f> E$31</f>
        <v>Aggregate cash available for dividend</v>
      </c>
      <c r="F37" s="61">
        <f> F$31</f>
        <v>0.0</v>
      </c>
      <c r="G37" s="61" t="str">
        <f> G$31</f>
        <v>$ 000s</v>
      </c>
      <c r="H37" s="61">
        <f> H$31</f>
        <v>848378.4769255064</v>
      </c>
      <c r="I37" s="61">
        <f> I$31</f>
        <v>0.0</v>
      </c>
      <c r="J37" s="61">
        <f> J$31</f>
        <v>0.0</v>
      </c>
      <c r="K37" s="61">
        <f> K$31</f>
        <v>0.0</v>
      </c>
      <c r="L37" s="61">
        <f> L$31</f>
        <v>0.0</v>
      </c>
      <c r="M37" s="61">
        <f> M$31</f>
        <v>1542.3934940537397</v>
      </c>
      <c r="N37" s="61">
        <f> N$31</f>
        <v>3013.9184138551927</v>
      </c>
      <c r="O37" s="61">
        <f> O$31</f>
        <v>2902.5525074965876</v>
      </c>
      <c r="P37" s="61">
        <f> P$31</f>
        <v>4204.486467512793</v>
      </c>
      <c r="Q37" s="61">
        <f> Q$31</f>
        <v>6080.231111396988</v>
      </c>
      <c r="R37" s="61">
        <f> R$31</f>
        <v>7348.811716691314</v>
      </c>
      <c r="S37" s="61">
        <f> S$31</f>
        <v>6096.793769183352</v>
      </c>
      <c r="T37" s="61">
        <f> T$31</f>
        <v>7349.705558141151</v>
      </c>
      <c r="U37" s="61">
        <f> U$31</f>
        <v>8485.889599544997</v>
      </c>
      <c r="V37" s="61">
        <f> V$31</f>
        <v>9560.948604799702</v>
      </c>
      <c r="W37" s="61">
        <f> W$31</f>
        <v>9116.830378891576</v>
      </c>
      <c r="X37" s="61">
        <f> X$31</f>
        <v>10061.347347995234</v>
      </c>
      <c r="Y37" s="61">
        <f> Y$31</f>
        <v>11188.432341843778</v>
      </c>
      <c r="Z37" s="61">
        <f> Z$31</f>
        <v>12052.771040058537</v>
      </c>
      <c r="AA37" s="61">
        <f> AA$31</f>
        <v>10884.959469488711</v>
      </c>
      <c r="AB37" s="61">
        <f> AB$31</f>
        <v>11512.227958330452</v>
      </c>
      <c r="AC37" s="61">
        <f> AC$31</f>
        <v>12034.371300192543</v>
      </c>
      <c r="AD37" s="61">
        <f> AD$31</f>
        <v>12822.139507293936</v>
      </c>
      <c r="AE37" s="61">
        <f> AE$31</f>
        <v>11758.184445050738</v>
      </c>
      <c r="AF37" s="61">
        <f> AF$31</f>
        <v>12146.126766839307</v>
      </c>
      <c r="AG37" s="61">
        <f> AG$31</f>
        <v>12224.523418242228</v>
      </c>
      <c r="AH37" s="61">
        <f> AH$31</f>
        <v>12542.831775435023</v>
      </c>
      <c r="AI37" s="61">
        <f> AI$31</f>
        <v>11768.785213859965</v>
      </c>
      <c r="AJ37" s="61">
        <f> AJ$31</f>
        <v>11956.612340873957</v>
      </c>
      <c r="AK37" s="61">
        <f> AK$31</f>
        <v>11885.783091980838</v>
      </c>
      <c r="AL37" s="61">
        <f> AL$31</f>
        <v>11759.074648757236</v>
      </c>
      <c r="AM37" s="61">
        <f> AM$31</f>
        <v>10306.1493509397</v>
      </c>
      <c r="AN37" s="61">
        <f> AN$31</f>
        <v>10052.38049899232</v>
      </c>
      <c r="AO37" s="61">
        <f> AO$31</f>
        <v>9586.501224890571</v>
      </c>
      <c r="AP37" s="61">
        <f> AP$31</f>
        <v>9194.79817798743</v>
      </c>
      <c r="AQ37" s="61">
        <f> AQ$31</f>
        <v>7124.262114754532</v>
      </c>
      <c r="AR37" s="61">
        <f> AR$31</f>
        <v>6573.35369778828</v>
      </c>
      <c r="AS37" s="61">
        <f> AS$31</f>
        <v>5383.48098940534</v>
      </c>
      <c r="AT37" s="61">
        <f> AT$31</f>
        <v>4732.7085651994585</v>
      </c>
      <c r="AU37" s="61">
        <f> AU$31</f>
        <v>3395.28320582229</v>
      </c>
      <c r="AV37" s="61">
        <f> AV$31</f>
        <v>3338.4064387893923</v>
      </c>
      <c r="AW37" s="61">
        <f> AW$31</f>
        <v>3153.1327786661905</v>
      </c>
      <c r="AX37" s="61">
        <f> AX$31</f>
        <v>7052.041934786595</v>
      </c>
      <c r="AY37" s="61">
        <f> AY$31</f>
        <v>7052.792941098581</v>
      </c>
      <c r="AZ37" s="61">
        <f> AZ$31</f>
        <v>9.094947017729282e-13</v>
      </c>
      <c r="BA37" s="61">
        <f> BA$31</f>
        <v>0.0</v>
      </c>
      <c r="BB37" s="61">
        <f> BB$31</f>
        <v>4463.805875534848</v>
      </c>
      <c r="BC37" s="61">
        <f> BC$31</f>
        <v>7521.637238564551</v>
      </c>
      <c r="BD37" s="61">
        <f> BD$31</f>
        <v>7786.862296074629</v>
      </c>
      <c r="BE37" s="61">
        <f> BE$31</f>
        <v>7627.988950314166</v>
      </c>
      <c r="BF37" s="61">
        <f> BF$31</f>
        <v>7926.412925883229</v>
      </c>
      <c r="BG37" s="61">
        <f> BG$31</f>
        <v>7703.404245475238</v>
      </c>
      <c r="BH37" s="61">
        <f> BH$31</f>
        <v>7569.490087277265</v>
      </c>
      <c r="BI37" s="61">
        <f> BI$31</f>
        <v>8073.785152795242</v>
      </c>
      <c r="BJ37" s="61">
        <f> BJ$31</f>
        <v>7864.656660041153</v>
      </c>
      <c r="BK37" s="61">
        <f> BK$31</f>
        <v>8164.350522971761</v>
      </c>
      <c r="BL37" s="61">
        <f> BL$31</f>
        <v>7920.158988451464</v>
      </c>
      <c r="BM37" s="61">
        <f> BM$31</f>
        <v>8283.741323993563</v>
      </c>
      <c r="BN37" s="61">
        <f> BN$31</f>
        <v>8733.420746613932</v>
      </c>
      <c r="BO37" s="61">
        <f> BO$31</f>
        <v>10504.997870429266</v>
      </c>
      <c r="BP37" s="61">
        <f> BP$31</f>
        <v>11387.186022903023</v>
      </c>
      <c r="BQ37" s="61">
        <f> BQ$31</f>
        <v>12714.010145066582</v>
      </c>
      <c r="BR37" s="61">
        <f> BR$31</f>
        <v>14495.81064916755</v>
      </c>
      <c r="BS37" s="61">
        <f> BS$31</f>
        <v>15369.417951770693</v>
      </c>
      <c r="BT37" s="61">
        <f> BT$31</f>
        <v>17099.292528754893</v>
      </c>
      <c r="BU37" s="61">
        <f> BU$31</f>
        <v>16798.565655167826</v>
      </c>
      <c r="BV37" s="61">
        <f> BV$31</f>
        <v>17398.991923290967</v>
      </c>
      <c r="BW37" s="61">
        <f> BW$31</f>
        <v>17526.089196891306</v>
      </c>
      <c r="BX37" s="61">
        <f> BX$31</f>
        <v>17613.920461097805</v>
      </c>
      <c r="BY37" s="61">
        <f> BY$31</f>
        <v>17752.780068227745</v>
      </c>
      <c r="BZ37" s="61">
        <f> BZ$31</f>
        <v>17888.62116256771</v>
      </c>
      <c r="CA37" s="61">
        <f> CA$31</f>
        <v>18003.800235607196</v>
      </c>
      <c r="CB37" s="61">
        <f> CB$31</f>
        <v>18079.321874909467</v>
      </c>
      <c r="CC37" s="61">
        <f> CC$31</f>
        <v>18208.149935564412</v>
      </c>
      <c r="CD37" s="61">
        <f> CD$31</f>
        <v>18334.57879478013</v>
      </c>
      <c r="CE37" s="61">
        <f> CE$31</f>
        <v>18440.40014545407</v>
      </c>
      <c r="CF37" s="61">
        <f> CF$31</f>
        <v>18525.330284031184</v>
      </c>
      <c r="CG37" s="61">
        <f> CG$31</f>
        <v>18627.144078743666</v>
      </c>
      <c r="CH37" s="61">
        <f> CH$31</f>
        <v>18746.38017679027</v>
      </c>
      <c r="CI37" s="61">
        <f> CI$31</f>
        <v>18844.93982238613</v>
      </c>
      <c r="CJ37" s="61">
        <f> CJ$31</f>
        <v>18902.608588179777</v>
      </c>
      <c r="CK37" s="61">
        <f> CK$31</f>
        <v>19017.952743453585</v>
      </c>
      <c r="CL37" s="61">
        <f> CL$31</f>
        <v>19131.81806263425</v>
      </c>
      <c r="CM37" s="61">
        <f> CM$31</f>
        <v>8269.862836161752</v>
      </c>
      <c r="CN37" s="61">
        <f> CN$31</f>
        <v>1810.7664905536142</v>
      </c>
      <c r="CO37" s="61">
        <f> CO$31</f>
        <v>0.0</v>
      </c>
    </row>
    <row r="38" customFormat="1" s="61">
      <c r="A38" s="294" t="n"/>
      <c r="B38" s="294" t="n"/>
      <c r="C38" s="212" t="n"/>
      <c r="D38" s="244" t="n"/>
      <c r="E38" s="61" t="str">
        <f> E$35</f>
        <v>Aggregate earnings available for dividend</v>
      </c>
      <c r="F38" s="61">
        <f> F$35</f>
        <v>0.0</v>
      </c>
      <c r="G38" s="61" t="str">
        <f> G$35</f>
        <v>$ 000s</v>
      </c>
      <c r="H38" s="61">
        <f> H$35</f>
        <v>558962.9632366275</v>
      </c>
      <c r="I38" s="61">
        <f> I$35</f>
        <v>0.0</v>
      </c>
      <c r="J38" s="61">
        <f> J$35</f>
        <v>0.0</v>
      </c>
      <c r="K38" s="61">
        <f> K$35</f>
        <v>0.0</v>
      </c>
      <c r="L38" s="61">
        <f> L$35</f>
        <v>1646.366409097422</v>
      </c>
      <c r="M38" s="61">
        <f> M$35</f>
        <v>3007.6141428986125</v>
      </c>
      <c r="N38" s="61">
        <f> N$35</f>
        <v>3193.5839435432285</v>
      </c>
      <c r="O38" s="61">
        <f> O$35</f>
        <v>1652.558514571199</v>
      </c>
      <c r="P38" s="61">
        <f> P$35</f>
        <v>1877.2766631413442</v>
      </c>
      <c r="Q38" s="61">
        <f> Q$35</f>
        <v>1605.6788192310419</v>
      </c>
      <c r="R38" s="61">
        <f> R$35</f>
        <v>1983.6957441078443</v>
      </c>
      <c r="S38" s="61">
        <f> S$35</f>
        <v>1717.6411136706224</v>
      </c>
      <c r="T38" s="61">
        <f> T$35</f>
        <v>2256.3332814023483</v>
      </c>
      <c r="U38" s="61">
        <f> U$35</f>
        <v>1965.571379355562</v>
      </c>
      <c r="V38" s="61">
        <f> V$35</f>
        <v>2366.353713238842</v>
      </c>
      <c r="W38" s="61">
        <f> W$35</f>
        <v>2070.4845041891194</v>
      </c>
      <c r="X38" s="61">
        <f> X$35</f>
        <v>2460.9132086081445</v>
      </c>
      <c r="Y38" s="61">
        <f> Y$35</f>
        <v>2138.5867346714954</v>
      </c>
      <c r="Z38" s="61">
        <f> Z$35</f>
        <v>2543.247175784429</v>
      </c>
      <c r="AA38" s="61">
        <f> AA$35</f>
        <v>2227.4008568537993</v>
      </c>
      <c r="AB38" s="61">
        <f> AB$35</f>
        <v>2609.1588256288996</v>
      </c>
      <c r="AC38" s="61">
        <f> AC$35</f>
        <v>2278.612895688263</v>
      </c>
      <c r="AD38" s="61">
        <f> AD$35</f>
        <v>3170.982245342971</v>
      </c>
      <c r="AE38" s="61">
        <f> AE$35</f>
        <v>2825.462487362219</v>
      </c>
      <c r="AF38" s="61">
        <f> AF$35</f>
        <v>3270.814594244614</v>
      </c>
      <c r="AG38" s="61">
        <f> AG$35</f>
        <v>2911.906669534241</v>
      </c>
      <c r="AH38" s="61">
        <f> AH$35</f>
        <v>3376.9518156107697</v>
      </c>
      <c r="AI38" s="61">
        <f> AI$35</f>
        <v>3022.938751121577</v>
      </c>
      <c r="AJ38" s="61">
        <f> AJ$35</f>
        <v>3493.0275470452298</v>
      </c>
      <c r="AK38" s="61">
        <f> AK$35</f>
        <v>3134.0346191567533</v>
      </c>
      <c r="AL38" s="61">
        <f> AL$35</f>
        <v>3615.2940559842855</v>
      </c>
      <c r="AM38" s="61">
        <f> AM$35</f>
        <v>3731.0718909450707</v>
      </c>
      <c r="AN38" s="61">
        <f> AN$35</f>
        <v>4305.901460958602</v>
      </c>
      <c r="AO38" s="61">
        <f> AO$35</f>
        <v>3908.4060180680067</v>
      </c>
      <c r="AP38" s="61">
        <f> AP$35</f>
        <v>4440.958633417434</v>
      </c>
      <c r="AQ38" s="61">
        <f> AQ$35</f>
        <v>4046.2789835152316</v>
      </c>
      <c r="AR38" s="61">
        <f> AR$35</f>
        <v>4602.220994617373</v>
      </c>
      <c r="AS38" s="61">
        <f> AS$35</f>
        <v>4195.744627353248</v>
      </c>
      <c r="AT38" s="61">
        <f> AT$35</f>
        <v>4747.31831852224</v>
      </c>
      <c r="AU38" s="61">
        <f> AU$35</f>
        <v>4357.097306907378</v>
      </c>
      <c r="AV38" s="61">
        <f> AV$35</f>
        <v>5933.409116472747</v>
      </c>
      <c r="AW38" s="61">
        <f> AW$35</f>
        <v>7151.185093655438</v>
      </c>
      <c r="AX38" s="61">
        <f> AX$35</f>
        <v>9749.958396012287</v>
      </c>
      <c r="AY38" s="61">
        <f> AY$35</f>
        <v>8011.4120479710855</v>
      </c>
      <c r="AZ38" s="61">
        <f> AZ$35</f>
        <v>6933.924768545091</v>
      </c>
      <c r="BA38" s="61">
        <f> BA$35</f>
        <v>12556.40529007943</v>
      </c>
      <c r="BB38" s="61">
        <f> BB$35</f>
        <v>18901.277451353384</v>
      </c>
      <c r="BC38" s="61">
        <f> BC$35</f>
        <v>20350.571005769387</v>
      </c>
      <c r="BD38" s="61">
        <f> BD$35</f>
        <v>19363.076453264577</v>
      </c>
      <c r="BE38" s="61">
        <f> BE$35</f>
        <v>17613.713617814195</v>
      </c>
      <c r="BF38" s="61">
        <f> BF$35</f>
        <v>16635.753634233464</v>
      </c>
      <c r="BG38" s="61">
        <f> BG$35</f>
        <v>14855.331850935421</v>
      </c>
      <c r="BH38" s="61">
        <f> BH$35</f>
        <v>13387.768850269562</v>
      </c>
      <c r="BI38" s="61">
        <f> BI$35</f>
        <v>12680.380380954908</v>
      </c>
      <c r="BJ38" s="61">
        <f> BJ$35</f>
        <v>10953.360176319207</v>
      </c>
      <c r="BK38" s="61">
        <f> BK$35</f>
        <v>10071.05332630223</v>
      </c>
      <c r="BL38" s="61">
        <f> BL$35</f>
        <v>8401.043015219937</v>
      </c>
      <c r="BM38" s="61">
        <f> BM$35</f>
        <v>7620.27242300577</v>
      </c>
      <c r="BN38" s="61">
        <f> BN$35</f>
        <v>6608.591626340138</v>
      </c>
      <c r="BO38" s="61">
        <f> BO$35</f>
        <v>7263.244034060712</v>
      </c>
      <c r="BP38" s="61">
        <f> BP$35</f>
        <v>6724.544147981963</v>
      </c>
      <c r="BQ38" s="61">
        <f> BQ$35</f>
        <v>6783.166224349965</v>
      </c>
      <c r="BR38" s="61">
        <f> BR$35</f>
        <v>7452.493753972138</v>
      </c>
      <c r="BS38" s="61">
        <f> BS$35</f>
        <v>6901.718014504093</v>
      </c>
      <c r="BT38" s="61">
        <f> BT$35</f>
        <v>8760.135590997805</v>
      </c>
      <c r="BU38" s="61">
        <f> BU$35</f>
        <v>8201.159265343336</v>
      </c>
      <c r="BV38" s="61">
        <f> BV$35</f>
        <v>8890.566620854173</v>
      </c>
      <c r="BW38" s="61">
        <f> BW$35</f>
        <v>8956.508591625765</v>
      </c>
      <c r="BX38" s="61">
        <f> BX$35</f>
        <v>9022.939658727733</v>
      </c>
      <c r="BY38" s="61">
        <f> BY$35</f>
        <v>9089.863449822671</v>
      </c>
      <c r="BZ38" s="61">
        <f> BZ$35</f>
        <v>9157.283619479796</v>
      </c>
      <c r="CA38" s="61">
        <f> CA$35</f>
        <v>9225.203849374539</v>
      </c>
      <c r="CB38" s="61">
        <f> CB$35</f>
        <v>9293.627848489565</v>
      </c>
      <c r="CC38" s="61">
        <f> CC$35</f>
        <v>9362.559353317347</v>
      </c>
      <c r="CD38" s="61">
        <f> CD$35</f>
        <v>9432.002128064189</v>
      </c>
      <c r="CE38" s="61">
        <f> CE$35</f>
        <v>9501.959964855767</v>
      </c>
      <c r="CF38" s="61">
        <f> CF$35</f>
        <v>9572.436683944248</v>
      </c>
      <c r="CG38" s="61">
        <f> CG$35</f>
        <v>9643.436133916866</v>
      </c>
      <c r="CH38" s="61">
        <f> CH$35</f>
        <v>9714.96219190611</v>
      </c>
      <c r="CI38" s="61">
        <f> CI$35</f>
        <v>9787.018763801438</v>
      </c>
      <c r="CJ38" s="61">
        <f> CJ$35</f>
        <v>9859.609784462573</v>
      </c>
      <c r="CK38" s="61">
        <f> CK$35</f>
        <v>9932.73921793437</v>
      </c>
      <c r="CL38" s="61">
        <f> CL$35</f>
        <v>10006.411057663292</v>
      </c>
      <c r="CM38" s="61">
        <f> CM$35</f>
        <v>10080.62932671548</v>
      </c>
      <c r="CN38" s="61">
        <f> CN$35</f>
        <v>1810.7664905537288</v>
      </c>
      <c r="CO38" s="61">
        <f> CO$35</f>
        <v>1.1583110703686594e-10</v>
      </c>
    </row>
    <row r="39" customFormat="1" s="390">
      <c r="A39" s="358" t="n"/>
      <c r="B39" s="358" t="n"/>
      <c r="C39" s="359" t="n"/>
      <c r="D39" s="360" t="n"/>
      <c r="E39" s="390" t="inlineStr">
        <is>
          <t>Dividend declared and paid POS</t>
        </is>
      </c>
      <c r="G39" s="390" t="str">
        <f>SMU</f>
        <v>$ 000s</v>
      </c>
      <c r="H39" s="390">
        <f> SUM(J39:CO39)</f>
        <v>442553.82286558725</v>
      </c>
      <c r="J39" s="390">
        <f>MIN(J37:J38)</f>
        <v>0.0</v>
      </c>
      <c r="K39" s="390">
        <f>MIN(K37:K38)</f>
        <v>0.0</v>
      </c>
      <c r="L39" s="390">
        <f>MIN(L37:L38)</f>
        <v>0.0</v>
      </c>
      <c r="M39" s="390">
        <f>MIN(M37:M38)</f>
        <v>1542.3934940537397</v>
      </c>
      <c r="N39" s="390">
        <f>MIN(N37:N38)</f>
        <v>3013.9184138551927</v>
      </c>
      <c r="O39" s="390">
        <f>MIN(O37:O38)</f>
        <v>1652.558514571199</v>
      </c>
      <c r="P39" s="390">
        <f>MIN(P37:P38)</f>
        <v>1877.2766631413442</v>
      </c>
      <c r="Q39" s="390">
        <f>MIN(Q37:Q38)</f>
        <v>1605.6788192310419</v>
      </c>
      <c r="R39" s="390">
        <f>MIN(R37:R38)</f>
        <v>1983.6957441078443</v>
      </c>
      <c r="S39" s="390">
        <f>MIN(S37:S38)</f>
        <v>1717.6411136706224</v>
      </c>
      <c r="T39" s="390">
        <f>MIN(T37:T38)</f>
        <v>2256.3332814023483</v>
      </c>
      <c r="U39" s="390">
        <f>MIN(U37:U38)</f>
        <v>1965.571379355562</v>
      </c>
      <c r="V39" s="390">
        <f>MIN(V37:V38)</f>
        <v>2366.353713238842</v>
      </c>
      <c r="W39" s="390">
        <f>MIN(W37:W38)</f>
        <v>2070.4845041891194</v>
      </c>
      <c r="X39" s="390">
        <f>MIN(X37:X38)</f>
        <v>2460.9132086081445</v>
      </c>
      <c r="Y39" s="390">
        <f>MIN(Y37:Y38)</f>
        <v>2138.5867346714954</v>
      </c>
      <c r="Z39" s="390">
        <f>MIN(Z37:Z38)</f>
        <v>2543.247175784429</v>
      </c>
      <c r="AA39" s="390">
        <f>MIN(AA37:AA38)</f>
        <v>2227.4008568537993</v>
      </c>
      <c r="AB39" s="390">
        <f>MIN(AB37:AB38)</f>
        <v>2609.1588256288996</v>
      </c>
      <c r="AC39" s="390">
        <f>MIN(AC37:AC38)</f>
        <v>2278.612895688263</v>
      </c>
      <c r="AD39" s="390">
        <f>MIN(AD37:AD38)</f>
        <v>3170.982245342971</v>
      </c>
      <c r="AE39" s="390">
        <f>MIN(AE37:AE38)</f>
        <v>2825.462487362219</v>
      </c>
      <c r="AF39" s="390">
        <f>MIN(AF37:AF38)</f>
        <v>3270.814594244614</v>
      </c>
      <c r="AG39" s="390">
        <f>MIN(AG37:AG38)</f>
        <v>2911.906669534241</v>
      </c>
      <c r="AH39" s="390">
        <f>MIN(AH37:AH38)</f>
        <v>3376.9518156107697</v>
      </c>
      <c r="AI39" s="390">
        <f>MIN(AI37:AI38)</f>
        <v>3022.938751121577</v>
      </c>
      <c r="AJ39" s="390">
        <f>MIN(AJ37:AJ38)</f>
        <v>3493.0275470452298</v>
      </c>
      <c r="AK39" s="390">
        <f>MIN(AK37:AK38)</f>
        <v>3134.0346191567533</v>
      </c>
      <c r="AL39" s="390">
        <f>MIN(AL37:AL38)</f>
        <v>3615.2940559842855</v>
      </c>
      <c r="AM39" s="390">
        <f>MIN(AM37:AM38)</f>
        <v>3731.0718909450707</v>
      </c>
      <c r="AN39" s="390">
        <f>MIN(AN37:AN38)</f>
        <v>4305.901460958602</v>
      </c>
      <c r="AO39" s="390">
        <f>MIN(AO37:AO38)</f>
        <v>3908.4060180680067</v>
      </c>
      <c r="AP39" s="390">
        <f>MIN(AP37:AP38)</f>
        <v>4440.958633417434</v>
      </c>
      <c r="AQ39" s="390">
        <f>MIN(AQ37:AQ38)</f>
        <v>4046.2789835152316</v>
      </c>
      <c r="AR39" s="390">
        <f>MIN(AR37:AR38)</f>
        <v>4602.220994617373</v>
      </c>
      <c r="AS39" s="390">
        <f>MIN(AS37:AS38)</f>
        <v>4195.744627353248</v>
      </c>
      <c r="AT39" s="390">
        <f>MIN(AT37:AT38)</f>
        <v>4732.7085651994585</v>
      </c>
      <c r="AU39" s="390">
        <f>MIN(AU37:AU38)</f>
        <v>3395.28320582229</v>
      </c>
      <c r="AV39" s="390">
        <f>MIN(AV37:AV38)</f>
        <v>3338.4064387893923</v>
      </c>
      <c r="AW39" s="390">
        <f>MIN(AW37:AW38)</f>
        <v>3153.1327786661905</v>
      </c>
      <c r="AX39" s="390">
        <f>MIN(AX37:AX38)</f>
        <v>7052.041934786595</v>
      </c>
      <c r="AY39" s="390">
        <f>MIN(AY37:AY38)</f>
        <v>7052.792941098581</v>
      </c>
      <c r="AZ39" s="390">
        <f>MIN(AZ37:AZ38)</f>
        <v>9.094947017729282e-13</v>
      </c>
      <c r="BA39" s="390">
        <f>MIN(BA37:BA38)</f>
        <v>0.0</v>
      </c>
      <c r="BB39" s="390">
        <f>MIN(BB37:BB38)</f>
        <v>4463.805875534848</v>
      </c>
      <c r="BC39" s="390">
        <f>MIN(BC37:BC38)</f>
        <v>7521.637238564551</v>
      </c>
      <c r="BD39" s="390">
        <f>MIN(BD37:BD38)</f>
        <v>7786.862296074629</v>
      </c>
      <c r="BE39" s="390">
        <f>MIN(BE37:BE38)</f>
        <v>7627.988950314166</v>
      </c>
      <c r="BF39" s="390">
        <f>MIN(BF37:BF38)</f>
        <v>7926.412925883229</v>
      </c>
      <c r="BG39" s="390">
        <f>MIN(BG37:BG38)</f>
        <v>7703.404245475238</v>
      </c>
      <c r="BH39" s="390">
        <f>MIN(BH37:BH38)</f>
        <v>7569.490087277265</v>
      </c>
      <c r="BI39" s="390">
        <f>MIN(BI37:BI38)</f>
        <v>8073.785152795242</v>
      </c>
      <c r="BJ39" s="390">
        <f>MIN(BJ37:BJ38)</f>
        <v>7864.656660041153</v>
      </c>
      <c r="BK39" s="390">
        <f>MIN(BK37:BK38)</f>
        <v>8164.350522971761</v>
      </c>
      <c r="BL39" s="390">
        <f>MIN(BL37:BL38)</f>
        <v>7920.158988451464</v>
      </c>
      <c r="BM39" s="390">
        <f>MIN(BM37:BM38)</f>
        <v>7620.27242300577</v>
      </c>
      <c r="BN39" s="390">
        <f>MIN(BN37:BN38)</f>
        <v>6608.591626340138</v>
      </c>
      <c r="BO39" s="390">
        <f>MIN(BO37:BO38)</f>
        <v>7263.244034060712</v>
      </c>
      <c r="BP39" s="390">
        <f>MIN(BP37:BP38)</f>
        <v>6724.544147981963</v>
      </c>
      <c r="BQ39" s="390">
        <f>MIN(BQ37:BQ38)</f>
        <v>6783.166224349965</v>
      </c>
      <c r="BR39" s="390">
        <f>MIN(BR37:BR38)</f>
        <v>7452.493753972138</v>
      </c>
      <c r="BS39" s="390">
        <f>MIN(BS37:BS38)</f>
        <v>6901.718014504093</v>
      </c>
      <c r="BT39" s="390">
        <f>MIN(BT37:BT38)</f>
        <v>8760.135590997805</v>
      </c>
      <c r="BU39" s="390">
        <f>MIN(BU37:BU38)</f>
        <v>8201.159265343336</v>
      </c>
      <c r="BV39" s="390">
        <f>MIN(BV37:BV38)</f>
        <v>8890.566620854173</v>
      </c>
      <c r="BW39" s="390">
        <f>MIN(BW37:BW38)</f>
        <v>8956.508591625765</v>
      </c>
      <c r="BX39" s="390">
        <f>MIN(BX37:BX38)</f>
        <v>9022.939658727733</v>
      </c>
      <c r="BY39" s="390">
        <f>MIN(BY37:BY38)</f>
        <v>9089.863449822671</v>
      </c>
      <c r="BZ39" s="390">
        <f>MIN(BZ37:BZ38)</f>
        <v>9157.283619479796</v>
      </c>
      <c r="CA39" s="390">
        <f>MIN(CA37:CA38)</f>
        <v>9225.203849374539</v>
      </c>
      <c r="CB39" s="390">
        <f>MIN(CB37:CB38)</f>
        <v>9293.627848489565</v>
      </c>
      <c r="CC39" s="390">
        <f>MIN(CC37:CC38)</f>
        <v>9362.559353317347</v>
      </c>
      <c r="CD39" s="390">
        <f>MIN(CD37:CD38)</f>
        <v>9432.002128064189</v>
      </c>
      <c r="CE39" s="390">
        <f>MIN(CE37:CE38)</f>
        <v>9501.959964855767</v>
      </c>
      <c r="CF39" s="390">
        <f>MIN(CF37:CF38)</f>
        <v>9572.436683944248</v>
      </c>
      <c r="CG39" s="390">
        <f>MIN(CG37:CG38)</f>
        <v>9643.436133916866</v>
      </c>
      <c r="CH39" s="390">
        <f>MIN(CH37:CH38)</f>
        <v>9714.96219190611</v>
      </c>
      <c r="CI39" s="390">
        <f>MIN(CI37:CI38)</f>
        <v>9787.018763801438</v>
      </c>
      <c r="CJ39" s="390">
        <f>MIN(CJ37:CJ38)</f>
        <v>9859.609784462573</v>
      </c>
      <c r="CK39" s="390">
        <f>MIN(CK37:CK38)</f>
        <v>9932.73921793437</v>
      </c>
      <c r="CL39" s="390">
        <f>MIN(CL37:CL38)</f>
        <v>10006.411057663292</v>
      </c>
      <c r="CM39" s="390">
        <f>MIN(CM37:CM38)</f>
        <v>8269.862836161752</v>
      </c>
      <c r="CN39" s="390">
        <f>MIN(CN37:CN38)</f>
        <v>1810.7664905536142</v>
      </c>
      <c r="CO39" s="390">
        <f>MIN(CO37:CO38)</f>
        <v>0.0</v>
      </c>
    </row>
    <row r="40" customFormat="1" s="150">
      <c r="A40" s="348" t="n"/>
      <c r="B40" s="348" t="n"/>
      <c r="C40" s="349" t="n"/>
      <c r="D40" s="193" t="n"/>
      <c r="E40" s="150" t="str">
        <f> LEFT(E39, LEN(E39) - 4)</f>
        <v>Dividend declared and paid</v>
      </c>
      <c r="F40" s="150" t="inlineStr">
        <is>
          <t>IS&amp;CF</t>
        </is>
      </c>
      <c r="G40" s="150" t="str">
        <f> G39</f>
        <v>$ 000s</v>
      </c>
      <c r="H40" s="150">
        <f> SUM(J40:CO40)</f>
        <v>-442553.82286558725</v>
      </c>
      <c r="I40" s="150" t="n"/>
      <c r="J40" s="150">
        <f> -1 * J39</f>
        <v>-0.0</v>
      </c>
      <c r="K40" s="150">
        <f> -1 * K39</f>
        <v>-0.0</v>
      </c>
      <c r="L40" s="150">
        <f> -1 * L39</f>
        <v>-0.0</v>
      </c>
      <c r="M40" s="150">
        <f> -1 * M39</f>
        <v>-1542.3934940537397</v>
      </c>
      <c r="N40" s="150">
        <f> -1 * N39</f>
        <v>-3013.9184138551927</v>
      </c>
      <c r="O40" s="150">
        <f> -1 * O39</f>
        <v>-1652.558514571199</v>
      </c>
      <c r="P40" s="150">
        <f> -1 * P39</f>
        <v>-1877.2766631413442</v>
      </c>
      <c r="Q40" s="150">
        <f> -1 * Q39</f>
        <v>-1605.6788192310419</v>
      </c>
      <c r="R40" s="150">
        <f> -1 * R39</f>
        <v>-1983.6957441078443</v>
      </c>
      <c r="S40" s="150">
        <f> -1 * S39</f>
        <v>-1717.6411136706224</v>
      </c>
      <c r="T40" s="150">
        <f> -1 * T39</f>
        <v>-2256.3332814023483</v>
      </c>
      <c r="U40" s="150">
        <f> -1 * U39</f>
        <v>-1965.571379355562</v>
      </c>
      <c r="V40" s="150">
        <f> -1 * V39</f>
        <v>-2366.353713238842</v>
      </c>
      <c r="W40" s="150">
        <f> -1 * W39</f>
        <v>-2070.4845041891194</v>
      </c>
      <c r="X40" s="150">
        <f> -1 * X39</f>
        <v>-2460.9132086081445</v>
      </c>
      <c r="Y40" s="150">
        <f> -1 * Y39</f>
        <v>-2138.5867346714954</v>
      </c>
      <c r="Z40" s="150">
        <f> -1 * Z39</f>
        <v>-2543.247175784429</v>
      </c>
      <c r="AA40" s="150">
        <f> -1 * AA39</f>
        <v>-2227.4008568537993</v>
      </c>
      <c r="AB40" s="150">
        <f> -1 * AB39</f>
        <v>-2609.1588256288996</v>
      </c>
      <c r="AC40" s="150">
        <f> -1 * AC39</f>
        <v>-2278.612895688263</v>
      </c>
      <c r="AD40" s="150">
        <f> -1 * AD39</f>
        <v>-3170.982245342971</v>
      </c>
      <c r="AE40" s="150">
        <f> -1 * AE39</f>
        <v>-2825.462487362219</v>
      </c>
      <c r="AF40" s="150">
        <f> -1 * AF39</f>
        <v>-3270.814594244614</v>
      </c>
      <c r="AG40" s="150">
        <f> -1 * AG39</f>
        <v>-2911.906669534241</v>
      </c>
      <c r="AH40" s="150">
        <f> -1 * AH39</f>
        <v>-3376.9518156107697</v>
      </c>
      <c r="AI40" s="150">
        <f> -1 * AI39</f>
        <v>-3022.938751121577</v>
      </c>
      <c r="AJ40" s="150">
        <f> -1 * AJ39</f>
        <v>-3493.0275470452298</v>
      </c>
      <c r="AK40" s="150">
        <f> -1 * AK39</f>
        <v>-3134.0346191567533</v>
      </c>
      <c r="AL40" s="150">
        <f> -1 * AL39</f>
        <v>-3615.2940559842855</v>
      </c>
      <c r="AM40" s="150">
        <f> -1 * AM39</f>
        <v>-3731.0718909450707</v>
      </c>
      <c r="AN40" s="150">
        <f> -1 * AN39</f>
        <v>-4305.901460958602</v>
      </c>
      <c r="AO40" s="150">
        <f> -1 * AO39</f>
        <v>-3908.4060180680067</v>
      </c>
      <c r="AP40" s="150">
        <f> -1 * AP39</f>
        <v>-4440.958633417434</v>
      </c>
      <c r="AQ40" s="150">
        <f> -1 * AQ39</f>
        <v>-4046.2789835152316</v>
      </c>
      <c r="AR40" s="150">
        <f> -1 * AR39</f>
        <v>-4602.220994617373</v>
      </c>
      <c r="AS40" s="150">
        <f> -1 * AS39</f>
        <v>-4195.744627353248</v>
      </c>
      <c r="AT40" s="150">
        <f> -1 * AT39</f>
        <v>-4732.7085651994585</v>
      </c>
      <c r="AU40" s="150">
        <f> -1 * AU39</f>
        <v>-3395.28320582229</v>
      </c>
      <c r="AV40" s="150">
        <f> -1 * AV39</f>
        <v>-3338.4064387893923</v>
      </c>
      <c r="AW40" s="150">
        <f> -1 * AW39</f>
        <v>-3153.1327786661905</v>
      </c>
      <c r="AX40" s="150">
        <f> -1 * AX39</f>
        <v>-7052.041934786595</v>
      </c>
      <c r="AY40" s="150">
        <f> -1 * AY39</f>
        <v>-7052.792941098581</v>
      </c>
      <c r="AZ40" s="150">
        <f> -1 * AZ39</f>
        <v>-9.094947017729282e-13</v>
      </c>
      <c r="BA40" s="150">
        <f> -1 * BA39</f>
        <v>-0.0</v>
      </c>
      <c r="BB40" s="150">
        <f> -1 * BB39</f>
        <v>-4463.805875534848</v>
      </c>
      <c r="BC40" s="150">
        <f> -1 * BC39</f>
        <v>-7521.637238564551</v>
      </c>
      <c r="BD40" s="150">
        <f> -1 * BD39</f>
        <v>-7786.862296074629</v>
      </c>
      <c r="BE40" s="150">
        <f> -1 * BE39</f>
        <v>-7627.988950314166</v>
      </c>
      <c r="BF40" s="150">
        <f> -1 * BF39</f>
        <v>-7926.412925883229</v>
      </c>
      <c r="BG40" s="150">
        <f> -1 * BG39</f>
        <v>-7703.404245475238</v>
      </c>
      <c r="BH40" s="150">
        <f> -1 * BH39</f>
        <v>-7569.490087277265</v>
      </c>
      <c r="BI40" s="150">
        <f> -1 * BI39</f>
        <v>-8073.785152795242</v>
      </c>
      <c r="BJ40" s="150">
        <f> -1 * BJ39</f>
        <v>-7864.656660041153</v>
      </c>
      <c r="BK40" s="150">
        <f> -1 * BK39</f>
        <v>-8164.350522971761</v>
      </c>
      <c r="BL40" s="150">
        <f> -1 * BL39</f>
        <v>-7920.158988451464</v>
      </c>
      <c r="BM40" s="150">
        <f> -1 * BM39</f>
        <v>-7620.27242300577</v>
      </c>
      <c r="BN40" s="150">
        <f> -1 * BN39</f>
        <v>-6608.591626340138</v>
      </c>
      <c r="BO40" s="150">
        <f> -1 * BO39</f>
        <v>-7263.244034060712</v>
      </c>
      <c r="BP40" s="150">
        <f> -1 * BP39</f>
        <v>-6724.544147981963</v>
      </c>
      <c r="BQ40" s="150">
        <f> -1 * BQ39</f>
        <v>-6783.166224349965</v>
      </c>
      <c r="BR40" s="150">
        <f> -1 * BR39</f>
        <v>-7452.493753972138</v>
      </c>
      <c r="BS40" s="150">
        <f> -1 * BS39</f>
        <v>-6901.718014504093</v>
      </c>
      <c r="BT40" s="150">
        <f> -1 * BT39</f>
        <v>-8760.135590997805</v>
      </c>
      <c r="BU40" s="150">
        <f> -1 * BU39</f>
        <v>-8201.159265343336</v>
      </c>
      <c r="BV40" s="150">
        <f> -1 * BV39</f>
        <v>-8890.566620854173</v>
      </c>
      <c r="BW40" s="150">
        <f> -1 * BW39</f>
        <v>-8956.508591625765</v>
      </c>
      <c r="BX40" s="150">
        <f> -1 * BX39</f>
        <v>-9022.939658727733</v>
      </c>
      <c r="BY40" s="150">
        <f> -1 * BY39</f>
        <v>-9089.863449822671</v>
      </c>
      <c r="BZ40" s="150">
        <f> -1 * BZ39</f>
        <v>-9157.283619479796</v>
      </c>
      <c r="CA40" s="150">
        <f> -1 * CA39</f>
        <v>-9225.203849374539</v>
      </c>
      <c r="CB40" s="150">
        <f> -1 * CB39</f>
        <v>-9293.627848489565</v>
      </c>
      <c r="CC40" s="150">
        <f> -1 * CC39</f>
        <v>-9362.559353317347</v>
      </c>
      <c r="CD40" s="150">
        <f> -1 * CD39</f>
        <v>-9432.002128064189</v>
      </c>
      <c r="CE40" s="150">
        <f> -1 * CE39</f>
        <v>-9501.959964855767</v>
      </c>
      <c r="CF40" s="150">
        <f> -1 * CF39</f>
        <v>-9572.436683944248</v>
      </c>
      <c r="CG40" s="150">
        <f> -1 * CG39</f>
        <v>-9643.436133916866</v>
      </c>
      <c r="CH40" s="150">
        <f> -1 * CH39</f>
        <v>-9714.96219190611</v>
      </c>
      <c r="CI40" s="150">
        <f> -1 * CI39</f>
        <v>-9787.018763801438</v>
      </c>
      <c r="CJ40" s="150">
        <f> -1 * CJ39</f>
        <v>-9859.609784462573</v>
      </c>
      <c r="CK40" s="150">
        <f> -1 * CK39</f>
        <v>-9932.73921793437</v>
      </c>
      <c r="CL40" s="150">
        <f> -1 * CL39</f>
        <v>-10006.411057663292</v>
      </c>
      <c r="CM40" s="150">
        <f> -1 * CM39</f>
        <v>-8269.862836161752</v>
      </c>
      <c r="CN40" s="150">
        <f> -1 * CN39</f>
        <v>-1810.7664905536142</v>
      </c>
      <c r="CO40" s="150">
        <f> -1 * CO39</f>
        <v>-0.0</v>
      </c>
    </row>
    <row r="41" customFormat="1" s="61">
      <c r="A41" s="294" t="n"/>
      <c r="B41" s="294" t="n"/>
      <c r="C41" s="212" t="n"/>
      <c r="D41" s="244" t="n"/>
    </row>
    <row r="42">
      <c r="A42" s="294" t="inlineStr">
        <is>
          <t>RETAINED CASH BALANCE</t>
        </is>
      </c>
    </row>
    <row r="44" customFormat="1" s="182">
      <c r="A44" s="177" t="n"/>
      <c r="B44" s="177" t="n"/>
      <c r="C44" s="178" t="n"/>
      <c r="D44" s="179" t="n"/>
      <c r="E44" s="182" t="inlineStr">
        <is>
          <t>Retained cash - initial balance</t>
        </is>
      </c>
      <c r="F44" s="182" t="n">
        <v>0</v>
      </c>
      <c r="G44" s="182" t="n"/>
    </row>
    <row r="45" customFormat="1" s="100">
      <c r="A45" s="294" t="n"/>
      <c r="B45" s="294" t="n"/>
      <c r="C45" s="212" t="n"/>
      <c r="D45" s="244" t="n"/>
      <c r="E45" s="325" t="str">
        <f> Time!E$45</f>
        <v>Acquisition / initial balance date flag</v>
      </c>
      <c r="F45" s="325">
        <f> Time!F$45</f>
        <v>0.0</v>
      </c>
      <c r="G45" s="325" t="str">
        <f> Time!G$45</f>
        <v>flag</v>
      </c>
      <c r="H45" s="325">
        <f> Time!H$45</f>
        <v>1.0</v>
      </c>
      <c r="I45" s="325">
        <f> Time!I$45</f>
        <v>0.0</v>
      </c>
      <c r="J45" s="325">
        <f> Time!J$45</f>
        <v>0.0</v>
      </c>
      <c r="K45" s="325">
        <f> Time!K$45</f>
        <v>1.0</v>
      </c>
      <c r="L45" s="325">
        <f> Time!L$45</f>
        <v>0.0</v>
      </c>
      <c r="M45" s="325">
        <f> Time!M$45</f>
        <v>0.0</v>
      </c>
      <c r="N45" s="325">
        <f> Time!N$45</f>
        <v>0.0</v>
      </c>
      <c r="O45" s="325">
        <f> Time!O$45</f>
        <v>0.0</v>
      </c>
      <c r="P45" s="325">
        <f> Time!P$45</f>
        <v>0.0</v>
      </c>
      <c r="Q45" s="325">
        <f> Time!Q$45</f>
        <v>0.0</v>
      </c>
      <c r="R45" s="325">
        <f> Time!R$45</f>
        <v>0.0</v>
      </c>
      <c r="S45" s="325">
        <f> Time!S$45</f>
        <v>0.0</v>
      </c>
      <c r="T45" s="325">
        <f> Time!T$45</f>
        <v>0.0</v>
      </c>
      <c r="U45" s="325">
        <f> Time!U$45</f>
        <v>0.0</v>
      </c>
      <c r="V45" s="325">
        <f> Time!V$45</f>
        <v>0.0</v>
      </c>
      <c r="W45" s="325">
        <f> Time!W$45</f>
        <v>0.0</v>
      </c>
      <c r="X45" s="325">
        <f> Time!X$45</f>
        <v>0.0</v>
      </c>
      <c r="Y45" s="325">
        <f> Time!Y$45</f>
        <v>0.0</v>
      </c>
      <c r="Z45" s="325">
        <f> Time!Z$45</f>
        <v>0.0</v>
      </c>
      <c r="AA45" s="325">
        <f> Time!AA$45</f>
        <v>0.0</v>
      </c>
      <c r="AB45" s="325">
        <f> Time!AB$45</f>
        <v>0.0</v>
      </c>
      <c r="AC45" s="325">
        <f> Time!AC$45</f>
        <v>0.0</v>
      </c>
      <c r="AD45" s="325">
        <f> Time!AD$45</f>
        <v>0.0</v>
      </c>
      <c r="AE45" s="325">
        <f> Time!AE$45</f>
        <v>0.0</v>
      </c>
      <c r="AF45" s="325">
        <f> Time!AF$45</f>
        <v>0.0</v>
      </c>
      <c r="AG45" s="325">
        <f> Time!AG$45</f>
        <v>0.0</v>
      </c>
      <c r="AH45" s="325">
        <f> Time!AH$45</f>
        <v>0.0</v>
      </c>
      <c r="AI45" s="325">
        <f> Time!AI$45</f>
        <v>0.0</v>
      </c>
      <c r="AJ45" s="325">
        <f> Time!AJ$45</f>
        <v>0.0</v>
      </c>
      <c r="AK45" s="325">
        <f> Time!AK$45</f>
        <v>0.0</v>
      </c>
      <c r="AL45" s="325">
        <f> Time!AL$45</f>
        <v>0.0</v>
      </c>
      <c r="AM45" s="325">
        <f> Time!AM$45</f>
        <v>0.0</v>
      </c>
      <c r="AN45" s="325">
        <f> Time!AN$45</f>
        <v>0.0</v>
      </c>
      <c r="AO45" s="325">
        <f> Time!AO$45</f>
        <v>0.0</v>
      </c>
      <c r="AP45" s="325">
        <f> Time!AP$45</f>
        <v>0.0</v>
      </c>
      <c r="AQ45" s="325">
        <f> Time!AQ$45</f>
        <v>0.0</v>
      </c>
      <c r="AR45" s="325">
        <f> Time!AR$45</f>
        <v>0.0</v>
      </c>
      <c r="AS45" s="325">
        <f> Time!AS$45</f>
        <v>0.0</v>
      </c>
      <c r="AT45" s="325">
        <f> Time!AT$45</f>
        <v>0.0</v>
      </c>
      <c r="AU45" s="325">
        <f> Time!AU$45</f>
        <v>0.0</v>
      </c>
      <c r="AV45" s="325">
        <f> Time!AV$45</f>
        <v>0.0</v>
      </c>
      <c r="AW45" s="325">
        <f> Time!AW$45</f>
        <v>0.0</v>
      </c>
      <c r="AX45" s="325">
        <f> Time!AX$45</f>
        <v>0.0</v>
      </c>
      <c r="AY45" s="325">
        <f> Time!AY$45</f>
        <v>0.0</v>
      </c>
      <c r="AZ45" s="325">
        <f> Time!AZ$45</f>
        <v>0.0</v>
      </c>
      <c r="BA45" s="325">
        <f> Time!BA$45</f>
        <v>0.0</v>
      </c>
      <c r="BB45" s="325">
        <f> Time!BB$45</f>
        <v>0.0</v>
      </c>
      <c r="BC45" s="325">
        <f> Time!BC$45</f>
        <v>0.0</v>
      </c>
      <c r="BD45" s="325">
        <f> Time!BD$45</f>
        <v>0.0</v>
      </c>
      <c r="BE45" s="325">
        <f> Time!BE$45</f>
        <v>0.0</v>
      </c>
      <c r="BF45" s="325">
        <f> Time!BF$45</f>
        <v>0.0</v>
      </c>
      <c r="BG45" s="325">
        <f> Time!BG$45</f>
        <v>0.0</v>
      </c>
      <c r="BH45" s="325">
        <f> Time!BH$45</f>
        <v>0.0</v>
      </c>
      <c r="BI45" s="325">
        <f> Time!BI$45</f>
        <v>0.0</v>
      </c>
      <c r="BJ45" s="325">
        <f> Time!BJ$45</f>
        <v>0.0</v>
      </c>
      <c r="BK45" s="325">
        <f> Time!BK$45</f>
        <v>0.0</v>
      </c>
      <c r="BL45" s="325">
        <f> Time!BL$45</f>
        <v>0.0</v>
      </c>
      <c r="BM45" s="325">
        <f> Time!BM$45</f>
        <v>0.0</v>
      </c>
      <c r="BN45" s="325">
        <f> Time!BN$45</f>
        <v>0.0</v>
      </c>
      <c r="BO45" s="325">
        <f> Time!BO$45</f>
        <v>0.0</v>
      </c>
      <c r="BP45" s="325">
        <f> Time!BP$45</f>
        <v>0.0</v>
      </c>
      <c r="BQ45" s="325">
        <f> Time!BQ$45</f>
        <v>0.0</v>
      </c>
      <c r="BR45" s="325">
        <f> Time!BR$45</f>
        <v>0.0</v>
      </c>
      <c r="BS45" s="325">
        <f> Time!BS$45</f>
        <v>0.0</v>
      </c>
      <c r="BT45" s="325">
        <f> Time!BT$45</f>
        <v>0.0</v>
      </c>
      <c r="BU45" s="325">
        <f> Time!BU$45</f>
        <v>0.0</v>
      </c>
      <c r="BV45" s="325">
        <f> Time!BV$45</f>
        <v>0.0</v>
      </c>
      <c r="BW45" s="325">
        <f> Time!BW$45</f>
        <v>0.0</v>
      </c>
      <c r="BX45" s="325">
        <f> Time!BX$45</f>
        <v>0.0</v>
      </c>
      <c r="BY45" s="325">
        <f> Time!BY$45</f>
        <v>0.0</v>
      </c>
      <c r="BZ45" s="325">
        <f> Time!BZ$45</f>
        <v>0.0</v>
      </c>
      <c r="CA45" s="325">
        <f> Time!CA$45</f>
        <v>0.0</v>
      </c>
      <c r="CB45" s="325">
        <f> Time!CB$45</f>
        <v>0.0</v>
      </c>
      <c r="CC45" s="325">
        <f> Time!CC$45</f>
        <v>0.0</v>
      </c>
      <c r="CD45" s="325">
        <f> Time!CD$45</f>
        <v>0.0</v>
      </c>
      <c r="CE45" s="325">
        <f> Time!CE$45</f>
        <v>0.0</v>
      </c>
      <c r="CF45" s="325">
        <f> Time!CF$45</f>
        <v>0.0</v>
      </c>
      <c r="CG45" s="325">
        <f> Time!CG$45</f>
        <v>0.0</v>
      </c>
      <c r="CH45" s="325">
        <f> Time!CH$45</f>
        <v>0.0</v>
      </c>
      <c r="CI45" s="325">
        <f> Time!CI$45</f>
        <v>0.0</v>
      </c>
      <c r="CJ45" s="325">
        <f> Time!CJ$45</f>
        <v>0.0</v>
      </c>
      <c r="CK45" s="325">
        <f> Time!CK$45</f>
        <v>0.0</v>
      </c>
      <c r="CL45" s="325">
        <f> Time!CL$45</f>
        <v>0.0</v>
      </c>
      <c r="CM45" s="325">
        <f> Time!CM$45</f>
        <v>0.0</v>
      </c>
      <c r="CN45" s="325">
        <f> Time!CN$45</f>
        <v>0.0</v>
      </c>
      <c r="CO45" s="325">
        <f> Time!CO$45</f>
        <v>0.0</v>
      </c>
    </row>
    <row r="46" customFormat="1" s="61">
      <c r="A46" s="294" t="n"/>
      <c r="B46" s="294" t="n"/>
      <c r="C46" s="212" t="n"/>
      <c r="D46" s="244" t="n"/>
    </row>
    <row r="47" customFormat="1" s="61">
      <c r="A47" s="294" t="n"/>
      <c r="B47" s="294" t="n"/>
      <c r="C47" s="212" t="n"/>
      <c r="D47" s="244" t="n"/>
      <c r="E47" s="61" t="inlineStr">
        <is>
          <t>Retained cash balance BEG</t>
        </is>
      </c>
      <c r="G47" s="61" t="inlineStr">
        <is>
          <t>$ 000s</t>
        </is>
      </c>
      <c r="J47" s="61">
        <f> I50</f>
        <v>0.0</v>
      </c>
      <c r="K47" s="61">
        <f> J50</f>
        <v>0.0</v>
      </c>
      <c r="L47" s="61">
        <f> K50</f>
        <v>0.0</v>
      </c>
      <c r="M47" s="61">
        <f> L50</f>
        <v>0.0</v>
      </c>
      <c r="N47" s="61">
        <f> M50</f>
        <v>0.0</v>
      </c>
      <c r="O47" s="61">
        <f> N50</f>
        <v>0.0</v>
      </c>
      <c r="P47" s="61">
        <f> O50</f>
        <v>1249.9939929253885</v>
      </c>
      <c r="Q47" s="61">
        <f> P50</f>
        <v>2327.2098043714486</v>
      </c>
      <c r="R47" s="61">
        <f> Q50</f>
        <v>4474.552292165947</v>
      </c>
      <c r="S47" s="61">
        <f> R50</f>
        <v>5365.11597258347</v>
      </c>
      <c r="T47" s="61">
        <f> S50</f>
        <v>4379.152655512729</v>
      </c>
      <c r="U47" s="61">
        <f> T50</f>
        <v>5093.372276738803</v>
      </c>
      <c r="V47" s="61">
        <f> U50</f>
        <v>6520.318220189434</v>
      </c>
      <c r="W47" s="61">
        <f> V50</f>
        <v>7194.59489156086</v>
      </c>
      <c r="X47" s="61">
        <f> W50</f>
        <v>7046.345874702457</v>
      </c>
      <c r="Y47" s="61">
        <f> X50</f>
        <v>7600.434139387089</v>
      </c>
      <c r="Z47" s="61">
        <f> Y50</f>
        <v>9049.845607172283</v>
      </c>
      <c r="AA47" s="61">
        <f> Z50</f>
        <v>9509.523864274108</v>
      </c>
      <c r="AB47" s="61">
        <f> AA50</f>
        <v>8657.558612634912</v>
      </c>
      <c r="AC47" s="61">
        <f> AB50</f>
        <v>8903.069132701552</v>
      </c>
      <c r="AD47" s="61">
        <f> AC50</f>
        <v>9755.758404504279</v>
      </c>
      <c r="AE47" s="61">
        <f> AD50</f>
        <v>9651.157261950964</v>
      </c>
      <c r="AF47" s="61">
        <f> AE50</f>
        <v>8932.721957688518</v>
      </c>
      <c r="AG47" s="61">
        <f> AF50</f>
        <v>8875.312172594693</v>
      </c>
      <c r="AH47" s="61">
        <f> AG50</f>
        <v>9312.616748707987</v>
      </c>
      <c r="AI47" s="61">
        <f> AH50</f>
        <v>9165.879959824253</v>
      </c>
      <c r="AJ47" s="61">
        <f> AI50</f>
        <v>8745.846462738387</v>
      </c>
      <c r="AK47" s="61">
        <f> AJ50</f>
        <v>8463.584793828726</v>
      </c>
      <c r="AL47" s="61">
        <f> AK50</f>
        <v>8751.748472824085</v>
      </c>
      <c r="AM47" s="61">
        <f> AL50</f>
        <v>8143.7805927729505</v>
      </c>
      <c r="AN47" s="61">
        <f> AM50</f>
        <v>6575.07745999463</v>
      </c>
      <c r="AO47" s="61">
        <f> AN50</f>
        <v>5746.479038033717</v>
      </c>
      <c r="AP47" s="61">
        <f> AO50</f>
        <v>5678.095206822565</v>
      </c>
      <c r="AQ47" s="61">
        <f> AP50</f>
        <v>4753.839544569996</v>
      </c>
      <c r="AR47" s="61">
        <f> AQ50</f>
        <v>3077.9831312393007</v>
      </c>
      <c r="AS47" s="61">
        <f> AR50</f>
        <v>1971.132703170907</v>
      </c>
      <c r="AT47" s="61">
        <f> AS50</f>
        <v>1187.7363620520919</v>
      </c>
      <c r="AU47" s="61">
        <f> AT50</f>
        <v>0.0</v>
      </c>
      <c r="AV47" s="61">
        <f> AU50</f>
        <v>0.0</v>
      </c>
      <c r="AW47" s="61">
        <f> AV50</f>
        <v>0.0</v>
      </c>
      <c r="AX47" s="61">
        <f> AW50</f>
        <v>0.0</v>
      </c>
      <c r="AY47" s="61">
        <f> AX50</f>
        <v>0.0</v>
      </c>
      <c r="AZ47" s="61">
        <f> AY50</f>
        <v>0.0</v>
      </c>
      <c r="BA47" s="61">
        <f> AZ50</f>
        <v>0.0</v>
      </c>
      <c r="BB47" s="61">
        <f> BA50</f>
        <v>0.0</v>
      </c>
      <c r="BC47" s="61">
        <f> BB50</f>
        <v>0.0</v>
      </c>
      <c r="BD47" s="61">
        <f> BC50</f>
        <v>0.0</v>
      </c>
      <c r="BE47" s="61">
        <f> BD50</f>
        <v>0.0</v>
      </c>
      <c r="BF47" s="61">
        <f> BE50</f>
        <v>0.0</v>
      </c>
      <c r="BG47" s="61">
        <f> BF50</f>
        <v>0.0</v>
      </c>
      <c r="BH47" s="61">
        <f> BG50</f>
        <v>0.0</v>
      </c>
      <c r="BI47" s="61">
        <f> BH50</f>
        <v>0.0</v>
      </c>
      <c r="BJ47" s="61">
        <f> BI50</f>
        <v>0.0</v>
      </c>
      <c r="BK47" s="61">
        <f> BJ50</f>
        <v>0.0</v>
      </c>
      <c r="BL47" s="61">
        <f> BK50</f>
        <v>0.0</v>
      </c>
      <c r="BM47" s="61">
        <f> BL50</f>
        <v>0.0</v>
      </c>
      <c r="BN47" s="61">
        <f> BM50</f>
        <v>663.468900987793</v>
      </c>
      <c r="BO47" s="61">
        <f> BN50</f>
        <v>2124.8291202737946</v>
      </c>
      <c r="BP47" s="61">
        <f> BO50</f>
        <v>3241.7538363685544</v>
      </c>
      <c r="BQ47" s="61">
        <f> BP50</f>
        <v>4662.64187492106</v>
      </c>
      <c r="BR47" s="61">
        <f> BQ50</f>
        <v>5930.8439207166175</v>
      </c>
      <c r="BS47" s="61">
        <f> BR50</f>
        <v>7043.316895195412</v>
      </c>
      <c r="BT47" s="61">
        <f> BS50</f>
        <v>8467.6999372666</v>
      </c>
      <c r="BU47" s="61">
        <f> BT50</f>
        <v>8339.156937757089</v>
      </c>
      <c r="BV47" s="61">
        <f> BU50</f>
        <v>8597.40638982449</v>
      </c>
      <c r="BW47" s="61">
        <f> BV50</f>
        <v>8508.425302436794</v>
      </c>
      <c r="BX47" s="61">
        <f> BW50</f>
        <v>8569.58060526554</v>
      </c>
      <c r="BY47" s="61">
        <f> BX50</f>
        <v>8590.980802370072</v>
      </c>
      <c r="BZ47" s="61">
        <f> BY50</f>
        <v>8662.916618405074</v>
      </c>
      <c r="CA47" s="61">
        <f> BZ50</f>
        <v>8731.337543087913</v>
      </c>
      <c r="CB47" s="61">
        <f> CA50</f>
        <v>8778.596386232657</v>
      </c>
      <c r="CC47" s="61">
        <f> CB50</f>
        <v>8785.694026419902</v>
      </c>
      <c r="CD47" s="61">
        <f> CC50</f>
        <v>8845.590582247065</v>
      </c>
      <c r="CE47" s="61">
        <f> CD50</f>
        <v>8902.57666671594</v>
      </c>
      <c r="CF47" s="61">
        <f> CE50</f>
        <v>8938.440180598303</v>
      </c>
      <c r="CG47" s="61">
        <f> CF50</f>
        <v>8952.893600086936</v>
      </c>
      <c r="CH47" s="61">
        <f> CG50</f>
        <v>8983.7079448268</v>
      </c>
      <c r="CI47" s="61">
        <f> CH50</f>
        <v>9031.41798488416</v>
      </c>
      <c r="CJ47" s="61">
        <f> CI50</f>
        <v>9057.921058584694</v>
      </c>
      <c r="CK47" s="61">
        <f> CJ50</f>
        <v>9042.998803717204</v>
      </c>
      <c r="CL47" s="61">
        <f> CK50</f>
        <v>9085.213525519215</v>
      </c>
      <c r="CM47" s="61">
        <f> CL50</f>
        <v>9125.407004970959</v>
      </c>
      <c r="CN47" s="61">
        <f> CM50</f>
        <v>0.0</v>
      </c>
      <c r="CO47" s="61">
        <f> CN50</f>
        <v>0.0</v>
      </c>
    </row>
    <row r="48" customFormat="1" s="61">
      <c r="A48" s="294" t="n"/>
      <c r="B48" s="294" t="n"/>
      <c r="C48" s="212" t="n"/>
      <c r="D48" s="244" t="inlineStr">
        <is>
          <t>plus</t>
        </is>
      </c>
      <c r="E48" s="367" t="str">
        <f> FinStat!E$49</f>
        <v>Cash flow available for dividends</v>
      </c>
      <c r="F48" s="367">
        <f> FinStat!F$49</f>
        <v>0.0</v>
      </c>
      <c r="G48" s="367" t="str">
        <f> FinStat!G$49</f>
        <v>$ 000s</v>
      </c>
      <c r="H48" s="367">
        <f> FinStat!H$49</f>
        <v>442553.8228655873</v>
      </c>
      <c r="I48" s="367">
        <f> FinStat!I$49</f>
        <v>0.0</v>
      </c>
      <c r="J48" s="367">
        <f> FinStat!J$49</f>
        <v>0.0</v>
      </c>
      <c r="K48" s="367">
        <f> FinStat!K$49</f>
        <v>0.0</v>
      </c>
      <c r="L48" s="367">
        <f> FinStat!L$49</f>
        <v>0.0</v>
      </c>
      <c r="M48" s="367">
        <f> FinStat!M$49</f>
        <v>1542.3934940537397</v>
      </c>
      <c r="N48" s="367">
        <f> FinStat!N$49</f>
        <v>3013.9184138551927</v>
      </c>
      <c r="O48" s="367">
        <f> FinStat!O$49</f>
        <v>2902.5525074965876</v>
      </c>
      <c r="P48" s="367">
        <f> FinStat!P$49</f>
        <v>2954.492474587404</v>
      </c>
      <c r="Q48" s="367">
        <f> FinStat!Q$49</f>
        <v>3753.0213070255395</v>
      </c>
      <c r="R48" s="367">
        <f> FinStat!R$49</f>
        <v>2874.2594245253676</v>
      </c>
      <c r="S48" s="367">
        <f> FinStat!S$49</f>
        <v>731.6777965998831</v>
      </c>
      <c r="T48" s="367">
        <f> FinStat!T$49</f>
        <v>2970.5529026284225</v>
      </c>
      <c r="U48" s="367">
        <f> FinStat!U$49</f>
        <v>3392.5173228061944</v>
      </c>
      <c r="V48" s="367">
        <f> FinStat!V$49</f>
        <v>3040.6303846102664</v>
      </c>
      <c r="W48" s="367">
        <f> FinStat!W$49</f>
        <v>1922.2354873307158</v>
      </c>
      <c r="X48" s="367">
        <f> FinStat!X$49</f>
        <v>3015.0014732927757</v>
      </c>
      <c r="Y48" s="367">
        <f> FinStat!Y$49</f>
        <v>3587.998202456688</v>
      </c>
      <c r="Z48" s="367">
        <f> FinStat!Z$49</f>
        <v>3002.9254328862535</v>
      </c>
      <c r="AA48" s="367">
        <f> FinStat!AA$49</f>
        <v>1375.4356052146036</v>
      </c>
      <c r="AB48" s="367">
        <f> FinStat!AB$49</f>
        <v>2854.66934569554</v>
      </c>
      <c r="AC48" s="367">
        <f> FinStat!AC$49</f>
        <v>3131.3021674909896</v>
      </c>
      <c r="AD48" s="367">
        <f> FinStat!AD$49</f>
        <v>3066.3811027896572</v>
      </c>
      <c r="AE48" s="367">
        <f> FinStat!AE$49</f>
        <v>2107.027183099774</v>
      </c>
      <c r="AF48" s="367">
        <f> FinStat!AF$49</f>
        <v>3213.4048091507884</v>
      </c>
      <c r="AG48" s="367">
        <f> FinStat!AG$49</f>
        <v>3349.2112456475343</v>
      </c>
      <c r="AH48" s="367">
        <f> FinStat!AH$49</f>
        <v>3230.215026727036</v>
      </c>
      <c r="AI48" s="367">
        <f> FinStat!AI$49</f>
        <v>2602.905254035712</v>
      </c>
      <c r="AJ48" s="367">
        <f> FinStat!AJ$49</f>
        <v>3210.765878135569</v>
      </c>
      <c r="AK48" s="367">
        <f> FinStat!AK$49</f>
        <v>3422.198298152113</v>
      </c>
      <c r="AL48" s="367">
        <f> FinStat!AL$49</f>
        <v>3007.326175933151</v>
      </c>
      <c r="AM48" s="367">
        <f> FinStat!AM$49</f>
        <v>2162.368758166749</v>
      </c>
      <c r="AN48" s="367">
        <f> FinStat!AN$49</f>
        <v>3477.3030389976884</v>
      </c>
      <c r="AO48" s="367">
        <f> FinStat!AO$49</f>
        <v>3840.022186856854</v>
      </c>
      <c r="AP48" s="367">
        <f> FinStat!AP$49</f>
        <v>3516.7029711648647</v>
      </c>
      <c r="AQ48" s="367">
        <f> FinStat!AQ$49</f>
        <v>2370.4225701845357</v>
      </c>
      <c r="AR48" s="367">
        <f> FinStat!AR$49</f>
        <v>3495.3705665489797</v>
      </c>
      <c r="AS48" s="367">
        <f> FinStat!AS$49</f>
        <v>3412.348286234433</v>
      </c>
      <c r="AT48" s="367">
        <f> FinStat!AT$49</f>
        <v>3544.972203147367</v>
      </c>
      <c r="AU48" s="367">
        <f> FinStat!AU$49</f>
        <v>3395.28320582229</v>
      </c>
      <c r="AV48" s="367">
        <f> FinStat!AV$49</f>
        <v>3338.4064387893923</v>
      </c>
      <c r="AW48" s="367">
        <f> FinStat!AW$49</f>
        <v>3153.1327786661905</v>
      </c>
      <c r="AX48" s="367">
        <f> FinStat!AX$49</f>
        <v>7052.041934786595</v>
      </c>
      <c r="AY48" s="367">
        <f> FinStat!AY$49</f>
        <v>7052.792941098581</v>
      </c>
      <c r="AZ48" s="367">
        <f> FinStat!AZ$49</f>
        <v>9.094947017729282e-13</v>
      </c>
      <c r="BA48" s="367">
        <f> FinStat!BA$49</f>
        <v>0.0</v>
      </c>
      <c r="BB48" s="367">
        <f> FinStat!BB$49</f>
        <v>4463.805875534848</v>
      </c>
      <c r="BC48" s="367">
        <f> FinStat!BC$49</f>
        <v>7521.637238564551</v>
      </c>
      <c r="BD48" s="367">
        <f> FinStat!BD$49</f>
        <v>7786.862296074629</v>
      </c>
      <c r="BE48" s="367">
        <f> FinStat!BE$49</f>
        <v>7627.988950314166</v>
      </c>
      <c r="BF48" s="367">
        <f> FinStat!BF$49</f>
        <v>7926.412925883229</v>
      </c>
      <c r="BG48" s="367">
        <f> FinStat!BG$49</f>
        <v>7703.404245475238</v>
      </c>
      <c r="BH48" s="367">
        <f> FinStat!BH$49</f>
        <v>7569.490087277265</v>
      </c>
      <c r="BI48" s="367">
        <f> FinStat!BI$49</f>
        <v>8073.785152795242</v>
      </c>
      <c r="BJ48" s="367">
        <f> FinStat!BJ$49</f>
        <v>7864.656660041153</v>
      </c>
      <c r="BK48" s="367">
        <f> FinStat!BK$49</f>
        <v>8164.350522971761</v>
      </c>
      <c r="BL48" s="367">
        <f> FinStat!BL$49</f>
        <v>7920.158988451464</v>
      </c>
      <c r="BM48" s="367">
        <f> FinStat!BM$49</f>
        <v>8283.741323993563</v>
      </c>
      <c r="BN48" s="367">
        <f> FinStat!BN$49</f>
        <v>8069.951845626139</v>
      </c>
      <c r="BO48" s="367">
        <f> FinStat!BO$49</f>
        <v>8380.168750155472</v>
      </c>
      <c r="BP48" s="367">
        <f> FinStat!BP$49</f>
        <v>8145.432186534468</v>
      </c>
      <c r="BQ48" s="367">
        <f> FinStat!BQ$49</f>
        <v>8051.368270145524</v>
      </c>
      <c r="BR48" s="367">
        <f> FinStat!BR$49</f>
        <v>8564.966728450932</v>
      </c>
      <c r="BS48" s="367">
        <f> FinStat!BS$49</f>
        <v>8326.10105657528</v>
      </c>
      <c r="BT48" s="367">
        <f> FinStat!BT$49</f>
        <v>8631.592591488294</v>
      </c>
      <c r="BU48" s="367">
        <f> FinStat!BU$49</f>
        <v>8459.408717410737</v>
      </c>
      <c r="BV48" s="367">
        <f> FinStat!BV$49</f>
        <v>8801.585533466476</v>
      </c>
      <c r="BW48" s="367">
        <f> FinStat!BW$49</f>
        <v>9017.663894454512</v>
      </c>
      <c r="BX48" s="367">
        <f> FinStat!BX$49</f>
        <v>9044.339855832266</v>
      </c>
      <c r="BY48" s="367">
        <f> FinStat!BY$49</f>
        <v>9161.799265857671</v>
      </c>
      <c r="BZ48" s="367">
        <f> FinStat!BZ$49</f>
        <v>9225.704544162636</v>
      </c>
      <c r="CA48" s="367">
        <f> FinStat!CA$49</f>
        <v>9272.462692519282</v>
      </c>
      <c r="CB48" s="367">
        <f> FinStat!CB$49</f>
        <v>9300.72548867681</v>
      </c>
      <c r="CC48" s="367">
        <f> FinStat!CC$49</f>
        <v>9422.455909144512</v>
      </c>
      <c r="CD48" s="367">
        <f> FinStat!CD$49</f>
        <v>9488.988212533062</v>
      </c>
      <c r="CE48" s="367">
        <f> FinStat!CE$49</f>
        <v>9537.823478738128</v>
      </c>
      <c r="CF48" s="367">
        <f> FinStat!CF$49</f>
        <v>9586.890103432881</v>
      </c>
      <c r="CG48" s="367">
        <f> FinStat!CG$49</f>
        <v>9674.25047865673</v>
      </c>
      <c r="CH48" s="367">
        <f> FinStat!CH$49</f>
        <v>9762.672231963468</v>
      </c>
      <c r="CI48" s="367">
        <f> FinStat!CI$49</f>
        <v>9813.521837501972</v>
      </c>
      <c r="CJ48" s="367">
        <f> FinStat!CJ$49</f>
        <v>9844.687529595085</v>
      </c>
      <c r="CK48" s="367">
        <f> FinStat!CK$49</f>
        <v>9974.953939736379</v>
      </c>
      <c r="CL48" s="367">
        <f> FinStat!CL$49</f>
        <v>10046.604537115036</v>
      </c>
      <c r="CM48" s="367">
        <f> FinStat!CM$49</f>
        <v>-855.5441688092069</v>
      </c>
      <c r="CN48" s="367">
        <f> FinStat!CN$49</f>
        <v>1810.7664905536142</v>
      </c>
      <c r="CO48" s="367">
        <f> FinStat!CO$49</f>
        <v>-6.786241523111914e-13</v>
      </c>
    </row>
    <row r="49" customFormat="1" s="183">
      <c r="A49" s="294" t="n"/>
      <c r="B49" s="294" t="n"/>
      <c r="C49" s="212" t="n"/>
      <c r="D49" s="244" t="inlineStr">
        <is>
          <t>less</t>
        </is>
      </c>
      <c r="E49" s="61" t="str">
        <f> E$39</f>
        <v>Dividend declared and paid POS</v>
      </c>
      <c r="F49" s="61">
        <f> F$39</f>
        <v>0.0</v>
      </c>
      <c r="G49" s="61" t="str">
        <f> G$39</f>
        <v>$ 000s</v>
      </c>
      <c r="H49" s="61">
        <f> H$39</f>
        <v>442553.82286558725</v>
      </c>
      <c r="I49" s="61">
        <f> I$39</f>
        <v>0.0</v>
      </c>
      <c r="J49" s="61">
        <f> J$39</f>
        <v>0.0</v>
      </c>
      <c r="K49" s="61">
        <f> K$39</f>
        <v>0.0</v>
      </c>
      <c r="L49" s="61">
        <f> L$39</f>
        <v>0.0</v>
      </c>
      <c r="M49" s="61">
        <f> M$39</f>
        <v>1542.3934940537397</v>
      </c>
      <c r="N49" s="61">
        <f> N$39</f>
        <v>3013.9184138551927</v>
      </c>
      <c r="O49" s="61">
        <f> O$39</f>
        <v>1652.558514571199</v>
      </c>
      <c r="P49" s="61">
        <f> P$39</f>
        <v>1877.2766631413442</v>
      </c>
      <c r="Q49" s="61">
        <f> Q$39</f>
        <v>1605.6788192310419</v>
      </c>
      <c r="R49" s="61">
        <f> R$39</f>
        <v>1983.6957441078443</v>
      </c>
      <c r="S49" s="61">
        <f> S$39</f>
        <v>1717.6411136706224</v>
      </c>
      <c r="T49" s="61">
        <f> T$39</f>
        <v>2256.3332814023483</v>
      </c>
      <c r="U49" s="61">
        <f> U$39</f>
        <v>1965.571379355562</v>
      </c>
      <c r="V49" s="61">
        <f> V$39</f>
        <v>2366.353713238842</v>
      </c>
      <c r="W49" s="61">
        <f> W$39</f>
        <v>2070.4845041891194</v>
      </c>
      <c r="X49" s="61">
        <f> X$39</f>
        <v>2460.9132086081445</v>
      </c>
      <c r="Y49" s="61">
        <f> Y$39</f>
        <v>2138.5867346714954</v>
      </c>
      <c r="Z49" s="61">
        <f> Z$39</f>
        <v>2543.247175784429</v>
      </c>
      <c r="AA49" s="61">
        <f> AA$39</f>
        <v>2227.4008568537993</v>
      </c>
      <c r="AB49" s="61">
        <f> AB$39</f>
        <v>2609.1588256288996</v>
      </c>
      <c r="AC49" s="61">
        <f> AC$39</f>
        <v>2278.612895688263</v>
      </c>
      <c r="AD49" s="61">
        <f> AD$39</f>
        <v>3170.982245342971</v>
      </c>
      <c r="AE49" s="61">
        <f> AE$39</f>
        <v>2825.462487362219</v>
      </c>
      <c r="AF49" s="61">
        <f> AF$39</f>
        <v>3270.814594244614</v>
      </c>
      <c r="AG49" s="61">
        <f> AG$39</f>
        <v>2911.906669534241</v>
      </c>
      <c r="AH49" s="61">
        <f> AH$39</f>
        <v>3376.9518156107697</v>
      </c>
      <c r="AI49" s="61">
        <f> AI$39</f>
        <v>3022.938751121577</v>
      </c>
      <c r="AJ49" s="61">
        <f> AJ$39</f>
        <v>3493.0275470452298</v>
      </c>
      <c r="AK49" s="61">
        <f> AK$39</f>
        <v>3134.0346191567533</v>
      </c>
      <c r="AL49" s="61">
        <f> AL$39</f>
        <v>3615.2940559842855</v>
      </c>
      <c r="AM49" s="61">
        <f> AM$39</f>
        <v>3731.0718909450707</v>
      </c>
      <c r="AN49" s="61">
        <f> AN$39</f>
        <v>4305.901460958602</v>
      </c>
      <c r="AO49" s="61">
        <f> AO$39</f>
        <v>3908.4060180680067</v>
      </c>
      <c r="AP49" s="61">
        <f> AP$39</f>
        <v>4440.958633417434</v>
      </c>
      <c r="AQ49" s="61">
        <f> AQ$39</f>
        <v>4046.2789835152316</v>
      </c>
      <c r="AR49" s="61">
        <f> AR$39</f>
        <v>4602.220994617373</v>
      </c>
      <c r="AS49" s="61">
        <f> AS$39</f>
        <v>4195.744627353248</v>
      </c>
      <c r="AT49" s="61">
        <f> AT$39</f>
        <v>4732.7085651994585</v>
      </c>
      <c r="AU49" s="61">
        <f> AU$39</f>
        <v>3395.28320582229</v>
      </c>
      <c r="AV49" s="61">
        <f> AV$39</f>
        <v>3338.4064387893923</v>
      </c>
      <c r="AW49" s="61">
        <f> AW$39</f>
        <v>3153.1327786661905</v>
      </c>
      <c r="AX49" s="61">
        <f> AX$39</f>
        <v>7052.041934786595</v>
      </c>
      <c r="AY49" s="61">
        <f> AY$39</f>
        <v>7052.792941098581</v>
      </c>
      <c r="AZ49" s="61">
        <f> AZ$39</f>
        <v>9.094947017729282e-13</v>
      </c>
      <c r="BA49" s="61">
        <f> BA$39</f>
        <v>0.0</v>
      </c>
      <c r="BB49" s="61">
        <f> BB$39</f>
        <v>4463.805875534848</v>
      </c>
      <c r="BC49" s="61">
        <f> BC$39</f>
        <v>7521.637238564551</v>
      </c>
      <c r="BD49" s="61">
        <f> BD$39</f>
        <v>7786.862296074629</v>
      </c>
      <c r="BE49" s="61">
        <f> BE$39</f>
        <v>7627.988950314166</v>
      </c>
      <c r="BF49" s="61">
        <f> BF$39</f>
        <v>7926.412925883229</v>
      </c>
      <c r="BG49" s="61">
        <f> BG$39</f>
        <v>7703.404245475238</v>
      </c>
      <c r="BH49" s="61">
        <f> BH$39</f>
        <v>7569.490087277265</v>
      </c>
      <c r="BI49" s="61">
        <f> BI$39</f>
        <v>8073.785152795242</v>
      </c>
      <c r="BJ49" s="61">
        <f> BJ$39</f>
        <v>7864.656660041153</v>
      </c>
      <c r="BK49" s="61">
        <f> BK$39</f>
        <v>8164.350522971761</v>
      </c>
      <c r="BL49" s="61">
        <f> BL$39</f>
        <v>7920.158988451464</v>
      </c>
      <c r="BM49" s="61">
        <f> BM$39</f>
        <v>7620.27242300577</v>
      </c>
      <c r="BN49" s="61">
        <f> BN$39</f>
        <v>6608.591626340138</v>
      </c>
      <c r="BO49" s="61">
        <f> BO$39</f>
        <v>7263.244034060712</v>
      </c>
      <c r="BP49" s="61">
        <f> BP$39</f>
        <v>6724.544147981963</v>
      </c>
      <c r="BQ49" s="61">
        <f> BQ$39</f>
        <v>6783.166224349965</v>
      </c>
      <c r="BR49" s="61">
        <f> BR$39</f>
        <v>7452.493753972138</v>
      </c>
      <c r="BS49" s="61">
        <f> BS$39</f>
        <v>6901.718014504093</v>
      </c>
      <c r="BT49" s="61">
        <f> BT$39</f>
        <v>8760.135590997805</v>
      </c>
      <c r="BU49" s="61">
        <f> BU$39</f>
        <v>8201.159265343336</v>
      </c>
      <c r="BV49" s="61">
        <f> BV$39</f>
        <v>8890.566620854173</v>
      </c>
      <c r="BW49" s="61">
        <f> BW$39</f>
        <v>8956.508591625765</v>
      </c>
      <c r="BX49" s="61">
        <f> BX$39</f>
        <v>9022.939658727733</v>
      </c>
      <c r="BY49" s="61">
        <f> BY$39</f>
        <v>9089.863449822671</v>
      </c>
      <c r="BZ49" s="61">
        <f> BZ$39</f>
        <v>9157.283619479796</v>
      </c>
      <c r="CA49" s="61">
        <f> CA$39</f>
        <v>9225.203849374539</v>
      </c>
      <c r="CB49" s="61">
        <f> CB$39</f>
        <v>9293.627848489565</v>
      </c>
      <c r="CC49" s="61">
        <f> CC$39</f>
        <v>9362.559353317347</v>
      </c>
      <c r="CD49" s="61">
        <f> CD$39</f>
        <v>9432.002128064189</v>
      </c>
      <c r="CE49" s="61">
        <f> CE$39</f>
        <v>9501.959964855767</v>
      </c>
      <c r="CF49" s="61">
        <f> CF$39</f>
        <v>9572.436683944248</v>
      </c>
      <c r="CG49" s="61">
        <f> CG$39</f>
        <v>9643.436133916866</v>
      </c>
      <c r="CH49" s="61">
        <f> CH$39</f>
        <v>9714.96219190611</v>
      </c>
      <c r="CI49" s="61">
        <f> CI$39</f>
        <v>9787.018763801438</v>
      </c>
      <c r="CJ49" s="61">
        <f> CJ$39</f>
        <v>9859.609784462573</v>
      </c>
      <c r="CK49" s="61">
        <f> CK$39</f>
        <v>9932.73921793437</v>
      </c>
      <c r="CL49" s="61">
        <f> CL$39</f>
        <v>10006.411057663292</v>
      </c>
      <c r="CM49" s="61">
        <f> CM$39</f>
        <v>8269.862836161752</v>
      </c>
      <c r="CN49" s="61">
        <f> CN$39</f>
        <v>1810.7664905536142</v>
      </c>
      <c r="CO49" s="61">
        <f> CO$39</f>
        <v>0.0</v>
      </c>
    </row>
    <row r="50" customFormat="1" s="322">
      <c r="A50" s="318" t="n"/>
      <c r="B50" s="318" t="n"/>
      <c r="C50" s="319" t="n"/>
      <c r="D50" s="320" t="n"/>
      <c r="E50" s="322" t="inlineStr">
        <is>
          <t>Retained cash balance</t>
        </is>
      </c>
      <c r="F50" s="322" t="inlineStr">
        <is>
          <t>BS</t>
        </is>
      </c>
      <c r="G50" s="322" t="inlineStr">
        <is>
          <t>$ 000s</t>
        </is>
      </c>
      <c r="I50" s="323" t="n"/>
      <c r="J50" s="322">
        <f> IF(J45 = 1, $F44, J47 + J48 - J49)</f>
        <v>0.0</v>
      </c>
      <c r="K50" s="322">
        <f> IF(K45 = 1, $F44, K47 + K48 - K49)</f>
        <v>0.0</v>
      </c>
      <c r="L50" s="322">
        <f> IF(L45 = 1, $F44, L47 + L48 - L49)</f>
        <v>0.0</v>
      </c>
      <c r="M50" s="322">
        <f> IF(M45 = 1, $F44, M47 + M48 - M49)</f>
        <v>0.0</v>
      </c>
      <c r="N50" s="322">
        <f> IF(N45 = 1, $F44, N47 + N48 - N49)</f>
        <v>0.0</v>
      </c>
      <c r="O50" s="322">
        <f> IF(O45 = 1, $F44, O47 + O48 - O49)</f>
        <v>1249.9939929253885</v>
      </c>
      <c r="P50" s="322">
        <f> IF(P45 = 1, $F44, P47 + P48 - P49)</f>
        <v>2327.2098043714486</v>
      </c>
      <c r="Q50" s="322">
        <f> IF(Q45 = 1, $F44, Q47 + Q48 - Q49)</f>
        <v>4474.552292165947</v>
      </c>
      <c r="R50" s="322">
        <f> IF(R45 = 1, $F44, R47 + R48 - R49)</f>
        <v>5365.11597258347</v>
      </c>
      <c r="S50" s="322">
        <f> IF(S45 = 1, $F44, S47 + S48 - S49)</f>
        <v>4379.152655512729</v>
      </c>
      <c r="T50" s="322">
        <f> IF(T45 = 1, $F44, T47 + T48 - T49)</f>
        <v>5093.372276738803</v>
      </c>
      <c r="U50" s="322">
        <f> IF(U45 = 1, $F44, U47 + U48 - U49)</f>
        <v>6520.318220189434</v>
      </c>
      <c r="V50" s="322">
        <f> IF(V45 = 1, $F44, V47 + V48 - V49)</f>
        <v>7194.59489156086</v>
      </c>
      <c r="W50" s="322">
        <f> IF(W45 = 1, $F44, W47 + W48 - W49)</f>
        <v>7046.345874702457</v>
      </c>
      <c r="X50" s="322">
        <f> IF(X45 = 1, $F44, X47 + X48 - X49)</f>
        <v>7600.434139387089</v>
      </c>
      <c r="Y50" s="322">
        <f> IF(Y45 = 1, $F44, Y47 + Y48 - Y49)</f>
        <v>9049.845607172283</v>
      </c>
      <c r="Z50" s="322">
        <f> IF(Z45 = 1, $F44, Z47 + Z48 - Z49)</f>
        <v>9509.523864274108</v>
      </c>
      <c r="AA50" s="322">
        <f> IF(AA45 = 1, $F44, AA47 + AA48 - AA49)</f>
        <v>8657.558612634912</v>
      </c>
      <c r="AB50" s="322">
        <f> IF(AB45 = 1, $F44, AB47 + AB48 - AB49)</f>
        <v>8903.069132701552</v>
      </c>
      <c r="AC50" s="322">
        <f> IF(AC45 = 1, $F44, AC47 + AC48 - AC49)</f>
        <v>9755.758404504279</v>
      </c>
      <c r="AD50" s="322">
        <f> IF(AD45 = 1, $F44, AD47 + AD48 - AD49)</f>
        <v>9651.157261950964</v>
      </c>
      <c r="AE50" s="322">
        <f> IF(AE45 = 1, $F44, AE47 + AE48 - AE49)</f>
        <v>8932.721957688518</v>
      </c>
      <c r="AF50" s="322">
        <f> IF(AF45 = 1, $F44, AF47 + AF48 - AF49)</f>
        <v>8875.312172594693</v>
      </c>
      <c r="AG50" s="322">
        <f> IF(AG45 = 1, $F44, AG47 + AG48 - AG49)</f>
        <v>9312.616748707987</v>
      </c>
      <c r="AH50" s="322">
        <f> IF(AH45 = 1, $F44, AH47 + AH48 - AH49)</f>
        <v>9165.879959824253</v>
      </c>
      <c r="AI50" s="322">
        <f> IF(AI45 = 1, $F44, AI47 + AI48 - AI49)</f>
        <v>8745.846462738387</v>
      </c>
      <c r="AJ50" s="322">
        <f> IF(AJ45 = 1, $F44, AJ47 + AJ48 - AJ49)</f>
        <v>8463.584793828726</v>
      </c>
      <c r="AK50" s="322">
        <f> IF(AK45 = 1, $F44, AK47 + AK48 - AK49)</f>
        <v>8751.748472824085</v>
      </c>
      <c r="AL50" s="322">
        <f> IF(AL45 = 1, $F44, AL47 + AL48 - AL49)</f>
        <v>8143.7805927729505</v>
      </c>
      <c r="AM50" s="322">
        <f> IF(AM45 = 1, $F44, AM47 + AM48 - AM49)</f>
        <v>6575.07745999463</v>
      </c>
      <c r="AN50" s="322">
        <f> IF(AN45 = 1, $F44, AN47 + AN48 - AN49)</f>
        <v>5746.479038033717</v>
      </c>
      <c r="AO50" s="322">
        <f> IF(AO45 = 1, $F44, AO47 + AO48 - AO49)</f>
        <v>5678.095206822565</v>
      </c>
      <c r="AP50" s="322">
        <f> IF(AP45 = 1, $F44, AP47 + AP48 - AP49)</f>
        <v>4753.839544569996</v>
      </c>
      <c r="AQ50" s="322">
        <f> IF(AQ45 = 1, $F44, AQ47 + AQ48 - AQ49)</f>
        <v>3077.9831312393007</v>
      </c>
      <c r="AR50" s="322">
        <f> IF(AR45 = 1, $F44, AR47 + AR48 - AR49)</f>
        <v>1971.132703170907</v>
      </c>
      <c r="AS50" s="322">
        <f> IF(AS45 = 1, $F44, AS47 + AS48 - AS49)</f>
        <v>1187.7363620520919</v>
      </c>
      <c r="AT50" s="322">
        <f> IF(AT45 = 1, $F44, AT47 + AT48 - AT49)</f>
        <v>0.0</v>
      </c>
      <c r="AU50" s="322">
        <f> IF(AU45 = 1, $F44, AU47 + AU48 - AU49)</f>
        <v>0.0</v>
      </c>
      <c r="AV50" s="322">
        <f> IF(AV45 = 1, $F44, AV47 + AV48 - AV49)</f>
        <v>0.0</v>
      </c>
      <c r="AW50" s="322">
        <f> IF(AW45 = 1, $F44, AW47 + AW48 - AW49)</f>
        <v>0.0</v>
      </c>
      <c r="AX50" s="322">
        <f> IF(AX45 = 1, $F44, AX47 + AX48 - AX49)</f>
        <v>0.0</v>
      </c>
      <c r="AY50" s="322">
        <f> IF(AY45 = 1, $F44, AY47 + AY48 - AY49)</f>
        <v>0.0</v>
      </c>
      <c r="AZ50" s="322">
        <f> IF(AZ45 = 1, $F44, AZ47 + AZ48 - AZ49)</f>
        <v>0.0</v>
      </c>
      <c r="BA50" s="322">
        <f> IF(BA45 = 1, $F44, BA47 + BA48 - BA49)</f>
        <v>0.0</v>
      </c>
      <c r="BB50" s="322">
        <f> IF(BB45 = 1, $F44, BB47 + BB48 - BB49)</f>
        <v>0.0</v>
      </c>
      <c r="BC50" s="322">
        <f> IF(BC45 = 1, $F44, BC47 + BC48 - BC49)</f>
        <v>0.0</v>
      </c>
      <c r="BD50" s="322">
        <f> IF(BD45 = 1, $F44, BD47 + BD48 - BD49)</f>
        <v>0.0</v>
      </c>
      <c r="BE50" s="322">
        <f> IF(BE45 = 1, $F44, BE47 + BE48 - BE49)</f>
        <v>0.0</v>
      </c>
      <c r="BF50" s="322">
        <f> IF(BF45 = 1, $F44, BF47 + BF48 - BF49)</f>
        <v>0.0</v>
      </c>
      <c r="BG50" s="322">
        <f> IF(BG45 = 1, $F44, BG47 + BG48 - BG49)</f>
        <v>0.0</v>
      </c>
      <c r="BH50" s="322">
        <f> IF(BH45 = 1, $F44, BH47 + BH48 - BH49)</f>
        <v>0.0</v>
      </c>
      <c r="BI50" s="322">
        <f> IF(BI45 = 1, $F44, BI47 + BI48 - BI49)</f>
        <v>0.0</v>
      </c>
      <c r="BJ50" s="322">
        <f> IF(BJ45 = 1, $F44, BJ47 + BJ48 - BJ49)</f>
        <v>0.0</v>
      </c>
      <c r="BK50" s="322">
        <f> IF(BK45 = 1, $F44, BK47 + BK48 - BK49)</f>
        <v>0.0</v>
      </c>
      <c r="BL50" s="322">
        <f> IF(BL45 = 1, $F44, BL47 + BL48 - BL49)</f>
        <v>0.0</v>
      </c>
      <c r="BM50" s="322">
        <f> IF(BM45 = 1, $F44, BM47 + BM48 - BM49)</f>
        <v>663.468900987793</v>
      </c>
      <c r="BN50" s="322">
        <f> IF(BN45 = 1, $F44, BN47 + BN48 - BN49)</f>
        <v>2124.8291202737946</v>
      </c>
      <c r="BO50" s="322">
        <f> IF(BO45 = 1, $F44, BO47 + BO48 - BO49)</f>
        <v>3241.7538363685544</v>
      </c>
      <c r="BP50" s="322">
        <f> IF(BP45 = 1, $F44, BP47 + BP48 - BP49)</f>
        <v>4662.64187492106</v>
      </c>
      <c r="BQ50" s="322">
        <f> IF(BQ45 = 1, $F44, BQ47 + BQ48 - BQ49)</f>
        <v>5930.8439207166175</v>
      </c>
      <c r="BR50" s="322">
        <f> IF(BR45 = 1, $F44, BR47 + BR48 - BR49)</f>
        <v>7043.316895195412</v>
      </c>
      <c r="BS50" s="322">
        <f> IF(BS45 = 1, $F44, BS47 + BS48 - BS49)</f>
        <v>8467.6999372666</v>
      </c>
      <c r="BT50" s="322">
        <f> IF(BT45 = 1, $F44, BT47 + BT48 - BT49)</f>
        <v>8339.156937757089</v>
      </c>
      <c r="BU50" s="322">
        <f> IF(BU45 = 1, $F44, BU47 + BU48 - BU49)</f>
        <v>8597.40638982449</v>
      </c>
      <c r="BV50" s="322">
        <f> IF(BV45 = 1, $F44, BV47 + BV48 - BV49)</f>
        <v>8508.425302436794</v>
      </c>
      <c r="BW50" s="322">
        <f> IF(BW45 = 1, $F44, BW47 + BW48 - BW49)</f>
        <v>8569.58060526554</v>
      </c>
      <c r="BX50" s="322">
        <f> IF(BX45 = 1, $F44, BX47 + BX48 - BX49)</f>
        <v>8590.980802370072</v>
      </c>
      <c r="BY50" s="322">
        <f> IF(BY45 = 1, $F44, BY47 + BY48 - BY49)</f>
        <v>8662.916618405074</v>
      </c>
      <c r="BZ50" s="322">
        <f> IF(BZ45 = 1, $F44, BZ47 + BZ48 - BZ49)</f>
        <v>8731.337543087913</v>
      </c>
      <c r="CA50" s="322">
        <f> IF(CA45 = 1, $F44, CA47 + CA48 - CA49)</f>
        <v>8778.596386232657</v>
      </c>
      <c r="CB50" s="322">
        <f> IF(CB45 = 1, $F44, CB47 + CB48 - CB49)</f>
        <v>8785.694026419902</v>
      </c>
      <c r="CC50" s="322">
        <f> IF(CC45 = 1, $F44, CC47 + CC48 - CC49)</f>
        <v>8845.590582247065</v>
      </c>
      <c r="CD50" s="322">
        <f> IF(CD45 = 1, $F44, CD47 + CD48 - CD49)</f>
        <v>8902.57666671594</v>
      </c>
      <c r="CE50" s="322">
        <f> IF(CE45 = 1, $F44, CE47 + CE48 - CE49)</f>
        <v>8938.440180598303</v>
      </c>
      <c r="CF50" s="322">
        <f> IF(CF45 = 1, $F44, CF47 + CF48 - CF49)</f>
        <v>8952.893600086936</v>
      </c>
      <c r="CG50" s="322">
        <f> IF(CG45 = 1, $F44, CG47 + CG48 - CG49)</f>
        <v>8983.7079448268</v>
      </c>
      <c r="CH50" s="322">
        <f> IF(CH45 = 1, $F44, CH47 + CH48 - CH49)</f>
        <v>9031.41798488416</v>
      </c>
      <c r="CI50" s="322">
        <f> IF(CI45 = 1, $F44, CI47 + CI48 - CI49)</f>
        <v>9057.921058584694</v>
      </c>
      <c r="CJ50" s="322">
        <f> IF(CJ45 = 1, $F44, CJ47 + CJ48 - CJ49)</f>
        <v>9042.998803717204</v>
      </c>
      <c r="CK50" s="322">
        <f> IF(CK45 = 1, $F44, CK47 + CK48 - CK49)</f>
        <v>9085.213525519215</v>
      </c>
      <c r="CL50" s="322">
        <f> IF(CL45 = 1, $F44, CL47 + CL48 - CL49)</f>
        <v>9125.407004970959</v>
      </c>
      <c r="CM50" s="322">
        <f> IF(CM45 = 1, $F44, CM47 + CM48 - CM49)</f>
        <v>0.0</v>
      </c>
      <c r="CN50" s="322">
        <f> IF(CN45 = 1, $F44, CN47 + CN48 - CN49)</f>
        <v>0.0</v>
      </c>
      <c r="CO50" s="322">
        <f> IF(CO45 = 1, $F44, CO47 + CO48 - CO49)</f>
        <v>-6.786241523111914e-13</v>
      </c>
    </row>
    <row r="53">
      <c r="A53" s="294" t="inlineStr">
        <is>
          <t>RETAINED EARNINGS BALANCE</t>
        </is>
      </c>
    </row>
    <row r="55" customFormat="1" s="182">
      <c r="A55" s="177" t="n"/>
      <c r="B55" s="177" t="n"/>
      <c r="C55" s="178" t="n"/>
      <c r="D55" s="179" t="n"/>
      <c r="E55" s="182" t="inlineStr">
        <is>
          <t>Retained earnings - initial balance</t>
        </is>
      </c>
      <c r="F55" s="182" t="n">
        <v>0</v>
      </c>
      <c r="G55" s="182" t="n"/>
    </row>
    <row r="56" customFormat="1" s="100">
      <c r="A56" s="294" t="n"/>
      <c r="B56" s="294" t="n"/>
      <c r="C56" s="212" t="n"/>
      <c r="D56" s="244" t="n"/>
      <c r="E56" s="325" t="str">
        <f> Time!E$45</f>
        <v>Acquisition / initial balance date flag</v>
      </c>
      <c r="F56" s="325">
        <f> Time!F$45</f>
        <v>0.0</v>
      </c>
      <c r="G56" s="325" t="str">
        <f> Time!G$45</f>
        <v>flag</v>
      </c>
      <c r="H56" s="325">
        <f> Time!H$45</f>
        <v>1.0</v>
      </c>
      <c r="I56" s="325">
        <f> Time!I$45</f>
        <v>0.0</v>
      </c>
      <c r="J56" s="325">
        <f> Time!J$45</f>
        <v>0.0</v>
      </c>
      <c r="K56" s="325">
        <f> Time!K$45</f>
        <v>1.0</v>
      </c>
      <c r="L56" s="325">
        <f> Time!L$45</f>
        <v>0.0</v>
      </c>
      <c r="M56" s="325">
        <f> Time!M$45</f>
        <v>0.0</v>
      </c>
      <c r="N56" s="325">
        <f> Time!N$45</f>
        <v>0.0</v>
      </c>
      <c r="O56" s="325">
        <f> Time!O$45</f>
        <v>0.0</v>
      </c>
      <c r="P56" s="325">
        <f> Time!P$45</f>
        <v>0.0</v>
      </c>
      <c r="Q56" s="325">
        <f> Time!Q$45</f>
        <v>0.0</v>
      </c>
      <c r="R56" s="325">
        <f> Time!R$45</f>
        <v>0.0</v>
      </c>
      <c r="S56" s="325">
        <f> Time!S$45</f>
        <v>0.0</v>
      </c>
      <c r="T56" s="325">
        <f> Time!T$45</f>
        <v>0.0</v>
      </c>
      <c r="U56" s="325">
        <f> Time!U$45</f>
        <v>0.0</v>
      </c>
      <c r="V56" s="325">
        <f> Time!V$45</f>
        <v>0.0</v>
      </c>
      <c r="W56" s="325">
        <f> Time!W$45</f>
        <v>0.0</v>
      </c>
      <c r="X56" s="325">
        <f> Time!X$45</f>
        <v>0.0</v>
      </c>
      <c r="Y56" s="325">
        <f> Time!Y$45</f>
        <v>0.0</v>
      </c>
      <c r="Z56" s="325">
        <f> Time!Z$45</f>
        <v>0.0</v>
      </c>
      <c r="AA56" s="325">
        <f> Time!AA$45</f>
        <v>0.0</v>
      </c>
      <c r="AB56" s="325">
        <f> Time!AB$45</f>
        <v>0.0</v>
      </c>
      <c r="AC56" s="325">
        <f> Time!AC$45</f>
        <v>0.0</v>
      </c>
      <c r="AD56" s="325">
        <f> Time!AD$45</f>
        <v>0.0</v>
      </c>
      <c r="AE56" s="325">
        <f> Time!AE$45</f>
        <v>0.0</v>
      </c>
      <c r="AF56" s="325">
        <f> Time!AF$45</f>
        <v>0.0</v>
      </c>
      <c r="AG56" s="325">
        <f> Time!AG$45</f>
        <v>0.0</v>
      </c>
      <c r="AH56" s="325">
        <f> Time!AH$45</f>
        <v>0.0</v>
      </c>
      <c r="AI56" s="325">
        <f> Time!AI$45</f>
        <v>0.0</v>
      </c>
      <c r="AJ56" s="325">
        <f> Time!AJ$45</f>
        <v>0.0</v>
      </c>
      <c r="AK56" s="325">
        <f> Time!AK$45</f>
        <v>0.0</v>
      </c>
      <c r="AL56" s="325">
        <f> Time!AL$45</f>
        <v>0.0</v>
      </c>
      <c r="AM56" s="325">
        <f> Time!AM$45</f>
        <v>0.0</v>
      </c>
      <c r="AN56" s="325">
        <f> Time!AN$45</f>
        <v>0.0</v>
      </c>
      <c r="AO56" s="325">
        <f> Time!AO$45</f>
        <v>0.0</v>
      </c>
      <c r="AP56" s="325">
        <f> Time!AP$45</f>
        <v>0.0</v>
      </c>
      <c r="AQ56" s="325">
        <f> Time!AQ$45</f>
        <v>0.0</v>
      </c>
      <c r="AR56" s="325">
        <f> Time!AR$45</f>
        <v>0.0</v>
      </c>
      <c r="AS56" s="325">
        <f> Time!AS$45</f>
        <v>0.0</v>
      </c>
      <c r="AT56" s="325">
        <f> Time!AT$45</f>
        <v>0.0</v>
      </c>
      <c r="AU56" s="325">
        <f> Time!AU$45</f>
        <v>0.0</v>
      </c>
      <c r="AV56" s="325">
        <f> Time!AV$45</f>
        <v>0.0</v>
      </c>
      <c r="AW56" s="325">
        <f> Time!AW$45</f>
        <v>0.0</v>
      </c>
      <c r="AX56" s="325">
        <f> Time!AX$45</f>
        <v>0.0</v>
      </c>
      <c r="AY56" s="325">
        <f> Time!AY$45</f>
        <v>0.0</v>
      </c>
      <c r="AZ56" s="325">
        <f> Time!AZ$45</f>
        <v>0.0</v>
      </c>
      <c r="BA56" s="325">
        <f> Time!BA$45</f>
        <v>0.0</v>
      </c>
      <c r="BB56" s="325">
        <f> Time!BB$45</f>
        <v>0.0</v>
      </c>
      <c r="BC56" s="325">
        <f> Time!BC$45</f>
        <v>0.0</v>
      </c>
      <c r="BD56" s="325">
        <f> Time!BD$45</f>
        <v>0.0</v>
      </c>
      <c r="BE56" s="325">
        <f> Time!BE$45</f>
        <v>0.0</v>
      </c>
      <c r="BF56" s="325">
        <f> Time!BF$45</f>
        <v>0.0</v>
      </c>
      <c r="BG56" s="325">
        <f> Time!BG$45</f>
        <v>0.0</v>
      </c>
      <c r="BH56" s="325">
        <f> Time!BH$45</f>
        <v>0.0</v>
      </c>
      <c r="BI56" s="325">
        <f> Time!BI$45</f>
        <v>0.0</v>
      </c>
      <c r="BJ56" s="325">
        <f> Time!BJ$45</f>
        <v>0.0</v>
      </c>
      <c r="BK56" s="325">
        <f> Time!BK$45</f>
        <v>0.0</v>
      </c>
      <c r="BL56" s="325">
        <f> Time!BL$45</f>
        <v>0.0</v>
      </c>
      <c r="BM56" s="325">
        <f> Time!BM$45</f>
        <v>0.0</v>
      </c>
      <c r="BN56" s="325">
        <f> Time!BN$45</f>
        <v>0.0</v>
      </c>
      <c r="BO56" s="325">
        <f> Time!BO$45</f>
        <v>0.0</v>
      </c>
      <c r="BP56" s="325">
        <f> Time!BP$45</f>
        <v>0.0</v>
      </c>
      <c r="BQ56" s="325">
        <f> Time!BQ$45</f>
        <v>0.0</v>
      </c>
      <c r="BR56" s="325">
        <f> Time!BR$45</f>
        <v>0.0</v>
      </c>
      <c r="BS56" s="325">
        <f> Time!BS$45</f>
        <v>0.0</v>
      </c>
      <c r="BT56" s="325">
        <f> Time!BT$45</f>
        <v>0.0</v>
      </c>
      <c r="BU56" s="325">
        <f> Time!BU$45</f>
        <v>0.0</v>
      </c>
      <c r="BV56" s="325">
        <f> Time!BV$45</f>
        <v>0.0</v>
      </c>
      <c r="BW56" s="325">
        <f> Time!BW$45</f>
        <v>0.0</v>
      </c>
      <c r="BX56" s="325">
        <f> Time!BX$45</f>
        <v>0.0</v>
      </c>
      <c r="BY56" s="325">
        <f> Time!BY$45</f>
        <v>0.0</v>
      </c>
      <c r="BZ56" s="325">
        <f> Time!BZ$45</f>
        <v>0.0</v>
      </c>
      <c r="CA56" s="325">
        <f> Time!CA$45</f>
        <v>0.0</v>
      </c>
      <c r="CB56" s="325">
        <f> Time!CB$45</f>
        <v>0.0</v>
      </c>
      <c r="CC56" s="325">
        <f> Time!CC$45</f>
        <v>0.0</v>
      </c>
      <c r="CD56" s="325">
        <f> Time!CD$45</f>
        <v>0.0</v>
      </c>
      <c r="CE56" s="325">
        <f> Time!CE$45</f>
        <v>0.0</v>
      </c>
      <c r="CF56" s="325">
        <f> Time!CF$45</f>
        <v>0.0</v>
      </c>
      <c r="CG56" s="325">
        <f> Time!CG$45</f>
        <v>0.0</v>
      </c>
      <c r="CH56" s="325">
        <f> Time!CH$45</f>
        <v>0.0</v>
      </c>
      <c r="CI56" s="325">
        <f> Time!CI$45</f>
        <v>0.0</v>
      </c>
      <c r="CJ56" s="325">
        <f> Time!CJ$45</f>
        <v>0.0</v>
      </c>
      <c r="CK56" s="325">
        <f> Time!CK$45</f>
        <v>0.0</v>
      </c>
      <c r="CL56" s="325">
        <f> Time!CL$45</f>
        <v>0.0</v>
      </c>
      <c r="CM56" s="325">
        <f> Time!CM$45</f>
        <v>0.0</v>
      </c>
      <c r="CN56" s="325">
        <f> Time!CN$45</f>
        <v>0.0</v>
      </c>
      <c r="CO56" s="325">
        <f> Time!CO$45</f>
        <v>0.0</v>
      </c>
    </row>
    <row r="57" customFormat="1" s="61">
      <c r="A57" s="294" t="n"/>
      <c r="B57" s="294" t="n"/>
      <c r="C57" s="212" t="n"/>
      <c r="D57" s="244" t="n"/>
    </row>
    <row r="58" customFormat="1" s="61">
      <c r="A58" s="294" t="n"/>
      <c r="B58" s="294" t="n"/>
      <c r="C58" s="212" t="n"/>
      <c r="D58" s="244" t="n"/>
      <c r="E58" s="61" t="inlineStr">
        <is>
          <t>Retained earnings balance BEG</t>
        </is>
      </c>
      <c r="G58" s="61" t="inlineStr">
        <is>
          <t>$ 000s</t>
        </is>
      </c>
      <c r="J58" s="61">
        <f> I61</f>
        <v>0.0</v>
      </c>
      <c r="K58" s="61">
        <f> J61</f>
        <v>0.0</v>
      </c>
      <c r="L58" s="61">
        <f> K61</f>
        <v>0.0</v>
      </c>
      <c r="M58" s="61">
        <f> L61</f>
        <v>1646.366409097422</v>
      </c>
      <c r="N58" s="61">
        <f> M61</f>
        <v>1465.2206488448728</v>
      </c>
      <c r="O58" s="61">
        <f> N61</f>
        <v>179.6655296880358</v>
      </c>
      <c r="P58" s="61">
        <f> O61</f>
        <v>0.0</v>
      </c>
      <c r="Q58" s="61">
        <f> P61</f>
        <v>0.0</v>
      </c>
      <c r="R58" s="61">
        <f> Q61</f>
        <v>0.0</v>
      </c>
      <c r="S58" s="61">
        <f> R61</f>
        <v>0.0</v>
      </c>
      <c r="T58" s="61">
        <f> S61</f>
        <v>0.0</v>
      </c>
      <c r="U58" s="61">
        <f> T61</f>
        <v>0.0</v>
      </c>
      <c r="V58" s="61">
        <f> U61</f>
        <v>0.0</v>
      </c>
      <c r="W58" s="61">
        <f> V61</f>
        <v>0.0</v>
      </c>
      <c r="X58" s="61">
        <f> W61</f>
        <v>0.0</v>
      </c>
      <c r="Y58" s="61">
        <f> X61</f>
        <v>0.0</v>
      </c>
      <c r="Z58" s="61">
        <f> Y61</f>
        <v>0.0</v>
      </c>
      <c r="AA58" s="61">
        <f> Z61</f>
        <v>0.0</v>
      </c>
      <c r="AB58" s="61">
        <f> AA61</f>
        <v>0.0</v>
      </c>
      <c r="AC58" s="61">
        <f> AB61</f>
        <v>0.0</v>
      </c>
      <c r="AD58" s="61">
        <f> AC61</f>
        <v>0.0</v>
      </c>
      <c r="AE58" s="61">
        <f> AD61</f>
        <v>0.0</v>
      </c>
      <c r="AF58" s="61">
        <f> AE61</f>
        <v>0.0</v>
      </c>
      <c r="AG58" s="61">
        <f> AF61</f>
        <v>0.0</v>
      </c>
      <c r="AH58" s="61">
        <f> AG61</f>
        <v>0.0</v>
      </c>
      <c r="AI58" s="61">
        <f> AH61</f>
        <v>0.0</v>
      </c>
      <c r="AJ58" s="61">
        <f> AI61</f>
        <v>0.0</v>
      </c>
      <c r="AK58" s="61">
        <f> AJ61</f>
        <v>0.0</v>
      </c>
      <c r="AL58" s="61">
        <f> AK61</f>
        <v>0.0</v>
      </c>
      <c r="AM58" s="61">
        <f> AL61</f>
        <v>0.0</v>
      </c>
      <c r="AN58" s="61">
        <f> AM61</f>
        <v>0.0</v>
      </c>
      <c r="AO58" s="61">
        <f> AN61</f>
        <v>0.0</v>
      </c>
      <c r="AP58" s="61">
        <f> AO61</f>
        <v>0.0</v>
      </c>
      <c r="AQ58" s="61">
        <f> AP61</f>
        <v>0.0</v>
      </c>
      <c r="AR58" s="61">
        <f> AQ61</f>
        <v>0.0</v>
      </c>
      <c r="AS58" s="61">
        <f> AR61</f>
        <v>0.0</v>
      </c>
      <c r="AT58" s="61">
        <f> AS61</f>
        <v>0.0</v>
      </c>
      <c r="AU58" s="61">
        <f> AT61</f>
        <v>14.609753322781216</v>
      </c>
      <c r="AV58" s="61">
        <f> AU61</f>
        <v>961.8141010850882</v>
      </c>
      <c r="AW58" s="61">
        <f> AV61</f>
        <v>2595.0026776833547</v>
      </c>
      <c r="AX58" s="61">
        <f> AW61</f>
        <v>3998.052314989248</v>
      </c>
      <c r="AY58" s="61">
        <f> AX61</f>
        <v>2697.916461225692</v>
      </c>
      <c r="AZ58" s="61">
        <f> AY61</f>
        <v>958.6191068725047</v>
      </c>
      <c r="BA58" s="61">
        <f> AZ61</f>
        <v>6933.92476854509</v>
      </c>
      <c r="BB58" s="61">
        <f> BA61</f>
        <v>12556.40529007943</v>
      </c>
      <c r="BC58" s="61">
        <f> BB61</f>
        <v>14437.471575818536</v>
      </c>
      <c r="BD58" s="61">
        <f> BC61</f>
        <v>12828.933767204835</v>
      </c>
      <c r="BE58" s="61">
        <f> BD61</f>
        <v>11576.214157189948</v>
      </c>
      <c r="BF58" s="61">
        <f> BE61</f>
        <v>9985.72466750003</v>
      </c>
      <c r="BG58" s="61">
        <f> BF61</f>
        <v>8709.340708350235</v>
      </c>
      <c r="BH58" s="61">
        <f> BG61</f>
        <v>7151.927605460183</v>
      </c>
      <c r="BI58" s="61">
        <f> BH61</f>
        <v>5818.278762992297</v>
      </c>
      <c r="BJ58" s="61">
        <f> BI61</f>
        <v>4606.5952281596665</v>
      </c>
      <c r="BK58" s="61">
        <f> BJ61</f>
        <v>3088.703516278054</v>
      </c>
      <c r="BL58" s="61">
        <f> BK61</f>
        <v>1906.7028033304687</v>
      </c>
      <c r="BM58" s="61">
        <f> BL61</f>
        <v>480.8840267684727</v>
      </c>
      <c r="BN58" s="61">
        <f> BM61</f>
        <v>0.0</v>
      </c>
      <c r="BO58" s="61">
        <f> BN61</f>
        <v>0.0</v>
      </c>
      <c r="BP58" s="61">
        <f> BO61</f>
        <v>0.0</v>
      </c>
      <c r="BQ58" s="61">
        <f> BP61</f>
        <v>0.0</v>
      </c>
      <c r="BR58" s="61">
        <f> BQ61</f>
        <v>0.0</v>
      </c>
      <c r="BS58" s="61">
        <f> BR61</f>
        <v>0.0</v>
      </c>
      <c r="BT58" s="61">
        <f> BS61</f>
        <v>0.0</v>
      </c>
      <c r="BU58" s="61">
        <f> BT61</f>
        <v>0.0</v>
      </c>
      <c r="BV58" s="61">
        <f> BU61</f>
        <v>0.0</v>
      </c>
      <c r="BW58" s="61">
        <f> BV61</f>
        <v>0.0</v>
      </c>
      <c r="BX58" s="61">
        <f> BW61</f>
        <v>0.0</v>
      </c>
      <c r="BY58" s="61">
        <f> BX61</f>
        <v>0.0</v>
      </c>
      <c r="BZ58" s="61">
        <f> BY61</f>
        <v>0.0</v>
      </c>
      <c r="CA58" s="61">
        <f> BZ61</f>
        <v>0.0</v>
      </c>
      <c r="CB58" s="61">
        <f> CA61</f>
        <v>0.0</v>
      </c>
      <c r="CC58" s="61">
        <f> CB61</f>
        <v>0.0</v>
      </c>
      <c r="CD58" s="61">
        <f> CC61</f>
        <v>0.0</v>
      </c>
      <c r="CE58" s="61">
        <f> CD61</f>
        <v>0.0</v>
      </c>
      <c r="CF58" s="61">
        <f> CE61</f>
        <v>0.0</v>
      </c>
      <c r="CG58" s="61">
        <f> CF61</f>
        <v>0.0</v>
      </c>
      <c r="CH58" s="61">
        <f> CG61</f>
        <v>0.0</v>
      </c>
      <c r="CI58" s="61">
        <f> CH61</f>
        <v>0.0</v>
      </c>
      <c r="CJ58" s="61">
        <f> CI61</f>
        <v>0.0</v>
      </c>
      <c r="CK58" s="61">
        <f> CJ61</f>
        <v>0.0</v>
      </c>
      <c r="CL58" s="61">
        <f> CK61</f>
        <v>0.0</v>
      </c>
      <c r="CM58" s="61">
        <f> CL61</f>
        <v>0.0</v>
      </c>
      <c r="CN58" s="61">
        <f> CM61</f>
        <v>1810.7664905537276</v>
      </c>
      <c r="CO58" s="61">
        <f> CN61</f>
        <v>1.1459633242338896e-10</v>
      </c>
    </row>
    <row r="59" customFormat="1" s="183">
      <c r="A59" s="294" t="n"/>
      <c r="B59" s="294" t="n"/>
      <c r="C59" s="212" t="n"/>
      <c r="D59" s="244" t="inlineStr">
        <is>
          <t>plus</t>
        </is>
      </c>
      <c r="E59" s="367" t="str">
        <f> FinStat!E$19</f>
        <v>Profit after tax</v>
      </c>
      <c r="F59" s="367">
        <f> FinStat!F$19</f>
        <v>0.0</v>
      </c>
      <c r="G59" s="367" t="str">
        <f> FinStat!G$19</f>
        <v>$ 000s</v>
      </c>
      <c r="H59" s="367">
        <f> FinStat!H$19</f>
        <v>442553.82286558737</v>
      </c>
      <c r="I59" s="367">
        <f> FinStat!I$19</f>
        <v>0.0</v>
      </c>
      <c r="J59" s="367">
        <f> FinStat!J$19</f>
        <v>0.0</v>
      </c>
      <c r="K59" s="367">
        <f> FinStat!K$19</f>
        <v>0.0</v>
      </c>
      <c r="L59" s="367">
        <f> FinStat!L$19</f>
        <v>1646.366409097422</v>
      </c>
      <c r="M59" s="367">
        <f> FinStat!M$19</f>
        <v>1361.2477338011904</v>
      </c>
      <c r="N59" s="367">
        <f> FinStat!N$19</f>
        <v>1728.3632946983557</v>
      </c>
      <c r="O59" s="367">
        <f> FinStat!O$19</f>
        <v>1472.8929848831633</v>
      </c>
      <c r="P59" s="367">
        <f> FinStat!P$19</f>
        <v>1877.2766631413442</v>
      </c>
      <c r="Q59" s="367">
        <f> FinStat!Q$19</f>
        <v>1605.6788192310419</v>
      </c>
      <c r="R59" s="367">
        <f> FinStat!R$19</f>
        <v>1983.6957441078443</v>
      </c>
      <c r="S59" s="367">
        <f> FinStat!S$19</f>
        <v>1717.6411136706224</v>
      </c>
      <c r="T59" s="367">
        <f> FinStat!T$19</f>
        <v>2256.3332814023483</v>
      </c>
      <c r="U59" s="367">
        <f> FinStat!U$19</f>
        <v>1965.571379355562</v>
      </c>
      <c r="V59" s="367">
        <f> FinStat!V$19</f>
        <v>2366.353713238842</v>
      </c>
      <c r="W59" s="367">
        <f> FinStat!W$19</f>
        <v>2070.4845041891194</v>
      </c>
      <c r="X59" s="367">
        <f> FinStat!X$19</f>
        <v>2460.9132086081445</v>
      </c>
      <c r="Y59" s="367">
        <f> FinStat!Y$19</f>
        <v>2138.5867346714954</v>
      </c>
      <c r="Z59" s="367">
        <f> FinStat!Z$19</f>
        <v>2543.247175784429</v>
      </c>
      <c r="AA59" s="367">
        <f> FinStat!AA$19</f>
        <v>2227.4008568537993</v>
      </c>
      <c r="AB59" s="367">
        <f> FinStat!AB$19</f>
        <v>2609.1588256288996</v>
      </c>
      <c r="AC59" s="367">
        <f> FinStat!AC$19</f>
        <v>2278.612895688263</v>
      </c>
      <c r="AD59" s="367">
        <f> FinStat!AD$19</f>
        <v>3170.982245342971</v>
      </c>
      <c r="AE59" s="367">
        <f> FinStat!AE$19</f>
        <v>2825.462487362219</v>
      </c>
      <c r="AF59" s="367">
        <f> FinStat!AF$19</f>
        <v>3270.814594244614</v>
      </c>
      <c r="AG59" s="367">
        <f> FinStat!AG$19</f>
        <v>2911.906669534241</v>
      </c>
      <c r="AH59" s="367">
        <f> FinStat!AH$19</f>
        <v>3376.9518156107697</v>
      </c>
      <c r="AI59" s="367">
        <f> FinStat!AI$19</f>
        <v>3022.938751121577</v>
      </c>
      <c r="AJ59" s="367">
        <f> FinStat!AJ$19</f>
        <v>3493.0275470452298</v>
      </c>
      <c r="AK59" s="367">
        <f> FinStat!AK$19</f>
        <v>3134.0346191567533</v>
      </c>
      <c r="AL59" s="367">
        <f> FinStat!AL$19</f>
        <v>3615.2940559842855</v>
      </c>
      <c r="AM59" s="367">
        <f> FinStat!AM$19</f>
        <v>3731.0718909450707</v>
      </c>
      <c r="AN59" s="367">
        <f> FinStat!AN$19</f>
        <v>4305.901460958602</v>
      </c>
      <c r="AO59" s="367">
        <f> FinStat!AO$19</f>
        <v>3908.4060180680067</v>
      </c>
      <c r="AP59" s="367">
        <f> FinStat!AP$19</f>
        <v>4440.958633417434</v>
      </c>
      <c r="AQ59" s="367">
        <f> FinStat!AQ$19</f>
        <v>4046.2789835152316</v>
      </c>
      <c r="AR59" s="367">
        <f> FinStat!AR$19</f>
        <v>4602.220994617373</v>
      </c>
      <c r="AS59" s="367">
        <f> FinStat!AS$19</f>
        <v>4195.744627353248</v>
      </c>
      <c r="AT59" s="367">
        <f> FinStat!AT$19</f>
        <v>4747.31831852224</v>
      </c>
      <c r="AU59" s="367">
        <f> FinStat!AU$19</f>
        <v>4342.487553584597</v>
      </c>
      <c r="AV59" s="367">
        <f> FinStat!AV$19</f>
        <v>4971.595015387658</v>
      </c>
      <c r="AW59" s="367">
        <f> FinStat!AW$19</f>
        <v>4556.182415972084</v>
      </c>
      <c r="AX59" s="367">
        <f> FinStat!AX$19</f>
        <v>5751.906081023039</v>
      </c>
      <c r="AY59" s="367">
        <f> FinStat!AY$19</f>
        <v>5313.495586745394</v>
      </c>
      <c r="AZ59" s="367">
        <f> FinStat!AZ$19</f>
        <v>5975.305661672586</v>
      </c>
      <c r="BA59" s="367">
        <f> FinStat!BA$19</f>
        <v>5622.48052153434</v>
      </c>
      <c r="BB59" s="367">
        <f> FinStat!BB$19</f>
        <v>6344.872161273954</v>
      </c>
      <c r="BC59" s="367">
        <f> FinStat!BC$19</f>
        <v>5913.099429950849</v>
      </c>
      <c r="BD59" s="367">
        <f> FinStat!BD$19</f>
        <v>6534.142686059744</v>
      </c>
      <c r="BE59" s="367">
        <f> FinStat!BE$19</f>
        <v>6037.499460624249</v>
      </c>
      <c r="BF59" s="367">
        <f> FinStat!BF$19</f>
        <v>6650.028966733434</v>
      </c>
      <c r="BG59" s="367">
        <f> FinStat!BG$19</f>
        <v>6145.991142585185</v>
      </c>
      <c r="BH59" s="367">
        <f> FinStat!BH$19</f>
        <v>6235.841244809379</v>
      </c>
      <c r="BI59" s="367">
        <f> FinStat!BI$19</f>
        <v>6862.101617962611</v>
      </c>
      <c r="BJ59" s="367">
        <f> FinStat!BJ$19</f>
        <v>6346.764948159541</v>
      </c>
      <c r="BK59" s="367">
        <f> FinStat!BK$19</f>
        <v>6982.349810024176</v>
      </c>
      <c r="BL59" s="367">
        <f> FinStat!BL$19</f>
        <v>6494.340211889469</v>
      </c>
      <c r="BM59" s="367">
        <f> FinStat!BM$19</f>
        <v>7139.3883962372975</v>
      </c>
      <c r="BN59" s="367">
        <f> FinStat!BN$19</f>
        <v>6608.591626340138</v>
      </c>
      <c r="BO59" s="367">
        <f> FinStat!BO$19</f>
        <v>7263.244034060712</v>
      </c>
      <c r="BP59" s="367">
        <f> FinStat!BP$19</f>
        <v>6724.544147981963</v>
      </c>
      <c r="BQ59" s="367">
        <f> FinStat!BQ$19</f>
        <v>6783.166224349965</v>
      </c>
      <c r="BR59" s="367">
        <f> FinStat!BR$19</f>
        <v>7452.493753972138</v>
      </c>
      <c r="BS59" s="367">
        <f> FinStat!BS$19</f>
        <v>6901.718014504093</v>
      </c>
      <c r="BT59" s="367">
        <f> FinStat!BT$19</f>
        <v>8760.135590997805</v>
      </c>
      <c r="BU59" s="367">
        <f> FinStat!BU$19</f>
        <v>8201.159265343336</v>
      </c>
      <c r="BV59" s="367">
        <f> FinStat!BV$19</f>
        <v>8890.566620854173</v>
      </c>
      <c r="BW59" s="367">
        <f> FinStat!BW$19</f>
        <v>8956.508591625765</v>
      </c>
      <c r="BX59" s="367">
        <f> FinStat!BX$19</f>
        <v>9022.939658727733</v>
      </c>
      <c r="BY59" s="367">
        <f> FinStat!BY$19</f>
        <v>9089.863449822671</v>
      </c>
      <c r="BZ59" s="367">
        <f> FinStat!BZ$19</f>
        <v>9157.283619479796</v>
      </c>
      <c r="CA59" s="367">
        <f> FinStat!CA$19</f>
        <v>9225.203849374539</v>
      </c>
      <c r="CB59" s="367">
        <f> FinStat!CB$19</f>
        <v>9293.627848489565</v>
      </c>
      <c r="CC59" s="367">
        <f> FinStat!CC$19</f>
        <v>9362.559353317347</v>
      </c>
      <c r="CD59" s="367">
        <f> FinStat!CD$19</f>
        <v>9432.002128064189</v>
      </c>
      <c r="CE59" s="367">
        <f> FinStat!CE$19</f>
        <v>9501.959964855767</v>
      </c>
      <c r="CF59" s="367">
        <f> FinStat!CF$19</f>
        <v>9572.436683944248</v>
      </c>
      <c r="CG59" s="367">
        <f> FinStat!CG$19</f>
        <v>9643.436133916866</v>
      </c>
      <c r="CH59" s="367">
        <f> FinStat!CH$19</f>
        <v>9714.96219190611</v>
      </c>
      <c r="CI59" s="367">
        <f> FinStat!CI$19</f>
        <v>9787.018763801438</v>
      </c>
      <c r="CJ59" s="367">
        <f> FinStat!CJ$19</f>
        <v>9859.609784462573</v>
      </c>
      <c r="CK59" s="367">
        <f> FinStat!CK$19</f>
        <v>9932.73921793437</v>
      </c>
      <c r="CL59" s="367">
        <f> FinStat!CL$19</f>
        <v>10006.411057663292</v>
      </c>
      <c r="CM59" s="367">
        <f> FinStat!CM$19</f>
        <v>10080.62932671548</v>
      </c>
      <c r="CN59" s="367">
        <f> FinStat!CN$19</f>
        <v>1.2000241255279027e-12</v>
      </c>
      <c r="CO59" s="367">
        <f> FinStat!CO$19</f>
        <v>1.2347746134769898e-12</v>
      </c>
    </row>
    <row r="60" customFormat="1" s="183">
      <c r="A60" s="294" t="n"/>
      <c r="B60" s="294" t="n"/>
      <c r="C60" s="212" t="n"/>
      <c r="D60" s="244" t="inlineStr">
        <is>
          <t>less</t>
        </is>
      </c>
      <c r="E60" s="61" t="str">
        <f> E$39</f>
        <v>Dividend declared and paid POS</v>
      </c>
      <c r="F60" s="61">
        <f> F$39</f>
        <v>0.0</v>
      </c>
      <c r="G60" s="61" t="str">
        <f> G$39</f>
        <v>$ 000s</v>
      </c>
      <c r="H60" s="61">
        <f> H$39</f>
        <v>442553.82286558725</v>
      </c>
      <c r="I60" s="61">
        <f> I$39</f>
        <v>0.0</v>
      </c>
      <c r="J60" s="61">
        <f> J$39</f>
        <v>0.0</v>
      </c>
      <c r="K60" s="61">
        <f> K$39</f>
        <v>0.0</v>
      </c>
      <c r="L60" s="61">
        <f> L$39</f>
        <v>0.0</v>
      </c>
      <c r="M60" s="61">
        <f> M$39</f>
        <v>1542.3934940537397</v>
      </c>
      <c r="N60" s="61">
        <f> N$39</f>
        <v>3013.9184138551927</v>
      </c>
      <c r="O60" s="61">
        <f> O$39</f>
        <v>1652.558514571199</v>
      </c>
      <c r="P60" s="61">
        <f> P$39</f>
        <v>1877.2766631413442</v>
      </c>
      <c r="Q60" s="61">
        <f> Q$39</f>
        <v>1605.6788192310419</v>
      </c>
      <c r="R60" s="61">
        <f> R$39</f>
        <v>1983.6957441078443</v>
      </c>
      <c r="S60" s="61">
        <f> S$39</f>
        <v>1717.6411136706224</v>
      </c>
      <c r="T60" s="61">
        <f> T$39</f>
        <v>2256.3332814023483</v>
      </c>
      <c r="U60" s="61">
        <f> U$39</f>
        <v>1965.571379355562</v>
      </c>
      <c r="V60" s="61">
        <f> V$39</f>
        <v>2366.353713238842</v>
      </c>
      <c r="W60" s="61">
        <f> W$39</f>
        <v>2070.4845041891194</v>
      </c>
      <c r="X60" s="61">
        <f> X$39</f>
        <v>2460.9132086081445</v>
      </c>
      <c r="Y60" s="61">
        <f> Y$39</f>
        <v>2138.5867346714954</v>
      </c>
      <c r="Z60" s="61">
        <f> Z$39</f>
        <v>2543.247175784429</v>
      </c>
      <c r="AA60" s="61">
        <f> AA$39</f>
        <v>2227.4008568537993</v>
      </c>
      <c r="AB60" s="61">
        <f> AB$39</f>
        <v>2609.1588256288996</v>
      </c>
      <c r="AC60" s="61">
        <f> AC$39</f>
        <v>2278.612895688263</v>
      </c>
      <c r="AD60" s="61">
        <f> AD$39</f>
        <v>3170.982245342971</v>
      </c>
      <c r="AE60" s="61">
        <f> AE$39</f>
        <v>2825.462487362219</v>
      </c>
      <c r="AF60" s="61">
        <f> AF$39</f>
        <v>3270.814594244614</v>
      </c>
      <c r="AG60" s="61">
        <f> AG$39</f>
        <v>2911.906669534241</v>
      </c>
      <c r="AH60" s="61">
        <f> AH$39</f>
        <v>3376.9518156107697</v>
      </c>
      <c r="AI60" s="61">
        <f> AI$39</f>
        <v>3022.938751121577</v>
      </c>
      <c r="AJ60" s="61">
        <f> AJ$39</f>
        <v>3493.0275470452298</v>
      </c>
      <c r="AK60" s="61">
        <f> AK$39</f>
        <v>3134.0346191567533</v>
      </c>
      <c r="AL60" s="61">
        <f> AL$39</f>
        <v>3615.2940559842855</v>
      </c>
      <c r="AM60" s="61">
        <f> AM$39</f>
        <v>3731.0718909450707</v>
      </c>
      <c r="AN60" s="61">
        <f> AN$39</f>
        <v>4305.901460958602</v>
      </c>
      <c r="AO60" s="61">
        <f> AO$39</f>
        <v>3908.4060180680067</v>
      </c>
      <c r="AP60" s="61">
        <f> AP$39</f>
        <v>4440.958633417434</v>
      </c>
      <c r="AQ60" s="61">
        <f> AQ$39</f>
        <v>4046.2789835152316</v>
      </c>
      <c r="AR60" s="61">
        <f> AR$39</f>
        <v>4602.220994617373</v>
      </c>
      <c r="AS60" s="61">
        <f> AS$39</f>
        <v>4195.744627353248</v>
      </c>
      <c r="AT60" s="61">
        <f> AT$39</f>
        <v>4732.7085651994585</v>
      </c>
      <c r="AU60" s="61">
        <f> AU$39</f>
        <v>3395.28320582229</v>
      </c>
      <c r="AV60" s="61">
        <f> AV$39</f>
        <v>3338.4064387893923</v>
      </c>
      <c r="AW60" s="61">
        <f> AW$39</f>
        <v>3153.1327786661905</v>
      </c>
      <c r="AX60" s="61">
        <f> AX$39</f>
        <v>7052.041934786595</v>
      </c>
      <c r="AY60" s="61">
        <f> AY$39</f>
        <v>7052.792941098581</v>
      </c>
      <c r="AZ60" s="61">
        <f> AZ$39</f>
        <v>9.094947017729282e-13</v>
      </c>
      <c r="BA60" s="61">
        <f> BA$39</f>
        <v>0.0</v>
      </c>
      <c r="BB60" s="61">
        <f> BB$39</f>
        <v>4463.805875534848</v>
      </c>
      <c r="BC60" s="61">
        <f> BC$39</f>
        <v>7521.637238564551</v>
      </c>
      <c r="BD60" s="61">
        <f> BD$39</f>
        <v>7786.862296074629</v>
      </c>
      <c r="BE60" s="61">
        <f> BE$39</f>
        <v>7627.988950314166</v>
      </c>
      <c r="BF60" s="61">
        <f> BF$39</f>
        <v>7926.412925883229</v>
      </c>
      <c r="BG60" s="61">
        <f> BG$39</f>
        <v>7703.404245475238</v>
      </c>
      <c r="BH60" s="61">
        <f> BH$39</f>
        <v>7569.490087277265</v>
      </c>
      <c r="BI60" s="61">
        <f> BI$39</f>
        <v>8073.785152795242</v>
      </c>
      <c r="BJ60" s="61">
        <f> BJ$39</f>
        <v>7864.656660041153</v>
      </c>
      <c r="BK60" s="61">
        <f> BK$39</f>
        <v>8164.350522971761</v>
      </c>
      <c r="BL60" s="61">
        <f> BL$39</f>
        <v>7920.158988451464</v>
      </c>
      <c r="BM60" s="61">
        <f> BM$39</f>
        <v>7620.27242300577</v>
      </c>
      <c r="BN60" s="61">
        <f> BN$39</f>
        <v>6608.591626340138</v>
      </c>
      <c r="BO60" s="61">
        <f> BO$39</f>
        <v>7263.244034060712</v>
      </c>
      <c r="BP60" s="61">
        <f> BP$39</f>
        <v>6724.544147981963</v>
      </c>
      <c r="BQ60" s="61">
        <f> BQ$39</f>
        <v>6783.166224349965</v>
      </c>
      <c r="BR60" s="61">
        <f> BR$39</f>
        <v>7452.493753972138</v>
      </c>
      <c r="BS60" s="61">
        <f> BS$39</f>
        <v>6901.718014504093</v>
      </c>
      <c r="BT60" s="61">
        <f> BT$39</f>
        <v>8760.135590997805</v>
      </c>
      <c r="BU60" s="61">
        <f> BU$39</f>
        <v>8201.159265343336</v>
      </c>
      <c r="BV60" s="61">
        <f> BV$39</f>
        <v>8890.566620854173</v>
      </c>
      <c r="BW60" s="61">
        <f> BW$39</f>
        <v>8956.508591625765</v>
      </c>
      <c r="BX60" s="61">
        <f> BX$39</f>
        <v>9022.939658727733</v>
      </c>
      <c r="BY60" s="61">
        <f> BY$39</f>
        <v>9089.863449822671</v>
      </c>
      <c r="BZ60" s="61">
        <f> BZ$39</f>
        <v>9157.283619479796</v>
      </c>
      <c r="CA60" s="61">
        <f> CA$39</f>
        <v>9225.203849374539</v>
      </c>
      <c r="CB60" s="61">
        <f> CB$39</f>
        <v>9293.627848489565</v>
      </c>
      <c r="CC60" s="61">
        <f> CC$39</f>
        <v>9362.559353317347</v>
      </c>
      <c r="CD60" s="61">
        <f> CD$39</f>
        <v>9432.002128064189</v>
      </c>
      <c r="CE60" s="61">
        <f> CE$39</f>
        <v>9501.959964855767</v>
      </c>
      <c r="CF60" s="61">
        <f> CF$39</f>
        <v>9572.436683944248</v>
      </c>
      <c r="CG60" s="61">
        <f> CG$39</f>
        <v>9643.436133916866</v>
      </c>
      <c r="CH60" s="61">
        <f> CH$39</f>
        <v>9714.96219190611</v>
      </c>
      <c r="CI60" s="61">
        <f> CI$39</f>
        <v>9787.018763801438</v>
      </c>
      <c r="CJ60" s="61">
        <f> CJ$39</f>
        <v>9859.609784462573</v>
      </c>
      <c r="CK60" s="61">
        <f> CK$39</f>
        <v>9932.73921793437</v>
      </c>
      <c r="CL60" s="61">
        <f> CL$39</f>
        <v>10006.411057663292</v>
      </c>
      <c r="CM60" s="61">
        <f> CM$39</f>
        <v>8269.862836161752</v>
      </c>
      <c r="CN60" s="61">
        <f> CN$39</f>
        <v>1810.7664905536142</v>
      </c>
      <c r="CO60" s="61">
        <f> CO$39</f>
        <v>0.0</v>
      </c>
    </row>
    <row r="61" customFormat="1" s="322">
      <c r="A61" s="318" t="n"/>
      <c r="B61" s="318" t="n"/>
      <c r="C61" s="319" t="n"/>
      <c r="D61" s="320" t="n"/>
      <c r="E61" s="322" t="inlineStr">
        <is>
          <t>Retained earnings balance</t>
        </is>
      </c>
      <c r="F61" s="322" t="inlineStr">
        <is>
          <t>BS</t>
        </is>
      </c>
      <c r="G61" s="322" t="inlineStr">
        <is>
          <t>$ 000s</t>
        </is>
      </c>
      <c r="I61" s="323" t="n"/>
      <c r="J61" s="322">
        <f> IF(J56 = 1, $F55, J58 + J59 - J60)</f>
        <v>0.0</v>
      </c>
      <c r="K61" s="322">
        <f> IF(K56 = 1, $F55, K58 + K59 - K60)</f>
        <v>0.0</v>
      </c>
      <c r="L61" s="322">
        <f> IF(L56 = 1, $F55, L58 + L59 - L60)</f>
        <v>1646.366409097422</v>
      </c>
      <c r="M61" s="322">
        <f> IF(M56 = 1, $F55, M58 + M59 - M60)</f>
        <v>1465.2206488448728</v>
      </c>
      <c r="N61" s="322">
        <f> IF(N56 = 1, $F55, N58 + N59 - N60)</f>
        <v>179.6655296880358</v>
      </c>
      <c r="O61" s="322">
        <f> IF(O56 = 1, $F55, O58 + O59 - O60)</f>
        <v>0.0</v>
      </c>
      <c r="P61" s="322">
        <f> IF(P56 = 1, $F55, P58 + P59 - P60)</f>
        <v>0.0</v>
      </c>
      <c r="Q61" s="322">
        <f> IF(Q56 = 1, $F55, Q58 + Q59 - Q60)</f>
        <v>0.0</v>
      </c>
      <c r="R61" s="322">
        <f> IF(R56 = 1, $F55, R58 + R59 - R60)</f>
        <v>0.0</v>
      </c>
      <c r="S61" s="322">
        <f> IF(S56 = 1, $F55, S58 + S59 - S60)</f>
        <v>0.0</v>
      </c>
      <c r="T61" s="322">
        <f> IF(T56 = 1, $F55, T58 + T59 - T60)</f>
        <v>0.0</v>
      </c>
      <c r="U61" s="322">
        <f> IF(U56 = 1, $F55, U58 + U59 - U60)</f>
        <v>0.0</v>
      </c>
      <c r="V61" s="322">
        <f> IF(V56 = 1, $F55, V58 + V59 - V60)</f>
        <v>0.0</v>
      </c>
      <c r="W61" s="322">
        <f> IF(W56 = 1, $F55, W58 + W59 - W60)</f>
        <v>0.0</v>
      </c>
      <c r="X61" s="322">
        <f> IF(X56 = 1, $F55, X58 + X59 - X60)</f>
        <v>0.0</v>
      </c>
      <c r="Y61" s="322">
        <f> IF(Y56 = 1, $F55, Y58 + Y59 - Y60)</f>
        <v>0.0</v>
      </c>
      <c r="Z61" s="322">
        <f> IF(Z56 = 1, $F55, Z58 + Z59 - Z60)</f>
        <v>0.0</v>
      </c>
      <c r="AA61" s="322">
        <f> IF(AA56 = 1, $F55, AA58 + AA59 - AA60)</f>
        <v>0.0</v>
      </c>
      <c r="AB61" s="322">
        <f> IF(AB56 = 1, $F55, AB58 + AB59 - AB60)</f>
        <v>0.0</v>
      </c>
      <c r="AC61" s="322">
        <f> IF(AC56 = 1, $F55, AC58 + AC59 - AC60)</f>
        <v>0.0</v>
      </c>
      <c r="AD61" s="322">
        <f> IF(AD56 = 1, $F55, AD58 + AD59 - AD60)</f>
        <v>0.0</v>
      </c>
      <c r="AE61" s="322">
        <f> IF(AE56 = 1, $F55, AE58 + AE59 - AE60)</f>
        <v>0.0</v>
      </c>
      <c r="AF61" s="322">
        <f> IF(AF56 = 1, $F55, AF58 + AF59 - AF60)</f>
        <v>0.0</v>
      </c>
      <c r="AG61" s="322">
        <f> IF(AG56 = 1, $F55, AG58 + AG59 - AG60)</f>
        <v>0.0</v>
      </c>
      <c r="AH61" s="322">
        <f> IF(AH56 = 1, $F55, AH58 + AH59 - AH60)</f>
        <v>0.0</v>
      </c>
      <c r="AI61" s="322">
        <f> IF(AI56 = 1, $F55, AI58 + AI59 - AI60)</f>
        <v>0.0</v>
      </c>
      <c r="AJ61" s="322">
        <f> IF(AJ56 = 1, $F55, AJ58 + AJ59 - AJ60)</f>
        <v>0.0</v>
      </c>
      <c r="AK61" s="322">
        <f> IF(AK56 = 1, $F55, AK58 + AK59 - AK60)</f>
        <v>0.0</v>
      </c>
      <c r="AL61" s="322">
        <f> IF(AL56 = 1, $F55, AL58 + AL59 - AL60)</f>
        <v>0.0</v>
      </c>
      <c r="AM61" s="322">
        <f> IF(AM56 = 1, $F55, AM58 + AM59 - AM60)</f>
        <v>0.0</v>
      </c>
      <c r="AN61" s="322">
        <f> IF(AN56 = 1, $F55, AN58 + AN59 - AN60)</f>
        <v>0.0</v>
      </c>
      <c r="AO61" s="322">
        <f> IF(AO56 = 1, $F55, AO58 + AO59 - AO60)</f>
        <v>0.0</v>
      </c>
      <c r="AP61" s="322">
        <f> IF(AP56 = 1, $F55, AP58 + AP59 - AP60)</f>
        <v>0.0</v>
      </c>
      <c r="AQ61" s="322">
        <f> IF(AQ56 = 1, $F55, AQ58 + AQ59 - AQ60)</f>
        <v>0.0</v>
      </c>
      <c r="AR61" s="322">
        <f> IF(AR56 = 1, $F55, AR58 + AR59 - AR60)</f>
        <v>0.0</v>
      </c>
      <c r="AS61" s="322">
        <f> IF(AS56 = 1, $F55, AS58 + AS59 - AS60)</f>
        <v>0.0</v>
      </c>
      <c r="AT61" s="322">
        <f> IF(AT56 = 1, $F55, AT58 + AT59 - AT60)</f>
        <v>14.609753322781216</v>
      </c>
      <c r="AU61" s="322">
        <f> IF(AU56 = 1, $F55, AU58 + AU59 - AU60)</f>
        <v>961.8141010850882</v>
      </c>
      <c r="AV61" s="322">
        <f> IF(AV56 = 1, $F55, AV58 + AV59 - AV60)</f>
        <v>2595.0026776833547</v>
      </c>
      <c r="AW61" s="322">
        <f> IF(AW56 = 1, $F55, AW58 + AW59 - AW60)</f>
        <v>3998.052314989248</v>
      </c>
      <c r="AX61" s="322">
        <f> IF(AX56 = 1, $F55, AX58 + AX59 - AX60)</f>
        <v>2697.916461225692</v>
      </c>
      <c r="AY61" s="322">
        <f> IF(AY56 = 1, $F55, AY58 + AY59 - AY60)</f>
        <v>958.6191068725047</v>
      </c>
      <c r="AZ61" s="322">
        <f> IF(AZ56 = 1, $F55, AZ58 + AZ59 - AZ60)</f>
        <v>6933.92476854509</v>
      </c>
      <c r="BA61" s="322">
        <f> IF(BA56 = 1, $F55, BA58 + BA59 - BA60)</f>
        <v>12556.40529007943</v>
      </c>
      <c r="BB61" s="322">
        <f> IF(BB56 = 1, $F55, BB58 + BB59 - BB60)</f>
        <v>14437.471575818536</v>
      </c>
      <c r="BC61" s="322">
        <f> IF(BC56 = 1, $F55, BC58 + BC59 - BC60)</f>
        <v>12828.933767204835</v>
      </c>
      <c r="BD61" s="322">
        <f> IF(BD56 = 1, $F55, BD58 + BD59 - BD60)</f>
        <v>11576.214157189948</v>
      </c>
      <c r="BE61" s="322">
        <f> IF(BE56 = 1, $F55, BE58 + BE59 - BE60)</f>
        <v>9985.72466750003</v>
      </c>
      <c r="BF61" s="322">
        <f> IF(BF56 = 1, $F55, BF58 + BF59 - BF60)</f>
        <v>8709.340708350235</v>
      </c>
      <c r="BG61" s="322">
        <f> IF(BG56 = 1, $F55, BG58 + BG59 - BG60)</f>
        <v>7151.927605460183</v>
      </c>
      <c r="BH61" s="322">
        <f> IF(BH56 = 1, $F55, BH58 + BH59 - BH60)</f>
        <v>5818.278762992297</v>
      </c>
      <c r="BI61" s="322">
        <f> IF(BI56 = 1, $F55, BI58 + BI59 - BI60)</f>
        <v>4606.5952281596665</v>
      </c>
      <c r="BJ61" s="322">
        <f> IF(BJ56 = 1, $F55, BJ58 + BJ59 - BJ60)</f>
        <v>3088.703516278054</v>
      </c>
      <c r="BK61" s="322">
        <f> IF(BK56 = 1, $F55, BK58 + BK59 - BK60)</f>
        <v>1906.7028033304687</v>
      </c>
      <c r="BL61" s="322">
        <f> IF(BL56 = 1, $F55, BL58 + BL59 - BL60)</f>
        <v>480.8840267684727</v>
      </c>
      <c r="BM61" s="322">
        <f> IF(BM56 = 1, $F55, BM58 + BM59 - BM60)</f>
        <v>0.0</v>
      </c>
      <c r="BN61" s="322">
        <f> IF(BN56 = 1, $F55, BN58 + BN59 - BN60)</f>
        <v>0.0</v>
      </c>
      <c r="BO61" s="322">
        <f> IF(BO56 = 1, $F55, BO58 + BO59 - BO60)</f>
        <v>0.0</v>
      </c>
      <c r="BP61" s="322">
        <f> IF(BP56 = 1, $F55, BP58 + BP59 - BP60)</f>
        <v>0.0</v>
      </c>
      <c r="BQ61" s="322">
        <f> IF(BQ56 = 1, $F55, BQ58 + BQ59 - BQ60)</f>
        <v>0.0</v>
      </c>
      <c r="BR61" s="322">
        <f> IF(BR56 = 1, $F55, BR58 + BR59 - BR60)</f>
        <v>0.0</v>
      </c>
      <c r="BS61" s="322">
        <f> IF(BS56 = 1, $F55, BS58 + BS59 - BS60)</f>
        <v>0.0</v>
      </c>
      <c r="BT61" s="322">
        <f> IF(BT56 = 1, $F55, BT58 + BT59 - BT60)</f>
        <v>0.0</v>
      </c>
      <c r="BU61" s="322">
        <f> IF(BU56 = 1, $F55, BU58 + BU59 - BU60)</f>
        <v>0.0</v>
      </c>
      <c r="BV61" s="322">
        <f> IF(BV56 = 1, $F55, BV58 + BV59 - BV60)</f>
        <v>0.0</v>
      </c>
      <c r="BW61" s="322">
        <f> IF(BW56 = 1, $F55, BW58 + BW59 - BW60)</f>
        <v>0.0</v>
      </c>
      <c r="BX61" s="322">
        <f> IF(BX56 = 1, $F55, BX58 + BX59 - BX60)</f>
        <v>0.0</v>
      </c>
      <c r="BY61" s="322">
        <f> IF(BY56 = 1, $F55, BY58 + BY59 - BY60)</f>
        <v>0.0</v>
      </c>
      <c r="BZ61" s="322">
        <f> IF(BZ56 = 1, $F55, BZ58 + BZ59 - BZ60)</f>
        <v>0.0</v>
      </c>
      <c r="CA61" s="322">
        <f> IF(CA56 = 1, $F55, CA58 + CA59 - CA60)</f>
        <v>0.0</v>
      </c>
      <c r="CB61" s="322">
        <f> IF(CB56 = 1, $F55, CB58 + CB59 - CB60)</f>
        <v>0.0</v>
      </c>
      <c r="CC61" s="322">
        <f> IF(CC56 = 1, $F55, CC58 + CC59 - CC60)</f>
        <v>0.0</v>
      </c>
      <c r="CD61" s="322">
        <f> IF(CD56 = 1, $F55, CD58 + CD59 - CD60)</f>
        <v>0.0</v>
      </c>
      <c r="CE61" s="322">
        <f> IF(CE56 = 1, $F55, CE58 + CE59 - CE60)</f>
        <v>0.0</v>
      </c>
      <c r="CF61" s="322">
        <f> IF(CF56 = 1, $F55, CF58 + CF59 - CF60)</f>
        <v>0.0</v>
      </c>
      <c r="CG61" s="322">
        <f> IF(CG56 = 1, $F55, CG58 + CG59 - CG60)</f>
        <v>0.0</v>
      </c>
      <c r="CH61" s="322">
        <f> IF(CH56 = 1, $F55, CH58 + CH59 - CH60)</f>
        <v>0.0</v>
      </c>
      <c r="CI61" s="322">
        <f> IF(CI56 = 1, $F55, CI58 + CI59 - CI60)</f>
        <v>0.0</v>
      </c>
      <c r="CJ61" s="322">
        <f> IF(CJ56 = 1, $F55, CJ58 + CJ59 - CJ60)</f>
        <v>0.0</v>
      </c>
      <c r="CK61" s="322">
        <f> IF(CK56 = 1, $F55, CK58 + CK59 - CK60)</f>
        <v>0.0</v>
      </c>
      <c r="CL61" s="322">
        <f> IF(CL56 = 1, $F55, CL58 + CL59 - CL60)</f>
        <v>0.0</v>
      </c>
      <c r="CM61" s="322">
        <f> IF(CM56 = 1, $F55, CM58 + CM59 - CM60)</f>
        <v>1810.7664905537276</v>
      </c>
      <c r="CN61" s="322">
        <f> IF(CN56 = 1, $F55, CN58 + CN59 - CN60)</f>
        <v>1.1459633242338896e-10</v>
      </c>
      <c r="CO61" s="322">
        <f> IF(CO56 = 1, $F55, CO58 + CO59 - CO60)</f>
        <v>1.1583110703686594e-10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7.xml><?xml version="1.0" encoding="utf-8"?>
<worksheet xmlns="http://schemas.openxmlformats.org/spreadsheetml/2006/main">
  <sheetPr>
    <tabColor rgb="00141B4D"/>
    <outlinePr summaryBelow="0" summaryRight="0"/>
    <pageSetUpPr/>
  </sheetPr>
  <dimension ref="A1:CO102"/>
  <sheetViews>
    <sheetView showGridLines="0" defaultGridColor="0" colorId="22" zoomScale="110" zoomScaleNormal="110" workbookViewId="0">
      <pane xSplit="9" ySplit="5" topLeftCell="J20" activePane="bottomRight" state="frozen"/>
      <selection activeCell="F2" sqref="F2:G4"/>
      <selection pane="topRight" activeCell="F2" sqref="F2:G4"/>
      <selection pane="bottomLeft" activeCell="F2" sqref="F2:G4"/>
      <selection pane="bottomRight" activeCell="E20" sqref="E20:CO20"/>
    </sheetView>
  </sheetViews>
  <sheetFormatPr baseColWidth="10" defaultColWidth="0" defaultRowHeight="13"/>
  <cols>
    <col width="1.1640625" customWidth="1" style="163" min="1" max="2"/>
    <col width="1.1640625" customWidth="1" style="172" min="3" max="3"/>
    <col width="1.1640625" customWidth="1" style="88" min="4" max="4"/>
    <col width="40.83203125" customWidth="1" style="169" min="5" max="5"/>
    <col width="12.83203125" customWidth="1" style="169" min="6" max="6"/>
    <col width="11.6640625" customWidth="1" style="169" min="7" max="8"/>
    <col width="2.6640625" customWidth="1" style="169" min="9" max="9"/>
    <col width="11.6640625" customWidth="1" style="169" min="10" max="93"/>
  </cols>
  <sheetData>
    <row r="1" ht="25" customHeight="1" s="396">
      <c r="A1" s="165">
        <f> RIGHT(CELL("filename", A1), LEN(CELL("filename", A1)) - SEARCH("]", CELL("filename", A1)))</f>
        <v/>
      </c>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163" t="inlineStr">
        <is>
          <t>INCOME STATEMENT</t>
        </is>
      </c>
    </row>
    <row r="9" customFormat="1" s="169">
      <c r="A9" s="163" t="n"/>
      <c r="B9" s="163" t="n"/>
      <c r="C9" s="172" t="n"/>
      <c r="D9" s="88" t="n"/>
      <c r="E9" s="308" t="str">
        <f> OpRev!E$42</f>
        <v>Operating revenue</v>
      </c>
      <c r="F9" s="308" t="str">
        <f> OpRev!F$42</f>
        <v>IS</v>
      </c>
      <c r="G9" s="308" t="str">
        <f> OpRev!G$42</f>
        <v>$ 000s</v>
      </c>
      <c r="H9" s="308">
        <f> OpRev!H$42</f>
        <v>1941568.6331634293</v>
      </c>
      <c r="I9" s="308">
        <f> OpRev!I$42</f>
        <v>0.0</v>
      </c>
      <c r="J9" s="308">
        <f> OpRev!J$42</f>
        <v>0.0</v>
      </c>
      <c r="K9" s="308">
        <f> OpRev!K$42</f>
        <v>0.0</v>
      </c>
      <c r="L9" s="308">
        <f> OpRev!L$42</f>
        <v>15701.746478449233</v>
      </c>
      <c r="M9" s="308">
        <f> OpRev!M$42</f>
        <v>15185.266327468535</v>
      </c>
      <c r="N9" s="308">
        <f> OpRev!N$42</f>
        <v>16270.807740180759</v>
      </c>
      <c r="O9" s="308">
        <f> OpRev!O$42</f>
        <v>15679.20783</v>
      </c>
      <c r="P9" s="308">
        <f> OpRev!P$42</f>
        <v>16757.744045228592</v>
      </c>
      <c r="Q9" s="308">
        <f> OpRev!Q$42</f>
        <v>16066.407068325823</v>
      </c>
      <c r="R9" s="308">
        <f> OpRev!R$42</f>
        <v>17171.577818001006</v>
      </c>
      <c r="S9" s="308">
        <f> OpRev!S$42</f>
        <v>16463.168221500004</v>
      </c>
      <c r="T9" s="308">
        <f> OpRev!T$42</f>
        <v>17865.79912725487</v>
      </c>
      <c r="U9" s="308">
        <f> OpRev!U$42</f>
        <v>17087.449609583564</v>
      </c>
      <c r="V9" s="308">
        <f> OpRev!V$42</f>
        <v>18219.611675160308</v>
      </c>
      <c r="W9" s="308">
        <f> OpRev!W$42</f>
        <v>17425.84779936</v>
      </c>
      <c r="X9" s="308">
        <f> OpRev!X$42</f>
        <v>18535.604635315492</v>
      </c>
      <c r="Y9" s="308">
        <f> OpRev!Y$42</f>
        <v>17685.30397455055</v>
      </c>
      <c r="Z9" s="308">
        <f> OpRev!Z$42</f>
        <v>18811.584153723765</v>
      </c>
      <c r="AA9" s="308">
        <f> OpRev!AA$42</f>
        <v>17948.623233340793</v>
      </c>
      <c r="AB9" s="308">
        <f> OpRev!AB$42</f>
        <v>19091.672774374954</v>
      </c>
      <c r="AC9" s="308">
        <f> OpRev!AC$42</f>
        <v>18215.863093787062</v>
      </c>
      <c r="AD9" s="308">
        <f> OpRev!AD$42</f>
        <v>20053.137538301045</v>
      </c>
      <c r="AE9" s="308">
        <f> OpRev!AE$42</f>
        <v>19132.433445349216</v>
      </c>
      <c r="AF9" s="308">
        <f> OpRev!AF$42</f>
        <v>20351.71184160976</v>
      </c>
      <c r="AG9" s="308">
        <f> OpRev!AG$42</f>
        <v>19417.299241319288</v>
      </c>
      <c r="AH9" s="308">
        <f> OpRev!AH$42</f>
        <v>20654.73166445007</v>
      </c>
      <c r="AI9" s="308">
        <f> OpRev!AI$42</f>
        <v>19706.406448709684</v>
      </c>
      <c r="AJ9" s="308">
        <f> OpRev!AJ$42</f>
        <v>20962.263196858046</v>
      </c>
      <c r="AK9" s="308">
        <f> OpRev!AK$42</f>
        <v>19999.818218558856</v>
      </c>
      <c r="AL9" s="308">
        <f> OpRev!AL$42</f>
        <v>21274.373614383563</v>
      </c>
      <c r="AM9" s="308">
        <f> OpRev!AM$42</f>
        <v>20982.252064443164</v>
      </c>
      <c r="AN9" s="308">
        <f> OpRev!AN$42</f>
        <v>22320.275869803158</v>
      </c>
      <c r="AO9" s="308">
        <f> OpRev!AO$42</f>
        <v>21294.660099346598</v>
      </c>
      <c r="AP9" s="308">
        <f> OpRev!AP$42</f>
        <v>22652.605950557663</v>
      </c>
      <c r="AQ9" s="308">
        <f> OpRev!AQ$42</f>
        <v>21611.71962637645</v>
      </c>
      <c r="AR9" s="308">
        <f> OpRev!AR$42</f>
        <v>22989.884145897246</v>
      </c>
      <c r="AS9" s="308">
        <f> OpRev!AS$42</f>
        <v>21933.49990232699</v>
      </c>
      <c r="AT9" s="308">
        <f> OpRev!AT$42</f>
        <v>23332.184129074387</v>
      </c>
      <c r="AU9" s="308">
        <f> OpRev!AU$42</f>
        <v>22260.071215167736</v>
      </c>
      <c r="AV9" s="308">
        <f> OpRev!AV$42</f>
        <v>23679.580670274154</v>
      </c>
      <c r="AW9" s="308">
        <f> OpRev!AW$42</f>
        <v>22591.50489939679</v>
      </c>
      <c r="AX9" s="308">
        <f> OpRev!AX$42</f>
        <v>24923.9132405427</v>
      </c>
      <c r="AY9" s="308">
        <f> OpRev!AY$42</f>
        <v>23783.500397747724</v>
      </c>
      <c r="AZ9" s="308">
        <f> OpRev!AZ$42</f>
        <v>25295.009285603406</v>
      </c>
      <c r="BA9" s="308">
        <f> OpRev!BA$42</f>
        <v>24137.616657506926</v>
      </c>
      <c r="BB9" s="308">
        <f> OpRev!BB$42</f>
        <v>25671.63063775897</v>
      </c>
      <c r="BC9" s="308">
        <f> OpRev!BC$42</f>
        <v>24497.005409680147</v>
      </c>
      <c r="BD9" s="308">
        <f> OpRev!BD$42</f>
        <v>26053.8595641715</v>
      </c>
      <c r="BE9" s="308">
        <f> OpRev!BE$42</f>
        <v>24861.74515723213</v>
      </c>
      <c r="BF9" s="308">
        <f> OpRev!BF$42</f>
        <v>26441.779556891735</v>
      </c>
      <c r="BG9" s="308">
        <f> OpRev!BG$42</f>
        <v>25231.915571970545</v>
      </c>
      <c r="BH9" s="308">
        <f> OpRev!BH$42</f>
        <v>25419.062500857544</v>
      </c>
      <c r="BI9" s="308">
        <f> OpRev!BI$42</f>
        <v>27034.5159979653</v>
      </c>
      <c r="BJ9" s="308">
        <f> OpRev!BJ$42</f>
        <v>25797.530900750502</v>
      </c>
      <c r="BK9" s="308">
        <f> OpRev!BK$42</f>
        <v>27437.037137810064</v>
      </c>
      <c r="BL9" s="308">
        <f> OpRev!BL$42</f>
        <v>26181.634375883263</v>
      </c>
      <c r="BM9" s="308">
        <f> OpRev!BM$42</f>
        <v>27845.55147790425</v>
      </c>
      <c r="BN9" s="308">
        <f> OpRev!BN$42</f>
        <v>26571.45682777301</v>
      </c>
      <c r="BO9" s="308">
        <f> OpRev!BO$42</f>
        <v>28260.14825194436</v>
      </c>
      <c r="BP9" s="308">
        <f> OpRev!BP$42</f>
        <v>26967.083407159753</v>
      </c>
      <c r="BQ9" s="308">
        <f> OpRev!BQ$42</f>
        <v>27167.100200426765</v>
      </c>
      <c r="BR9" s="308">
        <f> OpRev!BR$42</f>
        <v>28893.64644986361</v>
      </c>
      <c r="BS9" s="308">
        <f> OpRev!BS$42</f>
        <v>27571.59540721263</v>
      </c>
      <c r="BT9" s="308">
        <f> OpRev!BT$42</f>
        <v>29323.848473977745</v>
      </c>
      <c r="BU9" s="308">
        <f> OpRev!BU$42</f>
        <v>27982.11320643956</v>
      </c>
      <c r="BV9" s="308">
        <f> OpRev!BV$42</f>
        <v>29760.455843359505</v>
      </c>
      <c r="BW9" s="308">
        <f> OpRev!BW$42</f>
        <v>29981.191280487754</v>
      </c>
      <c r="BX9" s="308">
        <f> OpRev!BX$42</f>
        <v>30203.56392819707</v>
      </c>
      <c r="BY9" s="308">
        <f> OpRev!BY$42</f>
        <v>30427.585929795852</v>
      </c>
      <c r="BZ9" s="308">
        <f> OpRev!BZ$42</f>
        <v>30653.269518660283</v>
      </c>
      <c r="CA9" s="308">
        <f> OpRev!CA$42</f>
        <v>30880.627018902378</v>
      </c>
      <c r="CB9" s="308">
        <f> OpRev!CB$42</f>
        <v>31109.670846042973</v>
      </c>
      <c r="CC9" s="308">
        <f> OpRev!CC$42</f>
        <v>31340.41350768972</v>
      </c>
      <c r="CD9" s="308">
        <f> OpRev!CD$42</f>
        <v>31572.867604220082</v>
      </c>
      <c r="CE9" s="308">
        <f> OpRev!CE$42</f>
        <v>31807.045829469436</v>
      </c>
      <c r="CF9" s="308">
        <f> OpRev!CF$42</f>
        <v>32042.960971424254</v>
      </c>
      <c r="CG9" s="308">
        <f> OpRev!CG$42</f>
        <v>32280.6259129204</v>
      </c>
      <c r="CH9" s="308">
        <f> OpRev!CH$42</f>
        <v>32520.053632346677</v>
      </c>
      <c r="CI9" s="308">
        <f> OpRev!CI$42</f>
        <v>32761.25720435351</v>
      </c>
      <c r="CJ9" s="308">
        <f> OpRev!CJ$42</f>
        <v>33004.24980056697</v>
      </c>
      <c r="CK9" s="308">
        <f> OpRev!CK$42</f>
        <v>33249.044690308</v>
      </c>
      <c r="CL9" s="308">
        <f> OpRev!CL$42</f>
        <v>33495.655241317065</v>
      </c>
      <c r="CM9" s="308">
        <f> OpRev!CM$42</f>
        <v>33744.09492048411</v>
      </c>
      <c r="CN9" s="308">
        <f> OpRev!CN$42</f>
        <v>0.0</v>
      </c>
      <c r="CO9" s="308">
        <f> OpRev!CO$42</f>
        <v>0.0</v>
      </c>
    </row>
    <row r="10" customFormat="1" s="169">
      <c r="A10" s="163" t="n"/>
      <c r="B10" s="163" t="n"/>
      <c r="C10" s="172" t="n"/>
      <c r="D10" s="88" t="n"/>
      <c r="E10" s="117" t="str">
        <f> OpCost!E$39</f>
        <v>Operating cost</v>
      </c>
      <c r="F10" s="117" t="str">
        <f> OpCost!F$39</f>
        <v>IS</v>
      </c>
      <c r="G10" s="117" t="str">
        <f> OpCost!G$39</f>
        <v>$ 000s</v>
      </c>
      <c r="H10" s="117">
        <f> OpCost!H$39</f>
        <v>-1152373.432337585</v>
      </c>
      <c r="I10" s="117">
        <f> OpCost!I$39</f>
        <v>0.0</v>
      </c>
      <c r="J10" s="117">
        <f> OpCost!J$39</f>
        <v>-0.0</v>
      </c>
      <c r="K10" s="117">
        <f> OpCost!K$39</f>
        <v>-0.0</v>
      </c>
      <c r="L10" s="117">
        <f> OpCost!L$39</f>
        <v>-10059.121375069928</v>
      </c>
      <c r="M10" s="117">
        <f> OpCost!M$39</f>
        <v>-9938.509050163299</v>
      </c>
      <c r="N10" s="117">
        <f> OpCost!N$39</f>
        <v>-10500.907630137393</v>
      </c>
      <c r="O10" s="117">
        <f> OpCost!O$39</f>
        <v>-10294.313666666665</v>
      </c>
      <c r="P10" s="117">
        <f> OpCost!P$39</f>
        <v>-10848.510063957356</v>
      </c>
      <c r="Q10" s="117">
        <f> OpCost!Q$39</f>
        <v>-10548.532531167835</v>
      </c>
      <c r="R10" s="117">
        <f> OpCost!R$39</f>
        <v>-11116.414850938825</v>
      </c>
      <c r="S10" s="117">
        <f> OpCost!S$39</f>
        <v>-10809.02935</v>
      </c>
      <c r="T10" s="117">
        <f> OpCost!T$39</f>
        <v>-11363.716888629026</v>
      </c>
      <c r="U10" s="117">
        <f> OpCost!U$39</f>
        <v>-11023.090315729425</v>
      </c>
      <c r="V10" s="117">
        <f> OpCost!V$39</f>
        <v>-11588.762832412656</v>
      </c>
      <c r="W10" s="117">
        <f> OpCost!W$39</f>
        <v>-11241.390524</v>
      </c>
      <c r="X10" s="117">
        <f> OpCost!X$39</f>
        <v>-11789.75325620654</v>
      </c>
      <c r="Y10" s="117">
        <f> OpCost!Y$39</f>
        <v>-11408.765346893117</v>
      </c>
      <c r="Z10" s="117">
        <f> OpCost!Z$39</f>
        <v>-11965.292737643309</v>
      </c>
      <c r="AA10" s="117">
        <f> OpCost!AA$39</f>
        <v>-11578.632239719997</v>
      </c>
      <c r="AB10" s="117">
        <f> OpCost!AB$39</f>
        <v>-12143.445853892736</v>
      </c>
      <c r="AC10" s="117">
        <f> OpCost!AC$39</f>
        <v>-11751.028307299908</v>
      </c>
      <c r="AD10" s="117">
        <f> OpCost!AD$39</f>
        <v>-12324.251519772608</v>
      </c>
      <c r="AE10" s="117">
        <f> OpCost!AE$39</f>
        <v>-11925.991206911593</v>
      </c>
      <c r="AF10" s="117">
        <f> OpCost!AF$39</f>
        <v>-12507.749229509513</v>
      </c>
      <c r="AG10" s="117">
        <f> OpCost!AG$39</f>
        <v>-12103.559156518902</v>
      </c>
      <c r="AH10" s="117">
        <f> OpCost!AH$39</f>
        <v>-12693.97906536578</v>
      </c>
      <c r="AI10" s="117">
        <f> OpCost!AI$39</f>
        <v>-12283.770943118936</v>
      </c>
      <c r="AJ10" s="117">
        <f> OpCost!AJ$39</f>
        <v>-12882.981706394796</v>
      </c>
      <c r="AK10" s="117">
        <f> OpCost!AK$39</f>
        <v>-12466.665931214466</v>
      </c>
      <c r="AL10" s="117">
        <f> OpCost!AL$39</f>
        <v>-13074.798437326746</v>
      </c>
      <c r="AM10" s="117">
        <f> OpCost!AM$39</f>
        <v>-12652.2840714125</v>
      </c>
      <c r="AN10" s="117">
        <f> OpCost!AN$39</f>
        <v>-13269.471157586635</v>
      </c>
      <c r="AO10" s="117">
        <f> OpCost!AO$39</f>
        <v>-12840.665909150894</v>
      </c>
      <c r="AP10" s="117">
        <f> OpCost!AP$39</f>
        <v>-13467.042390446544</v>
      </c>
      <c r="AQ10" s="117">
        <f> OpCost!AQ$39</f>
        <v>-13031.85259355487</v>
      </c>
      <c r="AR10" s="117">
        <f> OpCost!AR$39</f>
        <v>-13667.55529231423</v>
      </c>
      <c r="AS10" s="117">
        <f> OpCost!AS$39</f>
        <v>-13225.885886425416</v>
      </c>
      <c r="AT10" s="117">
        <f> OpCost!AT$39</f>
        <v>-13871.053662159937</v>
      </c>
      <c r="AU10" s="117">
        <f> OpCost!AU$39</f>
        <v>-13422.808171361512</v>
      </c>
      <c r="AV10" s="117">
        <f> OpCost!AV$39</f>
        <v>-14077.58195108365</v>
      </c>
      <c r="AW10" s="117">
        <f> OpCost!AW$39</f>
        <v>-13622.662463018176</v>
      </c>
      <c r="AX10" s="117">
        <f> OpCost!AX$39</f>
        <v>-14287.18527202473</v>
      </c>
      <c r="AY10" s="117">
        <f> OpCost!AY$39</f>
        <v>-13825.492416502351</v>
      </c>
      <c r="AZ10" s="117">
        <f> OpCost!AZ$39</f>
        <v>-14499.909409616155</v>
      </c>
      <c r="BA10" s="117">
        <f> OpCost!BA$39</f>
        <v>-14031.342336908714</v>
      </c>
      <c r="BB10" s="117">
        <f> OpCost!BB$39</f>
        <v>-14715.800830185466</v>
      </c>
      <c r="BC10" s="117">
        <f> OpCost!BC$39</f>
        <v>-14240.257188997417</v>
      </c>
      <c r="BD10" s="117">
        <f> OpCost!BD$39</f>
        <v>-14934.906691904634</v>
      </c>
      <c r="BE10" s="117">
        <f> OpCost!BE$39</f>
        <v>-14452.282607015972</v>
      </c>
      <c r="BF10" s="117">
        <f> OpCost!BF$39</f>
        <v>-15157.274855091027</v>
      </c>
      <c r="BG10" s="117">
        <f> OpCost!BG$39</f>
        <v>-14667.464904667335</v>
      </c>
      <c r="BH10" s="117">
        <f> OpCost!BH$39</f>
        <v>-14776.25454466263</v>
      </c>
      <c r="BI10" s="117">
        <f> OpCost!BI$39</f>
        <v>-15497.050365837194</v>
      </c>
      <c r="BJ10" s="117">
        <f> OpCost!BJ$39</f>
        <v>-14996.260511198212</v>
      </c>
      <c r="BK10" s="117">
        <f> OpCost!BK$39</f>
        <v>-15727.788374165439</v>
      </c>
      <c r="BL10" s="117">
        <f> OpCost!BL$39</f>
        <v>-15219.542181002504</v>
      </c>
      <c r="BM10" s="117">
        <f> OpCost!BM$39</f>
        <v>-15961.961876812307</v>
      </c>
      <c r="BN10" s="117">
        <f> OpCost!BN$39</f>
        <v>-15446.148326534154</v>
      </c>
      <c r="BO10" s="117">
        <f> OpCost!BO$39</f>
        <v>-16199.622025390398</v>
      </c>
      <c r="BP10" s="117">
        <f> OpCost!BP$39</f>
        <v>-15676.128446432574</v>
      </c>
      <c r="BQ10" s="117">
        <f> OpCost!BQ$39</f>
        <v>-15792.399416316726</v>
      </c>
      <c r="BR10" s="117">
        <f> OpCost!BR$39</f>
        <v>-16562.763480579037</v>
      </c>
      <c r="BS10" s="117">
        <f> OpCost!BS$39</f>
        <v>-16027.534922882409</v>
      </c>
      <c r="BT10" s="117">
        <f> OpCost!BT$39</f>
        <v>-16809.3690582666</v>
      </c>
      <c r="BU10" s="117">
        <f> OpCost!BU$39</f>
        <v>-16266.171398806224</v>
      </c>
      <c r="BV10" s="117">
        <f> OpCost!BV$39</f>
        <v>-17059.646384996402</v>
      </c>
      <c r="BW10" s="117">
        <f> OpCost!BW$39</f>
        <v>-17186.179006736664</v>
      </c>
      <c r="BX10" s="117">
        <f> OpCost!BX$39</f>
        <v>-17313.650130014594</v>
      </c>
      <c r="BY10" s="117">
        <f> OpCost!BY$39</f>
        <v>-17442.066715763467</v>
      </c>
      <c r="BZ10" s="117">
        <f> OpCost!BZ$39</f>
        <v>-17571.435776546292</v>
      </c>
      <c r="CA10" s="117">
        <f> OpCost!CA$39</f>
        <v>-17701.764376938754</v>
      </c>
      <c r="CB10" s="117">
        <f> OpCost!CB$39</f>
        <v>-17833.059633915025</v>
      </c>
      <c r="CC10" s="117">
        <f> OpCost!CC$39</f>
        <v>-17965.328717236367</v>
      </c>
      <c r="CD10" s="117">
        <f> OpCost!CD$39</f>
        <v>-18098.578849842674</v>
      </c>
      <c r="CE10" s="117">
        <f> OpCost!CE$39</f>
        <v>-18232.817308246915</v>
      </c>
      <c r="CF10" s="117">
        <f> OpCost!CF$39</f>
        <v>-18368.051422932473</v>
      </c>
      <c r="CG10" s="117">
        <f> OpCost!CG$39</f>
        <v>-18504.28857875345</v>
      </c>
      <c r="CH10" s="117">
        <f> OpCost!CH$39</f>
        <v>-18641.53621533795</v>
      </c>
      <c r="CI10" s="117">
        <f> OpCost!CI$39</f>
        <v>-18779.801827494317</v>
      </c>
      <c r="CJ10" s="117">
        <f> OpCost!CJ$39</f>
        <v>-18919.09296562044</v>
      </c>
      <c r="CK10" s="117">
        <f> OpCost!CK$39</f>
        <v>-19059.417236116045</v>
      </c>
      <c r="CL10" s="117">
        <f> OpCost!CL$39</f>
        <v>-19200.782301798077</v>
      </c>
      <c r="CM10" s="117">
        <f> OpCost!CM$39</f>
        <v>-19343.19588231914</v>
      </c>
      <c r="CN10" s="117">
        <f> OpCost!CN$39</f>
        <v>-0.0</v>
      </c>
      <c r="CO10" s="117">
        <f> OpCost!CO$39</f>
        <v>-0.0</v>
      </c>
    </row>
    <row r="11" customFormat="1" s="150">
      <c r="A11" s="348" t="n"/>
      <c r="B11" s="348" t="n"/>
      <c r="C11" s="349" t="n"/>
      <c r="D11" s="193" t="n"/>
      <c r="E11" s="366" t="inlineStr">
        <is>
          <t>EBITDA</t>
        </is>
      </c>
      <c r="F11" s="366" t="n"/>
      <c r="G11" s="366" t="inlineStr">
        <is>
          <t>$ 000s</t>
        </is>
      </c>
      <c r="H11" s="366">
        <f> SUM(J11:CO11)</f>
        <v>789195.2008258444</v>
      </c>
      <c r="I11" s="366" t="n"/>
      <c r="J11" s="366">
        <f>SUM(J9:J10)</f>
        <v>0.0</v>
      </c>
      <c r="K11" s="366">
        <f>SUM(K9:K10)</f>
        <v>0.0</v>
      </c>
      <c r="L11" s="366">
        <f>SUM(L9:L10)</f>
        <v>5642.625103379305</v>
      </c>
      <c r="M11" s="366">
        <f>SUM(M9:M10)</f>
        <v>5246.757277305236</v>
      </c>
      <c r="N11" s="366">
        <f>SUM(N9:N10)</f>
        <v>5769.900110043365</v>
      </c>
      <c r="O11" s="366">
        <f>SUM(O9:O10)</f>
        <v>5384.894163333334</v>
      </c>
      <c r="P11" s="366">
        <f>SUM(P9:P10)</f>
        <v>5909.233981271236</v>
      </c>
      <c r="Q11" s="366">
        <f>SUM(Q9:Q10)</f>
        <v>5517.874537157988</v>
      </c>
      <c r="R11" s="366">
        <f>SUM(R9:R10)</f>
        <v>6055.1629670621805</v>
      </c>
      <c r="S11" s="366">
        <f>SUM(S9:S10)</f>
        <v>5654.138871500003</v>
      </c>
      <c r="T11" s="366">
        <f>SUM(T9:T10)</f>
        <v>6502.082238625846</v>
      </c>
      <c r="U11" s="366">
        <f>SUM(U9:U10)</f>
        <v>6064.359293854139</v>
      </c>
      <c r="V11" s="366">
        <f>SUM(V9:V10)</f>
        <v>6630.848842747651</v>
      </c>
      <c r="W11" s="366">
        <f>SUM(W9:W10)</f>
        <v>6184.457275359999</v>
      </c>
      <c r="X11" s="366">
        <f>SUM(X9:X10)</f>
        <v>6745.851379108952</v>
      </c>
      <c r="Y11" s="366">
        <f>SUM(Y9:Y10)</f>
        <v>6276.538627657432</v>
      </c>
      <c r="Z11" s="366">
        <f>SUM(Z9:Z10)</f>
        <v>6846.291416080456</v>
      </c>
      <c r="AA11" s="366">
        <f>SUM(AA9:AA10)</f>
        <v>6369.990993620797</v>
      </c>
      <c r="AB11" s="366">
        <f>SUM(AB9:AB10)</f>
        <v>6948.226920482219</v>
      </c>
      <c r="AC11" s="366">
        <f>SUM(AC9:AC10)</f>
        <v>6464.834786487154</v>
      </c>
      <c r="AD11" s="366">
        <f>SUM(AD9:AD10)</f>
        <v>7728.8860185284375</v>
      </c>
      <c r="AE11" s="366">
        <f>SUM(AE9:AE10)</f>
        <v>7206.442238437623</v>
      </c>
      <c r="AF11" s="366">
        <f>SUM(AF9:AF10)</f>
        <v>7843.962612100246</v>
      </c>
      <c r="AG11" s="366">
        <f>SUM(AG9:AG10)</f>
        <v>7313.740084800385</v>
      </c>
      <c r="AH11" s="366">
        <f>SUM(AH9:AH10)</f>
        <v>7960.752599084291</v>
      </c>
      <c r="AI11" s="366">
        <f>SUM(AI9:AI10)</f>
        <v>7422.635505590748</v>
      </c>
      <c r="AJ11" s="366">
        <f>SUM(AJ9:AJ10)</f>
        <v>8079.2814904632505</v>
      </c>
      <c r="AK11" s="366">
        <f>SUM(AK9:AK10)</f>
        <v>7533.15228734439</v>
      </c>
      <c r="AL11" s="366">
        <f>SUM(AL9:AL10)</f>
        <v>8199.575177056817</v>
      </c>
      <c r="AM11" s="366">
        <f>SUM(AM9:AM10)</f>
        <v>8329.967993030665</v>
      </c>
      <c r="AN11" s="366">
        <f>SUM(AN9:AN10)</f>
        <v>9050.804712216523</v>
      </c>
      <c r="AO11" s="366">
        <f>SUM(AO9:AO10)</f>
        <v>8453.994190195705</v>
      </c>
      <c r="AP11" s="366">
        <f>SUM(AP9:AP10)</f>
        <v>9185.563560111119</v>
      </c>
      <c r="AQ11" s="366">
        <f>SUM(AQ9:AQ10)</f>
        <v>8579.86703282158</v>
      </c>
      <c r="AR11" s="366">
        <f>SUM(AR9:AR10)</f>
        <v>9322.328853583016</v>
      </c>
      <c r="AS11" s="366">
        <f>SUM(AS9:AS10)</f>
        <v>8707.614015901572</v>
      </c>
      <c r="AT11" s="366">
        <f>SUM(AT9:AT10)</f>
        <v>9461.13046691445</v>
      </c>
      <c r="AU11" s="366">
        <f>SUM(AU9:AU10)</f>
        <v>8837.263043806224</v>
      </c>
      <c r="AV11" s="366">
        <f>SUM(AV9:AV10)</f>
        <v>9601.998719190504</v>
      </c>
      <c r="AW11" s="366">
        <f>SUM(AW9:AW10)</f>
        <v>8968.842436378614</v>
      </c>
      <c r="AX11" s="366">
        <f>SUM(AX9:AX10)</f>
        <v>10636.727968517971</v>
      </c>
      <c r="AY11" s="366">
        <f>SUM(AY9:AY10)</f>
        <v>9958.007981245373</v>
      </c>
      <c r="AZ11" s="366">
        <f>SUM(AZ9:AZ10)</f>
        <v>10795.099875987251</v>
      </c>
      <c r="BA11" s="366">
        <f>SUM(BA9:BA10)</f>
        <v>10106.274320598211</v>
      </c>
      <c r="BB11" s="366">
        <f>SUM(BB9:BB10)</f>
        <v>10955.829807573506</v>
      </c>
      <c r="BC11" s="366">
        <f>SUM(BC9:BC10)</f>
        <v>10256.74822068273</v>
      </c>
      <c r="BD11" s="366">
        <f>SUM(BD9:BD10)</f>
        <v>11118.952872266866</v>
      </c>
      <c r="BE11" s="366">
        <f>SUM(BE9:BE10)</f>
        <v>10409.462550216158</v>
      </c>
      <c r="BF11" s="366">
        <f>SUM(BF9:BF10)</f>
        <v>11284.504701800708</v>
      </c>
      <c r="BG11" s="366">
        <f>SUM(BG9:BG10)</f>
        <v>10564.45066730321</v>
      </c>
      <c r="BH11" s="366">
        <f>SUM(BH9:BH10)</f>
        <v>10642.807956194914</v>
      </c>
      <c r="BI11" s="366">
        <f>SUM(BI9:BI10)</f>
        <v>11537.465632128105</v>
      </c>
      <c r="BJ11" s="366">
        <f>SUM(BJ9:BJ10)</f>
        <v>10801.27038955229</v>
      </c>
      <c r="BK11" s="366">
        <f>SUM(BK9:BK10)</f>
        <v>11709.248763644626</v>
      </c>
      <c r="BL11" s="366">
        <f>SUM(BL9:BL10)</f>
        <v>10962.092194880759</v>
      </c>
      <c r="BM11" s="366">
        <f>SUM(BM9:BM10)</f>
        <v>11883.589601091942</v>
      </c>
      <c r="BN11" s="366">
        <f>SUM(BN9:BN10)</f>
        <v>11125.308501238856</v>
      </c>
      <c r="BO11" s="366">
        <f>SUM(BO9:BO10)</f>
        <v>12060.526226553962</v>
      </c>
      <c r="BP11" s="366">
        <f>SUM(BP9:BP10)</f>
        <v>11290.954960727178</v>
      </c>
      <c r="BQ11" s="366">
        <f>SUM(BQ9:BQ10)</f>
        <v>11374.700784110039</v>
      </c>
      <c r="BR11" s="366">
        <f>SUM(BR9:BR10)</f>
        <v>12330.882969284572</v>
      </c>
      <c r="BS11" s="366">
        <f>SUM(BS9:BS10)</f>
        <v>11544.06048433022</v>
      </c>
      <c r="BT11" s="366">
        <f>SUM(BT9:BT10)</f>
        <v>12514.479415711146</v>
      </c>
      <c r="BU11" s="366">
        <f>SUM(BU9:BU10)</f>
        <v>11715.941807633337</v>
      </c>
      <c r="BV11" s="366">
        <f>SUM(BV9:BV10)</f>
        <v>12700.809458363103</v>
      </c>
      <c r="BW11" s="366">
        <f>SUM(BW9:BW10)</f>
        <v>12795.01227375109</v>
      </c>
      <c r="BX11" s="366">
        <f>SUM(BX9:BX10)</f>
        <v>12889.913798182475</v>
      </c>
      <c r="BY11" s="366">
        <f>SUM(BY9:BY10)</f>
        <v>12985.519214032385</v>
      </c>
      <c r="BZ11" s="366">
        <f>SUM(BZ9:BZ10)</f>
        <v>13081.833742113991</v>
      </c>
      <c r="CA11" s="366">
        <f>SUM(CA9:CA10)</f>
        <v>13178.862641963624</v>
      </c>
      <c r="CB11" s="366">
        <f>SUM(CB9:CB10)</f>
        <v>13276.611212127948</v>
      </c>
      <c r="CC11" s="366">
        <f>SUM(CC9:CC10)</f>
        <v>13375.084790453351</v>
      </c>
      <c r="CD11" s="366">
        <f>SUM(CD9:CD10)</f>
        <v>13474.288754377409</v>
      </c>
      <c r="CE11" s="366">
        <f>SUM(CE9:CE10)</f>
        <v>13574.228521222522</v>
      </c>
      <c r="CF11" s="366">
        <f>SUM(CF9:CF10)</f>
        <v>13674.909548491782</v>
      </c>
      <c r="CG11" s="366">
        <f>SUM(CG9:CG10)</f>
        <v>13776.33733416695</v>
      </c>
      <c r="CH11" s="366">
        <f>SUM(CH9:CH10)</f>
        <v>13878.517417008727</v>
      </c>
      <c r="CI11" s="366">
        <f>SUM(CI9:CI10)</f>
        <v>13981.455376859194</v>
      </c>
      <c r="CJ11" s="366">
        <f>SUM(CJ9:CJ10)</f>
        <v>14085.15683494653</v>
      </c>
      <c r="CK11" s="366">
        <f>SUM(CK9:CK10)</f>
        <v>14189.627454191956</v>
      </c>
      <c r="CL11" s="366">
        <f>SUM(CL9:CL10)</f>
        <v>14294.872939518988</v>
      </c>
      <c r="CM11" s="366">
        <f>SUM(CM9:CM10)</f>
        <v>14400.899038164967</v>
      </c>
      <c r="CN11" s="366">
        <f>SUM(CN9:CN10)</f>
        <v>0.0</v>
      </c>
      <c r="CO11" s="366">
        <f>SUM(CO9:CO10)</f>
        <v>0.0</v>
      </c>
    </row>
    <row r="13">
      <c r="E13" s="117" t="str">
        <f> NCA!E$54</f>
        <v>Accounting depreciation</v>
      </c>
      <c r="F13" s="117" t="str">
        <f> NCA!F$54</f>
        <v>IS</v>
      </c>
      <c r="G13" s="117" t="str">
        <f> NCA!G$54</f>
        <v>$ 000s</v>
      </c>
      <c r="H13" s="117">
        <f> NCA!H$54</f>
        <v>-109067.79924517678</v>
      </c>
      <c r="I13" s="117">
        <f> NCA!I$54</f>
        <v>0.0</v>
      </c>
      <c r="J13" s="117">
        <f> NCA!J$54</f>
        <v>-0.0</v>
      </c>
      <c r="K13" s="117">
        <f> NCA!K$54</f>
        <v>-0.0</v>
      </c>
      <c r="L13" s="117">
        <f> NCA!L$54</f>
        <v>-1684.4633207529464</v>
      </c>
      <c r="M13" s="117">
        <f> NCA!M$54</f>
        <v>-1684.4633207529464</v>
      </c>
      <c r="N13" s="117">
        <f> NCA!N$54</f>
        <v>-1684.4633207529464</v>
      </c>
      <c r="O13" s="117">
        <f> NCA!O$54</f>
        <v>-1684.4633207529464</v>
      </c>
      <c r="P13" s="117">
        <f> NCA!P$54</f>
        <v>-1684.4633207529464</v>
      </c>
      <c r="Q13" s="117">
        <f> NCA!Q$54</f>
        <v>-1684.4633207529464</v>
      </c>
      <c r="R13" s="117">
        <f> NCA!R$54</f>
        <v>-1684.4633207529464</v>
      </c>
      <c r="S13" s="117">
        <f> NCA!S$54</f>
        <v>-1684.4633207529464</v>
      </c>
      <c r="T13" s="117">
        <f> NCA!T$54</f>
        <v>-1784.4633207529464</v>
      </c>
      <c r="U13" s="117">
        <f> NCA!U$54</f>
        <v>-1784.4633207529464</v>
      </c>
      <c r="V13" s="117">
        <f> NCA!V$54</f>
        <v>-1784.4633207529464</v>
      </c>
      <c r="W13" s="117">
        <f> NCA!W$54</f>
        <v>-1784.4633207529464</v>
      </c>
      <c r="X13" s="117">
        <f> NCA!X$54</f>
        <v>-1834.4633207529464</v>
      </c>
      <c r="Y13" s="117">
        <f> NCA!Y$54</f>
        <v>-1834.4633207529464</v>
      </c>
      <c r="Z13" s="117">
        <f> NCA!Z$54</f>
        <v>-1834.4633207529464</v>
      </c>
      <c r="AA13" s="117">
        <f> NCA!AA$54</f>
        <v>-1834.4633207529464</v>
      </c>
      <c r="AB13" s="117">
        <f> NCA!AB$54</f>
        <v>-1909.4633207529464</v>
      </c>
      <c r="AC13" s="117">
        <f> NCA!AC$54</f>
        <v>-1909.4633207529464</v>
      </c>
      <c r="AD13" s="117">
        <f> NCA!AD$54</f>
        <v>-1909.4633207529464</v>
      </c>
      <c r="AE13" s="117">
        <f> NCA!AE$54</f>
        <v>-1909.4633207529464</v>
      </c>
      <c r="AF13" s="117">
        <f> NCA!AF$54</f>
        <v>-1959.4633207529464</v>
      </c>
      <c r="AG13" s="117">
        <f> NCA!AG$54</f>
        <v>-1959.4633207529464</v>
      </c>
      <c r="AH13" s="117">
        <f> NCA!AH$54</f>
        <v>-1959.4633207529464</v>
      </c>
      <c r="AI13" s="117">
        <f> NCA!AI$54</f>
        <v>-1959.4633207529464</v>
      </c>
      <c r="AJ13" s="117">
        <f> NCA!AJ$54</f>
        <v>-1984.4633207529464</v>
      </c>
      <c r="AK13" s="117">
        <f> NCA!AK$54</f>
        <v>-1984.4633207529464</v>
      </c>
      <c r="AL13" s="117">
        <f> NCA!AL$54</f>
        <v>-1984.4633207529464</v>
      </c>
      <c r="AM13" s="117">
        <f> NCA!AM$54</f>
        <v>-1984.4633207529464</v>
      </c>
      <c r="AN13" s="117">
        <f> NCA!AN$54</f>
        <v>-1934.4633207529464</v>
      </c>
      <c r="AO13" s="117">
        <f> NCA!AO$54</f>
        <v>-1934.4633207529464</v>
      </c>
      <c r="AP13" s="117">
        <f> NCA!AP$54</f>
        <v>-1934.4633207529464</v>
      </c>
      <c r="AQ13" s="117">
        <f> NCA!AQ$54</f>
        <v>-1934.4633207529464</v>
      </c>
      <c r="AR13" s="117">
        <f> NCA!AR$54</f>
        <v>-1934.4633207529464</v>
      </c>
      <c r="AS13" s="117">
        <f> NCA!AS$54</f>
        <v>-1934.4633207529464</v>
      </c>
      <c r="AT13" s="117">
        <f> NCA!AT$54</f>
        <v>-1934.4633207529464</v>
      </c>
      <c r="AU13" s="117">
        <f> NCA!AU$54</f>
        <v>-1934.4633207529464</v>
      </c>
      <c r="AV13" s="117">
        <f> NCA!AV$54</f>
        <v>-1859.4633207529464</v>
      </c>
      <c r="AW13" s="117">
        <f> NCA!AW$54</f>
        <v>-1859.4633207529464</v>
      </c>
      <c r="AX13" s="117">
        <f> NCA!AX$54</f>
        <v>-1859.4633207529464</v>
      </c>
      <c r="AY13" s="117">
        <f> NCA!AY$54</f>
        <v>-1859.4633207529464</v>
      </c>
      <c r="AZ13" s="117">
        <f> NCA!AZ$54</f>
        <v>-1809.4633207529464</v>
      </c>
      <c r="BA13" s="117">
        <f> NCA!BA$54</f>
        <v>-1809.4633207529464</v>
      </c>
      <c r="BB13" s="117">
        <f> NCA!BB$54</f>
        <v>-1809.4633207529464</v>
      </c>
      <c r="BC13" s="117">
        <f> NCA!BC$54</f>
        <v>-1809.4633207529464</v>
      </c>
      <c r="BD13" s="117">
        <f> NCA!BD$54</f>
        <v>-1784.4633207529464</v>
      </c>
      <c r="BE13" s="117">
        <f> NCA!BE$54</f>
        <v>-1784.4633207529464</v>
      </c>
      <c r="BF13" s="117">
        <f> NCA!BF$54</f>
        <v>-1784.4633207529464</v>
      </c>
      <c r="BG13" s="117">
        <f> NCA!BG$54</f>
        <v>-1784.4633207529464</v>
      </c>
      <c r="BH13" s="117">
        <f> NCA!BH$54</f>
        <v>-1734.4633207529464</v>
      </c>
      <c r="BI13" s="117">
        <f> NCA!BI$54</f>
        <v>-1734.4633207529464</v>
      </c>
      <c r="BJ13" s="117">
        <f> NCA!BJ$54</f>
        <v>-1734.4633207529464</v>
      </c>
      <c r="BK13" s="117">
        <f> NCA!BK$54</f>
        <v>-1734.4633207529464</v>
      </c>
      <c r="BL13" s="117">
        <f> NCA!BL$54</f>
        <v>-1684.4633207529464</v>
      </c>
      <c r="BM13" s="117">
        <f> NCA!BM$54</f>
        <v>-1684.4633207529464</v>
      </c>
      <c r="BN13" s="117">
        <f> NCA!BN$54</f>
        <v>-1684.4633207529464</v>
      </c>
      <c r="BO13" s="117">
        <f> NCA!BO$54</f>
        <v>-1684.4633207529464</v>
      </c>
      <c r="BP13" s="117">
        <f> NCA!BP$54</f>
        <v>-1684.4633207529464</v>
      </c>
      <c r="BQ13" s="117">
        <f> NCA!BQ$54</f>
        <v>-1684.4633207529464</v>
      </c>
      <c r="BR13" s="117">
        <f> NCA!BR$54</f>
        <v>-1684.4633207529464</v>
      </c>
      <c r="BS13" s="117">
        <f> NCA!BS$54</f>
        <v>-1684.4633207529464</v>
      </c>
      <c r="BT13" s="117">
        <f> NCA!BT$54</f>
        <v>-0.0</v>
      </c>
      <c r="BU13" s="117">
        <f> NCA!BU$54</f>
        <v>-0.0</v>
      </c>
      <c r="BV13" s="117">
        <f> NCA!BV$54</f>
        <v>-0.0</v>
      </c>
      <c r="BW13" s="117">
        <f> NCA!BW$54</f>
        <v>-0.0</v>
      </c>
      <c r="BX13" s="117">
        <f> NCA!BX$54</f>
        <v>-0.0</v>
      </c>
      <c r="BY13" s="117">
        <f> NCA!BY$54</f>
        <v>-0.0</v>
      </c>
      <c r="BZ13" s="117">
        <f> NCA!BZ$54</f>
        <v>-0.0</v>
      </c>
      <c r="CA13" s="117">
        <f> NCA!CA$54</f>
        <v>-0.0</v>
      </c>
      <c r="CB13" s="117">
        <f> NCA!CB$54</f>
        <v>-0.0</v>
      </c>
      <c r="CC13" s="117">
        <f> NCA!CC$54</f>
        <v>-0.0</v>
      </c>
      <c r="CD13" s="117">
        <f> NCA!CD$54</f>
        <v>-0.0</v>
      </c>
      <c r="CE13" s="117">
        <f> NCA!CE$54</f>
        <v>-0.0</v>
      </c>
      <c r="CF13" s="117">
        <f> NCA!CF$54</f>
        <v>-0.0</v>
      </c>
      <c r="CG13" s="117">
        <f> NCA!CG$54</f>
        <v>-0.0</v>
      </c>
      <c r="CH13" s="117">
        <f> NCA!CH$54</f>
        <v>-0.0</v>
      </c>
      <c r="CI13" s="117">
        <f> NCA!CI$54</f>
        <v>-0.0</v>
      </c>
      <c r="CJ13" s="117">
        <f> NCA!CJ$54</f>
        <v>-0.0</v>
      </c>
      <c r="CK13" s="117">
        <f> NCA!CK$54</f>
        <v>-0.0</v>
      </c>
      <c r="CL13" s="117">
        <f> NCA!CL$54</f>
        <v>-0.0</v>
      </c>
      <c r="CM13" s="117">
        <f> NCA!CM$54</f>
        <v>-0.0</v>
      </c>
      <c r="CN13" s="117">
        <f> NCA!CN$54</f>
        <v>-0.0</v>
      </c>
      <c r="CO13" s="117">
        <f> NCA!CO$54</f>
        <v>-0.0</v>
      </c>
    </row>
    <row r="14" customFormat="1" s="169">
      <c r="A14" s="163" t="n"/>
      <c r="B14" s="163" t="n"/>
      <c r="C14" s="172" t="n"/>
      <c r="D14" s="88" t="n"/>
      <c r="E14" s="117" t="str">
        <f> Debt!E$34</f>
        <v>Senior debt interest payment</v>
      </c>
      <c r="F14" s="117" t="str">
        <f> Debt!F$34</f>
        <v>IS&amp;CF</v>
      </c>
      <c r="G14" s="117" t="str">
        <f> Debt!G$34</f>
        <v>$ 000s</v>
      </c>
      <c r="H14" s="117">
        <f> Debt!H$34</f>
        <v>-29083.355014702807</v>
      </c>
      <c r="I14" s="117">
        <f> Debt!I$34</f>
        <v>0.0</v>
      </c>
      <c r="J14" s="117">
        <f> Debt!J$34</f>
        <v>-0.0</v>
      </c>
      <c r="K14" s="117">
        <f> Debt!K$34</f>
        <v>-0.0</v>
      </c>
      <c r="L14" s="117">
        <f> Debt!L$34</f>
        <v>-1172.5061523810696</v>
      </c>
      <c r="M14" s="117">
        <f> Debt!M$34</f>
        <v>-1168.16872684855</v>
      </c>
      <c r="N14" s="117">
        <f> Debt!N$34</f>
        <v>-1161.921355997456</v>
      </c>
      <c r="O14" s="117">
        <f> Debt!O$34</f>
        <v>-1141.8729947377</v>
      </c>
      <c r="P14" s="117">
        <f> Debt!P$34</f>
        <v>-1098.4006483504595</v>
      </c>
      <c r="Q14" s="117">
        <f> Debt!Q$34</f>
        <v>-1090.098721801514</v>
      </c>
      <c r="R14" s="117">
        <f> Debt!R$34</f>
        <v>-1082.423571002716</v>
      </c>
      <c r="S14" s="117">
        <f> Debt!S$34</f>
        <v>-1061.4775189222844</v>
      </c>
      <c r="T14" s="117">
        <f> Debt!T$34</f>
        <v>-1044.8000487389338</v>
      </c>
      <c r="U14" s="117">
        <f> Debt!U$34</f>
        <v>-1022.45124974835</v>
      </c>
      <c r="V14" s="117">
        <f> Debt!V$34</f>
        <v>-1011.455205072476</v>
      </c>
      <c r="W14" s="117">
        <f> Debt!W$34</f>
        <v>-987.7339363272841</v>
      </c>
      <c r="X14" s="117">
        <f> Debt!X$34</f>
        <v>-951.2515526641741</v>
      </c>
      <c r="Y14" s="117">
        <f> Debt!Y$34</f>
        <v>-937.4657902431668</v>
      </c>
      <c r="Z14" s="117">
        <f> Debt!Z$34</f>
        <v>-924.1928319115848</v>
      </c>
      <c r="AA14" s="117">
        <f> Debt!AA$34</f>
        <v>-899.1014364956827</v>
      </c>
      <c r="AB14" s="117">
        <f> Debt!AB$34</f>
        <v>-866.8476411506488</v>
      </c>
      <c r="AC14" s="117">
        <f> Debt!AC$34</f>
        <v>-850.724576191792</v>
      </c>
      <c r="AD14" s="117">
        <f> Debt!AD$34</f>
        <v>-835.0230492759346</v>
      </c>
      <c r="AE14" s="117">
        <f> Debt!AE$34</f>
        <v>-806.1789234433378</v>
      </c>
      <c r="AF14" s="117">
        <f> Debt!AF$34</f>
        <v>-767.3608061747975</v>
      </c>
      <c r="AG14" s="117">
        <f> Debt!AG$34</f>
        <v>-744.9244832964843</v>
      </c>
      <c r="AH14" s="117">
        <f> Debt!AH$34</f>
        <v>-722.6473865920761</v>
      </c>
      <c r="AI14" s="117">
        <f> Debt!AI$34</f>
        <v>-690.2632423688086</v>
      </c>
      <c r="AJ14" s="117">
        <f> Debt!AJ$34</f>
        <v>-655.2932068007933</v>
      </c>
      <c r="AK14" s="117">
        <f> Debt!AK$34</f>
        <v>-622.0110435226146</v>
      </c>
      <c r="AL14" s="117">
        <f> Debt!AL$34</f>
        <v>-595.9810497452943</v>
      </c>
      <c r="AM14" s="117">
        <f> Debt!AM$34</f>
        <v>-560.976958632306</v>
      </c>
      <c r="AN14" s="117">
        <f> Debt!AN$34</f>
        <v>-520.5073824139486</v>
      </c>
      <c r="AO14" s="117">
        <f> Debt!AO$34</f>
        <v>-486.6080907864231</v>
      </c>
      <c r="AP14" s="117">
        <f> Debt!AP$34</f>
        <v>-452.448607895098</v>
      </c>
      <c r="AQ14" s="117">
        <f> Debt!AQ$34</f>
        <v>-410.5801518944192</v>
      </c>
      <c r="AR14" s="117">
        <f> Debt!AR$34</f>
        <v>-368.7179042679119</v>
      </c>
      <c r="AS14" s="117">
        <f> Debt!AS$34</f>
        <v>-329.7441889419465</v>
      </c>
      <c r="AT14" s="117">
        <f> Debt!AT$34</f>
        <v>-290.3588216915634</v>
      </c>
      <c r="AU14" s="117">
        <f> Debt!AU$34</f>
        <v>-244.82106277997036</v>
      </c>
      <c r="AV14" s="117">
        <f> Debt!AV$34</f>
        <v>-195.71059734642063</v>
      </c>
      <c r="AW14" s="117">
        <f> Debt!AW$34</f>
        <v>-151.061482820652</v>
      </c>
      <c r="AX14" s="117">
        <f> Debt!AX$34</f>
        <v>-105.83094829394302</v>
      </c>
      <c r="AY14" s="117">
        <f> Debt!AY$34</f>
        <v>-53.411667132267425</v>
      </c>
      <c r="AZ14" s="117">
        <f> Debt!AZ$34</f>
        <v>8.293644289854759e-13</v>
      </c>
      <c r="BA14" s="117">
        <f> Debt!BA$34</f>
        <v>8.45446647911047e-13</v>
      </c>
      <c r="BB14" s="117">
        <f> Debt!BB$34</f>
        <v>8.712633605471219e-13</v>
      </c>
      <c r="BC14" s="117">
        <f> Debt!BC$34</f>
        <v>8.882455727841483e-13</v>
      </c>
      <c r="BD14" s="117">
        <f> Debt!BD$34</f>
        <v>8.858248810782617e-13</v>
      </c>
      <c r="BE14" s="117">
        <f> Debt!BE$34</f>
        <v>9.126502939520154e-13</v>
      </c>
      <c r="BF14" s="117">
        <f> Debt!BF$34</f>
        <v>9.403218354243942e-13</v>
      </c>
      <c r="BG14" s="117">
        <f> Debt!BG$34</f>
        <v>9.584511856607709e-13</v>
      </c>
      <c r="BH14" s="117">
        <f> Debt!BH$34</f>
        <v>9.556451261885508e-13</v>
      </c>
      <c r="BI14" s="117">
        <f> Debt!BI$34</f>
        <v>9.84393504979717e-13</v>
      </c>
      <c r="BJ14" s="117">
        <f> Debt!BJ$34</f>
        <v>1.0140451678363153e-12</v>
      </c>
      <c r="BK14" s="117">
        <f> Debt!BK$34</f>
        <v>1.033399144538868e-12</v>
      </c>
      <c r="BL14" s="117">
        <f> Debt!BL$34</f>
        <v>1.0301816859445451e-12</v>
      </c>
      <c r="BM14" s="117">
        <f> Debt!BM$34</f>
        <v>1.0609829258189909e-12</v>
      </c>
      <c r="BN14" s="117">
        <f> Debt!BN$34</f>
        <v>1.092748466042331e-12</v>
      </c>
      <c r="BO14" s="117">
        <f> Debt!BO$34</f>
        <v>1.1134097919761945e-12</v>
      </c>
      <c r="BP14" s="117">
        <f> Debt!BP$34</f>
        <v>1.1220837349963825e-12</v>
      </c>
      <c r="BQ14" s="117">
        <f> Debt!BQ$34</f>
        <v>1.1429754947415495e-12</v>
      </c>
      <c r="BR14" s="117">
        <f> Debt!BR$34</f>
        <v>1.1770040398784547e-12</v>
      </c>
      <c r="BS14" s="117">
        <f> Debt!BS$34</f>
        <v>1.1990649445110405e-12</v>
      </c>
      <c r="BT14" s="117">
        <f> Debt!BT$34</f>
        <v>1.1949381247320879e-12</v>
      </c>
      <c r="BU14" s="117">
        <f> Debt!BU$34</f>
        <v>1.2302770315248071e-12</v>
      </c>
      <c r="BV14" s="117">
        <f> Debt!BV$34</f>
        <v>1.2667151097364587e-12</v>
      </c>
      <c r="BW14" s="117">
        <f> Debt!BW$34</f>
        <v>1.2902662149183525e-12</v>
      </c>
      <c r="BX14" s="117">
        <f> Debt!BX$34</f>
        <v>1.2856387794703161e-12</v>
      </c>
      <c r="BY14" s="117">
        <f> Debt!BY$34</f>
        <v>1.3234757334622841e-12</v>
      </c>
      <c r="BZ14" s="117">
        <f> Debt!BZ$34</f>
        <v>1.3624861072269829e-12</v>
      </c>
      <c r="CA14" s="117">
        <f> Debt!CA$34</f>
        <v>1.3876280750894138e-12</v>
      </c>
      <c r="CB14" s="117">
        <f> Debt!CB$34</f>
        <v>1.3824662076915255e-12</v>
      </c>
      <c r="CC14" s="117">
        <f> Debt!CC$34</f>
        <v>1.4229699504357526e-12</v>
      </c>
      <c r="CD14" s="117">
        <f> Debt!CD$34</f>
        <v>1.464726376737175e-12</v>
      </c>
      <c r="CE14" s="117">
        <f> Debt!CE$34</f>
        <v>1.4915666690764695e-12</v>
      </c>
      <c r="CF14" s="117">
        <f> Debt!CF$34</f>
        <v>1.5023435388365228e-12</v>
      </c>
      <c r="CG14" s="117">
        <f> Debt!CG$34</f>
        <v>1.5294831784142299e-12</v>
      </c>
      <c r="CH14" s="117">
        <f> Debt!CH$34</f>
        <v>1.5741793828131364e-12</v>
      </c>
      <c r="CI14" s="117">
        <f> Debt!CI$34</f>
        <v>1.6028378111978039e-12</v>
      </c>
      <c r="CJ14" s="117">
        <f> Debt!CJ$34</f>
        <v>1.5964946294875815e-12</v>
      </c>
      <c r="CK14" s="117">
        <f> Debt!CK$34</f>
        <v>1.6428930716821085e-12</v>
      </c>
      <c r="CL14" s="117">
        <f> Debt!CL$34</f>
        <v>1.69071940298257e-12</v>
      </c>
      <c r="CM14" s="117">
        <f> Debt!CM$34</f>
        <v>1.7213136905911632e-12</v>
      </c>
      <c r="CN14" s="117">
        <f> Debt!CN$34</f>
        <v>1.7143201793255752e-12</v>
      </c>
      <c r="CO14" s="117">
        <f> Debt!CO$34</f>
        <v>1.7639637335385567e-12</v>
      </c>
    </row>
    <row r="15" customFormat="1" s="150">
      <c r="A15" s="163" t="n"/>
      <c r="B15" s="163" t="n"/>
      <c r="C15" s="172" t="n"/>
      <c r="D15" s="88" t="n"/>
      <c r="E15" s="117" t="str">
        <f>SHL!E$25</f>
        <v>Shareholder loan interest</v>
      </c>
      <c r="F15" s="117" t="n"/>
      <c r="G15" s="117" t="inlineStr">
        <is>
          <t>$ 000s</t>
        </is>
      </c>
      <c r="H15" s="117">
        <f> SUM(J15:CO15)</f>
        <v>-18824.29961512564</v>
      </c>
      <c r="I15" s="117" t="n"/>
      <c r="J15" s="117">
        <f>SHL!J$25</f>
        <v>-0.0</v>
      </c>
      <c r="K15" s="117">
        <f>SHL!K$25</f>
        <v>-0.0</v>
      </c>
      <c r="L15" s="117">
        <f>SHL!L$25</f>
        <v>-433.7036172489719</v>
      </c>
      <c r="M15" s="117">
        <f>SHL!M$25</f>
        <v>-449.4856099877539</v>
      </c>
      <c r="N15" s="117">
        <f>SHL!N$25</f>
        <v>-454.4250122953116</v>
      </c>
      <c r="O15" s="117">
        <f>SHL!O$25</f>
        <v>-454.4250122953116</v>
      </c>
      <c r="P15" s="117">
        <f>SHL!P$25</f>
        <v>-444.5462076801962</v>
      </c>
      <c r="Q15" s="117">
        <f>SHL!Q$25</f>
        <v>-449.4856099877539</v>
      </c>
      <c r="R15" s="117">
        <f>SHL!R$25</f>
        <v>-454.4250122953116</v>
      </c>
      <c r="S15" s="117">
        <f>SHL!S$25</f>
        <v>-454.4250122953116</v>
      </c>
      <c r="T15" s="117">
        <f>SHL!T$25</f>
        <v>-449.4856099877539</v>
      </c>
      <c r="U15" s="117">
        <f>SHL!U$25</f>
        <v>-449.4856099877539</v>
      </c>
      <c r="V15" s="117">
        <f>SHL!V$25</f>
        <v>-454.4250122953116</v>
      </c>
      <c r="W15" s="117">
        <f>SHL!W$25</f>
        <v>-454.4250122953116</v>
      </c>
      <c r="X15" s="117">
        <f>SHL!X$25</f>
        <v>-444.5462076801962</v>
      </c>
      <c r="Y15" s="117">
        <f>SHL!Y$25</f>
        <v>-449.4856099877539</v>
      </c>
      <c r="Z15" s="117">
        <f>SHL!Z$25</f>
        <v>-454.4250122953116</v>
      </c>
      <c r="AA15" s="117">
        <f>SHL!AA$25</f>
        <v>-454.4250122953116</v>
      </c>
      <c r="AB15" s="117">
        <f>SHL!AB$25</f>
        <v>-444.5462076801962</v>
      </c>
      <c r="AC15" s="117">
        <f>SHL!AC$25</f>
        <v>-449.4856099877539</v>
      </c>
      <c r="AD15" s="117">
        <f>SHL!AD$25</f>
        <v>-454.4250122953116</v>
      </c>
      <c r="AE15" s="117">
        <f>SHL!AE$25</f>
        <v>-454.4250122953116</v>
      </c>
      <c r="AF15" s="117">
        <f>SHL!AF$25</f>
        <v>-444.5462076801962</v>
      </c>
      <c r="AG15" s="117">
        <f>SHL!AG$25</f>
        <v>-449.4856099877539</v>
      </c>
      <c r="AH15" s="117">
        <f>SHL!AH$25</f>
        <v>-454.4250122953116</v>
      </c>
      <c r="AI15" s="117">
        <f>SHL!AI$25</f>
        <v>-454.4250122953116</v>
      </c>
      <c r="AJ15" s="117">
        <f>SHL!AJ$25</f>
        <v>-449.4856099877539</v>
      </c>
      <c r="AK15" s="117">
        <f>SHL!AK$25</f>
        <v>-449.4856099877539</v>
      </c>
      <c r="AL15" s="117">
        <f>SHL!AL$25</f>
        <v>-454.4250122953116</v>
      </c>
      <c r="AM15" s="117">
        <f>SHL!AM$25</f>
        <v>-454.4250122953116</v>
      </c>
      <c r="AN15" s="117">
        <f>SHL!AN$25</f>
        <v>-444.5462076801962</v>
      </c>
      <c r="AO15" s="117">
        <f>SHL!AO$25</f>
        <v>-449.4856099877539</v>
      </c>
      <c r="AP15" s="117">
        <f>SHL!AP$25</f>
        <v>-454.4250122953116</v>
      </c>
      <c r="AQ15" s="117">
        <f>SHL!AQ$25</f>
        <v>-454.4250122953116</v>
      </c>
      <c r="AR15" s="117">
        <f>SHL!AR$25</f>
        <v>-444.5462076801962</v>
      </c>
      <c r="AS15" s="117">
        <f>SHL!AS$25</f>
        <v>-449.4856099877539</v>
      </c>
      <c r="AT15" s="117">
        <f>SHL!AT$25</f>
        <v>-454.4250122953116</v>
      </c>
      <c r="AU15" s="117">
        <f>SHL!AU$25</f>
        <v>-454.4250122953116</v>
      </c>
      <c r="AV15" s="117">
        <f>SHL!AV$25</f>
        <v>-444.5462076801962</v>
      </c>
      <c r="AW15" s="117">
        <f>SHL!AW$25</f>
        <v>-449.4856099877539</v>
      </c>
      <c r="AX15" s="117">
        <f>SHL!AX$25</f>
        <v>-454.4250122953116</v>
      </c>
      <c r="AY15" s="117">
        <f>SHL!AY$25</f>
        <v>-454.4250122953116</v>
      </c>
      <c r="AZ15" s="117">
        <f>SHL!AZ$25</f>
        <v>-449.4856099877539</v>
      </c>
      <c r="BA15" s="117">
        <f>SHL!BA$25</f>
        <v>-264.69596908192295</v>
      </c>
      <c r="BB15" s="117">
        <f>SHL!BB$25</f>
        <v>-82.26339928634043</v>
      </c>
      <c r="BC15" s="117">
        <f>SHL!BC$25</f>
        <v>-0.0</v>
      </c>
      <c r="BD15" s="117">
        <f>SHL!BD$25</f>
        <v>-0.0</v>
      </c>
      <c r="BE15" s="117">
        <f>SHL!BE$25</f>
        <v>-0.0</v>
      </c>
      <c r="BF15" s="117">
        <f>SHL!BF$25</f>
        <v>-0.0</v>
      </c>
      <c r="BG15" s="117">
        <f>SHL!BG$25</f>
        <v>-0.0</v>
      </c>
      <c r="BH15" s="117">
        <f>SHL!BH$25</f>
        <v>-0.0</v>
      </c>
      <c r="BI15" s="117">
        <f>SHL!BI$25</f>
        <v>-0.0</v>
      </c>
      <c r="BJ15" s="117">
        <f>SHL!BJ$25</f>
        <v>-0.0</v>
      </c>
      <c r="BK15" s="117">
        <f>SHL!BK$25</f>
        <v>-0.0</v>
      </c>
      <c r="BL15" s="117">
        <f>SHL!BL$25</f>
        <v>-0.0</v>
      </c>
      <c r="BM15" s="117">
        <f>SHL!BM$25</f>
        <v>-0.0</v>
      </c>
      <c r="BN15" s="117">
        <f>SHL!BN$25</f>
        <v>-0.0</v>
      </c>
      <c r="BO15" s="117">
        <f>SHL!BO$25</f>
        <v>-0.0</v>
      </c>
      <c r="BP15" s="117">
        <f>SHL!BP$25</f>
        <v>-0.0</v>
      </c>
      <c r="BQ15" s="117">
        <f>SHL!BQ$25</f>
        <v>-0.0</v>
      </c>
      <c r="BR15" s="117">
        <f>SHL!BR$25</f>
        <v>-0.0</v>
      </c>
      <c r="BS15" s="117">
        <f>SHL!BS$25</f>
        <v>-0.0</v>
      </c>
      <c r="BT15" s="117">
        <f>SHL!BT$25</f>
        <v>-0.0</v>
      </c>
      <c r="BU15" s="117">
        <f>SHL!BU$25</f>
        <v>-0.0</v>
      </c>
      <c r="BV15" s="117">
        <f>SHL!BV$25</f>
        <v>-0.0</v>
      </c>
      <c r="BW15" s="117">
        <f>SHL!BW$25</f>
        <v>-0.0</v>
      </c>
      <c r="BX15" s="117">
        <f>SHL!BX$25</f>
        <v>-0.0</v>
      </c>
      <c r="BY15" s="117">
        <f>SHL!BY$25</f>
        <v>-0.0</v>
      </c>
      <c r="BZ15" s="117">
        <f>SHL!BZ$25</f>
        <v>-0.0</v>
      </c>
      <c r="CA15" s="117">
        <f>SHL!CA$25</f>
        <v>-0.0</v>
      </c>
      <c r="CB15" s="117">
        <f>SHL!CB$25</f>
        <v>-0.0</v>
      </c>
      <c r="CC15" s="117">
        <f>SHL!CC$25</f>
        <v>-0.0</v>
      </c>
      <c r="CD15" s="117">
        <f>SHL!CD$25</f>
        <v>-0.0</v>
      </c>
      <c r="CE15" s="117">
        <f>SHL!CE$25</f>
        <v>-0.0</v>
      </c>
      <c r="CF15" s="117">
        <f>SHL!CF$25</f>
        <v>-0.0</v>
      </c>
      <c r="CG15" s="117">
        <f>SHL!CG$25</f>
        <v>-0.0</v>
      </c>
      <c r="CH15" s="117">
        <f>SHL!CH$25</f>
        <v>-0.0</v>
      </c>
      <c r="CI15" s="117">
        <f>SHL!CI$25</f>
        <v>-0.0</v>
      </c>
      <c r="CJ15" s="117">
        <f>SHL!CJ$25</f>
        <v>-0.0</v>
      </c>
      <c r="CK15" s="117">
        <f>SHL!CK$25</f>
        <v>-0.0</v>
      </c>
      <c r="CL15" s="117">
        <f>SHL!CL$25</f>
        <v>-0.0</v>
      </c>
      <c r="CM15" s="117">
        <f>SHL!CM$25</f>
        <v>-0.0</v>
      </c>
      <c r="CN15" s="117">
        <f>SHL!CN$25</f>
        <v>-0.0</v>
      </c>
      <c r="CO15" s="117">
        <f>SHL!CO$25</f>
        <v>-0.0</v>
      </c>
    </row>
    <row r="16" s="396">
      <c r="A16" s="348" t="n"/>
      <c r="B16" s="348" t="n"/>
      <c r="C16" s="349" t="n"/>
      <c r="D16" s="193" t="n"/>
      <c r="E16" s="366" t="inlineStr">
        <is>
          <t>Profit before tax</t>
        </is>
      </c>
      <c r="F16" s="366" t="n"/>
      <c r="G16" s="366" t="inlineStr">
        <is>
          <t>$ 000s</t>
        </is>
      </c>
      <c r="H16" s="366">
        <f> SUM(J16:CO16)</f>
        <v>632219.7469508392</v>
      </c>
      <c r="I16" s="366" t="n"/>
      <c r="J16" s="366">
        <f>J11+SUM(J13:J15)</f>
        <v>0.0</v>
      </c>
      <c r="K16" s="366">
        <f>K11+SUM(K13:K15)</f>
        <v>0.0</v>
      </c>
      <c r="L16" s="366">
        <f>L11+SUM(L13:L15)</f>
        <v>2351.952012996317</v>
      </c>
      <c r="M16" s="366">
        <f>M11+SUM(M13:M15)</f>
        <v>1944.639619715986</v>
      </c>
      <c r="N16" s="366">
        <f>N11+SUM(N13:N15)</f>
        <v>2469.090420997651</v>
      </c>
      <c r="O16" s="366">
        <f>O11+SUM(O13:O15)</f>
        <v>2104.132835547376</v>
      </c>
      <c r="P16" s="366">
        <f>P11+SUM(P13:P15)</f>
        <v>2681.8238044876343</v>
      </c>
      <c r="Q16" s="366">
        <f>Q11+SUM(Q13:Q15)</f>
        <v>2293.826884615774</v>
      </c>
      <c r="R16" s="366">
        <f>R11+SUM(R13:R15)</f>
        <v>2833.8510630112064</v>
      </c>
      <c r="S16" s="366">
        <f>S11+SUM(S13:S15)</f>
        <v>2453.7730195294607</v>
      </c>
      <c r="T16" s="366">
        <f>T11+SUM(T13:T15)</f>
        <v>3223.3332591462117</v>
      </c>
      <c r="U16" s="366">
        <f>U11+SUM(U13:U15)</f>
        <v>2807.9591133650883</v>
      </c>
      <c r="V16" s="366">
        <f>V11+SUM(V13:V15)</f>
        <v>3380.505304626917</v>
      </c>
      <c r="W16" s="366">
        <f>W11+SUM(W13:W15)</f>
        <v>2957.8350059844565</v>
      </c>
      <c r="X16" s="366">
        <f>X11+SUM(X13:X15)</f>
        <v>3515.5902980116352</v>
      </c>
      <c r="Y16" s="366">
        <f>Y11+SUM(Y13:Y15)</f>
        <v>3055.1239066735648</v>
      </c>
      <c r="Z16" s="366">
        <f>Z11+SUM(Z13:Z15)</f>
        <v>3633.210251120613</v>
      </c>
      <c r="AA16" s="366">
        <f>AA11+SUM(AA13:AA15)</f>
        <v>3182.001224076856</v>
      </c>
      <c r="AB16" s="366">
        <f>AB11+SUM(AB13:AB15)</f>
        <v>3727.369750898428</v>
      </c>
      <c r="AC16" s="366">
        <f>AC11+SUM(AC13:AC15)</f>
        <v>3255.1612795546616</v>
      </c>
      <c r="AD16" s="366">
        <f>AD11+SUM(AD13:AD15)</f>
        <v>4529.974636204244</v>
      </c>
      <c r="AE16" s="366">
        <f>AE11+SUM(AE13:AE15)</f>
        <v>4036.374981946027</v>
      </c>
      <c r="AF16" s="366">
        <f>AF11+SUM(AF13:AF15)</f>
        <v>4672.592277492306</v>
      </c>
      <c r="AG16" s="366">
        <f>AG11+SUM(AG13:AG15)</f>
        <v>4159.866670763201</v>
      </c>
      <c r="AH16" s="366">
        <f>AH11+SUM(AH13:AH15)</f>
        <v>4824.216879443957</v>
      </c>
      <c r="AI16" s="366">
        <f>AI11+SUM(AI13:AI15)</f>
        <v>4318.483930173681</v>
      </c>
      <c r="AJ16" s="366">
        <f>AJ11+SUM(AJ13:AJ15)</f>
        <v>4990.039352921756</v>
      </c>
      <c r="AK16" s="366">
        <f>AK11+SUM(AK13:AK15)</f>
        <v>4477.192313081076</v>
      </c>
      <c r="AL16" s="366">
        <f>AL11+SUM(AL13:AL15)</f>
        <v>5164.705794263265</v>
      </c>
      <c r="AM16" s="366">
        <f>AM11+SUM(AM13:AM15)</f>
        <v>5330.102701350101</v>
      </c>
      <c r="AN16" s="366">
        <f>AN11+SUM(AN13:AN15)</f>
        <v>6151.287801369432</v>
      </c>
      <c r="AO16" s="366">
        <f>AO11+SUM(AO13:AO15)</f>
        <v>5583.437168668581</v>
      </c>
      <c r="AP16" s="366">
        <f>AP11+SUM(AP13:AP15)</f>
        <v>6344.226619167763</v>
      </c>
      <c r="AQ16" s="366">
        <f>AQ11+SUM(AQ13:AQ15)</f>
        <v>5780.398547878902</v>
      </c>
      <c r="AR16" s="366">
        <f>AR11+SUM(AR13:AR15)</f>
        <v>6574.6014208819615</v>
      </c>
      <c r="AS16" s="366">
        <f>AS11+SUM(AS13:AS15)</f>
        <v>5993.920896218926</v>
      </c>
      <c r="AT16" s="366">
        <f>AT11+SUM(AT13:AT15)</f>
        <v>6781.883312174628</v>
      </c>
      <c r="AU16" s="366">
        <f>AU11+SUM(AU13:AU15)</f>
        <v>6203.553647977996</v>
      </c>
      <c r="AV16" s="366">
        <f>AV11+SUM(AV13:AV15)</f>
        <v>7102.278593410941</v>
      </c>
      <c r="AW16" s="366">
        <f>AW11+SUM(AW13:AW15)</f>
        <v>6508.8320228172615</v>
      </c>
      <c r="AX16" s="366">
        <f>AX11+SUM(AX13:AX15)</f>
        <v>8217.00868717577</v>
      </c>
      <c r="AY16" s="366">
        <f>AY11+SUM(AY13:AY15)</f>
        <v>7590.707981064848</v>
      </c>
      <c r="AZ16" s="366">
        <f>AZ11+SUM(AZ13:AZ15)</f>
        <v>8536.15094524655</v>
      </c>
      <c r="BA16" s="366">
        <f>BA11+SUM(BA13:BA15)</f>
        <v>8032.115030763343</v>
      </c>
      <c r="BB16" s="366">
        <f>BB11+SUM(BB13:BB15)</f>
        <v>9064.10308753422</v>
      </c>
      <c r="BC16" s="366">
        <f>BC11+SUM(BC13:BC15)</f>
        <v>8447.284899929784</v>
      </c>
      <c r="BD16" s="366">
        <f>BD11+SUM(BD13:BD15)</f>
        <v>9334.48955151392</v>
      </c>
      <c r="BE16" s="366">
        <f>BE11+SUM(BE13:BE15)</f>
        <v>8624.999229463212</v>
      </c>
      <c r="BF16" s="366">
        <f>BF11+SUM(BF13:BF15)</f>
        <v>9500.041381047762</v>
      </c>
      <c r="BG16" s="366">
        <f>BG11+SUM(BG13:BG15)</f>
        <v>8779.987346550264</v>
      </c>
      <c r="BH16" s="366">
        <f>BH11+SUM(BH13:BH15)</f>
        <v>8908.344635441968</v>
      </c>
      <c r="BI16" s="366">
        <f>BI11+SUM(BI13:BI15)</f>
        <v>9803.00231137516</v>
      </c>
      <c r="BJ16" s="366">
        <f>BJ11+SUM(BJ13:BJ15)</f>
        <v>9066.807068799344</v>
      </c>
      <c r="BK16" s="366">
        <f>BK11+SUM(BK13:BK15)</f>
        <v>9974.78544289168</v>
      </c>
      <c r="BL16" s="366">
        <f>BL11+SUM(BL13:BL15)</f>
        <v>9277.628874127813</v>
      </c>
      <c r="BM16" s="366">
        <f>BM11+SUM(BM13:BM15)</f>
        <v>10199.126280338996</v>
      </c>
      <c r="BN16" s="366">
        <f>BN11+SUM(BN13:BN15)</f>
        <v>9440.84518048591</v>
      </c>
      <c r="BO16" s="366">
        <f>BO11+SUM(BO13:BO15)</f>
        <v>10376.062905801016</v>
      </c>
      <c r="BP16" s="366">
        <f>BP11+SUM(BP13:BP15)</f>
        <v>9606.491639974232</v>
      </c>
      <c r="BQ16" s="366">
        <f>BQ11+SUM(BQ13:BQ15)</f>
        <v>9690.237463357093</v>
      </c>
      <c r="BR16" s="366">
        <f>BR11+SUM(BR13:BR15)</f>
        <v>10646.419648531626</v>
      </c>
      <c r="BS16" s="366">
        <f>BS11+SUM(BS13:BS15)</f>
        <v>9859.597163577275</v>
      </c>
      <c r="BT16" s="366">
        <f>BT11+SUM(BT13:BT15)</f>
        <v>12514.479415711148</v>
      </c>
      <c r="BU16" s="366">
        <f>BU11+SUM(BU13:BU15)</f>
        <v>11715.941807633339</v>
      </c>
      <c r="BV16" s="366">
        <f>BV11+SUM(BV13:BV15)</f>
        <v>12700.809458363105</v>
      </c>
      <c r="BW16" s="366">
        <f>BW11+SUM(BW13:BW15)</f>
        <v>12795.012273751092</v>
      </c>
      <c r="BX16" s="366">
        <f>BX11+SUM(BX13:BX15)</f>
        <v>12889.913798182477</v>
      </c>
      <c r="BY16" s="366">
        <f>BY11+SUM(BY13:BY15)</f>
        <v>12985.519214032387</v>
      </c>
      <c r="BZ16" s="366">
        <f>BZ11+SUM(BZ13:BZ15)</f>
        <v>13081.833742113993</v>
      </c>
      <c r="CA16" s="366">
        <f>CA11+SUM(CA13:CA15)</f>
        <v>13178.862641963626</v>
      </c>
      <c r="CB16" s="366">
        <f>CB11+SUM(CB13:CB15)</f>
        <v>13276.61121212795</v>
      </c>
      <c r="CC16" s="366">
        <f>CC11+SUM(CC13:CC15)</f>
        <v>13375.084790453353</v>
      </c>
      <c r="CD16" s="366">
        <f>CD11+SUM(CD13:CD15)</f>
        <v>13474.28875437741</v>
      </c>
      <c r="CE16" s="366">
        <f>CE11+SUM(CE13:CE15)</f>
        <v>13574.228521222523</v>
      </c>
      <c r="CF16" s="366">
        <f>CF11+SUM(CF13:CF15)</f>
        <v>13674.909548491783</v>
      </c>
      <c r="CG16" s="366">
        <f>CG11+SUM(CG13:CG15)</f>
        <v>13776.337334166952</v>
      </c>
      <c r="CH16" s="366">
        <f>CH11+SUM(CH13:CH15)</f>
        <v>13878.517417008728</v>
      </c>
      <c r="CI16" s="366">
        <f>CI11+SUM(CI13:CI15)</f>
        <v>13981.455376859196</v>
      </c>
      <c r="CJ16" s="366">
        <f>CJ11+SUM(CJ13:CJ15)</f>
        <v>14085.156834946532</v>
      </c>
      <c r="CK16" s="366">
        <f>CK11+SUM(CK13:CK15)</f>
        <v>14189.627454191957</v>
      </c>
      <c r="CL16" s="366">
        <f>CL11+SUM(CL13:CL15)</f>
        <v>14294.87293951899</v>
      </c>
      <c r="CM16" s="366">
        <f>CM11+SUM(CM13:CM15)</f>
        <v>14400.89903816497</v>
      </c>
      <c r="CN16" s="366">
        <f>CN11+SUM(CN13:CN15)</f>
        <v>1.7143201793255752e-12</v>
      </c>
      <c r="CO16" s="366">
        <f>CO11+SUM(CO13:CO15)</f>
        <v>1.7639637335385567e-12</v>
      </c>
    </row>
    <row r="17" customFormat="1" s="169"/>
    <row r="18" customFormat="1" s="150">
      <c r="A18" s="163" t="n"/>
      <c r="B18" s="163" t="n"/>
      <c r="C18" s="172" t="n"/>
      <c r="D18" s="88" t="n"/>
      <c r="E18" s="117" t="str">
        <f> Tax!E$38</f>
        <v>Tax expense</v>
      </c>
      <c r="F18" s="117" t="str">
        <f> Tax!F$38</f>
        <v>IS</v>
      </c>
      <c r="G18" s="117" t="str">
        <f> Tax!G$38</f>
        <v>$ 000s</v>
      </c>
      <c r="H18" s="117">
        <f> Tax!H$38</f>
        <v>-189665.92408525175</v>
      </c>
      <c r="I18" s="117">
        <f> Tax!I$38</f>
        <v>0.0</v>
      </c>
      <c r="J18" s="117">
        <f> Tax!J$38</f>
        <v>-0.0</v>
      </c>
      <c r="K18" s="117">
        <f> Tax!K$38</f>
        <v>-0.0</v>
      </c>
      <c r="L18" s="117">
        <f> Tax!L$38</f>
        <v>-705.5856038988951</v>
      </c>
      <c r="M18" s="117">
        <f> Tax!M$38</f>
        <v>-583.3918859147958</v>
      </c>
      <c r="N18" s="117">
        <f> Tax!N$38</f>
        <v>-740.7271262992953</v>
      </c>
      <c r="O18" s="117">
        <f> Tax!O$38</f>
        <v>-631.2398506642128</v>
      </c>
      <c r="P18" s="117">
        <f> Tax!P$38</f>
        <v>-804.5471413462902</v>
      </c>
      <c r="Q18" s="117">
        <f> Tax!Q$38</f>
        <v>-688.1480653847321</v>
      </c>
      <c r="R18" s="117">
        <f> Tax!R$38</f>
        <v>-850.155318903362</v>
      </c>
      <c r="S18" s="117">
        <f> Tax!S$38</f>
        <v>-736.1319058588382</v>
      </c>
      <c r="T18" s="117">
        <f> Tax!T$38</f>
        <v>-966.9999777438635</v>
      </c>
      <c r="U18" s="117">
        <f> Tax!U$38</f>
        <v>-842.3877340095265</v>
      </c>
      <c r="V18" s="117">
        <f> Tax!V$38</f>
        <v>-1014.1515913880751</v>
      </c>
      <c r="W18" s="117">
        <f> Tax!W$38</f>
        <v>-887.350501795337</v>
      </c>
      <c r="X18" s="117">
        <f> Tax!X$38</f>
        <v>-1054.6770894034905</v>
      </c>
      <c r="Y18" s="117">
        <f> Tax!Y$38</f>
        <v>-916.5371720020694</v>
      </c>
      <c r="Z18" s="117">
        <f> Tax!Z$38</f>
        <v>-1089.963075336184</v>
      </c>
      <c r="AA18" s="117">
        <f> Tax!AA$38</f>
        <v>-954.6003672230568</v>
      </c>
      <c r="AB18" s="117">
        <f> Tax!AB$38</f>
        <v>-1118.2109252695284</v>
      </c>
      <c r="AC18" s="117">
        <f> Tax!AC$38</f>
        <v>-976.5483838663985</v>
      </c>
      <c r="AD18" s="117">
        <f> Tax!AD$38</f>
        <v>-1358.9923908612732</v>
      </c>
      <c r="AE18" s="117">
        <f> Tax!AE$38</f>
        <v>-1210.9124945838082</v>
      </c>
      <c r="AF18" s="117">
        <f> Tax!AF$38</f>
        <v>-1401.7776832476916</v>
      </c>
      <c r="AG18" s="117">
        <f> Tax!AG$38</f>
        <v>-1247.9600012289602</v>
      </c>
      <c r="AH18" s="117">
        <f> Tax!AH$38</f>
        <v>-1447.265063833187</v>
      </c>
      <c r="AI18" s="117">
        <f> Tax!AI$38</f>
        <v>-1295.5451790521042</v>
      </c>
      <c r="AJ18" s="117">
        <f> Tax!AJ$38</f>
        <v>-1497.0118058765268</v>
      </c>
      <c r="AK18" s="117">
        <f> Tax!AK$38</f>
        <v>-1343.1576939243225</v>
      </c>
      <c r="AL18" s="117">
        <f> Tax!AL$38</f>
        <v>-1549.4117382789793</v>
      </c>
      <c r="AM18" s="117">
        <f> Tax!AM$38</f>
        <v>-1599.0308104050303</v>
      </c>
      <c r="AN18" s="117">
        <f> Tax!AN$38</f>
        <v>-1845.3863404108295</v>
      </c>
      <c r="AO18" s="117">
        <f> Tax!AO$38</f>
        <v>-1675.0311506005742</v>
      </c>
      <c r="AP18" s="117">
        <f> Tax!AP$38</f>
        <v>-1903.2679857503288</v>
      </c>
      <c r="AQ18" s="117">
        <f> Tax!AQ$38</f>
        <v>-1734.1195643636704</v>
      </c>
      <c r="AR18" s="117">
        <f> Tax!AR$38</f>
        <v>-1972.3804262645883</v>
      </c>
      <c r="AS18" s="117">
        <f> Tax!AS$38</f>
        <v>-1798.1762688656777</v>
      </c>
      <c r="AT18" s="117">
        <f> Tax!AT$38</f>
        <v>-2034.5649936523885</v>
      </c>
      <c r="AU18" s="117">
        <f> Tax!AU$38</f>
        <v>-1861.0660943933985</v>
      </c>
      <c r="AV18" s="117">
        <f> Tax!AV$38</f>
        <v>-2130.6835780232823</v>
      </c>
      <c r="AW18" s="117">
        <f> Tax!AW$38</f>
        <v>-1952.6496068451784</v>
      </c>
      <c r="AX18" s="117">
        <f> Tax!AX$38</f>
        <v>-2465.102606152731</v>
      </c>
      <c r="AY18" s="117">
        <f> Tax!AY$38</f>
        <v>-2277.2123943194542</v>
      </c>
      <c r="AZ18" s="117">
        <f> Tax!AZ$38</f>
        <v>-2560.845283573965</v>
      </c>
      <c r="BA18" s="117">
        <f> Tax!BA$38</f>
        <v>-2409.634509229003</v>
      </c>
      <c r="BB18" s="117">
        <f> Tax!BB$38</f>
        <v>-2719.230926260266</v>
      </c>
      <c r="BC18" s="117">
        <f> Tax!BC$38</f>
        <v>-2534.185469978935</v>
      </c>
      <c r="BD18" s="117">
        <f> Tax!BD$38</f>
        <v>-2800.3468654541757</v>
      </c>
      <c r="BE18" s="117">
        <f> Tax!BE$38</f>
        <v>-2587.4997688389635</v>
      </c>
      <c r="BF18" s="117">
        <f> Tax!BF$38</f>
        <v>-2850.0124143143285</v>
      </c>
      <c r="BG18" s="117">
        <f> Tax!BG$38</f>
        <v>-2633.996203965079</v>
      </c>
      <c r="BH18" s="117">
        <f> Tax!BH$38</f>
        <v>-2672.5033906325903</v>
      </c>
      <c r="BI18" s="117">
        <f> Tax!BI$38</f>
        <v>-2940.9006934125478</v>
      </c>
      <c r="BJ18" s="117">
        <f> Tax!BJ$38</f>
        <v>-2720.042120639803</v>
      </c>
      <c r="BK18" s="117">
        <f> Tax!BK$38</f>
        <v>-2992.435632867504</v>
      </c>
      <c r="BL18" s="117">
        <f> Tax!BL$38</f>
        <v>-2783.288662238344</v>
      </c>
      <c r="BM18" s="117">
        <f> Tax!BM$38</f>
        <v>-3059.737884101699</v>
      </c>
      <c r="BN18" s="117">
        <f> Tax!BN$38</f>
        <v>-2832.2535541457733</v>
      </c>
      <c r="BO18" s="117">
        <f> Tax!BO$38</f>
        <v>-3112.818871740305</v>
      </c>
      <c r="BP18" s="117">
        <f> Tax!BP$38</f>
        <v>-2881.9474919922695</v>
      </c>
      <c r="BQ18" s="117">
        <f> Tax!BQ$38</f>
        <v>-2907.0712390071276</v>
      </c>
      <c r="BR18" s="117">
        <f> Tax!BR$38</f>
        <v>-3193.925894559488</v>
      </c>
      <c r="BS18" s="117">
        <f> Tax!BS$38</f>
        <v>-2957.8791490731824</v>
      </c>
      <c r="BT18" s="117">
        <f> Tax!BT$38</f>
        <v>-3754.3438247133445</v>
      </c>
      <c r="BU18" s="117">
        <f> Tax!BU$38</f>
        <v>-3514.7825422900014</v>
      </c>
      <c r="BV18" s="117">
        <f> Tax!BV$38</f>
        <v>-3810.242837508931</v>
      </c>
      <c r="BW18" s="117">
        <f> Tax!BW$38</f>
        <v>-3838.5036821253275</v>
      </c>
      <c r="BX18" s="117">
        <f> Tax!BX$38</f>
        <v>-3866.9741394547427</v>
      </c>
      <c r="BY18" s="117">
        <f> Tax!BY$38</f>
        <v>-3895.655764209716</v>
      </c>
      <c r="BZ18" s="117">
        <f> Tax!BZ$38</f>
        <v>-3924.5501226341976</v>
      </c>
      <c r="CA18" s="117">
        <f> Tax!CA$38</f>
        <v>-3953.6587925890876</v>
      </c>
      <c r="CB18" s="117">
        <f> Tax!CB$38</f>
        <v>-3982.9833636383846</v>
      </c>
      <c r="CC18" s="117">
        <f> Tax!CC$38</f>
        <v>-4012.5254371360056</v>
      </c>
      <c r="CD18" s="117">
        <f> Tax!CD$38</f>
        <v>-4042.2866263132228</v>
      </c>
      <c r="CE18" s="117">
        <f> Tax!CE$38</f>
        <v>-4072.268556366757</v>
      </c>
      <c r="CF18" s="117">
        <f> Tax!CF$38</f>
        <v>-4102.472864547535</v>
      </c>
      <c r="CG18" s="117">
        <f> Tax!CG$38</f>
        <v>-4132.901200250086</v>
      </c>
      <c r="CH18" s="117">
        <f> Tax!CH$38</f>
        <v>-4163.555225102618</v>
      </c>
      <c r="CI18" s="117">
        <f> Tax!CI$38</f>
        <v>-4194.436613057758</v>
      </c>
      <c r="CJ18" s="117">
        <f> Tax!CJ$38</f>
        <v>-4225.5470504839595</v>
      </c>
      <c r="CK18" s="117">
        <f> Tax!CK$38</f>
        <v>-4256.888236257587</v>
      </c>
      <c r="CL18" s="117">
        <f> Tax!CL$38</f>
        <v>-4288.461881855696</v>
      </c>
      <c r="CM18" s="117">
        <f> Tax!CM$38</f>
        <v>-4320.26971144949</v>
      </c>
      <c r="CN18" s="117">
        <f> Tax!CN$38</f>
        <v>-5.142960537976725e-13</v>
      </c>
      <c r="CO18" s="117">
        <f> Tax!CO$38</f>
        <v>-5.29189120061567e-13</v>
      </c>
    </row>
    <row r="19" s="396">
      <c r="A19" s="348" t="n"/>
      <c r="B19" s="348" t="n"/>
      <c r="C19" s="349" t="n"/>
      <c r="D19" s="193" t="n"/>
      <c r="E19" s="366" t="inlineStr">
        <is>
          <t>Profit after tax</t>
        </is>
      </c>
      <c r="F19" s="366" t="n"/>
      <c r="G19" s="366" t="inlineStr">
        <is>
          <t>$ 000s</t>
        </is>
      </c>
      <c r="H19" s="366">
        <f> SUM(J19:CO19)</f>
        <v>442553.82286558737</v>
      </c>
      <c r="I19" s="366" t="n"/>
      <c r="J19" s="366">
        <f> J16 + J18</f>
        <v>0.0</v>
      </c>
      <c r="K19" s="366">
        <f> K16 + K18</f>
        <v>0.0</v>
      </c>
      <c r="L19" s="366">
        <f> L16 + L18</f>
        <v>1646.366409097422</v>
      </c>
      <c r="M19" s="366">
        <f> M16 + M18</f>
        <v>1361.2477338011904</v>
      </c>
      <c r="N19" s="366">
        <f> N16 + N18</f>
        <v>1728.3632946983557</v>
      </c>
      <c r="O19" s="366">
        <f> O16 + O18</f>
        <v>1472.8929848831633</v>
      </c>
      <c r="P19" s="366">
        <f> P16 + P18</f>
        <v>1877.2766631413442</v>
      </c>
      <c r="Q19" s="366">
        <f> Q16 + Q18</f>
        <v>1605.6788192310419</v>
      </c>
      <c r="R19" s="366">
        <f> R16 + R18</f>
        <v>1983.6957441078443</v>
      </c>
      <c r="S19" s="366">
        <f> S16 + S18</f>
        <v>1717.6411136706224</v>
      </c>
      <c r="T19" s="366">
        <f> T16 + T18</f>
        <v>2256.3332814023483</v>
      </c>
      <c r="U19" s="366">
        <f> U16 + U18</f>
        <v>1965.571379355562</v>
      </c>
      <c r="V19" s="366">
        <f> V16 + V18</f>
        <v>2366.353713238842</v>
      </c>
      <c r="W19" s="366">
        <f> W16 + W18</f>
        <v>2070.4845041891194</v>
      </c>
      <c r="X19" s="366">
        <f> X16 + X18</f>
        <v>2460.9132086081445</v>
      </c>
      <c r="Y19" s="366">
        <f> Y16 + Y18</f>
        <v>2138.5867346714954</v>
      </c>
      <c r="Z19" s="366">
        <f> Z16 + Z18</f>
        <v>2543.247175784429</v>
      </c>
      <c r="AA19" s="366">
        <f> AA16 + AA18</f>
        <v>2227.4008568537993</v>
      </c>
      <c r="AB19" s="366">
        <f> AB16 + AB18</f>
        <v>2609.1588256288996</v>
      </c>
      <c r="AC19" s="366">
        <f> AC16 + AC18</f>
        <v>2278.612895688263</v>
      </c>
      <c r="AD19" s="366">
        <f> AD16 + AD18</f>
        <v>3170.982245342971</v>
      </c>
      <c r="AE19" s="366">
        <f> AE16 + AE18</f>
        <v>2825.462487362219</v>
      </c>
      <c r="AF19" s="366">
        <f> AF16 + AF18</f>
        <v>3270.814594244614</v>
      </c>
      <c r="AG19" s="366">
        <f> AG16 + AG18</f>
        <v>2911.906669534241</v>
      </c>
      <c r="AH19" s="366">
        <f> AH16 + AH18</f>
        <v>3376.9518156107697</v>
      </c>
      <c r="AI19" s="366">
        <f> AI16 + AI18</f>
        <v>3022.938751121577</v>
      </c>
      <c r="AJ19" s="366">
        <f> AJ16 + AJ18</f>
        <v>3493.0275470452298</v>
      </c>
      <c r="AK19" s="366">
        <f> AK16 + AK18</f>
        <v>3134.0346191567533</v>
      </c>
      <c r="AL19" s="366">
        <f> AL16 + AL18</f>
        <v>3615.2940559842855</v>
      </c>
      <c r="AM19" s="366">
        <f> AM16 + AM18</f>
        <v>3731.0718909450707</v>
      </c>
      <c r="AN19" s="366">
        <f> AN16 + AN18</f>
        <v>4305.901460958602</v>
      </c>
      <c r="AO19" s="366">
        <f> AO16 + AO18</f>
        <v>3908.4060180680067</v>
      </c>
      <c r="AP19" s="366">
        <f> AP16 + AP18</f>
        <v>4440.958633417434</v>
      </c>
      <c r="AQ19" s="366">
        <f> AQ16 + AQ18</f>
        <v>4046.2789835152316</v>
      </c>
      <c r="AR19" s="366">
        <f> AR16 + AR18</f>
        <v>4602.220994617373</v>
      </c>
      <c r="AS19" s="366">
        <f> AS16 + AS18</f>
        <v>4195.744627353248</v>
      </c>
      <c r="AT19" s="366">
        <f> AT16 + AT18</f>
        <v>4747.31831852224</v>
      </c>
      <c r="AU19" s="366">
        <f> AU16 + AU18</f>
        <v>4342.487553584597</v>
      </c>
      <c r="AV19" s="366">
        <f> AV16 + AV18</f>
        <v>4971.595015387658</v>
      </c>
      <c r="AW19" s="366">
        <f> AW16 + AW18</f>
        <v>4556.182415972084</v>
      </c>
      <c r="AX19" s="366">
        <f> AX16 + AX18</f>
        <v>5751.906081023039</v>
      </c>
      <c r="AY19" s="366">
        <f> AY16 + AY18</f>
        <v>5313.495586745394</v>
      </c>
      <c r="AZ19" s="366">
        <f> AZ16 + AZ18</f>
        <v>5975.305661672586</v>
      </c>
      <c r="BA19" s="366">
        <f> BA16 + BA18</f>
        <v>5622.48052153434</v>
      </c>
      <c r="BB19" s="366">
        <f> BB16 + BB18</f>
        <v>6344.872161273954</v>
      </c>
      <c r="BC19" s="366">
        <f> BC16 + BC18</f>
        <v>5913.099429950849</v>
      </c>
      <c r="BD19" s="366">
        <f> BD16 + BD18</f>
        <v>6534.142686059744</v>
      </c>
      <c r="BE19" s="366">
        <f> BE16 + BE18</f>
        <v>6037.499460624249</v>
      </c>
      <c r="BF19" s="366">
        <f> BF16 + BF18</f>
        <v>6650.028966733434</v>
      </c>
      <c r="BG19" s="366">
        <f> BG16 + BG18</f>
        <v>6145.991142585185</v>
      </c>
      <c r="BH19" s="366">
        <f> BH16 + BH18</f>
        <v>6235.841244809379</v>
      </c>
      <c r="BI19" s="366">
        <f> BI16 + BI18</f>
        <v>6862.101617962611</v>
      </c>
      <c r="BJ19" s="366">
        <f> BJ16 + BJ18</f>
        <v>6346.764948159541</v>
      </c>
      <c r="BK19" s="366">
        <f> BK16 + BK18</f>
        <v>6982.349810024176</v>
      </c>
      <c r="BL19" s="366">
        <f> BL16 + BL18</f>
        <v>6494.340211889469</v>
      </c>
      <c r="BM19" s="366">
        <f> BM16 + BM18</f>
        <v>7139.3883962372975</v>
      </c>
      <c r="BN19" s="366">
        <f> BN16 + BN18</f>
        <v>6608.591626340138</v>
      </c>
      <c r="BO19" s="366">
        <f> BO16 + BO18</f>
        <v>7263.244034060712</v>
      </c>
      <c r="BP19" s="366">
        <f> BP16 + BP18</f>
        <v>6724.544147981963</v>
      </c>
      <c r="BQ19" s="366">
        <f> BQ16 + BQ18</f>
        <v>6783.166224349965</v>
      </c>
      <c r="BR19" s="366">
        <f> BR16 + BR18</f>
        <v>7452.493753972138</v>
      </c>
      <c r="BS19" s="366">
        <f> BS16 + BS18</f>
        <v>6901.718014504093</v>
      </c>
      <c r="BT19" s="366">
        <f> BT16 + BT18</f>
        <v>8760.135590997805</v>
      </c>
      <c r="BU19" s="366">
        <f> BU16 + BU18</f>
        <v>8201.159265343336</v>
      </c>
      <c r="BV19" s="366">
        <f> BV16 + BV18</f>
        <v>8890.566620854173</v>
      </c>
      <c r="BW19" s="366">
        <f> BW16 + BW18</f>
        <v>8956.508591625765</v>
      </c>
      <c r="BX19" s="366">
        <f> BX16 + BX18</f>
        <v>9022.939658727733</v>
      </c>
      <c r="BY19" s="366">
        <f> BY16 + BY18</f>
        <v>9089.863449822671</v>
      </c>
      <c r="BZ19" s="366">
        <f> BZ16 + BZ18</f>
        <v>9157.283619479796</v>
      </c>
      <c r="CA19" s="366">
        <f> CA16 + CA18</f>
        <v>9225.203849374539</v>
      </c>
      <c r="CB19" s="366">
        <f> CB16 + CB18</f>
        <v>9293.627848489565</v>
      </c>
      <c r="CC19" s="366">
        <f> CC16 + CC18</f>
        <v>9362.559353317347</v>
      </c>
      <c r="CD19" s="366">
        <f> CD16 + CD18</f>
        <v>9432.002128064189</v>
      </c>
      <c r="CE19" s="366">
        <f> CE16 + CE18</f>
        <v>9501.959964855767</v>
      </c>
      <c r="CF19" s="366">
        <f> CF16 + CF18</f>
        <v>9572.436683944248</v>
      </c>
      <c r="CG19" s="366">
        <f> CG16 + CG18</f>
        <v>9643.436133916866</v>
      </c>
      <c r="CH19" s="366">
        <f> CH16 + CH18</f>
        <v>9714.96219190611</v>
      </c>
      <c r="CI19" s="366">
        <f> CI16 + CI18</f>
        <v>9787.018763801438</v>
      </c>
      <c r="CJ19" s="366">
        <f> CJ16 + CJ18</f>
        <v>9859.609784462573</v>
      </c>
      <c r="CK19" s="366">
        <f> CK16 + CK18</f>
        <v>9932.73921793437</v>
      </c>
      <c r="CL19" s="366">
        <f> CL16 + CL18</f>
        <v>10006.411057663292</v>
      </c>
      <c r="CM19" s="366">
        <f> CM16 + CM18</f>
        <v>10080.62932671548</v>
      </c>
      <c r="CN19" s="366">
        <f> CN16 + CN18</f>
        <v>1.2000241255279027e-12</v>
      </c>
      <c r="CO19" s="366">
        <f> CO16 + CO18</f>
        <v>1.2347746134769898e-12</v>
      </c>
    </row>
    <row r="20" customFormat="1" s="169"/>
    <row r="21" s="396">
      <c r="A21" s="163" t="n"/>
      <c r="B21" s="163" t="n"/>
      <c r="C21" s="172" t="n"/>
      <c r="D21" s="88" t="n"/>
      <c r="E21" s="117" t="str">
        <f> Equity!E$40</f>
        <v>Dividend declared and paid</v>
      </c>
      <c r="F21" s="117" t="str">
        <f> Equity!F$40</f>
        <v>IS&amp;CF</v>
      </c>
      <c r="G21" s="117" t="str">
        <f> Equity!G$40</f>
        <v>$ 000s</v>
      </c>
      <c r="H21" s="117">
        <f> Equity!H$40</f>
        <v>-442553.82286558725</v>
      </c>
      <c r="I21" s="117">
        <f> Equity!I$40</f>
        <v>0.0</v>
      </c>
      <c r="J21" s="117">
        <f> Equity!J$40</f>
        <v>-0.0</v>
      </c>
      <c r="K21" s="117">
        <f> Equity!K$40</f>
        <v>-0.0</v>
      </c>
      <c r="L21" s="117">
        <f> Equity!L$40</f>
        <v>-0.0</v>
      </c>
      <c r="M21" s="117">
        <f> Equity!M$40</f>
        <v>-1542.3934940537397</v>
      </c>
      <c r="N21" s="117">
        <f> Equity!N$40</f>
        <v>-3013.9184138551927</v>
      </c>
      <c r="O21" s="117">
        <f> Equity!O$40</f>
        <v>-1652.558514571199</v>
      </c>
      <c r="P21" s="117">
        <f> Equity!P$40</f>
        <v>-1877.2766631413442</v>
      </c>
      <c r="Q21" s="117">
        <f> Equity!Q$40</f>
        <v>-1605.6788192310419</v>
      </c>
      <c r="R21" s="117">
        <f> Equity!R$40</f>
        <v>-1983.6957441078443</v>
      </c>
      <c r="S21" s="117">
        <f> Equity!S$40</f>
        <v>-1717.6411136706224</v>
      </c>
      <c r="T21" s="117">
        <f> Equity!T$40</f>
        <v>-2256.3332814023483</v>
      </c>
      <c r="U21" s="117">
        <f> Equity!U$40</f>
        <v>-1965.571379355562</v>
      </c>
      <c r="V21" s="117">
        <f> Equity!V$40</f>
        <v>-2366.353713238842</v>
      </c>
      <c r="W21" s="117">
        <f> Equity!W$40</f>
        <v>-2070.4845041891194</v>
      </c>
      <c r="X21" s="117">
        <f> Equity!X$40</f>
        <v>-2460.9132086081445</v>
      </c>
      <c r="Y21" s="117">
        <f> Equity!Y$40</f>
        <v>-2138.5867346714954</v>
      </c>
      <c r="Z21" s="117">
        <f> Equity!Z$40</f>
        <v>-2543.247175784429</v>
      </c>
      <c r="AA21" s="117">
        <f> Equity!AA$40</f>
        <v>-2227.4008568537993</v>
      </c>
      <c r="AB21" s="117">
        <f> Equity!AB$40</f>
        <v>-2609.1588256288996</v>
      </c>
      <c r="AC21" s="117">
        <f> Equity!AC$40</f>
        <v>-2278.612895688263</v>
      </c>
      <c r="AD21" s="117">
        <f> Equity!AD$40</f>
        <v>-3170.982245342971</v>
      </c>
      <c r="AE21" s="117">
        <f> Equity!AE$40</f>
        <v>-2825.462487362219</v>
      </c>
      <c r="AF21" s="117">
        <f> Equity!AF$40</f>
        <v>-3270.814594244614</v>
      </c>
      <c r="AG21" s="117">
        <f> Equity!AG$40</f>
        <v>-2911.906669534241</v>
      </c>
      <c r="AH21" s="117">
        <f> Equity!AH$40</f>
        <v>-3376.9518156107697</v>
      </c>
      <c r="AI21" s="117">
        <f> Equity!AI$40</f>
        <v>-3022.938751121577</v>
      </c>
      <c r="AJ21" s="117">
        <f> Equity!AJ$40</f>
        <v>-3493.0275470452298</v>
      </c>
      <c r="AK21" s="117">
        <f> Equity!AK$40</f>
        <v>-3134.0346191567533</v>
      </c>
      <c r="AL21" s="117">
        <f> Equity!AL$40</f>
        <v>-3615.2940559842855</v>
      </c>
      <c r="AM21" s="117">
        <f> Equity!AM$40</f>
        <v>-3731.0718909450707</v>
      </c>
      <c r="AN21" s="117">
        <f> Equity!AN$40</f>
        <v>-4305.901460958602</v>
      </c>
      <c r="AO21" s="117">
        <f> Equity!AO$40</f>
        <v>-3908.4060180680067</v>
      </c>
      <c r="AP21" s="117">
        <f> Equity!AP$40</f>
        <v>-4440.958633417434</v>
      </c>
      <c r="AQ21" s="117">
        <f> Equity!AQ$40</f>
        <v>-4046.2789835152316</v>
      </c>
      <c r="AR21" s="117">
        <f> Equity!AR$40</f>
        <v>-4602.220994617373</v>
      </c>
      <c r="AS21" s="117">
        <f> Equity!AS$40</f>
        <v>-4195.744627353248</v>
      </c>
      <c r="AT21" s="117">
        <f> Equity!AT$40</f>
        <v>-4732.7085651994585</v>
      </c>
      <c r="AU21" s="117">
        <f> Equity!AU$40</f>
        <v>-3395.28320582229</v>
      </c>
      <c r="AV21" s="117">
        <f> Equity!AV$40</f>
        <v>-3338.4064387893923</v>
      </c>
      <c r="AW21" s="117">
        <f> Equity!AW$40</f>
        <v>-3153.1327786661905</v>
      </c>
      <c r="AX21" s="117">
        <f> Equity!AX$40</f>
        <v>-7052.041934786595</v>
      </c>
      <c r="AY21" s="117">
        <f> Equity!AY$40</f>
        <v>-7052.792941098581</v>
      </c>
      <c r="AZ21" s="117">
        <f> Equity!AZ$40</f>
        <v>-9.094947017729282e-13</v>
      </c>
      <c r="BA21" s="117">
        <f> Equity!BA$40</f>
        <v>-0.0</v>
      </c>
      <c r="BB21" s="117">
        <f> Equity!BB$40</f>
        <v>-4463.805875534848</v>
      </c>
      <c r="BC21" s="117">
        <f> Equity!BC$40</f>
        <v>-7521.637238564551</v>
      </c>
      <c r="BD21" s="117">
        <f> Equity!BD$40</f>
        <v>-7786.862296074629</v>
      </c>
      <c r="BE21" s="117">
        <f> Equity!BE$40</f>
        <v>-7627.988950314166</v>
      </c>
      <c r="BF21" s="117">
        <f> Equity!BF$40</f>
        <v>-7926.412925883229</v>
      </c>
      <c r="BG21" s="117">
        <f> Equity!BG$40</f>
        <v>-7703.404245475238</v>
      </c>
      <c r="BH21" s="117">
        <f> Equity!BH$40</f>
        <v>-7569.490087277265</v>
      </c>
      <c r="BI21" s="117">
        <f> Equity!BI$40</f>
        <v>-8073.785152795242</v>
      </c>
      <c r="BJ21" s="117">
        <f> Equity!BJ$40</f>
        <v>-7864.656660041153</v>
      </c>
      <c r="BK21" s="117">
        <f> Equity!BK$40</f>
        <v>-8164.350522971761</v>
      </c>
      <c r="BL21" s="117">
        <f> Equity!BL$40</f>
        <v>-7920.158988451464</v>
      </c>
      <c r="BM21" s="117">
        <f> Equity!BM$40</f>
        <v>-7620.27242300577</v>
      </c>
      <c r="BN21" s="117">
        <f> Equity!BN$40</f>
        <v>-6608.591626340138</v>
      </c>
      <c r="BO21" s="117">
        <f> Equity!BO$40</f>
        <v>-7263.244034060712</v>
      </c>
      <c r="BP21" s="117">
        <f> Equity!BP$40</f>
        <v>-6724.544147981963</v>
      </c>
      <c r="BQ21" s="117">
        <f> Equity!BQ$40</f>
        <v>-6783.166224349965</v>
      </c>
      <c r="BR21" s="117">
        <f> Equity!BR$40</f>
        <v>-7452.493753972138</v>
      </c>
      <c r="BS21" s="117">
        <f> Equity!BS$40</f>
        <v>-6901.718014504093</v>
      </c>
      <c r="BT21" s="117">
        <f> Equity!BT$40</f>
        <v>-8760.135590997805</v>
      </c>
      <c r="BU21" s="117">
        <f> Equity!BU$40</f>
        <v>-8201.159265343336</v>
      </c>
      <c r="BV21" s="117">
        <f> Equity!BV$40</f>
        <v>-8890.566620854173</v>
      </c>
      <c r="BW21" s="117">
        <f> Equity!BW$40</f>
        <v>-8956.508591625765</v>
      </c>
      <c r="BX21" s="117">
        <f> Equity!BX$40</f>
        <v>-9022.939658727733</v>
      </c>
      <c r="BY21" s="117">
        <f> Equity!BY$40</f>
        <v>-9089.863449822671</v>
      </c>
      <c r="BZ21" s="117">
        <f> Equity!BZ$40</f>
        <v>-9157.283619479796</v>
      </c>
      <c r="CA21" s="117">
        <f> Equity!CA$40</f>
        <v>-9225.203849374539</v>
      </c>
      <c r="CB21" s="117">
        <f> Equity!CB$40</f>
        <v>-9293.627848489565</v>
      </c>
      <c r="CC21" s="117">
        <f> Equity!CC$40</f>
        <v>-9362.559353317347</v>
      </c>
      <c r="CD21" s="117">
        <f> Equity!CD$40</f>
        <v>-9432.002128064189</v>
      </c>
      <c r="CE21" s="117">
        <f> Equity!CE$40</f>
        <v>-9501.959964855767</v>
      </c>
      <c r="CF21" s="117">
        <f> Equity!CF$40</f>
        <v>-9572.436683944248</v>
      </c>
      <c r="CG21" s="117">
        <f> Equity!CG$40</f>
        <v>-9643.436133916866</v>
      </c>
      <c r="CH21" s="117">
        <f> Equity!CH$40</f>
        <v>-9714.96219190611</v>
      </c>
      <c r="CI21" s="117">
        <f> Equity!CI$40</f>
        <v>-9787.018763801438</v>
      </c>
      <c r="CJ21" s="117">
        <f> Equity!CJ$40</f>
        <v>-9859.609784462573</v>
      </c>
      <c r="CK21" s="117">
        <f> Equity!CK$40</f>
        <v>-9932.73921793437</v>
      </c>
      <c r="CL21" s="117">
        <f> Equity!CL$40</f>
        <v>-10006.411057663292</v>
      </c>
      <c r="CM21" s="117">
        <f> Equity!CM$40</f>
        <v>-8269.862836161752</v>
      </c>
      <c r="CN21" s="117">
        <f> Equity!CN$40</f>
        <v>-1810.7664905536142</v>
      </c>
      <c r="CO21" s="117">
        <f> Equity!CO$40</f>
        <v>-0.0</v>
      </c>
    </row>
    <row r="22">
      <c r="E22" s="168" t="inlineStr">
        <is>
          <t>Retained earnings</t>
        </is>
      </c>
      <c r="F22" s="168" t="n"/>
      <c r="G22" s="168" t="inlineStr">
        <is>
          <t>$ 000s</t>
        </is>
      </c>
      <c r="H22" s="168">
        <f> SUM(J22:CO22)</f>
        <v>1.176500964404118e-10</v>
      </c>
      <c r="I22" s="168" t="n"/>
      <c r="J22" s="168">
        <f> J19 + SUM(J21:J21)</f>
        <v>0.0</v>
      </c>
      <c r="K22" s="168">
        <f> K19 + SUM(K21:K21)</f>
        <v>0.0</v>
      </c>
      <c r="L22" s="168">
        <f> L19 + SUM(L21:L21)</f>
        <v>1646.366409097422</v>
      </c>
      <c r="M22" s="168">
        <f> M19 + SUM(M21:M21)</f>
        <v>-181.14576025254928</v>
      </c>
      <c r="N22" s="168">
        <f> N19 + SUM(N21:N21)</f>
        <v>-1285.555119156837</v>
      </c>
      <c r="O22" s="168">
        <f> O19 + SUM(O21:O21)</f>
        <v>-179.6655296880358</v>
      </c>
      <c r="P22" s="168">
        <f> P19 + SUM(P21:P21)</f>
        <v>0.0</v>
      </c>
      <c r="Q22" s="168">
        <f> Q19 + SUM(Q21:Q21)</f>
        <v>0.0</v>
      </c>
      <c r="R22" s="168">
        <f> R19 + SUM(R21:R21)</f>
        <v>0.0</v>
      </c>
      <c r="S22" s="168">
        <f> S19 + SUM(S21:S21)</f>
        <v>0.0</v>
      </c>
      <c r="T22" s="168">
        <f> T19 + SUM(T21:T21)</f>
        <v>0.0</v>
      </c>
      <c r="U22" s="168">
        <f> U19 + SUM(U21:U21)</f>
        <v>0.0</v>
      </c>
      <c r="V22" s="168">
        <f> V19 + SUM(V21:V21)</f>
        <v>0.0</v>
      </c>
      <c r="W22" s="168">
        <f> W19 + SUM(W21:W21)</f>
        <v>0.0</v>
      </c>
      <c r="X22" s="168">
        <f> X19 + SUM(X21:X21)</f>
        <v>0.0</v>
      </c>
      <c r="Y22" s="168">
        <f> Y19 + SUM(Y21:Y21)</f>
        <v>0.0</v>
      </c>
      <c r="Z22" s="168">
        <f> Z19 + SUM(Z21:Z21)</f>
        <v>0.0</v>
      </c>
      <c r="AA22" s="168">
        <f> AA19 + SUM(AA21:AA21)</f>
        <v>0.0</v>
      </c>
      <c r="AB22" s="168">
        <f> AB19 + SUM(AB21:AB21)</f>
        <v>0.0</v>
      </c>
      <c r="AC22" s="168">
        <f> AC19 + SUM(AC21:AC21)</f>
        <v>0.0</v>
      </c>
      <c r="AD22" s="168">
        <f> AD19 + SUM(AD21:AD21)</f>
        <v>0.0</v>
      </c>
      <c r="AE22" s="168">
        <f> AE19 + SUM(AE21:AE21)</f>
        <v>0.0</v>
      </c>
      <c r="AF22" s="168">
        <f> AF19 + SUM(AF21:AF21)</f>
        <v>0.0</v>
      </c>
      <c r="AG22" s="168">
        <f> AG19 + SUM(AG21:AG21)</f>
        <v>0.0</v>
      </c>
      <c r="AH22" s="168">
        <f> AH19 + SUM(AH21:AH21)</f>
        <v>0.0</v>
      </c>
      <c r="AI22" s="168">
        <f> AI19 + SUM(AI21:AI21)</f>
        <v>0.0</v>
      </c>
      <c r="AJ22" s="168">
        <f> AJ19 + SUM(AJ21:AJ21)</f>
        <v>0.0</v>
      </c>
      <c r="AK22" s="168">
        <f> AK19 + SUM(AK21:AK21)</f>
        <v>0.0</v>
      </c>
      <c r="AL22" s="168">
        <f> AL19 + SUM(AL21:AL21)</f>
        <v>0.0</v>
      </c>
      <c r="AM22" s="168">
        <f> AM19 + SUM(AM21:AM21)</f>
        <v>0.0</v>
      </c>
      <c r="AN22" s="168">
        <f> AN19 + SUM(AN21:AN21)</f>
        <v>0.0</v>
      </c>
      <c r="AO22" s="168">
        <f> AO19 + SUM(AO21:AO21)</f>
        <v>0.0</v>
      </c>
      <c r="AP22" s="168">
        <f> AP19 + SUM(AP21:AP21)</f>
        <v>0.0</v>
      </c>
      <c r="AQ22" s="168">
        <f> AQ19 + SUM(AQ21:AQ21)</f>
        <v>0.0</v>
      </c>
      <c r="AR22" s="168">
        <f> AR19 + SUM(AR21:AR21)</f>
        <v>0.0</v>
      </c>
      <c r="AS22" s="168">
        <f> AS19 + SUM(AS21:AS21)</f>
        <v>0.0</v>
      </c>
      <c r="AT22" s="168">
        <f> AT19 + SUM(AT21:AT21)</f>
        <v>14.609753322781216</v>
      </c>
      <c r="AU22" s="168">
        <f> AU19 + SUM(AU21:AU21)</f>
        <v>947.204347762307</v>
      </c>
      <c r="AV22" s="168">
        <f> AV19 + SUM(AV21:AV21)</f>
        <v>1633.188576598266</v>
      </c>
      <c r="AW22" s="168">
        <f> AW19 + SUM(AW21:AW21)</f>
        <v>1403.0496373058932</v>
      </c>
      <c r="AX22" s="168">
        <f> AX19 + SUM(AX21:AX21)</f>
        <v>-1300.135853763556</v>
      </c>
      <c r="AY22" s="168">
        <f> AY19 + SUM(AY21:AY21)</f>
        <v>-1739.297354353187</v>
      </c>
      <c r="AZ22" s="168">
        <f> AZ19 + SUM(AZ21:AZ21)</f>
        <v>5975.305661672585</v>
      </c>
      <c r="BA22" s="168">
        <f> BA19 + SUM(BA21:BA21)</f>
        <v>5622.48052153434</v>
      </c>
      <c r="BB22" s="168">
        <f> BB19 + SUM(BB21:BB21)</f>
        <v>1881.0662857391053</v>
      </c>
      <c r="BC22" s="168">
        <f> BC19 + SUM(BC21:BC21)</f>
        <v>-1608.5378086137016</v>
      </c>
      <c r="BD22" s="168">
        <f> BD19 + SUM(BD21:BD21)</f>
        <v>-1252.719610014885</v>
      </c>
      <c r="BE22" s="168">
        <f> BE19 + SUM(BE21:BE21)</f>
        <v>-1590.4894896899168</v>
      </c>
      <c r="BF22" s="168">
        <f> BF19 + SUM(BF21:BF21)</f>
        <v>-1276.3839591497954</v>
      </c>
      <c r="BG22" s="168">
        <f> BG19 + SUM(BG21:BG21)</f>
        <v>-1557.4131028900529</v>
      </c>
      <c r="BH22" s="168">
        <f> BH19 + SUM(BH21:BH21)</f>
        <v>-1333.6488424678864</v>
      </c>
      <c r="BI22" s="168">
        <f> BI19 + SUM(BI21:BI21)</f>
        <v>-1211.6835348326304</v>
      </c>
      <c r="BJ22" s="168">
        <f> BJ19 + SUM(BJ21:BJ21)</f>
        <v>-1517.8917118816125</v>
      </c>
      <c r="BK22" s="168">
        <f> BK19 + SUM(BK21:BK21)</f>
        <v>-1182.0007129475853</v>
      </c>
      <c r="BL22" s="168">
        <f> BL19 + SUM(BL21:BL21)</f>
        <v>-1425.818776561995</v>
      </c>
      <c r="BM22" s="168">
        <f> BM19 + SUM(BM21:BM21)</f>
        <v>-480.8840267684727</v>
      </c>
      <c r="BN22" s="168">
        <f> BN19 + SUM(BN21:BN21)</f>
        <v>0.0</v>
      </c>
      <c r="BO22" s="168">
        <f> BO19 + SUM(BO21:BO21)</f>
        <v>0.0</v>
      </c>
      <c r="BP22" s="168">
        <f> BP19 + SUM(BP21:BP21)</f>
        <v>0.0</v>
      </c>
      <c r="BQ22" s="168">
        <f> BQ19 + SUM(BQ21:BQ21)</f>
        <v>0.0</v>
      </c>
      <c r="BR22" s="168">
        <f> BR19 + SUM(BR21:BR21)</f>
        <v>0.0</v>
      </c>
      <c r="BS22" s="168">
        <f> BS19 + SUM(BS21:BS21)</f>
        <v>0.0</v>
      </c>
      <c r="BT22" s="168">
        <f> BT19 + SUM(BT21:BT21)</f>
        <v>0.0</v>
      </c>
      <c r="BU22" s="168">
        <f> BU19 + SUM(BU21:BU21)</f>
        <v>0.0</v>
      </c>
      <c r="BV22" s="168">
        <f> BV19 + SUM(BV21:BV21)</f>
        <v>0.0</v>
      </c>
      <c r="BW22" s="168">
        <f> BW19 + SUM(BW21:BW21)</f>
        <v>0.0</v>
      </c>
      <c r="BX22" s="168">
        <f> BX19 + SUM(BX21:BX21)</f>
        <v>0.0</v>
      </c>
      <c r="BY22" s="168">
        <f> BY19 + SUM(BY21:BY21)</f>
        <v>0.0</v>
      </c>
      <c r="BZ22" s="168">
        <f> BZ19 + SUM(BZ21:BZ21)</f>
        <v>0.0</v>
      </c>
      <c r="CA22" s="168">
        <f> CA19 + SUM(CA21:CA21)</f>
        <v>0.0</v>
      </c>
      <c r="CB22" s="168">
        <f> CB19 + SUM(CB21:CB21)</f>
        <v>0.0</v>
      </c>
      <c r="CC22" s="168">
        <f> CC19 + SUM(CC21:CC21)</f>
        <v>0.0</v>
      </c>
      <c r="CD22" s="168">
        <f> CD19 + SUM(CD21:CD21)</f>
        <v>0.0</v>
      </c>
      <c r="CE22" s="168">
        <f> CE19 + SUM(CE21:CE21)</f>
        <v>0.0</v>
      </c>
      <c r="CF22" s="168">
        <f> CF19 + SUM(CF21:CF21)</f>
        <v>0.0</v>
      </c>
      <c r="CG22" s="168">
        <f> CG19 + SUM(CG21:CG21)</f>
        <v>0.0</v>
      </c>
      <c r="CH22" s="168">
        <f> CH19 + SUM(CH21:CH21)</f>
        <v>0.0</v>
      </c>
      <c r="CI22" s="168">
        <f> CI19 + SUM(CI21:CI21)</f>
        <v>0.0</v>
      </c>
      <c r="CJ22" s="168">
        <f> CJ19 + SUM(CJ21:CJ21)</f>
        <v>0.0</v>
      </c>
      <c r="CK22" s="168">
        <f> CK19 + SUM(CK21:CK21)</f>
        <v>0.0</v>
      </c>
      <c r="CL22" s="168">
        <f> CL19 + SUM(CL21:CL21)</f>
        <v>0.0</v>
      </c>
      <c r="CM22" s="168">
        <f> CM19 + SUM(CM21:CM21)</f>
        <v>1810.7664905537276</v>
      </c>
      <c r="CN22" s="168">
        <f> CN19 + SUM(CN21:CN21)</f>
        <v>-1810.766490553613</v>
      </c>
      <c r="CO22" s="168">
        <f> CO19 + SUM(CO21:CO21)</f>
        <v>1.2347746134769898e-12</v>
      </c>
    </row>
    <row r="24">
      <c r="E24" s="169" t="inlineStr">
        <is>
          <t>Retained earnings balance BEG</t>
        </is>
      </c>
      <c r="F24" s="169" t="n"/>
      <c r="G24" s="169" t="n"/>
      <c r="H24" s="169" t="n"/>
      <c r="I24" s="169" t="n"/>
      <c r="J24" s="117">
        <f>I26</f>
        <v>0.0</v>
      </c>
      <c r="K24" s="117">
        <f>J26</f>
        <v>0.0</v>
      </c>
      <c r="L24" s="117">
        <f>K26</f>
        <v>0.0</v>
      </c>
      <c r="M24" s="117">
        <f>L26</f>
        <v>1646.366409097422</v>
      </c>
      <c r="N24" s="117">
        <f>M26</f>
        <v>1465.2206488448728</v>
      </c>
      <c r="O24" s="117">
        <f>N26</f>
        <v>179.6655296880358</v>
      </c>
      <c r="P24" s="117">
        <f>O26</f>
        <v>0.0</v>
      </c>
      <c r="Q24" s="117">
        <f>P26</f>
        <v>0.0</v>
      </c>
      <c r="R24" s="117">
        <f>Q26</f>
        <v>0.0</v>
      </c>
      <c r="S24" s="117">
        <f>R26</f>
        <v>0.0</v>
      </c>
      <c r="T24" s="117">
        <f>S26</f>
        <v>0.0</v>
      </c>
      <c r="U24" s="117">
        <f>T26</f>
        <v>0.0</v>
      </c>
      <c r="V24" s="117">
        <f>U26</f>
        <v>0.0</v>
      </c>
      <c r="W24" s="117">
        <f>V26</f>
        <v>0.0</v>
      </c>
      <c r="X24" s="117">
        <f>W26</f>
        <v>0.0</v>
      </c>
      <c r="Y24" s="117">
        <f>X26</f>
        <v>0.0</v>
      </c>
      <c r="Z24" s="117">
        <f>Y26</f>
        <v>0.0</v>
      </c>
      <c r="AA24" s="117">
        <f>Z26</f>
        <v>0.0</v>
      </c>
      <c r="AB24" s="117">
        <f>AA26</f>
        <v>0.0</v>
      </c>
      <c r="AC24" s="117">
        <f>AB26</f>
        <v>0.0</v>
      </c>
      <c r="AD24" s="117">
        <f>AC26</f>
        <v>0.0</v>
      </c>
      <c r="AE24" s="117">
        <f>AD26</f>
        <v>0.0</v>
      </c>
      <c r="AF24" s="117">
        <f>AE26</f>
        <v>0.0</v>
      </c>
      <c r="AG24" s="117">
        <f>AF26</f>
        <v>0.0</v>
      </c>
      <c r="AH24" s="117">
        <f>AG26</f>
        <v>0.0</v>
      </c>
      <c r="AI24" s="117">
        <f>AH26</f>
        <v>0.0</v>
      </c>
      <c r="AJ24" s="117">
        <f>AI26</f>
        <v>0.0</v>
      </c>
      <c r="AK24" s="117">
        <f>AJ26</f>
        <v>0.0</v>
      </c>
      <c r="AL24" s="117">
        <f>AK26</f>
        <v>0.0</v>
      </c>
      <c r="AM24" s="117">
        <f>AL26</f>
        <v>0.0</v>
      </c>
      <c r="AN24" s="117">
        <f>AM26</f>
        <v>0.0</v>
      </c>
      <c r="AO24" s="117">
        <f>AN26</f>
        <v>0.0</v>
      </c>
      <c r="AP24" s="117">
        <f>AO26</f>
        <v>0.0</v>
      </c>
      <c r="AQ24" s="117">
        <f>AP26</f>
        <v>0.0</v>
      </c>
      <c r="AR24" s="117">
        <f>AQ26</f>
        <v>0.0</v>
      </c>
      <c r="AS24" s="117">
        <f>AR26</f>
        <v>0.0</v>
      </c>
      <c r="AT24" s="117">
        <f>AS26</f>
        <v>0.0</v>
      </c>
      <c r="AU24" s="117">
        <f>AT26</f>
        <v>14.609753322781216</v>
      </c>
      <c r="AV24" s="117">
        <f>AU26</f>
        <v>961.8141010850882</v>
      </c>
      <c r="AW24" s="117">
        <f>AV26</f>
        <v>2595.0026776833542</v>
      </c>
      <c r="AX24" s="117">
        <f>AW26</f>
        <v>3998.0523149892474</v>
      </c>
      <c r="AY24" s="117">
        <f>AX26</f>
        <v>2697.9164612256914</v>
      </c>
      <c r="AZ24" s="117">
        <f>AY26</f>
        <v>958.6191068725043</v>
      </c>
      <c r="BA24" s="117">
        <f>AZ26</f>
        <v>6933.92476854509</v>
      </c>
      <c r="BB24" s="117">
        <f>BA26</f>
        <v>12556.40529007943</v>
      </c>
      <c r="BC24" s="117">
        <f>BB26</f>
        <v>14437.471575818536</v>
      </c>
      <c r="BD24" s="117">
        <f>BC26</f>
        <v>12828.933767204835</v>
      </c>
      <c r="BE24" s="117">
        <f>BD26</f>
        <v>11576.21415718995</v>
      </c>
      <c r="BF24" s="117">
        <f>BE26</f>
        <v>9985.724667500033</v>
      </c>
      <c r="BG24" s="117">
        <f>BF26</f>
        <v>8709.340708350239</v>
      </c>
      <c r="BH24" s="117">
        <f>BG26</f>
        <v>7151.927605460186</v>
      </c>
      <c r="BI24" s="117">
        <f>BH26</f>
        <v>5818.2787629923</v>
      </c>
      <c r="BJ24" s="117">
        <f>BI26</f>
        <v>4606.595228159669</v>
      </c>
      <c r="BK24" s="117">
        <f>BJ26</f>
        <v>3088.7035162780567</v>
      </c>
      <c r="BL24" s="117">
        <f>BK26</f>
        <v>1906.7028033304714</v>
      </c>
      <c r="BM24" s="117">
        <f>BL26</f>
        <v>480.88402676847636</v>
      </c>
      <c r="BN24" s="117">
        <f>BM26</f>
        <v>3.637978807091713e-12</v>
      </c>
      <c r="BO24" s="117">
        <f>BN26</f>
        <v>3.637978807091713e-12</v>
      </c>
      <c r="BP24" s="117">
        <f>BO26</f>
        <v>3.637978807091713e-12</v>
      </c>
      <c r="BQ24" s="117">
        <f>BP26</f>
        <v>3.637978807091713e-12</v>
      </c>
      <c r="BR24" s="117">
        <f>BQ26</f>
        <v>3.637978807091713e-12</v>
      </c>
      <c r="BS24" s="117">
        <f>BR26</f>
        <v>3.637978807091713e-12</v>
      </c>
      <c r="BT24" s="117">
        <f>BS26</f>
        <v>3.637978807091713e-12</v>
      </c>
      <c r="BU24" s="117">
        <f>BT26</f>
        <v>3.637978807091713e-12</v>
      </c>
      <c r="BV24" s="117">
        <f>BU26</f>
        <v>3.637978807091713e-12</v>
      </c>
      <c r="BW24" s="117">
        <f>BV26</f>
        <v>3.637978807091713e-12</v>
      </c>
      <c r="BX24" s="117">
        <f>BW26</f>
        <v>3.637978807091713e-12</v>
      </c>
      <c r="BY24" s="117">
        <f>BX26</f>
        <v>3.637978807091713e-12</v>
      </c>
      <c r="BZ24" s="117">
        <f>BY26</f>
        <v>3.637978807091713e-12</v>
      </c>
      <c r="CA24" s="117">
        <f>BZ26</f>
        <v>3.637978807091713e-12</v>
      </c>
      <c r="CB24" s="117">
        <f>CA26</f>
        <v>3.637978807091713e-12</v>
      </c>
      <c r="CC24" s="117">
        <f>CB26</f>
        <v>3.637978807091713e-12</v>
      </c>
      <c r="CD24" s="117">
        <f>CC26</f>
        <v>3.637978807091713e-12</v>
      </c>
      <c r="CE24" s="117">
        <f>CD26</f>
        <v>3.637978807091713e-12</v>
      </c>
      <c r="CF24" s="117">
        <f>CE26</f>
        <v>3.637978807091713e-12</v>
      </c>
      <c r="CG24" s="117">
        <f>CF26</f>
        <v>3.637978807091713e-12</v>
      </c>
      <c r="CH24" s="117">
        <f>CG26</f>
        <v>3.637978807091713e-12</v>
      </c>
      <c r="CI24" s="117">
        <f>CH26</f>
        <v>3.637978807091713e-12</v>
      </c>
      <c r="CJ24" s="117">
        <f>CI26</f>
        <v>3.637978807091713e-12</v>
      </c>
      <c r="CK24" s="117">
        <f>CJ26</f>
        <v>3.637978807091713e-12</v>
      </c>
      <c r="CL24" s="117">
        <f>CK26</f>
        <v>3.637978807091713e-12</v>
      </c>
      <c r="CM24" s="117">
        <f>CL26</f>
        <v>3.637978807091713e-12</v>
      </c>
      <c r="CN24" s="117">
        <f>CM26</f>
        <v>1810.7664905537313</v>
      </c>
      <c r="CO24" s="117">
        <f>CN26</f>
        <v>1.1823431123048067e-10</v>
      </c>
    </row>
    <row r="25">
      <c r="D25" s="88" t="inlineStr">
        <is>
          <t>plus</t>
        </is>
      </c>
      <c r="E25" s="169" t="str">
        <f> E$22</f>
        <v>Retained earnings</v>
      </c>
      <c r="F25" s="169">
        <f> F$22</f>
        <v>0.0</v>
      </c>
      <c r="G25" s="169" t="inlineStr">
        <is>
          <t>$ 000s</t>
        </is>
      </c>
      <c r="H25" s="169">
        <f> H$22</f>
        <v>1.176500964404118e-10</v>
      </c>
      <c r="I25" s="169">
        <f> I$22</f>
        <v>0.0</v>
      </c>
      <c r="J25" s="169">
        <f> J$22</f>
        <v>0.0</v>
      </c>
      <c r="K25" s="169">
        <f> K$22</f>
        <v>0.0</v>
      </c>
      <c r="L25" s="169">
        <f> L$22</f>
        <v>1646.366409097422</v>
      </c>
      <c r="M25" s="169">
        <f> M$22</f>
        <v>-181.14576025254928</v>
      </c>
      <c r="N25" s="169">
        <f> N$22</f>
        <v>-1285.555119156837</v>
      </c>
      <c r="O25" s="169">
        <f> O$22</f>
        <v>-179.6655296880358</v>
      </c>
      <c r="P25" s="169">
        <f> P$22</f>
        <v>0.0</v>
      </c>
      <c r="Q25" s="169">
        <f> Q$22</f>
        <v>0.0</v>
      </c>
      <c r="R25" s="169">
        <f> R$22</f>
        <v>0.0</v>
      </c>
      <c r="S25" s="169">
        <f> S$22</f>
        <v>0.0</v>
      </c>
      <c r="T25" s="169">
        <f> T$22</f>
        <v>0.0</v>
      </c>
      <c r="U25" s="169">
        <f> U$22</f>
        <v>0.0</v>
      </c>
      <c r="V25" s="169">
        <f> V$22</f>
        <v>0.0</v>
      </c>
      <c r="W25" s="169">
        <f> W$22</f>
        <v>0.0</v>
      </c>
      <c r="X25" s="169">
        <f> X$22</f>
        <v>0.0</v>
      </c>
      <c r="Y25" s="169">
        <f> Y$22</f>
        <v>0.0</v>
      </c>
      <c r="Z25" s="169">
        <f> Z$22</f>
        <v>0.0</v>
      </c>
      <c r="AA25" s="169">
        <f> AA$22</f>
        <v>0.0</v>
      </c>
      <c r="AB25" s="169">
        <f> AB$22</f>
        <v>0.0</v>
      </c>
      <c r="AC25" s="169">
        <f> AC$22</f>
        <v>0.0</v>
      </c>
      <c r="AD25" s="169">
        <f> AD$22</f>
        <v>0.0</v>
      </c>
      <c r="AE25" s="169">
        <f> AE$22</f>
        <v>0.0</v>
      </c>
      <c r="AF25" s="169">
        <f> AF$22</f>
        <v>0.0</v>
      </c>
      <c r="AG25" s="169">
        <f> AG$22</f>
        <v>0.0</v>
      </c>
      <c r="AH25" s="169">
        <f> AH$22</f>
        <v>0.0</v>
      </c>
      <c r="AI25" s="169">
        <f> AI$22</f>
        <v>0.0</v>
      </c>
      <c r="AJ25" s="169">
        <f> AJ$22</f>
        <v>0.0</v>
      </c>
      <c r="AK25" s="169">
        <f> AK$22</f>
        <v>0.0</v>
      </c>
      <c r="AL25" s="169">
        <f> AL$22</f>
        <v>0.0</v>
      </c>
      <c r="AM25" s="169">
        <f> AM$22</f>
        <v>0.0</v>
      </c>
      <c r="AN25" s="169">
        <f> AN$22</f>
        <v>0.0</v>
      </c>
      <c r="AO25" s="169">
        <f> AO$22</f>
        <v>0.0</v>
      </c>
      <c r="AP25" s="169">
        <f> AP$22</f>
        <v>0.0</v>
      </c>
      <c r="AQ25" s="169">
        <f> AQ$22</f>
        <v>0.0</v>
      </c>
      <c r="AR25" s="169">
        <f> AR$22</f>
        <v>0.0</v>
      </c>
      <c r="AS25" s="169">
        <f> AS$22</f>
        <v>0.0</v>
      </c>
      <c r="AT25" s="169">
        <f> AT$22</f>
        <v>14.609753322781216</v>
      </c>
      <c r="AU25" s="169">
        <f> AU$22</f>
        <v>947.204347762307</v>
      </c>
      <c r="AV25" s="169">
        <f> AV$22</f>
        <v>1633.188576598266</v>
      </c>
      <c r="AW25" s="169">
        <f> AW$22</f>
        <v>1403.0496373058932</v>
      </c>
      <c r="AX25" s="169">
        <f> AX$22</f>
        <v>-1300.135853763556</v>
      </c>
      <c r="AY25" s="169">
        <f> AY$22</f>
        <v>-1739.297354353187</v>
      </c>
      <c r="AZ25" s="169">
        <f> AZ$22</f>
        <v>5975.305661672585</v>
      </c>
      <c r="BA25" s="169">
        <f> BA$22</f>
        <v>5622.48052153434</v>
      </c>
      <c r="BB25" s="169">
        <f> BB$22</f>
        <v>1881.0662857391053</v>
      </c>
      <c r="BC25" s="169">
        <f> BC$22</f>
        <v>-1608.5378086137016</v>
      </c>
      <c r="BD25" s="169">
        <f> BD$22</f>
        <v>-1252.719610014885</v>
      </c>
      <c r="BE25" s="169">
        <f> BE$22</f>
        <v>-1590.4894896899168</v>
      </c>
      <c r="BF25" s="169">
        <f> BF$22</f>
        <v>-1276.3839591497954</v>
      </c>
      <c r="BG25" s="169">
        <f> BG$22</f>
        <v>-1557.4131028900529</v>
      </c>
      <c r="BH25" s="169">
        <f> BH$22</f>
        <v>-1333.6488424678864</v>
      </c>
      <c r="BI25" s="169">
        <f> BI$22</f>
        <v>-1211.6835348326304</v>
      </c>
      <c r="BJ25" s="169">
        <f> BJ$22</f>
        <v>-1517.8917118816125</v>
      </c>
      <c r="BK25" s="169">
        <f> BK$22</f>
        <v>-1182.0007129475853</v>
      </c>
      <c r="BL25" s="169">
        <f> BL$22</f>
        <v>-1425.818776561995</v>
      </c>
      <c r="BM25" s="169">
        <f> BM$22</f>
        <v>-480.8840267684727</v>
      </c>
      <c r="BN25" s="169">
        <f> BN$22</f>
        <v>0.0</v>
      </c>
      <c r="BO25" s="169">
        <f> BO$22</f>
        <v>0.0</v>
      </c>
      <c r="BP25" s="169">
        <f> BP$22</f>
        <v>0.0</v>
      </c>
      <c r="BQ25" s="169">
        <f> BQ$22</f>
        <v>0.0</v>
      </c>
      <c r="BR25" s="169">
        <f> BR$22</f>
        <v>0.0</v>
      </c>
      <c r="BS25" s="169">
        <f> BS$22</f>
        <v>0.0</v>
      </c>
      <c r="BT25" s="169">
        <f> BT$22</f>
        <v>0.0</v>
      </c>
      <c r="BU25" s="169">
        <f> BU$22</f>
        <v>0.0</v>
      </c>
      <c r="BV25" s="169">
        <f> BV$22</f>
        <v>0.0</v>
      </c>
      <c r="BW25" s="169">
        <f> BW$22</f>
        <v>0.0</v>
      </c>
      <c r="BX25" s="169">
        <f> BX$22</f>
        <v>0.0</v>
      </c>
      <c r="BY25" s="169">
        <f> BY$22</f>
        <v>0.0</v>
      </c>
      <c r="BZ25" s="169">
        <f> BZ$22</f>
        <v>0.0</v>
      </c>
      <c r="CA25" s="169">
        <f> CA$22</f>
        <v>0.0</v>
      </c>
      <c r="CB25" s="169">
        <f> CB$22</f>
        <v>0.0</v>
      </c>
      <c r="CC25" s="169">
        <f> CC$22</f>
        <v>0.0</v>
      </c>
      <c r="CD25" s="169">
        <f> CD$22</f>
        <v>0.0</v>
      </c>
      <c r="CE25" s="169">
        <f> CE$22</f>
        <v>0.0</v>
      </c>
      <c r="CF25" s="169">
        <f> CF$22</f>
        <v>0.0</v>
      </c>
      <c r="CG25" s="169">
        <f> CG$22</f>
        <v>0.0</v>
      </c>
      <c r="CH25" s="169">
        <f> CH$22</f>
        <v>0.0</v>
      </c>
      <c r="CI25" s="169">
        <f> CI$22</f>
        <v>0.0</v>
      </c>
      <c r="CJ25" s="169">
        <f> CJ$22</f>
        <v>0.0</v>
      </c>
      <c r="CK25" s="169">
        <f> CK$22</f>
        <v>0.0</v>
      </c>
      <c r="CL25" s="169">
        <f> CL$22</f>
        <v>0.0</v>
      </c>
      <c r="CM25" s="169">
        <f> CM$22</f>
        <v>1810.7664905537276</v>
      </c>
      <c r="CN25" s="169">
        <f> CN$22</f>
        <v>-1810.766490553613</v>
      </c>
      <c r="CO25" s="169">
        <f> CO$22</f>
        <v>1.2347746134769898e-12</v>
      </c>
    </row>
    <row r="26">
      <c r="E26" s="169" t="inlineStr">
        <is>
          <t>Retained earnings balance</t>
        </is>
      </c>
      <c r="G26" s="169" t="inlineStr">
        <is>
          <t>$ 000s</t>
        </is>
      </c>
      <c r="I26" s="146" t="n"/>
      <c r="J26" s="169">
        <f> SUM(J24:J25)</f>
        <v>0.0</v>
      </c>
      <c r="K26" s="169">
        <f> SUM(K24:K25)</f>
        <v>0.0</v>
      </c>
      <c r="L26" s="169">
        <f> SUM(L24:L25)</f>
        <v>1646.366409097422</v>
      </c>
      <c r="M26" s="169">
        <f> SUM(M24:M25)</f>
        <v>1465.2206488448728</v>
      </c>
      <c r="N26" s="169">
        <f> SUM(N24:N25)</f>
        <v>179.6655296880358</v>
      </c>
      <c r="O26" s="169">
        <f> SUM(O24:O25)</f>
        <v>0.0</v>
      </c>
      <c r="P26" s="169">
        <f> SUM(P24:P25)</f>
        <v>0.0</v>
      </c>
      <c r="Q26" s="169">
        <f> SUM(Q24:Q25)</f>
        <v>0.0</v>
      </c>
      <c r="R26" s="169">
        <f> SUM(R24:R25)</f>
        <v>0.0</v>
      </c>
      <c r="S26" s="169">
        <f> SUM(S24:S25)</f>
        <v>0.0</v>
      </c>
      <c r="T26" s="169">
        <f> SUM(T24:T25)</f>
        <v>0.0</v>
      </c>
      <c r="U26" s="169">
        <f> SUM(U24:U25)</f>
        <v>0.0</v>
      </c>
      <c r="V26" s="169">
        <f> SUM(V24:V25)</f>
        <v>0.0</v>
      </c>
      <c r="W26" s="169">
        <f> SUM(W24:W25)</f>
        <v>0.0</v>
      </c>
      <c r="X26" s="169">
        <f> SUM(X24:X25)</f>
        <v>0.0</v>
      </c>
      <c r="Y26" s="169">
        <f> SUM(Y24:Y25)</f>
        <v>0.0</v>
      </c>
      <c r="Z26" s="169">
        <f> SUM(Z24:Z25)</f>
        <v>0.0</v>
      </c>
      <c r="AA26" s="169">
        <f> SUM(AA24:AA25)</f>
        <v>0.0</v>
      </c>
      <c r="AB26" s="169">
        <f> SUM(AB24:AB25)</f>
        <v>0.0</v>
      </c>
      <c r="AC26" s="169">
        <f> SUM(AC24:AC25)</f>
        <v>0.0</v>
      </c>
      <c r="AD26" s="169">
        <f> SUM(AD24:AD25)</f>
        <v>0.0</v>
      </c>
      <c r="AE26" s="169">
        <f> SUM(AE24:AE25)</f>
        <v>0.0</v>
      </c>
      <c r="AF26" s="169">
        <f> SUM(AF24:AF25)</f>
        <v>0.0</v>
      </c>
      <c r="AG26" s="169">
        <f> SUM(AG24:AG25)</f>
        <v>0.0</v>
      </c>
      <c r="AH26" s="169">
        <f> SUM(AH24:AH25)</f>
        <v>0.0</v>
      </c>
      <c r="AI26" s="169">
        <f> SUM(AI24:AI25)</f>
        <v>0.0</v>
      </c>
      <c r="AJ26" s="169">
        <f> SUM(AJ24:AJ25)</f>
        <v>0.0</v>
      </c>
      <c r="AK26" s="169">
        <f> SUM(AK24:AK25)</f>
        <v>0.0</v>
      </c>
      <c r="AL26" s="169">
        <f> SUM(AL24:AL25)</f>
        <v>0.0</v>
      </c>
      <c r="AM26" s="169">
        <f> SUM(AM24:AM25)</f>
        <v>0.0</v>
      </c>
      <c r="AN26" s="169">
        <f> SUM(AN24:AN25)</f>
        <v>0.0</v>
      </c>
      <c r="AO26" s="169">
        <f> SUM(AO24:AO25)</f>
        <v>0.0</v>
      </c>
      <c r="AP26" s="169">
        <f> SUM(AP24:AP25)</f>
        <v>0.0</v>
      </c>
      <c r="AQ26" s="169">
        <f> SUM(AQ24:AQ25)</f>
        <v>0.0</v>
      </c>
      <c r="AR26" s="169">
        <f> SUM(AR24:AR25)</f>
        <v>0.0</v>
      </c>
      <c r="AS26" s="169">
        <f> SUM(AS24:AS25)</f>
        <v>0.0</v>
      </c>
      <c r="AT26" s="169">
        <f> SUM(AT24:AT25)</f>
        <v>14.609753322781216</v>
      </c>
      <c r="AU26" s="169">
        <f> SUM(AU24:AU25)</f>
        <v>961.8141010850882</v>
      </c>
      <c r="AV26" s="169">
        <f> SUM(AV24:AV25)</f>
        <v>2595.0026776833542</v>
      </c>
      <c r="AW26" s="169">
        <f> SUM(AW24:AW25)</f>
        <v>3998.0523149892474</v>
      </c>
      <c r="AX26" s="169">
        <f> SUM(AX24:AX25)</f>
        <v>2697.9164612256914</v>
      </c>
      <c r="AY26" s="169">
        <f> SUM(AY24:AY25)</f>
        <v>958.6191068725043</v>
      </c>
      <c r="AZ26" s="169">
        <f> SUM(AZ24:AZ25)</f>
        <v>6933.92476854509</v>
      </c>
      <c r="BA26" s="169">
        <f> SUM(BA24:BA25)</f>
        <v>12556.40529007943</v>
      </c>
      <c r="BB26" s="169">
        <f> SUM(BB24:BB25)</f>
        <v>14437.471575818536</v>
      </c>
      <c r="BC26" s="169">
        <f> SUM(BC24:BC25)</f>
        <v>12828.933767204835</v>
      </c>
      <c r="BD26" s="169">
        <f> SUM(BD24:BD25)</f>
        <v>11576.21415718995</v>
      </c>
      <c r="BE26" s="169">
        <f> SUM(BE24:BE25)</f>
        <v>9985.724667500033</v>
      </c>
      <c r="BF26" s="169">
        <f> SUM(BF24:BF25)</f>
        <v>8709.340708350239</v>
      </c>
      <c r="BG26" s="169">
        <f> SUM(BG24:BG25)</f>
        <v>7151.927605460186</v>
      </c>
      <c r="BH26" s="169">
        <f> SUM(BH24:BH25)</f>
        <v>5818.2787629923</v>
      </c>
      <c r="BI26" s="169">
        <f> SUM(BI24:BI25)</f>
        <v>4606.595228159669</v>
      </c>
      <c r="BJ26" s="169">
        <f> SUM(BJ24:BJ25)</f>
        <v>3088.7035162780567</v>
      </c>
      <c r="BK26" s="169">
        <f> SUM(BK24:BK25)</f>
        <v>1906.7028033304714</v>
      </c>
      <c r="BL26" s="169">
        <f> SUM(BL24:BL25)</f>
        <v>480.88402676847636</v>
      </c>
      <c r="BM26" s="169">
        <f> SUM(BM24:BM25)</f>
        <v>3.637978807091713e-12</v>
      </c>
      <c r="BN26" s="169">
        <f> SUM(BN24:BN25)</f>
        <v>3.637978807091713e-12</v>
      </c>
      <c r="BO26" s="169">
        <f> SUM(BO24:BO25)</f>
        <v>3.637978807091713e-12</v>
      </c>
      <c r="BP26" s="169">
        <f> SUM(BP24:BP25)</f>
        <v>3.637978807091713e-12</v>
      </c>
      <c r="BQ26" s="169">
        <f> SUM(BQ24:BQ25)</f>
        <v>3.637978807091713e-12</v>
      </c>
      <c r="BR26" s="169">
        <f> SUM(BR24:BR25)</f>
        <v>3.637978807091713e-12</v>
      </c>
      <c r="BS26" s="169">
        <f> SUM(BS24:BS25)</f>
        <v>3.637978807091713e-12</v>
      </c>
      <c r="BT26" s="169">
        <f> SUM(BT24:BT25)</f>
        <v>3.637978807091713e-12</v>
      </c>
      <c r="BU26" s="169">
        <f> SUM(BU24:BU25)</f>
        <v>3.637978807091713e-12</v>
      </c>
      <c r="BV26" s="169">
        <f> SUM(BV24:BV25)</f>
        <v>3.637978807091713e-12</v>
      </c>
      <c r="BW26" s="169">
        <f> SUM(BW24:BW25)</f>
        <v>3.637978807091713e-12</v>
      </c>
      <c r="BX26" s="169">
        <f> SUM(BX24:BX25)</f>
        <v>3.637978807091713e-12</v>
      </c>
      <c r="BY26" s="169">
        <f> SUM(BY24:BY25)</f>
        <v>3.637978807091713e-12</v>
      </c>
      <c r="BZ26" s="169">
        <f> SUM(BZ24:BZ25)</f>
        <v>3.637978807091713e-12</v>
      </c>
      <c r="CA26" s="169">
        <f> SUM(CA24:CA25)</f>
        <v>3.637978807091713e-12</v>
      </c>
      <c r="CB26" s="169">
        <f> SUM(CB24:CB25)</f>
        <v>3.637978807091713e-12</v>
      </c>
      <c r="CC26" s="169">
        <f> SUM(CC24:CC25)</f>
        <v>3.637978807091713e-12</v>
      </c>
      <c r="CD26" s="169">
        <f> SUM(CD24:CD25)</f>
        <v>3.637978807091713e-12</v>
      </c>
      <c r="CE26" s="169">
        <f> SUM(CE24:CE25)</f>
        <v>3.637978807091713e-12</v>
      </c>
      <c r="CF26" s="169">
        <f> SUM(CF24:CF25)</f>
        <v>3.637978807091713e-12</v>
      </c>
      <c r="CG26" s="169">
        <f> SUM(CG24:CG25)</f>
        <v>3.637978807091713e-12</v>
      </c>
      <c r="CH26" s="169">
        <f> SUM(CH24:CH25)</f>
        <v>3.637978807091713e-12</v>
      </c>
      <c r="CI26" s="169">
        <f> SUM(CI24:CI25)</f>
        <v>3.637978807091713e-12</v>
      </c>
      <c r="CJ26" s="169">
        <f> SUM(CJ24:CJ25)</f>
        <v>3.637978807091713e-12</v>
      </c>
      <c r="CK26" s="169">
        <f> SUM(CK24:CK25)</f>
        <v>3.637978807091713e-12</v>
      </c>
      <c r="CL26" s="169">
        <f> SUM(CL24:CL25)</f>
        <v>3.637978807091713e-12</v>
      </c>
      <c r="CM26" s="169">
        <f> SUM(CM24:CM25)</f>
        <v>1810.7664905537313</v>
      </c>
      <c r="CN26" s="169">
        <f> SUM(CN24:CN25)</f>
        <v>1.1823431123048067e-10</v>
      </c>
      <c r="CO26" s="169">
        <f> SUM(CO24:CO25)</f>
        <v>1.1946908584395766e-10</v>
      </c>
    </row>
    <row r="29">
      <c r="A29" s="163" t="inlineStr">
        <is>
          <t>CASH FLOW PAYMENT CASCADE</t>
        </is>
      </c>
    </row>
    <row r="31" customFormat="1" s="169">
      <c r="E31" s="308" t="str">
        <f> OpRev!E$54</f>
        <v>Operating revenue received </v>
      </c>
      <c r="F31" s="308" t="str">
        <f> OpRev!F$54</f>
        <v>CF</v>
      </c>
      <c r="G31" s="308" t="str">
        <f> OpRev!G$54</f>
        <v>$ 000s</v>
      </c>
      <c r="H31" s="308">
        <f> OpRev!H$54</f>
        <v>1941568.6331634293</v>
      </c>
      <c r="I31" s="308">
        <f> OpRev!I$54</f>
        <v>0.0</v>
      </c>
      <c r="J31" s="308">
        <f> OpRev!J$54</f>
        <v>0.0</v>
      </c>
      <c r="K31" s="308">
        <f> OpRev!K$54</f>
        <v>0.0</v>
      </c>
      <c r="L31" s="308">
        <f> OpRev!L$54</f>
        <v>11340.150234435558</v>
      </c>
      <c r="M31" s="308">
        <f> OpRev!M$54</f>
        <v>15375.086107891953</v>
      </c>
      <c r="N31" s="308">
        <f> OpRev!N$54</f>
        <v>16021.169056982768</v>
      </c>
      <c r="O31" s="308">
        <f> OpRev!O$54</f>
        <v>15839.968675157814</v>
      </c>
      <c r="P31" s="308">
        <f> OpRev!P$54</f>
        <v>16363.469445406638</v>
      </c>
      <c r="Q31" s="308">
        <f> OpRev!Q$54</f>
        <v>16307.487874084301</v>
      </c>
      <c r="R31" s="308">
        <f> OpRev!R$54</f>
        <v>16919.236289238117</v>
      </c>
      <c r="S31" s="308">
        <f> OpRev!S$54</f>
        <v>16655.67082924484</v>
      </c>
      <c r="T31" s="308">
        <f> OpRev!T$54</f>
        <v>17431.29957054516</v>
      </c>
      <c r="U31" s="308">
        <f> OpRev!U$54</f>
        <v>17301.281894658103</v>
      </c>
      <c r="V31" s="308">
        <f> OpRev!V$54</f>
        <v>17962.984530039965</v>
      </c>
      <c r="W31" s="308">
        <f> OpRev!W$54</f>
        <v>17641.544504740516</v>
      </c>
      <c r="X31" s="308">
        <f> OpRev!X$54</f>
        <v>18122.110298037034</v>
      </c>
      <c r="Y31" s="308">
        <f> OpRev!Y$54</f>
        <v>17975.48304690757</v>
      </c>
      <c r="Z31" s="308">
        <f> OpRev!Z$54</f>
        <v>18558.340626698526</v>
      </c>
      <c r="AA31" s="308">
        <f> OpRev!AA$54</f>
        <v>18183.123483444862</v>
      </c>
      <c r="AB31" s="308">
        <f> OpRev!AB$54</f>
        <v>18665.77360697814</v>
      </c>
      <c r="AC31" s="308">
        <f> OpRev!AC$54</f>
        <v>18514.747538314798</v>
      </c>
      <c r="AD31" s="308">
        <f> OpRev!AD$54</f>
        <v>19608.273373952667</v>
      </c>
      <c r="AE31" s="308">
        <f> OpRev!AE$54</f>
        <v>19382.62477495569</v>
      </c>
      <c r="AF31" s="308">
        <f> OpRev!AF$54</f>
        <v>19897.489379814262</v>
      </c>
      <c r="AG31" s="308">
        <f> OpRev!AG$54</f>
        <v>19736.129662161024</v>
      </c>
      <c r="AH31" s="308">
        <f> OpRev!AH$54</f>
        <v>20376.45571108295</v>
      </c>
      <c r="AI31" s="308">
        <f> OpRev!AI$54</f>
        <v>19964.103518204356</v>
      </c>
      <c r="AJ31" s="308">
        <f> OpRev!AJ$54</f>
        <v>20558.401433604464</v>
      </c>
      <c r="AK31" s="308">
        <f> OpRev!AK$54</f>
        <v>20264.22617963006</v>
      </c>
      <c r="AL31" s="308">
        <f> OpRev!AL$54</f>
        <v>20987.74938241543</v>
      </c>
      <c r="AM31" s="308">
        <f> OpRev!AM$54</f>
        <v>21061.63292040523</v>
      </c>
      <c r="AN31" s="308">
        <f> OpRev!AN$54</f>
        <v>21821.898169857486</v>
      </c>
      <c r="AO31" s="308">
        <f> OpRev!AO$54</f>
        <v>21644.555383873136</v>
      </c>
      <c r="AP31" s="308">
        <f> OpRev!AP$54</f>
        <v>22347.18785344568</v>
      </c>
      <c r="AQ31" s="308">
        <f> OpRev!AQ$54</f>
        <v>21894.569170990908</v>
      </c>
      <c r="AR31" s="308">
        <f> OpRev!AR$54</f>
        <v>22476.555114953208</v>
      </c>
      <c r="AS31" s="308">
        <f> OpRev!AS$54</f>
        <v>22293.892045389322</v>
      </c>
      <c r="AT31" s="308">
        <f> OpRev!AT$54</f>
        <v>23017.603489049045</v>
      </c>
      <c r="AU31" s="308">
        <f> OpRev!AU$54</f>
        <v>22551.40624612063</v>
      </c>
      <c r="AV31" s="308">
        <f> OpRev!AV$54</f>
        <v>23150.851768401793</v>
      </c>
      <c r="AW31" s="308">
        <f> OpRev!AW$54</f>
        <v>22962.70880675099</v>
      </c>
      <c r="AX31" s="308">
        <f> OpRev!AX$54</f>
        <v>24357.568119469837</v>
      </c>
      <c r="AY31" s="308">
        <f> OpRev!AY$54</f>
        <v>24093.39519198549</v>
      </c>
      <c r="AZ31" s="308">
        <f> OpRev!AZ$54</f>
        <v>24808.738627216906</v>
      </c>
      <c r="BA31" s="308">
        <f> OpRev!BA$54</f>
        <v>24455.581665225738</v>
      </c>
      <c r="BB31" s="308">
        <f> OpRev!BB$54</f>
        <v>25326.857418858384</v>
      </c>
      <c r="BC31" s="308">
        <f> OpRev!BC$54</f>
        <v>24816.197047745045</v>
      </c>
      <c r="BD31" s="308">
        <f> OpRev!BD$54</f>
        <v>25473.471300184287</v>
      </c>
      <c r="BE31" s="308">
        <f> OpRev!BE$54</f>
        <v>25268.778601031627</v>
      </c>
      <c r="BF31" s="308">
        <f> OpRev!BF$54</f>
        <v>26086.663141424127</v>
      </c>
      <c r="BG31" s="308">
        <f> OpRev!BG$54</f>
        <v>25560.682959177393</v>
      </c>
      <c r="BH31" s="308">
        <f> OpRev!BH$54</f>
        <v>25214.710602906016</v>
      </c>
      <c r="BI31" s="308">
        <f> OpRev!BI$54</f>
        <v>26668.3018580421</v>
      </c>
      <c r="BJ31" s="308">
        <f> OpRev!BJ$54</f>
        <v>26214.397121021975</v>
      </c>
      <c r="BK31" s="308">
        <f> OpRev!BK$54</f>
        <v>26991.519138609096</v>
      </c>
      <c r="BL31" s="308">
        <f> OpRev!BL$54</f>
        <v>26364.674773895473</v>
      </c>
      <c r="BM31" s="308">
        <f> OpRev!BM$54</f>
        <v>27468.35091378335</v>
      </c>
      <c r="BN31" s="308">
        <f> OpRev!BN$54</f>
        <v>27000.829034652634</v>
      </c>
      <c r="BO31" s="308">
        <f> OpRev!BO$54</f>
        <v>27801.264712767363</v>
      </c>
      <c r="BP31" s="308">
        <f> OpRev!BP$54</f>
        <v>27237.932121529793</v>
      </c>
      <c r="BQ31" s="308">
        <f> OpRev!BQ$54</f>
        <v>27112.150531946812</v>
      </c>
      <c r="BR31" s="308">
        <f> OpRev!BR$54</f>
        <v>28505.601154538934</v>
      </c>
      <c r="BS31" s="308">
        <f> OpRev!BS$54</f>
        <v>27930.848407933</v>
      </c>
      <c r="BT31" s="308">
        <f> OpRev!BT$54</f>
        <v>28670.616369639534</v>
      </c>
      <c r="BU31" s="308">
        <f> OpRev!BU$54</f>
        <v>28440.23293340053</v>
      </c>
      <c r="BV31" s="308">
        <f> OpRev!BV$54</f>
        <v>29360.769189175095</v>
      </c>
      <c r="BW31" s="308">
        <f> OpRev!BW$54</f>
        <v>29921.208824746383</v>
      </c>
      <c r="BX31" s="308">
        <f> OpRev!BX$54</f>
        <v>29960.74790721207</v>
      </c>
      <c r="BY31" s="308">
        <f> OpRev!BY$54</f>
        <v>30458.23789494941</v>
      </c>
      <c r="BZ31" s="308">
        <f> OpRev!BZ$54</f>
        <v>30682.80361846658</v>
      </c>
      <c r="CA31" s="308">
        <f> OpRev!CA$54</f>
        <v>30818.84508948876</v>
      </c>
      <c r="CB31" s="308">
        <f> OpRev!CB$54</f>
        <v>30859.57034442842</v>
      </c>
      <c r="CC31" s="308">
        <f> OpRev!CC$54</f>
        <v>31371.98503179789</v>
      </c>
      <c r="CD31" s="308">
        <f> OpRev!CD$54</f>
        <v>31603.287727020568</v>
      </c>
      <c r="CE31" s="308">
        <f> OpRev!CE$54</f>
        <v>31743.410442173412</v>
      </c>
      <c r="CF31" s="308">
        <f> OpRev!CF$54</f>
        <v>31883.168690937775</v>
      </c>
      <c r="CG31" s="308">
        <f> OpRev!CG$54</f>
        <v>32215.333346575302</v>
      </c>
      <c r="CH31" s="308">
        <f> OpRev!CH$54</f>
        <v>32551.386358831172</v>
      </c>
      <c r="CI31" s="308">
        <f> OpRev!CI$54</f>
        <v>32695.712755438606</v>
      </c>
      <c r="CJ31" s="308">
        <f> OpRev!CJ$54</f>
        <v>32738.918178404092</v>
      </c>
      <c r="CK31" s="308">
        <f> OpRev!CK$54</f>
        <v>33282.538920234365</v>
      </c>
      <c r="CL31" s="308">
        <f> OpRev!CL$54</f>
        <v>33527.927949596095</v>
      </c>
      <c r="CM31" s="308">
        <f> OpRev!CM$54</f>
        <v>33676.58413810176</v>
      </c>
      <c r="CN31" s="308">
        <f> OpRev!CN$54</f>
        <v>9169.591011001117</v>
      </c>
      <c r="CO31" s="308">
        <f> OpRev!CO$54</f>
        <v>0.0</v>
      </c>
    </row>
    <row r="32" s="396">
      <c r="A32" s="163" t="n"/>
      <c r="B32" s="163" t="n"/>
      <c r="C32" s="172" t="n"/>
      <c r="D32" s="88" t="n"/>
      <c r="E32" s="117" t="str">
        <f> OpCost!E$51</f>
        <v>Operating cost paid</v>
      </c>
      <c r="F32" s="117" t="str">
        <f> OpCost!F$51</f>
        <v>CF</v>
      </c>
      <c r="G32" s="117" t="str">
        <f> OpCost!G$51</f>
        <v>$ 000s</v>
      </c>
      <c r="H32" s="117">
        <f> OpCost!H$51</f>
        <v>-1152373.432337585</v>
      </c>
      <c r="I32" s="117">
        <f> OpCost!I$51</f>
        <v>0.0</v>
      </c>
      <c r="J32" s="117">
        <f> OpCost!J$51</f>
        <v>-0.0</v>
      </c>
      <c r="K32" s="117">
        <f> OpCost!K$51</f>
        <v>-0.0</v>
      </c>
      <c r="L32" s="117">
        <f> OpCost!L$51</f>
        <v>-6147.240840320512</v>
      </c>
      <c r="M32" s="117">
        <f> OpCost!M$51</f>
        <v>-10027.886104080677</v>
      </c>
      <c r="N32" s="117">
        <f> OpCost!N$51</f>
        <v>-10328.500599504117</v>
      </c>
      <c r="O32" s="117">
        <f> OpCost!O$51</f>
        <v>-10372.909196247921</v>
      </c>
      <c r="P32" s="117">
        <f> OpCost!P$51</f>
        <v>-10545.960020969109</v>
      </c>
      <c r="Q32" s="117">
        <f> OpCost!Q$51</f>
        <v>-10710.269659437126</v>
      </c>
      <c r="R32" s="117">
        <f> OpCost!R$51</f>
        <v>-10944.47188033685</v>
      </c>
      <c r="S32" s="117">
        <f> OpCost!S$51</f>
        <v>-10925.969486226728</v>
      </c>
      <c r="T32" s="117">
        <f> OpCost!T$51</f>
        <v>-11105.187277826892</v>
      </c>
      <c r="U32" s="117">
        <f> OpCost!U$51</f>
        <v>-11154.100536075424</v>
      </c>
      <c r="V32" s="117">
        <f> OpCost!V$51</f>
        <v>-11419.64448499441</v>
      </c>
      <c r="W32" s="117">
        <f> OpCost!W$51</f>
        <v>-11373.54303263525</v>
      </c>
      <c r="X32" s="117">
        <f> OpCost!X$51</f>
        <v>-11481.46517234361</v>
      </c>
      <c r="Y32" s="117">
        <f> OpCost!Y$51</f>
        <v>-11605.68271909147</v>
      </c>
      <c r="Z32" s="117">
        <f> OpCost!Z$51</f>
        <v>-11801.26586803054</v>
      </c>
      <c r="AA32" s="117">
        <f> OpCost!AA$51</f>
        <v>-11725.731342190822</v>
      </c>
      <c r="AB32" s="117">
        <f> OpCost!AB$51</f>
        <v>-11825.909127513918</v>
      </c>
      <c r="AC32" s="117">
        <f> OpCost!AC$51</f>
        <v>-11953.853200664213</v>
      </c>
      <c r="AD32" s="117">
        <f> OpCost!AD$51</f>
        <v>-12155.303844071455</v>
      </c>
      <c r="AE32" s="117">
        <f> OpCost!AE$51</f>
        <v>-12077.503282456546</v>
      </c>
      <c r="AF32" s="117">
        <f> OpCost!AF$51</f>
        <v>-12180.68640133933</v>
      </c>
      <c r="AG32" s="117">
        <f> OpCost!AG$51</f>
        <v>-12312.468796684134</v>
      </c>
      <c r="AH32" s="117">
        <f> OpCost!AH$51</f>
        <v>-12519.962959393593</v>
      </c>
      <c r="AI32" s="117">
        <f> OpCost!AI$51</f>
        <v>-12439.828380930236</v>
      </c>
      <c r="AJ32" s="117">
        <f> OpCost!AJ$51</f>
        <v>-12601.162470757263</v>
      </c>
      <c r="AK32" s="117">
        <f> OpCost!AK$51</f>
        <v>-12626.787383206898</v>
      </c>
      <c r="AL32" s="117">
        <f> OpCost!AL$51</f>
        <v>-12895.561848175395</v>
      </c>
      <c r="AM32" s="117">
        <f> OpCost!AM$51</f>
        <v>-12813.023232358137</v>
      </c>
      <c r="AN32" s="117">
        <f> OpCost!AN$51</f>
        <v>-12922.49020318089</v>
      </c>
      <c r="AO32" s="117">
        <f> OpCost!AO$51</f>
        <v>-13062.29814640219</v>
      </c>
      <c r="AP32" s="117">
        <f> OpCost!AP$51</f>
        <v>-13282.428703620652</v>
      </c>
      <c r="AQ32" s="117">
        <f> OpCost!AQ$51</f>
        <v>-13197.413929328874</v>
      </c>
      <c r="AR32" s="117">
        <f> OpCost!AR$51</f>
        <v>-13310.16490927631</v>
      </c>
      <c r="AS32" s="117">
        <f> OpCost!AS$51</f>
        <v>-13454.16709079425</v>
      </c>
      <c r="AT32" s="117">
        <f> OpCost!AT$51</f>
        <v>-13680.901564729269</v>
      </c>
      <c r="AU32" s="117">
        <f> OpCost!AU$51</f>
        <v>-13593.33634720874</v>
      </c>
      <c r="AV32" s="117">
        <f> OpCost!AV$51</f>
        <v>-13709.469856554591</v>
      </c>
      <c r="AW32" s="117">
        <f> OpCost!AW$51</f>
        <v>-13857.792103518073</v>
      </c>
      <c r="AX32" s="117">
        <f> OpCost!AX$51</f>
        <v>-14091.32861167114</v>
      </c>
      <c r="AY32" s="117">
        <f> OpCost!AY$51</f>
        <v>-14001.136437624995</v>
      </c>
      <c r="AZ32" s="117">
        <f> OpCost!AZ$51</f>
        <v>-14182.719377078645</v>
      </c>
      <c r="BA32" s="117">
        <f> OpCost!BA$51</f>
        <v>-14211.56044179619</v>
      </c>
      <c r="BB32" s="117">
        <f> OpCost!BB$51</f>
        <v>-14514.068470021271</v>
      </c>
      <c r="BC32" s="117">
        <f> OpCost!BC$51</f>
        <v>-14421.17053075374</v>
      </c>
      <c r="BD32" s="117">
        <f> OpCost!BD$51</f>
        <v>-14544.37657081876</v>
      </c>
      <c r="BE32" s="117">
        <f> OpCost!BE$51</f>
        <v>-14701.731642622317</v>
      </c>
      <c r="BF32" s="117">
        <f> OpCost!BF$51</f>
        <v>-14949.490524121904</v>
      </c>
      <c r="BG32" s="117">
        <f> OpCost!BG$51</f>
        <v>-14853.805646676348</v>
      </c>
      <c r="BH32" s="117">
        <f> OpCost!BH$51</f>
        <v>-14609.947155277176</v>
      </c>
      <c r="BI32" s="117">
        <f> OpCost!BI$51</f>
        <v>-15282.967590789982</v>
      </c>
      <c r="BJ32" s="117">
        <f> OpCost!BJ$51</f>
        <v>-15251.565390537611</v>
      </c>
      <c r="BK32" s="117">
        <f> OpCost!BK$51</f>
        <v>-15449.489730645299</v>
      </c>
      <c r="BL32" s="117">
        <f> OpCost!BL$51</f>
        <v>-15284.229083876065</v>
      </c>
      <c r="BM32" s="117">
        <f> OpCost!BM$51</f>
        <v>-15741.456618513674</v>
      </c>
      <c r="BN32" s="117">
        <f> OpCost!BN$51</f>
        <v>-15709.112352253735</v>
      </c>
      <c r="BO32" s="117">
        <f> OpCost!BO$51</f>
        <v>-15912.974422564654</v>
      </c>
      <c r="BP32" s="117">
        <f> OpCost!BP$51</f>
        <v>-15809.747958300175</v>
      </c>
      <c r="BQ32" s="117">
        <f> OpCost!BQ$51</f>
        <v>-15747.67981251513</v>
      </c>
      <c r="BR32" s="117">
        <f> OpCost!BR$51</f>
        <v>-16335.71193195214</v>
      </c>
      <c r="BS32" s="117">
        <f> OpCost!BS$51</f>
        <v>-16231.15448287569</v>
      </c>
      <c r="BT32" s="117">
        <f> OpCost!BT$51</f>
        <v>-16369.82396641408</v>
      </c>
      <c r="BU32" s="117">
        <f> OpCost!BU$51</f>
        <v>-16546.928486027165</v>
      </c>
      <c r="BV32" s="117">
        <f> OpCost!BV$51</f>
        <v>-16825.783289910694</v>
      </c>
      <c r="BW32" s="117">
        <f> OpCost!BW$51</f>
        <v>-17138.041596292</v>
      </c>
      <c r="BX32" s="117">
        <f> OpCost!BX$51</f>
        <v>-17118.784242644244</v>
      </c>
      <c r="BY32" s="117">
        <f> OpCost!BY$51</f>
        <v>-17466.665679065245</v>
      </c>
      <c r="BZ32" s="117">
        <f> OpCost!BZ$51</f>
        <v>-17595.13762514381</v>
      </c>
      <c r="CA32" s="117">
        <f> OpCost!CA$51</f>
        <v>-17652.182844180752</v>
      </c>
      <c r="CB32" s="117">
        <f> OpCost!CB$51</f>
        <v>-17632.347769923566</v>
      </c>
      <c r="CC32" s="117">
        <f> OpCost!CC$51</f>
        <v>-17990.665649437196</v>
      </c>
      <c r="CD32" s="117">
        <f> OpCost!CD$51</f>
        <v>-18122.991753898117</v>
      </c>
      <c r="CE32" s="117">
        <f> OpCost!CE$51</f>
        <v>-18181.74832950617</v>
      </c>
      <c r="CF32" s="117">
        <f> OpCost!CF$51</f>
        <v>-18239.81414927312</v>
      </c>
      <c r="CG32" s="117">
        <f> OpCost!CG$51</f>
        <v>-18451.889672668458</v>
      </c>
      <c r="CH32" s="117">
        <f> OpCost!CH$51</f>
        <v>-18666.68150651506</v>
      </c>
      <c r="CI32" s="117">
        <f> OpCost!CI$51</f>
        <v>-18727.20077939135</v>
      </c>
      <c r="CJ32" s="117">
        <f> OpCost!CJ$51</f>
        <v>-18706.1577491119</v>
      </c>
      <c r="CK32" s="117">
        <f> OpCost!CK$51</f>
        <v>-19086.297187487908</v>
      </c>
      <c r="CL32" s="117">
        <f> OpCost!CL$51</f>
        <v>-19226.681951710496</v>
      </c>
      <c r="CM32" s="117">
        <f> OpCost!CM$51</f>
        <v>-19289.016802773083</v>
      </c>
      <c r="CN32" s="117">
        <f> OpCost!CN$51</f>
        <v>-7358.824520447502</v>
      </c>
      <c r="CO32" s="117">
        <f> OpCost!CO$51</f>
        <v>-0.0</v>
      </c>
    </row>
    <row r="33">
      <c r="E33" s="168" t="inlineStr">
        <is>
          <t>Operating cash flow</t>
        </is>
      </c>
      <c r="F33" s="168" t="n"/>
      <c r="G33" s="168" t="inlineStr">
        <is>
          <t>$ 000s</t>
        </is>
      </c>
      <c r="H33" s="168">
        <f> SUM(J33:CO33)</f>
        <v>789195.2008258443</v>
      </c>
      <c r="I33" s="168" t="n"/>
      <c r="J33" s="168">
        <f> SUM(J31:J32)</f>
        <v>0.0</v>
      </c>
      <c r="K33" s="168">
        <f> SUM(K31:K32)</f>
        <v>0.0</v>
      </c>
      <c r="L33" s="168">
        <f> SUM(L31:L32)</f>
        <v>5192.909394115046</v>
      </c>
      <c r="M33" s="168">
        <f> SUM(M31:M32)</f>
        <v>5347.2000038112765</v>
      </c>
      <c r="N33" s="168">
        <f> SUM(N31:N32)</f>
        <v>5692.66845747865</v>
      </c>
      <c r="O33" s="168">
        <f> SUM(O31:O32)</f>
        <v>5467.059478909892</v>
      </c>
      <c r="P33" s="168">
        <f> SUM(P31:P32)</f>
        <v>5817.509424437529</v>
      </c>
      <c r="Q33" s="168">
        <f> SUM(Q31:Q32)</f>
        <v>5597.218214647175</v>
      </c>
      <c r="R33" s="168">
        <f> SUM(R31:R32)</f>
        <v>5974.7644089012665</v>
      </c>
      <c r="S33" s="168">
        <f> SUM(S31:S32)</f>
        <v>5729.7013430181105</v>
      </c>
      <c r="T33" s="168">
        <f> SUM(T31:T32)</f>
        <v>6326.11229271827</v>
      </c>
      <c r="U33" s="168">
        <f> SUM(U31:U32)</f>
        <v>6147.1813585826785</v>
      </c>
      <c r="V33" s="168">
        <f> SUM(V31:V32)</f>
        <v>6543.340045045556</v>
      </c>
      <c r="W33" s="168">
        <f> SUM(W31:W32)</f>
        <v>6268.001472105265</v>
      </c>
      <c r="X33" s="168">
        <f> SUM(X31:X32)</f>
        <v>6640.645125693423</v>
      </c>
      <c r="Y33" s="168">
        <f> SUM(Y31:Y32)</f>
        <v>6369.800327816101</v>
      </c>
      <c r="Z33" s="168">
        <f> SUM(Z31:Z32)</f>
        <v>6757.074758667986</v>
      </c>
      <c r="AA33" s="168">
        <f> SUM(AA31:AA32)</f>
        <v>6457.39214125404</v>
      </c>
      <c r="AB33" s="168">
        <f> SUM(AB31:AB32)</f>
        <v>6839.8644794642205</v>
      </c>
      <c r="AC33" s="168">
        <f> SUM(AC31:AC32)</f>
        <v>6560.894337650585</v>
      </c>
      <c r="AD33" s="168">
        <f> SUM(AD31:AD32)</f>
        <v>7452.969529881211</v>
      </c>
      <c r="AE33" s="168">
        <f> SUM(AE31:AE32)</f>
        <v>7305.121492499144</v>
      </c>
      <c r="AF33" s="168">
        <f> SUM(AF31:AF32)</f>
        <v>7716.802978474932</v>
      </c>
      <c r="AG33" s="168">
        <f> SUM(AG31:AG32)</f>
        <v>7423.66086547689</v>
      </c>
      <c r="AH33" s="168">
        <f> SUM(AH31:AH32)</f>
        <v>7856.492751689355</v>
      </c>
      <c r="AI33" s="168">
        <f> SUM(AI31:AI32)</f>
        <v>7524.27513727412</v>
      </c>
      <c r="AJ33" s="168">
        <f> SUM(AJ31:AJ32)</f>
        <v>7957.238962847201</v>
      </c>
      <c r="AK33" s="168">
        <f> SUM(AK31:AK32)</f>
        <v>7637.438796423161</v>
      </c>
      <c r="AL33" s="168">
        <f> SUM(AL31:AL32)</f>
        <v>8092.187534240034</v>
      </c>
      <c r="AM33" s="168">
        <f> SUM(AM31:AM32)</f>
        <v>8248.609688047094</v>
      </c>
      <c r="AN33" s="168">
        <f> SUM(AN31:AN32)</f>
        <v>8899.407966676596</v>
      </c>
      <c r="AO33" s="168">
        <f> SUM(AO31:AO32)</f>
        <v>8582.257237470945</v>
      </c>
      <c r="AP33" s="168">
        <f> SUM(AP31:AP32)</f>
        <v>9064.75914982503</v>
      </c>
      <c r="AQ33" s="168">
        <f> SUM(AQ31:AQ32)</f>
        <v>8697.155241662034</v>
      </c>
      <c r="AR33" s="168">
        <f> SUM(AR31:AR32)</f>
        <v>9166.390205676898</v>
      </c>
      <c r="AS33" s="168">
        <f> SUM(AS31:AS32)</f>
        <v>8839.724954595073</v>
      </c>
      <c r="AT33" s="168">
        <f> SUM(AT31:AT32)</f>
        <v>9336.701924319776</v>
      </c>
      <c r="AU33" s="168">
        <f> SUM(AU31:AU32)</f>
        <v>8958.06989891189</v>
      </c>
      <c r="AV33" s="168">
        <f> SUM(AV31:AV32)</f>
        <v>9441.381911847202</v>
      </c>
      <c r="AW33" s="168">
        <f> SUM(AW31:AW32)</f>
        <v>9104.916703232917</v>
      </c>
      <c r="AX33" s="168">
        <f> SUM(AX31:AX32)</f>
        <v>10266.239507798697</v>
      </c>
      <c r="AY33" s="168">
        <f> SUM(AY31:AY32)</f>
        <v>10092.258754360497</v>
      </c>
      <c r="AZ33" s="168">
        <f> SUM(AZ31:AZ32)</f>
        <v>10626.01925013826</v>
      </c>
      <c r="BA33" s="168">
        <f> SUM(BA31:BA32)</f>
        <v>10244.021223429549</v>
      </c>
      <c r="BB33" s="168">
        <f> SUM(BB31:BB32)</f>
        <v>10812.788948837113</v>
      </c>
      <c r="BC33" s="168">
        <f> SUM(BC31:BC32)</f>
        <v>10395.026516991305</v>
      </c>
      <c r="BD33" s="168">
        <f> SUM(BD31:BD32)</f>
        <v>10929.094729365526</v>
      </c>
      <c r="BE33" s="168">
        <f> SUM(BE31:BE32)</f>
        <v>10567.04695840931</v>
      </c>
      <c r="BF33" s="168">
        <f> SUM(BF31:BF32)</f>
        <v>11137.172617302223</v>
      </c>
      <c r="BG33" s="168">
        <f> SUM(BG31:BG32)</f>
        <v>10706.877312501045</v>
      </c>
      <c r="BH33" s="168">
        <f> SUM(BH31:BH32)</f>
        <v>10604.76344762884</v>
      </c>
      <c r="BI33" s="168">
        <f> SUM(BI31:BI32)</f>
        <v>11385.33426725212</v>
      </c>
      <c r="BJ33" s="168">
        <f> SUM(BJ31:BJ32)</f>
        <v>10962.831730484364</v>
      </c>
      <c r="BK33" s="168">
        <f> SUM(BK31:BK32)</f>
        <v>11542.029407963797</v>
      </c>
      <c r="BL33" s="168">
        <f> SUM(BL31:BL32)</f>
        <v>11080.445690019407</v>
      </c>
      <c r="BM33" s="168">
        <f> SUM(BM31:BM32)</f>
        <v>11726.894295269676</v>
      </c>
      <c r="BN33" s="168">
        <f> SUM(BN31:BN32)</f>
        <v>11291.7166823989</v>
      </c>
      <c r="BO33" s="168">
        <f> SUM(BO31:BO32)</f>
        <v>11888.290290202709</v>
      </c>
      <c r="BP33" s="168">
        <f> SUM(BP31:BP32)</f>
        <v>11428.184163229618</v>
      </c>
      <c r="BQ33" s="168">
        <f> SUM(BQ31:BQ32)</f>
        <v>11364.470719431682</v>
      </c>
      <c r="BR33" s="168">
        <f> SUM(BR31:BR32)</f>
        <v>12169.889222586793</v>
      </c>
      <c r="BS33" s="168">
        <f> SUM(BS31:BS32)</f>
        <v>11699.69392505731</v>
      </c>
      <c r="BT33" s="168">
        <f> SUM(BT31:BT32)</f>
        <v>12300.792403225454</v>
      </c>
      <c r="BU33" s="168">
        <f> SUM(BU31:BU32)</f>
        <v>11893.304447373364</v>
      </c>
      <c r="BV33" s="168">
        <f> SUM(BV31:BV32)</f>
        <v>12534.9858992644</v>
      </c>
      <c r="BW33" s="168">
        <f> SUM(BW31:BW32)</f>
        <v>12783.167228454382</v>
      </c>
      <c r="BX33" s="168">
        <f> SUM(BX31:BX32)</f>
        <v>12841.963664567826</v>
      </c>
      <c r="BY33" s="168">
        <f> SUM(BY31:BY32)</f>
        <v>12991.572215884164</v>
      </c>
      <c r="BZ33" s="168">
        <f> SUM(BZ31:BZ32)</f>
        <v>13087.665993322771</v>
      </c>
      <c r="CA33" s="168">
        <f> SUM(CA31:CA32)</f>
        <v>13166.662245308009</v>
      </c>
      <c r="CB33" s="168">
        <f> SUM(CB31:CB32)</f>
        <v>13227.222574504853</v>
      </c>
      <c r="CC33" s="168">
        <f> SUM(CC31:CC32)</f>
        <v>13381.319382360693</v>
      </c>
      <c r="CD33" s="168">
        <f> SUM(CD31:CD32)</f>
        <v>13480.295973122451</v>
      </c>
      <c r="CE33" s="168">
        <f> SUM(CE31:CE32)</f>
        <v>13561.662112667243</v>
      </c>
      <c r="CF33" s="168">
        <f> SUM(CF31:CF32)</f>
        <v>13643.354541664656</v>
      </c>
      <c r="CG33" s="168">
        <f> SUM(CG31:CG32)</f>
        <v>13763.443673906844</v>
      </c>
      <c r="CH33" s="168">
        <f> SUM(CH31:CH32)</f>
        <v>13884.704852316114</v>
      </c>
      <c r="CI33" s="168">
        <f> SUM(CI31:CI32)</f>
        <v>13968.511976047255</v>
      </c>
      <c r="CJ33" s="168">
        <f> SUM(CJ31:CJ32)</f>
        <v>14032.760429292193</v>
      </c>
      <c r="CK33" s="168">
        <f> SUM(CK31:CK32)</f>
        <v>14196.241732746457</v>
      </c>
      <c r="CL33" s="168">
        <f> SUM(CL31:CL32)</f>
        <v>14301.245997885599</v>
      </c>
      <c r="CM33" s="168">
        <f> SUM(CM31:CM32)</f>
        <v>14387.567335328677</v>
      </c>
      <c r="CN33" s="168">
        <f> SUM(CN31:CN32)</f>
        <v>1810.7664905536149</v>
      </c>
      <c r="CO33" s="168">
        <f> SUM(CO31:CO32)</f>
        <v>0.0</v>
      </c>
    </row>
    <row r="35">
      <c r="E35" s="117" t="str">
        <f> NCA!E$19</f>
        <v>Capital expenditure</v>
      </c>
      <c r="F35" s="117" t="str">
        <f> NCA!F$19</f>
        <v>CF</v>
      </c>
      <c r="G35" s="117" t="str">
        <f> NCA!G$19</f>
        <v>$ 000s</v>
      </c>
      <c r="H35" s="117">
        <f> NCA!H$19</f>
        <v>-8000.0</v>
      </c>
      <c r="I35" s="117">
        <f> NCA!I$19</f>
        <v>0.0</v>
      </c>
      <c r="J35" s="117">
        <f> NCA!J$19</f>
        <v>-0.0</v>
      </c>
      <c r="K35" s="117">
        <f> NCA!K$19</f>
        <v>-0.0</v>
      </c>
      <c r="L35" s="117">
        <f> NCA!L$19</f>
        <v>-0.0</v>
      </c>
      <c r="M35" s="117">
        <f> NCA!M$19</f>
        <v>-0.0</v>
      </c>
      <c r="N35" s="117">
        <f> NCA!N$19</f>
        <v>-0.0</v>
      </c>
      <c r="O35" s="117">
        <f> NCA!O$19</f>
        <v>-0.0</v>
      </c>
      <c r="P35" s="117">
        <f> NCA!P$19</f>
        <v>-0.0</v>
      </c>
      <c r="Q35" s="117">
        <f> NCA!Q$19</f>
        <v>-0.0</v>
      </c>
      <c r="R35" s="117">
        <f> NCA!R$19</f>
        <v>-0.0</v>
      </c>
      <c r="S35" s="117">
        <f> NCA!S$19</f>
        <v>-2000.0</v>
      </c>
      <c r="T35" s="117">
        <f> NCA!T$19</f>
        <v>-0.0</v>
      </c>
      <c r="U35" s="117">
        <f> NCA!U$19</f>
        <v>-0.0</v>
      </c>
      <c r="V35" s="117">
        <f> NCA!V$19</f>
        <v>-0.0</v>
      </c>
      <c r="W35" s="117">
        <f> NCA!W$19</f>
        <v>-1000.0</v>
      </c>
      <c r="X35" s="117">
        <f> NCA!X$19</f>
        <v>-0.0</v>
      </c>
      <c r="Y35" s="117">
        <f> NCA!Y$19</f>
        <v>-0.0</v>
      </c>
      <c r="Z35" s="117">
        <f> NCA!Z$19</f>
        <v>-0.0</v>
      </c>
      <c r="AA35" s="117">
        <f> NCA!AA$19</f>
        <v>-1500.0</v>
      </c>
      <c r="AB35" s="117">
        <f> NCA!AB$19</f>
        <v>-0.0</v>
      </c>
      <c r="AC35" s="117">
        <f> NCA!AC$19</f>
        <v>-0.0</v>
      </c>
      <c r="AD35" s="117">
        <f> NCA!AD$19</f>
        <v>-0.0</v>
      </c>
      <c r="AE35" s="117">
        <f> NCA!AE$19</f>
        <v>-1000.0</v>
      </c>
      <c r="AF35" s="117">
        <f> NCA!AF$19</f>
        <v>-0.0</v>
      </c>
      <c r="AG35" s="117">
        <f> NCA!AG$19</f>
        <v>-0.0</v>
      </c>
      <c r="AH35" s="117">
        <f> NCA!AH$19</f>
        <v>-0.0</v>
      </c>
      <c r="AI35" s="117">
        <f> NCA!AI$19</f>
        <v>-500.0</v>
      </c>
      <c r="AJ35" s="117">
        <f> NCA!AJ$19</f>
        <v>-0.0</v>
      </c>
      <c r="AK35" s="117">
        <f> NCA!AK$19</f>
        <v>-0.0</v>
      </c>
      <c r="AL35" s="117">
        <f> NCA!AL$19</f>
        <v>-0.0</v>
      </c>
      <c r="AM35" s="117">
        <f> NCA!AM$19</f>
        <v>-1000.0</v>
      </c>
      <c r="AN35" s="117">
        <f> NCA!AN$19</f>
        <v>-0.0</v>
      </c>
      <c r="AO35" s="117">
        <f> NCA!AO$19</f>
        <v>-0.0</v>
      </c>
      <c r="AP35" s="117">
        <f> NCA!AP$19</f>
        <v>-0.0</v>
      </c>
      <c r="AQ35" s="117">
        <f> NCA!AQ$19</f>
        <v>-1000.0</v>
      </c>
      <c r="AR35" s="117">
        <f> NCA!AR$19</f>
        <v>-0.0</v>
      </c>
      <c r="AS35" s="117">
        <f> NCA!AS$19</f>
        <v>-0.0</v>
      </c>
      <c r="AT35" s="117">
        <f> NCA!AT$19</f>
        <v>-0.0</v>
      </c>
      <c r="AU35" s="117">
        <f> NCA!AU$19</f>
        <v>-0.0</v>
      </c>
      <c r="AV35" s="117">
        <f> NCA!AV$19</f>
        <v>-0.0</v>
      </c>
      <c r="AW35" s="117">
        <f> NCA!AW$19</f>
        <v>-0.0</v>
      </c>
      <c r="AX35" s="117">
        <f> NCA!AX$19</f>
        <v>-0.0</v>
      </c>
      <c r="AY35" s="117">
        <f> NCA!AY$19</f>
        <v>-0.0</v>
      </c>
      <c r="AZ35" s="117">
        <f> NCA!AZ$19</f>
        <v>-0.0</v>
      </c>
      <c r="BA35" s="117">
        <f> NCA!BA$19</f>
        <v>-0.0</v>
      </c>
      <c r="BB35" s="117">
        <f> NCA!BB$19</f>
        <v>-0.0</v>
      </c>
      <c r="BC35" s="117">
        <f> NCA!BC$19</f>
        <v>-0.0</v>
      </c>
      <c r="BD35" s="117">
        <f> NCA!BD$19</f>
        <v>-0.0</v>
      </c>
      <c r="BE35" s="117">
        <f> NCA!BE$19</f>
        <v>-0.0</v>
      </c>
      <c r="BF35" s="117">
        <f> NCA!BF$19</f>
        <v>-0.0</v>
      </c>
      <c r="BG35" s="117">
        <f> NCA!BG$19</f>
        <v>-0.0</v>
      </c>
      <c r="BH35" s="117">
        <f> NCA!BH$19</f>
        <v>-0.0</v>
      </c>
      <c r="BI35" s="117">
        <f> NCA!BI$19</f>
        <v>-0.0</v>
      </c>
      <c r="BJ35" s="117">
        <f> NCA!BJ$19</f>
        <v>-0.0</v>
      </c>
      <c r="BK35" s="117">
        <f> NCA!BK$19</f>
        <v>-0.0</v>
      </c>
      <c r="BL35" s="117">
        <f> NCA!BL$19</f>
        <v>-0.0</v>
      </c>
      <c r="BM35" s="117">
        <f> NCA!BM$19</f>
        <v>-0.0</v>
      </c>
      <c r="BN35" s="117">
        <f> NCA!BN$19</f>
        <v>-0.0</v>
      </c>
      <c r="BO35" s="117">
        <f> NCA!BO$19</f>
        <v>-0.0</v>
      </c>
      <c r="BP35" s="117">
        <f> NCA!BP$19</f>
        <v>-0.0</v>
      </c>
      <c r="BQ35" s="117">
        <f> NCA!BQ$19</f>
        <v>-0.0</v>
      </c>
      <c r="BR35" s="117">
        <f> NCA!BR$19</f>
        <v>-0.0</v>
      </c>
      <c r="BS35" s="117">
        <f> NCA!BS$19</f>
        <v>-0.0</v>
      </c>
      <c r="BT35" s="117">
        <f> NCA!BT$19</f>
        <v>-0.0</v>
      </c>
      <c r="BU35" s="117">
        <f> NCA!BU$19</f>
        <v>-0.0</v>
      </c>
      <c r="BV35" s="117">
        <f> NCA!BV$19</f>
        <v>-0.0</v>
      </c>
      <c r="BW35" s="117">
        <f> NCA!BW$19</f>
        <v>-0.0</v>
      </c>
      <c r="BX35" s="117">
        <f> NCA!BX$19</f>
        <v>-0.0</v>
      </c>
      <c r="BY35" s="117">
        <f> NCA!BY$19</f>
        <v>-0.0</v>
      </c>
      <c r="BZ35" s="117">
        <f> NCA!BZ$19</f>
        <v>-0.0</v>
      </c>
      <c r="CA35" s="117">
        <f> NCA!CA$19</f>
        <v>-0.0</v>
      </c>
      <c r="CB35" s="117">
        <f> NCA!CB$19</f>
        <v>-0.0</v>
      </c>
      <c r="CC35" s="117">
        <f> NCA!CC$19</f>
        <v>-0.0</v>
      </c>
      <c r="CD35" s="117">
        <f> NCA!CD$19</f>
        <v>-0.0</v>
      </c>
      <c r="CE35" s="117">
        <f> NCA!CE$19</f>
        <v>-0.0</v>
      </c>
      <c r="CF35" s="117">
        <f> NCA!CF$19</f>
        <v>-0.0</v>
      </c>
      <c r="CG35" s="117">
        <f> NCA!CG$19</f>
        <v>-0.0</v>
      </c>
      <c r="CH35" s="117">
        <f> NCA!CH$19</f>
        <v>-0.0</v>
      </c>
      <c r="CI35" s="117">
        <f> NCA!CI$19</f>
        <v>-0.0</v>
      </c>
      <c r="CJ35" s="117">
        <f> NCA!CJ$19</f>
        <v>-0.0</v>
      </c>
      <c r="CK35" s="117">
        <f> NCA!CK$19</f>
        <v>-0.0</v>
      </c>
      <c r="CL35" s="117">
        <f> NCA!CL$19</f>
        <v>-0.0</v>
      </c>
      <c r="CM35" s="117">
        <f> NCA!CM$19</f>
        <v>-0.0</v>
      </c>
      <c r="CN35" s="117">
        <f> NCA!CN$19</f>
        <v>-0.0</v>
      </c>
      <c r="CO35" s="117">
        <f> NCA!CO$19</f>
        <v>-0.0</v>
      </c>
    </row>
    <row r="36">
      <c r="E36" s="168" t="inlineStr">
        <is>
          <t>Pre tax pre financing cash flow</t>
        </is>
      </c>
      <c r="F36" s="168" t="n"/>
      <c r="G36" s="168" t="inlineStr">
        <is>
          <t>$ 000s</t>
        </is>
      </c>
      <c r="H36" s="168">
        <f> SUM(J36:CO36)</f>
        <v>781195.2008258443</v>
      </c>
      <c r="I36" s="168" t="n"/>
      <c r="J36" s="168">
        <f> J33 + SUM(J35:J35)</f>
        <v>0.0</v>
      </c>
      <c r="K36" s="168">
        <f> K33 + SUM(K35:K35)</f>
        <v>0.0</v>
      </c>
      <c r="L36" s="168">
        <f> L33 + SUM(L35:L35)</f>
        <v>5192.909394115046</v>
      </c>
      <c r="M36" s="168">
        <f> M33 + SUM(M35:M35)</f>
        <v>5347.2000038112765</v>
      </c>
      <c r="N36" s="168">
        <f> N33 + SUM(N35:N35)</f>
        <v>5692.66845747865</v>
      </c>
      <c r="O36" s="168">
        <f> O33 + SUM(O35:O35)</f>
        <v>5467.059478909892</v>
      </c>
      <c r="P36" s="168">
        <f> P33 + SUM(P35:P35)</f>
        <v>5817.509424437529</v>
      </c>
      <c r="Q36" s="168">
        <f> Q33 + SUM(Q35:Q35)</f>
        <v>5597.218214647175</v>
      </c>
      <c r="R36" s="168">
        <f> R33 + SUM(R35:R35)</f>
        <v>5974.7644089012665</v>
      </c>
      <c r="S36" s="168">
        <f> S33 + SUM(S35:S35)</f>
        <v>3729.7013430181105</v>
      </c>
      <c r="T36" s="168">
        <f> T33 + SUM(T35:T35)</f>
        <v>6326.11229271827</v>
      </c>
      <c r="U36" s="168">
        <f> U33 + SUM(U35:U35)</f>
        <v>6147.1813585826785</v>
      </c>
      <c r="V36" s="168">
        <f> V33 + SUM(V35:V35)</f>
        <v>6543.340045045556</v>
      </c>
      <c r="W36" s="168">
        <f> W33 + SUM(W35:W35)</f>
        <v>5268.001472105265</v>
      </c>
      <c r="X36" s="168">
        <f> X33 + SUM(X35:X35)</f>
        <v>6640.645125693423</v>
      </c>
      <c r="Y36" s="168">
        <f> Y33 + SUM(Y35:Y35)</f>
        <v>6369.800327816101</v>
      </c>
      <c r="Z36" s="168">
        <f> Z33 + SUM(Z35:Z35)</f>
        <v>6757.074758667986</v>
      </c>
      <c r="AA36" s="168">
        <f> AA33 + SUM(AA35:AA35)</f>
        <v>4957.39214125404</v>
      </c>
      <c r="AB36" s="168">
        <f> AB33 + SUM(AB35:AB35)</f>
        <v>6839.8644794642205</v>
      </c>
      <c r="AC36" s="168">
        <f> AC33 + SUM(AC35:AC35)</f>
        <v>6560.894337650585</v>
      </c>
      <c r="AD36" s="168">
        <f> AD33 + SUM(AD35:AD35)</f>
        <v>7452.969529881211</v>
      </c>
      <c r="AE36" s="168">
        <f> AE33 + SUM(AE35:AE35)</f>
        <v>6305.121492499144</v>
      </c>
      <c r="AF36" s="168">
        <f> AF33 + SUM(AF35:AF35)</f>
        <v>7716.802978474932</v>
      </c>
      <c r="AG36" s="168">
        <f> AG33 + SUM(AG35:AG35)</f>
        <v>7423.66086547689</v>
      </c>
      <c r="AH36" s="168">
        <f> AH33 + SUM(AH35:AH35)</f>
        <v>7856.492751689355</v>
      </c>
      <c r="AI36" s="168">
        <f> AI33 + SUM(AI35:AI35)</f>
        <v>7024.27513727412</v>
      </c>
      <c r="AJ36" s="168">
        <f> AJ33 + SUM(AJ35:AJ35)</f>
        <v>7957.238962847201</v>
      </c>
      <c r="AK36" s="168">
        <f> AK33 + SUM(AK35:AK35)</f>
        <v>7637.438796423161</v>
      </c>
      <c r="AL36" s="168">
        <f> AL33 + SUM(AL35:AL35)</f>
        <v>8092.187534240034</v>
      </c>
      <c r="AM36" s="168">
        <f> AM33 + SUM(AM35:AM35)</f>
        <v>7248.609688047094</v>
      </c>
      <c r="AN36" s="168">
        <f> AN33 + SUM(AN35:AN35)</f>
        <v>8899.407966676596</v>
      </c>
      <c r="AO36" s="168">
        <f> AO33 + SUM(AO35:AO35)</f>
        <v>8582.257237470945</v>
      </c>
      <c r="AP36" s="168">
        <f> AP33 + SUM(AP35:AP35)</f>
        <v>9064.75914982503</v>
      </c>
      <c r="AQ36" s="168">
        <f> AQ33 + SUM(AQ35:AQ35)</f>
        <v>7697.155241662034</v>
      </c>
      <c r="AR36" s="168">
        <f> AR33 + SUM(AR35:AR35)</f>
        <v>9166.390205676898</v>
      </c>
      <c r="AS36" s="168">
        <f> AS33 + SUM(AS35:AS35)</f>
        <v>8839.724954595073</v>
      </c>
      <c r="AT36" s="168">
        <f> AT33 + SUM(AT35:AT35)</f>
        <v>9336.701924319776</v>
      </c>
      <c r="AU36" s="168">
        <f> AU33 + SUM(AU35:AU35)</f>
        <v>8958.06989891189</v>
      </c>
      <c r="AV36" s="168">
        <f> AV33 + SUM(AV35:AV35)</f>
        <v>9441.381911847202</v>
      </c>
      <c r="AW36" s="168">
        <f> AW33 + SUM(AW35:AW35)</f>
        <v>9104.916703232917</v>
      </c>
      <c r="AX36" s="168">
        <f> AX33 + SUM(AX35:AX35)</f>
        <v>10266.239507798697</v>
      </c>
      <c r="AY36" s="168">
        <f> AY33 + SUM(AY35:AY35)</f>
        <v>10092.258754360497</v>
      </c>
      <c r="AZ36" s="168">
        <f> AZ33 + SUM(AZ35:AZ35)</f>
        <v>10626.01925013826</v>
      </c>
      <c r="BA36" s="168">
        <f> BA33 + SUM(BA35:BA35)</f>
        <v>10244.021223429549</v>
      </c>
      <c r="BB36" s="168">
        <f> BB33 + SUM(BB35:BB35)</f>
        <v>10812.788948837113</v>
      </c>
      <c r="BC36" s="168">
        <f> BC33 + SUM(BC35:BC35)</f>
        <v>10395.026516991305</v>
      </c>
      <c r="BD36" s="168">
        <f> BD33 + SUM(BD35:BD35)</f>
        <v>10929.094729365526</v>
      </c>
      <c r="BE36" s="168">
        <f> BE33 + SUM(BE35:BE35)</f>
        <v>10567.04695840931</v>
      </c>
      <c r="BF36" s="168">
        <f> BF33 + SUM(BF35:BF35)</f>
        <v>11137.172617302223</v>
      </c>
      <c r="BG36" s="168">
        <f> BG33 + SUM(BG35:BG35)</f>
        <v>10706.877312501045</v>
      </c>
      <c r="BH36" s="168">
        <f> BH33 + SUM(BH35:BH35)</f>
        <v>10604.76344762884</v>
      </c>
      <c r="BI36" s="168">
        <f> BI33 + SUM(BI35:BI35)</f>
        <v>11385.33426725212</v>
      </c>
      <c r="BJ36" s="168">
        <f> BJ33 + SUM(BJ35:BJ35)</f>
        <v>10962.831730484364</v>
      </c>
      <c r="BK36" s="168">
        <f> BK33 + SUM(BK35:BK35)</f>
        <v>11542.029407963797</v>
      </c>
      <c r="BL36" s="168">
        <f> BL33 + SUM(BL35:BL35)</f>
        <v>11080.445690019407</v>
      </c>
      <c r="BM36" s="168">
        <f> BM33 + SUM(BM35:BM35)</f>
        <v>11726.894295269676</v>
      </c>
      <c r="BN36" s="168">
        <f> BN33 + SUM(BN35:BN35)</f>
        <v>11291.7166823989</v>
      </c>
      <c r="BO36" s="168">
        <f> BO33 + SUM(BO35:BO35)</f>
        <v>11888.290290202709</v>
      </c>
      <c r="BP36" s="168">
        <f> BP33 + SUM(BP35:BP35)</f>
        <v>11428.184163229618</v>
      </c>
      <c r="BQ36" s="168">
        <f> BQ33 + SUM(BQ35:BQ35)</f>
        <v>11364.470719431682</v>
      </c>
      <c r="BR36" s="168">
        <f> BR33 + SUM(BR35:BR35)</f>
        <v>12169.889222586793</v>
      </c>
      <c r="BS36" s="168">
        <f> BS33 + SUM(BS35:BS35)</f>
        <v>11699.69392505731</v>
      </c>
      <c r="BT36" s="168">
        <f> BT33 + SUM(BT35:BT35)</f>
        <v>12300.792403225454</v>
      </c>
      <c r="BU36" s="168">
        <f> BU33 + SUM(BU35:BU35)</f>
        <v>11893.304447373364</v>
      </c>
      <c r="BV36" s="168">
        <f> BV33 + SUM(BV35:BV35)</f>
        <v>12534.9858992644</v>
      </c>
      <c r="BW36" s="168">
        <f> BW33 + SUM(BW35:BW35)</f>
        <v>12783.167228454382</v>
      </c>
      <c r="BX36" s="168">
        <f> BX33 + SUM(BX35:BX35)</f>
        <v>12841.963664567826</v>
      </c>
      <c r="BY36" s="168">
        <f> BY33 + SUM(BY35:BY35)</f>
        <v>12991.572215884164</v>
      </c>
      <c r="BZ36" s="168">
        <f> BZ33 + SUM(BZ35:BZ35)</f>
        <v>13087.665993322771</v>
      </c>
      <c r="CA36" s="168">
        <f> CA33 + SUM(CA35:CA35)</f>
        <v>13166.662245308009</v>
      </c>
      <c r="CB36" s="168">
        <f> CB33 + SUM(CB35:CB35)</f>
        <v>13227.222574504853</v>
      </c>
      <c r="CC36" s="168">
        <f> CC33 + SUM(CC35:CC35)</f>
        <v>13381.319382360693</v>
      </c>
      <c r="CD36" s="168">
        <f> CD33 + SUM(CD35:CD35)</f>
        <v>13480.295973122451</v>
      </c>
      <c r="CE36" s="168">
        <f> CE33 + SUM(CE35:CE35)</f>
        <v>13561.662112667243</v>
      </c>
      <c r="CF36" s="168">
        <f> CF33 + SUM(CF35:CF35)</f>
        <v>13643.354541664656</v>
      </c>
      <c r="CG36" s="168">
        <f> CG33 + SUM(CG35:CG35)</f>
        <v>13763.443673906844</v>
      </c>
      <c r="CH36" s="168">
        <f> CH33 + SUM(CH35:CH35)</f>
        <v>13884.704852316114</v>
      </c>
      <c r="CI36" s="168">
        <f> CI33 + SUM(CI35:CI35)</f>
        <v>13968.511976047255</v>
      </c>
      <c r="CJ36" s="168">
        <f> CJ33 + SUM(CJ35:CJ35)</f>
        <v>14032.760429292193</v>
      </c>
      <c r="CK36" s="168">
        <f> CK33 + SUM(CK35:CK35)</f>
        <v>14196.241732746457</v>
      </c>
      <c r="CL36" s="168">
        <f> CL33 + SUM(CL35:CL35)</f>
        <v>14301.245997885599</v>
      </c>
      <c r="CM36" s="168">
        <f> CM33 + SUM(CM35:CM35)</f>
        <v>14387.567335328677</v>
      </c>
      <c r="CN36" s="168">
        <f> CN33 + SUM(CN35:CN35)</f>
        <v>1810.7664905536149</v>
      </c>
      <c r="CO36" s="168">
        <f> CO33 + SUM(CO35:CO35)</f>
        <v>0.0</v>
      </c>
    </row>
    <row r="37" customFormat="1" s="194">
      <c r="E37" s="169" t="n"/>
      <c r="F37" s="169" t="n"/>
      <c r="G37" s="169" t="n"/>
      <c r="H37" s="169" t="n"/>
      <c r="I37" s="169" t="n"/>
      <c r="J37" s="169" t="n"/>
      <c r="K37" s="169" t="n"/>
      <c r="L37" s="169" t="n"/>
      <c r="M37" s="169" t="n"/>
      <c r="N37" s="169" t="n"/>
      <c r="O37" s="169" t="n"/>
      <c r="P37" s="169" t="n"/>
      <c r="Q37" s="169" t="n"/>
      <c r="R37" s="169" t="n"/>
      <c r="S37" s="169" t="n"/>
      <c r="T37" s="169" t="n"/>
      <c r="U37" s="169" t="n"/>
      <c r="V37" s="169" t="n"/>
      <c r="W37" s="169" t="n"/>
      <c r="X37" s="169" t="n"/>
      <c r="Y37" s="169" t="n"/>
      <c r="Z37" s="169" t="n"/>
      <c r="AA37" s="169" t="n"/>
      <c r="AB37" s="169" t="n"/>
      <c r="AC37" s="169" t="n"/>
      <c r="AD37" s="169" t="n"/>
      <c r="AE37" s="169" t="n"/>
      <c r="AF37" s="169" t="n"/>
      <c r="AG37" s="169" t="n"/>
      <c r="AH37" s="169" t="n"/>
      <c r="AI37" s="169" t="n"/>
      <c r="AJ37" s="169" t="n"/>
      <c r="AK37" s="169" t="n"/>
      <c r="AL37" s="169" t="n"/>
      <c r="AM37" s="169" t="n"/>
      <c r="AN37" s="169" t="n"/>
      <c r="AO37" s="169" t="n"/>
      <c r="AP37" s="169" t="n"/>
      <c r="AQ37" s="169" t="n"/>
      <c r="AR37" s="169"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row>
    <row r="38" s="396">
      <c r="A38" s="163" t="n"/>
      <c r="B38" s="163" t="n"/>
      <c r="C38" s="172" t="n"/>
      <c r="D38" s="88" t="n"/>
      <c r="E38" s="117" t="str">
        <f> Tax!E$32</f>
        <v>Tax paid</v>
      </c>
      <c r="F38" s="117" t="str">
        <f> Tax!F$32</f>
        <v>CF</v>
      </c>
      <c r="G38" s="117" t="str">
        <f> Tax!G$32</f>
        <v>$ 000s</v>
      </c>
      <c r="H38" s="117">
        <f> Tax!H$32</f>
        <v>-189665.92408525173</v>
      </c>
      <c r="I38" s="117">
        <f> Tax!I$32</f>
        <v>0.0</v>
      </c>
      <c r="J38" s="117">
        <f> Tax!J$32</f>
        <v>-0.0</v>
      </c>
      <c r="K38" s="117">
        <f> Tax!K$32</f>
        <v>-0.0</v>
      </c>
      <c r="L38" s="117">
        <f> Tax!L$32</f>
        <v>305.0923885528728</v>
      </c>
      <c r="M38" s="117">
        <f> Tax!M$32</f>
        <v>351.48525710308957</v>
      </c>
      <c r="N38" s="117">
        <f> Tax!N$32</f>
        <v>122.13920975640139</v>
      </c>
      <c r="O38" s="117">
        <f> Tax!O$32</f>
        <v>163.21621877740512</v>
      </c>
      <c r="P38" s="117">
        <f> Tax!P$32</f>
        <v>-75.08082518804756</v>
      </c>
      <c r="Q38" s="117">
        <f> Tax!Q$32</f>
        <v>-20.422014845695706</v>
      </c>
      <c r="R38" s="117">
        <f> Tax!R$32</f>
        <v>-241.08252070257143</v>
      </c>
      <c r="S38" s="117">
        <f> Tax!S$32</f>
        <v>-182.77969737938147</v>
      </c>
      <c r="T38" s="117">
        <f> Tax!T$32</f>
        <v>-466.58232949967385</v>
      </c>
      <c r="U38" s="117">
        <f> Tax!U$32</f>
        <v>-393.7579179888404</v>
      </c>
      <c r="V38" s="117">
        <f> Tax!V$32</f>
        <v>-614.7202159797175</v>
      </c>
      <c r="W38" s="117">
        <f> Tax!W$32</f>
        <v>-534.6576449686914</v>
      </c>
      <c r="X38" s="117">
        <f> Tax!X$32</f>
        <v>-746.3858252294714</v>
      </c>
      <c r="Y38" s="117">
        <f> Tax!Y$32</f>
        <v>-651.1774208480454</v>
      </c>
      <c r="Z38" s="117">
        <f> Tax!Z$32</f>
        <v>-865.3882615511553</v>
      </c>
      <c r="AA38" s="117">
        <f> Tax!AA$32</f>
        <v>-768.7712439385739</v>
      </c>
      <c r="AB38" s="117">
        <f> Tax!AB$32</f>
        <v>-969.1902079605635</v>
      </c>
      <c r="AC38" s="117">
        <f> Tax!AC$32</f>
        <v>-863.6206522341762</v>
      </c>
      <c r="AD38" s="117">
        <f> Tax!AD$32</f>
        <v>-1280.3529956219566</v>
      </c>
      <c r="AE38" s="117">
        <f> Tax!AE$32</f>
        <v>-1164.8470189177513</v>
      </c>
      <c r="AF38" s="117">
        <f> Tax!AF$32</f>
        <v>-1386.657431176232</v>
      </c>
      <c r="AG38" s="117">
        <f> Tax!AG$32</f>
        <v>-1262.9877115723675</v>
      </c>
      <c r="AH38" s="117">
        <f> Tax!AH$32</f>
        <v>-1490.9333384707181</v>
      </c>
      <c r="AI38" s="117">
        <f> Tax!AI$32</f>
        <v>-1366.4219897690532</v>
      </c>
      <c r="AJ38" s="117">
        <f> Tax!AJ$32</f>
        <v>-1593.7367258689226</v>
      </c>
      <c r="AK38" s="117">
        <f> Tax!AK$32</f>
        <v>-1464.8133177283923</v>
      </c>
      <c r="AL38" s="117">
        <f> Tax!AL$32</f>
        <v>-1694.7515307041397</v>
      </c>
      <c r="AM38" s="117">
        <f> Tax!AM$32</f>
        <v>-1766.870563020227</v>
      </c>
      <c r="AN38" s="117">
        <f> Tax!AN$32</f>
        <v>-2004.6010552065607</v>
      </c>
      <c r="AO38" s="117">
        <f> Tax!AO$32</f>
        <v>-1855.302079467813</v>
      </c>
      <c r="AP38" s="117">
        <f> Tax!AP$32</f>
        <v>-2103.5423179855</v>
      </c>
      <c r="AQ38" s="117">
        <f> Tax!AQ$32</f>
        <v>-1953.3971297983774</v>
      </c>
      <c r="AR38" s="117">
        <f> Tax!AR$32</f>
        <v>-2194.711063238854</v>
      </c>
      <c r="AS38" s="117">
        <f> Tax!AS$32</f>
        <v>-2038.4073238025242</v>
      </c>
      <c r="AT38" s="117">
        <f> Tax!AT$32</f>
        <v>-2291.801445653687</v>
      </c>
      <c r="AU38" s="117">
        <f> Tax!AU$32</f>
        <v>-2134.457673605926</v>
      </c>
      <c r="AV38" s="117">
        <f> Tax!AV$32</f>
        <v>-2396.922528086478</v>
      </c>
      <c r="AW38" s="117">
        <f> Tax!AW$32</f>
        <v>-2233.4685592165088</v>
      </c>
      <c r="AX38" s="117">
        <f> Tax!AX$32</f>
        <v>-2759.7725607167886</v>
      </c>
      <c r="AY38" s="117">
        <f> Tax!AY$32</f>
        <v>-2585.0408009666035</v>
      </c>
      <c r="AZ38" s="117">
        <f> Tax!AZ$32</f>
        <v>-2866.174219700051</v>
      </c>
      <c r="BA38" s="117">
        <f> Tax!BA$32</f>
        <v>-2726.838948360078</v>
      </c>
      <c r="BB38" s="117">
        <f> Tax!BB$32</f>
        <v>-3047.7170932460817</v>
      </c>
      <c r="BC38" s="117">
        <f> Tax!BC$32</f>
        <v>-2873.3892784267546</v>
      </c>
      <c r="BD38" s="117">
        <f> Tax!BD$32</f>
        <v>-3142.232433290898</v>
      </c>
      <c r="BE38" s="117">
        <f> Tax!BE$32</f>
        <v>-2939.0580080951445</v>
      </c>
      <c r="BF38" s="117">
        <f> Tax!BF$32</f>
        <v>-3210.759691418995</v>
      </c>
      <c r="BG38" s="117">
        <f> Tax!BG$32</f>
        <v>-3003.4730670258064</v>
      </c>
      <c r="BH38" s="117">
        <f> Tax!BH$32</f>
        <v>-3035.2733603515753</v>
      </c>
      <c r="BI38" s="117">
        <f> Tax!BI$32</f>
        <v>-3311.5491144568778</v>
      </c>
      <c r="BJ38" s="117">
        <f> Tax!BJ$32</f>
        <v>-3098.1750704432106</v>
      </c>
      <c r="BK38" s="117">
        <f> Tax!BK$32</f>
        <v>-3377.6788849920354</v>
      </c>
      <c r="BL38" s="117">
        <f> Tax!BL$32</f>
        <v>-3160.286701567943</v>
      </c>
      <c r="BM38" s="117">
        <f> Tax!BM$32</f>
        <v>-3443.152971276112</v>
      </c>
      <c r="BN38" s="117">
        <f> Tax!BN$32</f>
        <v>-3221.7648367727597</v>
      </c>
      <c r="BO38" s="117">
        <f> Tax!BO$32</f>
        <v>-3508.121540047237</v>
      </c>
      <c r="BP38" s="117">
        <f> Tax!BP$32</f>
        <v>-3282.7519766951496</v>
      </c>
      <c r="BQ38" s="117">
        <f> Tax!BQ$32</f>
        <v>-3313.1024492861575</v>
      </c>
      <c r="BR38" s="117">
        <f> Tax!BR$32</f>
        <v>-3604.9224941358602</v>
      </c>
      <c r="BS38" s="117">
        <f> Tax!BS$32</f>
        <v>-3373.59286848203</v>
      </c>
      <c r="BT38" s="117">
        <f> Tax!BT$32</f>
        <v>-3669.19981173716</v>
      </c>
      <c r="BU38" s="117">
        <f> Tax!BU$32</f>
        <v>-3433.8957299626263</v>
      </c>
      <c r="BV38" s="117">
        <f> Tax!BV$32</f>
        <v>-3733.4003657979247</v>
      </c>
      <c r="BW38" s="117">
        <f> Tax!BW$32</f>
        <v>-3765.503333999871</v>
      </c>
      <c r="BX38" s="117">
        <f> Tax!BX$32</f>
        <v>-3797.6238087355596</v>
      </c>
      <c r="BY38" s="117">
        <f> Tax!BY$32</f>
        <v>-3829.772950026492</v>
      </c>
      <c r="BZ38" s="117">
        <f> Tax!BZ$32</f>
        <v>-3861.9614491601346</v>
      </c>
      <c r="CA38" s="117">
        <f> Tax!CA$32</f>
        <v>-3894.1995527887275</v>
      </c>
      <c r="CB38" s="117">
        <f> Tax!CB$32</f>
        <v>-3926.497085828043</v>
      </c>
      <c r="CC38" s="117">
        <f> Tax!CC$32</f>
        <v>-3958.863473216181</v>
      </c>
      <c r="CD38" s="117">
        <f> Tax!CD$32</f>
        <v>-3991.3077605893895</v>
      </c>
      <c r="CE38" s="117">
        <f> Tax!CE$32</f>
        <v>-4023.838633929115</v>
      </c>
      <c r="CF38" s="117">
        <f> Tax!CF$32</f>
        <v>-4056.464438231775</v>
      </c>
      <c r="CG38" s="117">
        <f> Tax!CG$32</f>
        <v>-4089.193195250114</v>
      </c>
      <c r="CH38" s="117">
        <f> Tax!CH$32</f>
        <v>-4122.032620352646</v>
      </c>
      <c r="CI38" s="117">
        <f> Tax!CI$32</f>
        <v>-4154.990138545284</v>
      </c>
      <c r="CJ38" s="117">
        <f> Tax!CJ$32</f>
        <v>-4188.072899697108</v>
      </c>
      <c r="CK38" s="117">
        <f> Tax!CK$32</f>
        <v>-4221.2877930100785</v>
      </c>
      <c r="CL38" s="117">
        <f> Tax!CL$32</f>
        <v>-4254.641460770564</v>
      </c>
      <c r="CM38" s="117">
        <f> Tax!CM$32</f>
        <v>-3677.6817108319674</v>
      </c>
      <c r="CN38" s="117">
        <f> Tax!CN$32</f>
        <v>-5.142960537976725e-13</v>
      </c>
      <c r="CO38" s="117">
        <f> Tax!CO$32</f>
        <v>-5.29189120061567e-13</v>
      </c>
    </row>
    <row r="39" s="396">
      <c r="E39" s="168" t="inlineStr">
        <is>
          <t>Cash flow available for debt service (CFADS)</t>
        </is>
      </c>
      <c r="F39" s="168" t="n"/>
      <c r="G39" s="168" t="inlineStr">
        <is>
          <t>$ 000s</t>
        </is>
      </c>
      <c r="H39" s="168">
        <f> SUM(J39:CO39)</f>
        <v>591529.2767405927</v>
      </c>
      <c r="I39" s="168" t="n"/>
      <c r="J39" s="168">
        <f> J36 + SUM(J38:J38)</f>
        <v>0.0</v>
      </c>
      <c r="K39" s="168">
        <f> K36 + SUM(K38:K38)</f>
        <v>0.0</v>
      </c>
      <c r="L39" s="168">
        <f> L36 + SUM(L38:L38)</f>
        <v>5498.001782667919</v>
      </c>
      <c r="M39" s="168">
        <f> M36 + SUM(M38:M38)</f>
        <v>5698.685260914366</v>
      </c>
      <c r="N39" s="168">
        <f> N36 + SUM(N38:N38)</f>
        <v>5814.807667235052</v>
      </c>
      <c r="O39" s="168">
        <f> O36 + SUM(O38:O38)</f>
        <v>5630.275697687297</v>
      </c>
      <c r="P39" s="168">
        <f> P36 + SUM(P38:P38)</f>
        <v>5742.4285992494815</v>
      </c>
      <c r="Q39" s="168">
        <f> Q36 + SUM(Q38:Q38)</f>
        <v>5576.796199801479</v>
      </c>
      <c r="R39" s="168">
        <f> R36 + SUM(R38:R38)</f>
        <v>5733.681888198695</v>
      </c>
      <c r="S39" s="168">
        <f> S36 + SUM(S38:S38)</f>
        <v>3546.921645638729</v>
      </c>
      <c r="T39" s="168">
        <f> T36 + SUM(T38:T38)</f>
        <v>5859.529963218596</v>
      </c>
      <c r="U39" s="168">
        <f> U36 + SUM(U38:U38)</f>
        <v>5753.423440593838</v>
      </c>
      <c r="V39" s="168">
        <f> V36 + SUM(V38:V38)</f>
        <v>5928.619829065838</v>
      </c>
      <c r="W39" s="168">
        <f> W36 + SUM(W38:W38)</f>
        <v>4733.343827136573</v>
      </c>
      <c r="X39" s="168">
        <f> X36 + SUM(X38:X38)</f>
        <v>5894.259300463952</v>
      </c>
      <c r="Y39" s="168">
        <f> Y36 + SUM(Y38:Y38)</f>
        <v>5718.622906968056</v>
      </c>
      <c r="Z39" s="168">
        <f> Z36 + SUM(Z38:Z38)</f>
        <v>5891.686497116831</v>
      </c>
      <c r="AA39" s="168">
        <f> AA36 + SUM(AA38:AA38)</f>
        <v>4188.620897315466</v>
      </c>
      <c r="AB39" s="168">
        <f> AB36 + SUM(AB38:AB38)</f>
        <v>5870.674271503657</v>
      </c>
      <c r="AC39" s="168">
        <f> AC36 + SUM(AC38:AC38)</f>
        <v>5697.273685416409</v>
      </c>
      <c r="AD39" s="168">
        <f> AD36 + SUM(AD38:AD38)</f>
        <v>6172.616534259255</v>
      </c>
      <c r="AE39" s="168">
        <f> AE36 + SUM(AE38:AE38)</f>
        <v>5140.274473581392</v>
      </c>
      <c r="AF39" s="168">
        <f> AF36 + SUM(AF38:AF38)</f>
        <v>6330.1455472987</v>
      </c>
      <c r="AG39" s="168">
        <f> AG36 + SUM(AG38:AG38)</f>
        <v>6160.673153904522</v>
      </c>
      <c r="AH39" s="168">
        <f> AH36 + SUM(AH38:AH38)</f>
        <v>6365.559413218637</v>
      </c>
      <c r="AI39" s="168">
        <f> AI36 + SUM(AI38:AI38)</f>
        <v>5657.853147505068</v>
      </c>
      <c r="AJ39" s="168">
        <f> AJ36 + SUM(AJ38:AJ38)</f>
        <v>6363.502236978278</v>
      </c>
      <c r="AK39" s="168">
        <f> AK36 + SUM(AK38:AK38)</f>
        <v>6172.625478694768</v>
      </c>
      <c r="AL39" s="168">
        <f> AL36 + SUM(AL38:AL38)</f>
        <v>6397.436003535895</v>
      </c>
      <c r="AM39" s="168">
        <f> AM36 + SUM(AM38:AM38)</f>
        <v>5481.7391250268665</v>
      </c>
      <c r="AN39" s="168">
        <f> AN36 + SUM(AN38:AN38)</f>
        <v>6894.806911470035</v>
      </c>
      <c r="AO39" s="168">
        <f> AO36 + SUM(AO38:AO38)</f>
        <v>6726.955158003132</v>
      </c>
      <c r="AP39" s="168">
        <f> AP36 + SUM(AP38:AP38)</f>
        <v>6961.216831839529</v>
      </c>
      <c r="AQ39" s="168">
        <f> AQ36 + SUM(AQ38:AQ38)</f>
        <v>5743.758111863657</v>
      </c>
      <c r="AR39" s="168">
        <f> AR36 + SUM(AR38:AR38)</f>
        <v>6971.679142438044</v>
      </c>
      <c r="AS39" s="168">
        <f> AS36 + SUM(AS38:AS38)</f>
        <v>6801.317630792549</v>
      </c>
      <c r="AT39" s="168">
        <f> AT36 + SUM(AT38:AT38)</f>
        <v>7044.900478666088</v>
      </c>
      <c r="AU39" s="168">
        <f> AU36 + SUM(AU38:AU38)</f>
        <v>6823.612225305964</v>
      </c>
      <c r="AV39" s="168">
        <f> AV36 + SUM(AV38:AV38)</f>
        <v>7044.459383760724</v>
      </c>
      <c r="AW39" s="168">
        <f> AW36 + SUM(AW38:AW38)</f>
        <v>6871.448144016408</v>
      </c>
      <c r="AX39" s="168">
        <f> AX36 + SUM(AX38:AX38)</f>
        <v>7506.466947081908</v>
      </c>
      <c r="AY39" s="168">
        <f> AY36 + SUM(AY38:AY38)</f>
        <v>7507.217953393893</v>
      </c>
      <c r="AZ39" s="168">
        <f> AZ36 + SUM(AZ38:AZ38)</f>
        <v>7759.8450304382095</v>
      </c>
      <c r="BA39" s="168">
        <f> BA36 + SUM(BA38:BA38)</f>
        <v>7517.18227506947</v>
      </c>
      <c r="BB39" s="168">
        <f> BB36 + SUM(BB38:BB38)</f>
        <v>7765.071855591032</v>
      </c>
      <c r="BC39" s="168">
        <f> BC36 + SUM(BC38:BC38)</f>
        <v>7521.637238564551</v>
      </c>
      <c r="BD39" s="168">
        <f> BD36 + SUM(BD38:BD38)</f>
        <v>7786.862296074629</v>
      </c>
      <c r="BE39" s="168">
        <f> BE36 + SUM(BE38:BE38)</f>
        <v>7627.988950314166</v>
      </c>
      <c r="BF39" s="168">
        <f> BF36 + SUM(BF38:BF38)</f>
        <v>7926.412925883229</v>
      </c>
      <c r="BG39" s="168">
        <f> BG36 + SUM(BG38:BG38)</f>
        <v>7703.404245475238</v>
      </c>
      <c r="BH39" s="168">
        <f> BH36 + SUM(BH38:BH38)</f>
        <v>7569.490087277265</v>
      </c>
      <c r="BI39" s="168">
        <f> BI36 + SUM(BI38:BI38)</f>
        <v>8073.785152795242</v>
      </c>
      <c r="BJ39" s="168">
        <f> BJ36 + SUM(BJ38:BJ38)</f>
        <v>7864.656660041153</v>
      </c>
      <c r="BK39" s="168">
        <f> BK36 + SUM(BK38:BK38)</f>
        <v>8164.350522971761</v>
      </c>
      <c r="BL39" s="168">
        <f> BL36 + SUM(BL38:BL38)</f>
        <v>7920.158988451464</v>
      </c>
      <c r="BM39" s="168">
        <f> BM36 + SUM(BM38:BM38)</f>
        <v>8283.741323993563</v>
      </c>
      <c r="BN39" s="168">
        <f> BN36 + SUM(BN38:BN38)</f>
        <v>8069.951845626139</v>
      </c>
      <c r="BO39" s="168">
        <f> BO36 + SUM(BO38:BO38)</f>
        <v>8380.168750155472</v>
      </c>
      <c r="BP39" s="168">
        <f> BP36 + SUM(BP38:BP38)</f>
        <v>8145.432186534468</v>
      </c>
      <c r="BQ39" s="168">
        <f> BQ36 + SUM(BQ38:BQ38)</f>
        <v>8051.368270145524</v>
      </c>
      <c r="BR39" s="168">
        <f> BR36 + SUM(BR38:BR38)</f>
        <v>8564.966728450932</v>
      </c>
      <c r="BS39" s="168">
        <f> BS36 + SUM(BS38:BS38)</f>
        <v>8326.10105657528</v>
      </c>
      <c r="BT39" s="168">
        <f> BT36 + SUM(BT38:BT38)</f>
        <v>8631.592591488294</v>
      </c>
      <c r="BU39" s="168">
        <f> BU36 + SUM(BU38:BU38)</f>
        <v>8459.408717410737</v>
      </c>
      <c r="BV39" s="168">
        <f> BV36 + SUM(BV38:BV38)</f>
        <v>8801.585533466476</v>
      </c>
      <c r="BW39" s="168">
        <f> BW36 + SUM(BW38:BW38)</f>
        <v>9017.663894454512</v>
      </c>
      <c r="BX39" s="168">
        <f> BX36 + SUM(BX38:BX38)</f>
        <v>9044.339855832266</v>
      </c>
      <c r="BY39" s="168">
        <f> BY36 + SUM(BY38:BY38)</f>
        <v>9161.799265857671</v>
      </c>
      <c r="BZ39" s="168">
        <f> BZ36 + SUM(BZ38:BZ38)</f>
        <v>9225.704544162636</v>
      </c>
      <c r="CA39" s="168">
        <f> CA36 + SUM(CA38:CA38)</f>
        <v>9272.462692519282</v>
      </c>
      <c r="CB39" s="168">
        <f> CB36 + SUM(CB38:CB38)</f>
        <v>9300.72548867681</v>
      </c>
      <c r="CC39" s="168">
        <f> CC36 + SUM(CC38:CC38)</f>
        <v>9422.455909144512</v>
      </c>
      <c r="CD39" s="168">
        <f> CD36 + SUM(CD38:CD38)</f>
        <v>9488.988212533062</v>
      </c>
      <c r="CE39" s="168">
        <f> CE36 + SUM(CE38:CE38)</f>
        <v>9537.823478738128</v>
      </c>
      <c r="CF39" s="168">
        <f> CF36 + SUM(CF38:CF38)</f>
        <v>9586.890103432881</v>
      </c>
      <c r="CG39" s="168">
        <f> CG36 + SUM(CG38:CG38)</f>
        <v>9674.25047865673</v>
      </c>
      <c r="CH39" s="168">
        <f> CH36 + SUM(CH38:CH38)</f>
        <v>9762.672231963468</v>
      </c>
      <c r="CI39" s="168">
        <f> CI36 + SUM(CI38:CI38)</f>
        <v>9813.521837501972</v>
      </c>
      <c r="CJ39" s="168">
        <f> CJ36 + SUM(CJ38:CJ38)</f>
        <v>9844.687529595085</v>
      </c>
      <c r="CK39" s="168">
        <f> CK36 + SUM(CK38:CK38)</f>
        <v>9974.953939736379</v>
      </c>
      <c r="CL39" s="168">
        <f> CL36 + SUM(CL38:CL38)</f>
        <v>10046.604537115036</v>
      </c>
      <c r="CM39" s="168">
        <f> CM36 + SUM(CM38:CM38)</f>
        <v>10709.88562449671</v>
      </c>
      <c r="CN39" s="168">
        <f> CN36 + SUM(CN38:CN38)</f>
        <v>1810.7664905536144</v>
      </c>
      <c r="CO39" s="168">
        <f> CO36 + SUM(CO38:CO38)</f>
        <v>-5.29189120061567e-13</v>
      </c>
    </row>
    <row r="40" customFormat="1" s="169">
      <c r="A40" s="163" t="n"/>
      <c r="B40" s="163" t="n"/>
      <c r="C40" s="172" t="n"/>
      <c r="D40" s="88" t="n"/>
      <c r="E40" s="117" t="str">
        <f>Debt!E$43</f>
        <v>Senior debt - additional drawdown</v>
      </c>
      <c r="F40" s="117">
        <f>Debt!F$43</f>
        <v>0.0</v>
      </c>
      <c r="G40" s="117" t="str">
        <f>Debt!G$43</f>
        <v>$ 000s</v>
      </c>
      <c r="H40" s="117">
        <f> SUM(J40:CO40)</f>
        <v>0.0</v>
      </c>
      <c r="I40" s="117" t="n"/>
      <c r="J40" s="117">
        <f>Debt!J$43</f>
        <v>0.0</v>
      </c>
      <c r="K40" s="117">
        <f>Debt!K$43</f>
        <v>0.0</v>
      </c>
      <c r="L40" s="117">
        <f>Debt!L$43</f>
        <v>0.0</v>
      </c>
      <c r="M40" s="117">
        <f>Debt!M$43</f>
        <v>0.0</v>
      </c>
      <c r="N40" s="117">
        <f>Debt!N$43</f>
        <v>0.0</v>
      </c>
      <c r="O40" s="117">
        <f>Debt!O$43</f>
        <v>0.0</v>
      </c>
      <c r="P40" s="117">
        <f>Debt!P$43</f>
        <v>0.0</v>
      </c>
      <c r="Q40" s="117">
        <f>Debt!Q$43</f>
        <v>0.0</v>
      </c>
      <c r="R40" s="117">
        <f>Debt!R$43</f>
        <v>0.0</v>
      </c>
      <c r="S40" s="117">
        <f>Debt!S$43</f>
        <v>0.0</v>
      </c>
      <c r="T40" s="117">
        <f>Debt!T$43</f>
        <v>0.0</v>
      </c>
      <c r="U40" s="117">
        <f>Debt!U$43</f>
        <v>0.0</v>
      </c>
      <c r="V40" s="117">
        <f>Debt!V$43</f>
        <v>0.0</v>
      </c>
      <c r="W40" s="117">
        <f>Debt!W$43</f>
        <v>0.0</v>
      </c>
      <c r="X40" s="117">
        <f>Debt!X$43</f>
        <v>0.0</v>
      </c>
      <c r="Y40" s="117">
        <f>Debt!Y$43</f>
        <v>0.0</v>
      </c>
      <c r="Z40" s="117">
        <f>Debt!Z$43</f>
        <v>0.0</v>
      </c>
      <c r="AA40" s="117">
        <f>Debt!AA$43</f>
        <v>0.0</v>
      </c>
      <c r="AB40" s="117">
        <f>Debt!AB$43</f>
        <v>0.0</v>
      </c>
      <c r="AC40" s="117">
        <f>Debt!AC$43</f>
        <v>0.0</v>
      </c>
      <c r="AD40" s="117">
        <f>Debt!AD$43</f>
        <v>0.0</v>
      </c>
      <c r="AE40" s="117">
        <f>Debt!AE$43</f>
        <v>0.0</v>
      </c>
      <c r="AF40" s="117">
        <f>Debt!AF$43</f>
        <v>0.0</v>
      </c>
      <c r="AG40" s="117">
        <f>Debt!AG$43</f>
        <v>0.0</v>
      </c>
      <c r="AH40" s="117">
        <f>Debt!AH$43</f>
        <v>0.0</v>
      </c>
      <c r="AI40" s="117">
        <f>Debt!AI$43</f>
        <v>0.0</v>
      </c>
      <c r="AJ40" s="117">
        <f>Debt!AJ$43</f>
        <v>0.0</v>
      </c>
      <c r="AK40" s="117">
        <f>Debt!AK$43</f>
        <v>0.0</v>
      </c>
      <c r="AL40" s="117">
        <f>Debt!AL$43</f>
        <v>0.0</v>
      </c>
      <c r="AM40" s="117">
        <f>Debt!AM$43</f>
        <v>0.0</v>
      </c>
      <c r="AN40" s="117">
        <f>Debt!AN$43</f>
        <v>0.0</v>
      </c>
      <c r="AO40" s="117">
        <f>Debt!AO$43</f>
        <v>0.0</v>
      </c>
      <c r="AP40" s="117">
        <f>Debt!AP$43</f>
        <v>0.0</v>
      </c>
      <c r="AQ40" s="117">
        <f>Debt!AQ$43</f>
        <v>0.0</v>
      </c>
      <c r="AR40" s="117">
        <f>Debt!AR$43</f>
        <v>0.0</v>
      </c>
      <c r="AS40" s="117">
        <f>Debt!AS$43</f>
        <v>0.0</v>
      </c>
      <c r="AT40" s="117">
        <f>Debt!AT$43</f>
        <v>0.0</v>
      </c>
      <c r="AU40" s="117">
        <f>Debt!AU$43</f>
        <v>0.0</v>
      </c>
      <c r="AV40" s="117">
        <f>Debt!AV$43</f>
        <v>0.0</v>
      </c>
      <c r="AW40" s="117">
        <f>Debt!AW$43</f>
        <v>0.0</v>
      </c>
      <c r="AX40" s="117">
        <f>Debt!AX$43</f>
        <v>0.0</v>
      </c>
      <c r="AY40" s="117">
        <f>Debt!AY$43</f>
        <v>0.0</v>
      </c>
      <c r="AZ40" s="117">
        <f>Debt!AZ$43</f>
        <v>0.0</v>
      </c>
      <c r="BA40" s="117">
        <f>Debt!BA$43</f>
        <v>0.0</v>
      </c>
      <c r="BB40" s="117">
        <f>Debt!BB$43</f>
        <v>0.0</v>
      </c>
      <c r="BC40" s="117">
        <f>Debt!BC$43</f>
        <v>0.0</v>
      </c>
      <c r="BD40" s="117">
        <f>Debt!BD$43</f>
        <v>0.0</v>
      </c>
      <c r="BE40" s="117">
        <f>Debt!BE$43</f>
        <v>0.0</v>
      </c>
      <c r="BF40" s="117">
        <f>Debt!BF$43</f>
        <v>0.0</v>
      </c>
      <c r="BG40" s="117">
        <f>Debt!BG$43</f>
        <v>0.0</v>
      </c>
      <c r="BH40" s="117">
        <f>Debt!BH$43</f>
        <v>0.0</v>
      </c>
      <c r="BI40" s="117">
        <f>Debt!BI$43</f>
        <v>0.0</v>
      </c>
      <c r="BJ40" s="117">
        <f>Debt!BJ$43</f>
        <v>0.0</v>
      </c>
      <c r="BK40" s="117">
        <f>Debt!BK$43</f>
        <v>0.0</v>
      </c>
      <c r="BL40" s="117">
        <f>Debt!BL$43</f>
        <v>0.0</v>
      </c>
      <c r="BM40" s="117">
        <f>Debt!BM$43</f>
        <v>0.0</v>
      </c>
      <c r="BN40" s="117">
        <f>Debt!BN$43</f>
        <v>0.0</v>
      </c>
      <c r="BO40" s="117">
        <f>Debt!BO$43</f>
        <v>0.0</v>
      </c>
      <c r="BP40" s="117">
        <f>Debt!BP$43</f>
        <v>0.0</v>
      </c>
      <c r="BQ40" s="117">
        <f>Debt!BQ$43</f>
        <v>0.0</v>
      </c>
      <c r="BR40" s="117">
        <f>Debt!BR$43</f>
        <v>0.0</v>
      </c>
      <c r="BS40" s="117">
        <f>Debt!BS$43</f>
        <v>0.0</v>
      </c>
      <c r="BT40" s="117">
        <f>Debt!BT$43</f>
        <v>0.0</v>
      </c>
      <c r="BU40" s="117">
        <f>Debt!BU$43</f>
        <v>0.0</v>
      </c>
      <c r="BV40" s="117">
        <f>Debt!BV$43</f>
        <v>0.0</v>
      </c>
      <c r="BW40" s="117">
        <f>Debt!BW$43</f>
        <v>0.0</v>
      </c>
      <c r="BX40" s="117">
        <f>Debt!BX$43</f>
        <v>0.0</v>
      </c>
      <c r="BY40" s="117">
        <f>Debt!BY$43</f>
        <v>0.0</v>
      </c>
      <c r="BZ40" s="117">
        <f>Debt!BZ$43</f>
        <v>0.0</v>
      </c>
      <c r="CA40" s="117">
        <f>Debt!CA$43</f>
        <v>0.0</v>
      </c>
      <c r="CB40" s="117">
        <f>Debt!CB$43</f>
        <v>0.0</v>
      </c>
      <c r="CC40" s="117">
        <f>Debt!CC$43</f>
        <v>0.0</v>
      </c>
      <c r="CD40" s="117">
        <f>Debt!CD$43</f>
        <v>0.0</v>
      </c>
      <c r="CE40" s="117">
        <f>Debt!CE$43</f>
        <v>0.0</v>
      </c>
      <c r="CF40" s="117">
        <f>Debt!CF$43</f>
        <v>0.0</v>
      </c>
      <c r="CG40" s="117">
        <f>Debt!CG$43</f>
        <v>0.0</v>
      </c>
      <c r="CH40" s="117">
        <f>Debt!CH$43</f>
        <v>0.0</v>
      </c>
      <c r="CI40" s="117">
        <f>Debt!CI$43</f>
        <v>0.0</v>
      </c>
      <c r="CJ40" s="117">
        <f>Debt!CJ$43</f>
        <v>0.0</v>
      </c>
      <c r="CK40" s="117">
        <f>Debt!CK$43</f>
        <v>0.0</v>
      </c>
      <c r="CL40" s="117">
        <f>Debt!CL$43</f>
        <v>0.0</v>
      </c>
      <c r="CM40" s="117">
        <f>Debt!CM$43</f>
        <v>0.0</v>
      </c>
      <c r="CN40" s="117">
        <f>Debt!CN$43</f>
        <v>0.0</v>
      </c>
      <c r="CO40" s="117">
        <f>Debt!CO$43</f>
        <v>0.0</v>
      </c>
    </row>
    <row r="41" customFormat="1" s="169">
      <c r="A41" s="163" t="n"/>
      <c r="B41" s="163" t="n"/>
      <c r="C41" s="172" t="n"/>
      <c r="D41" s="88" t="n"/>
      <c r="E41" s="117" t="str">
        <f> Debt!E$34</f>
        <v>Senior debt interest payment</v>
      </c>
      <c r="F41" s="117" t="str">
        <f> Debt!F$34</f>
        <v>IS&amp;CF</v>
      </c>
      <c r="G41" s="117" t="str">
        <f> Debt!G$34</f>
        <v>$ 000s</v>
      </c>
      <c r="H41" s="117">
        <f> Debt!H$34</f>
        <v>-29083.355014702807</v>
      </c>
      <c r="I41" s="117">
        <f> Debt!I$34</f>
        <v>0.0</v>
      </c>
      <c r="J41" s="117">
        <f> Debt!J$34</f>
        <v>-0.0</v>
      </c>
      <c r="K41" s="117">
        <f> Debt!K$34</f>
        <v>-0.0</v>
      </c>
      <c r="L41" s="117">
        <f> Debt!L$34</f>
        <v>-1172.5061523810696</v>
      </c>
      <c r="M41" s="117">
        <f> Debt!M$34</f>
        <v>-1168.16872684855</v>
      </c>
      <c r="N41" s="117">
        <f> Debt!N$34</f>
        <v>-1161.921355997456</v>
      </c>
      <c r="O41" s="117">
        <f> Debt!O$34</f>
        <v>-1141.8729947377</v>
      </c>
      <c r="P41" s="117">
        <f> Debt!P$34</f>
        <v>-1098.4006483504595</v>
      </c>
      <c r="Q41" s="117">
        <f> Debt!Q$34</f>
        <v>-1090.098721801514</v>
      </c>
      <c r="R41" s="117">
        <f> Debt!R$34</f>
        <v>-1082.423571002716</v>
      </c>
      <c r="S41" s="117">
        <f> Debt!S$34</f>
        <v>-1061.4775189222844</v>
      </c>
      <c r="T41" s="117">
        <f> Debt!T$34</f>
        <v>-1044.8000487389338</v>
      </c>
      <c r="U41" s="117">
        <f> Debt!U$34</f>
        <v>-1022.45124974835</v>
      </c>
      <c r="V41" s="117">
        <f> Debt!V$34</f>
        <v>-1011.455205072476</v>
      </c>
      <c r="W41" s="117">
        <f> Debt!W$34</f>
        <v>-987.7339363272841</v>
      </c>
      <c r="X41" s="117">
        <f> Debt!X$34</f>
        <v>-951.2515526641741</v>
      </c>
      <c r="Y41" s="117">
        <f> Debt!Y$34</f>
        <v>-937.4657902431668</v>
      </c>
      <c r="Z41" s="117">
        <f> Debt!Z$34</f>
        <v>-924.1928319115848</v>
      </c>
      <c r="AA41" s="117">
        <f> Debt!AA$34</f>
        <v>-899.1014364956827</v>
      </c>
      <c r="AB41" s="117">
        <f> Debt!AB$34</f>
        <v>-866.8476411506488</v>
      </c>
      <c r="AC41" s="117">
        <f> Debt!AC$34</f>
        <v>-850.724576191792</v>
      </c>
      <c r="AD41" s="117">
        <f> Debt!AD$34</f>
        <v>-835.0230492759346</v>
      </c>
      <c r="AE41" s="117">
        <f> Debt!AE$34</f>
        <v>-806.1789234433378</v>
      </c>
      <c r="AF41" s="117">
        <f> Debt!AF$34</f>
        <v>-767.3608061747975</v>
      </c>
      <c r="AG41" s="117">
        <f> Debt!AG$34</f>
        <v>-744.9244832964843</v>
      </c>
      <c r="AH41" s="117">
        <f> Debt!AH$34</f>
        <v>-722.6473865920761</v>
      </c>
      <c r="AI41" s="117">
        <f> Debt!AI$34</f>
        <v>-690.2632423688086</v>
      </c>
      <c r="AJ41" s="117">
        <f> Debt!AJ$34</f>
        <v>-655.2932068007933</v>
      </c>
      <c r="AK41" s="117">
        <f> Debt!AK$34</f>
        <v>-622.0110435226146</v>
      </c>
      <c r="AL41" s="117">
        <f> Debt!AL$34</f>
        <v>-595.9810497452943</v>
      </c>
      <c r="AM41" s="117">
        <f> Debt!AM$34</f>
        <v>-560.976958632306</v>
      </c>
      <c r="AN41" s="117">
        <f> Debt!AN$34</f>
        <v>-520.5073824139486</v>
      </c>
      <c r="AO41" s="117">
        <f> Debt!AO$34</f>
        <v>-486.6080907864231</v>
      </c>
      <c r="AP41" s="117">
        <f> Debt!AP$34</f>
        <v>-452.448607895098</v>
      </c>
      <c r="AQ41" s="117">
        <f> Debt!AQ$34</f>
        <v>-410.5801518944192</v>
      </c>
      <c r="AR41" s="117">
        <f> Debt!AR$34</f>
        <v>-368.7179042679119</v>
      </c>
      <c r="AS41" s="117">
        <f> Debt!AS$34</f>
        <v>-329.7441889419465</v>
      </c>
      <c r="AT41" s="117">
        <f> Debt!AT$34</f>
        <v>-290.3588216915634</v>
      </c>
      <c r="AU41" s="117">
        <f> Debt!AU$34</f>
        <v>-244.82106277997036</v>
      </c>
      <c r="AV41" s="117">
        <f> Debt!AV$34</f>
        <v>-195.71059734642063</v>
      </c>
      <c r="AW41" s="117">
        <f> Debt!AW$34</f>
        <v>-151.061482820652</v>
      </c>
      <c r="AX41" s="117">
        <f> Debt!AX$34</f>
        <v>-105.83094829394302</v>
      </c>
      <c r="AY41" s="117">
        <f> Debt!AY$34</f>
        <v>-53.411667132267425</v>
      </c>
      <c r="AZ41" s="117">
        <f> Debt!AZ$34</f>
        <v>8.293644289854759e-13</v>
      </c>
      <c r="BA41" s="117">
        <f> Debt!BA$34</f>
        <v>8.45446647911047e-13</v>
      </c>
      <c r="BB41" s="117">
        <f> Debt!BB$34</f>
        <v>8.712633605471219e-13</v>
      </c>
      <c r="BC41" s="117">
        <f> Debt!BC$34</f>
        <v>8.882455727841483e-13</v>
      </c>
      <c r="BD41" s="117">
        <f> Debt!BD$34</f>
        <v>8.858248810782617e-13</v>
      </c>
      <c r="BE41" s="117">
        <f> Debt!BE$34</f>
        <v>9.126502939520154e-13</v>
      </c>
      <c r="BF41" s="117">
        <f> Debt!BF$34</f>
        <v>9.403218354243942e-13</v>
      </c>
      <c r="BG41" s="117">
        <f> Debt!BG$34</f>
        <v>9.584511856607709e-13</v>
      </c>
      <c r="BH41" s="117">
        <f> Debt!BH$34</f>
        <v>9.556451261885508e-13</v>
      </c>
      <c r="BI41" s="117">
        <f> Debt!BI$34</f>
        <v>9.84393504979717e-13</v>
      </c>
      <c r="BJ41" s="117">
        <f> Debt!BJ$34</f>
        <v>1.0140451678363153e-12</v>
      </c>
      <c r="BK41" s="117">
        <f> Debt!BK$34</f>
        <v>1.033399144538868e-12</v>
      </c>
      <c r="BL41" s="117">
        <f> Debt!BL$34</f>
        <v>1.0301816859445451e-12</v>
      </c>
      <c r="BM41" s="117">
        <f> Debt!BM$34</f>
        <v>1.0609829258189909e-12</v>
      </c>
      <c r="BN41" s="117">
        <f> Debt!BN$34</f>
        <v>1.092748466042331e-12</v>
      </c>
      <c r="BO41" s="117">
        <f> Debt!BO$34</f>
        <v>1.1134097919761945e-12</v>
      </c>
      <c r="BP41" s="117">
        <f> Debt!BP$34</f>
        <v>1.1220837349963825e-12</v>
      </c>
      <c r="BQ41" s="117">
        <f> Debt!BQ$34</f>
        <v>1.1429754947415495e-12</v>
      </c>
      <c r="BR41" s="117">
        <f> Debt!BR$34</f>
        <v>1.1770040398784547e-12</v>
      </c>
      <c r="BS41" s="117">
        <f> Debt!BS$34</f>
        <v>1.1990649445110405e-12</v>
      </c>
      <c r="BT41" s="117">
        <f> Debt!BT$34</f>
        <v>1.1949381247320879e-12</v>
      </c>
      <c r="BU41" s="117">
        <f> Debt!BU$34</f>
        <v>1.2302770315248071e-12</v>
      </c>
      <c r="BV41" s="117">
        <f> Debt!BV$34</f>
        <v>1.2667151097364587e-12</v>
      </c>
      <c r="BW41" s="117">
        <f> Debt!BW$34</f>
        <v>1.2902662149183525e-12</v>
      </c>
      <c r="BX41" s="117">
        <f> Debt!BX$34</f>
        <v>1.2856387794703161e-12</v>
      </c>
      <c r="BY41" s="117">
        <f> Debt!BY$34</f>
        <v>1.3234757334622841e-12</v>
      </c>
      <c r="BZ41" s="117">
        <f> Debt!BZ$34</f>
        <v>1.3624861072269829e-12</v>
      </c>
      <c r="CA41" s="117">
        <f> Debt!CA$34</f>
        <v>1.3876280750894138e-12</v>
      </c>
      <c r="CB41" s="117">
        <f> Debt!CB$34</f>
        <v>1.3824662076915255e-12</v>
      </c>
      <c r="CC41" s="117">
        <f> Debt!CC$34</f>
        <v>1.4229699504357526e-12</v>
      </c>
      <c r="CD41" s="117">
        <f> Debt!CD$34</f>
        <v>1.464726376737175e-12</v>
      </c>
      <c r="CE41" s="117">
        <f> Debt!CE$34</f>
        <v>1.4915666690764695e-12</v>
      </c>
      <c r="CF41" s="117">
        <f> Debt!CF$34</f>
        <v>1.5023435388365228e-12</v>
      </c>
      <c r="CG41" s="117">
        <f> Debt!CG$34</f>
        <v>1.5294831784142299e-12</v>
      </c>
      <c r="CH41" s="117">
        <f> Debt!CH$34</f>
        <v>1.5741793828131364e-12</v>
      </c>
      <c r="CI41" s="117">
        <f> Debt!CI$34</f>
        <v>1.6028378111978039e-12</v>
      </c>
      <c r="CJ41" s="117">
        <f> Debt!CJ$34</f>
        <v>1.5964946294875815e-12</v>
      </c>
      <c r="CK41" s="117">
        <f> Debt!CK$34</f>
        <v>1.6428930716821085e-12</v>
      </c>
      <c r="CL41" s="117">
        <f> Debt!CL$34</f>
        <v>1.69071940298257e-12</v>
      </c>
      <c r="CM41" s="117">
        <f> Debt!CM$34</f>
        <v>1.7213136905911632e-12</v>
      </c>
      <c r="CN41" s="117">
        <f> Debt!CN$34</f>
        <v>1.7143201793255752e-12</v>
      </c>
      <c r="CO41" s="117">
        <f> Debt!CO$34</f>
        <v>1.7639637335385567e-12</v>
      </c>
    </row>
    <row r="42" s="396">
      <c r="A42" s="163" t="n"/>
      <c r="B42" s="163" t="n"/>
      <c r="C42" s="172" t="n"/>
      <c r="D42" s="88" t="n"/>
      <c r="E42" s="117" t="str">
        <f> Debt!E$23</f>
        <v>Senior debt principal repayment</v>
      </c>
      <c r="F42" s="117" t="str">
        <f> Debt!F$23</f>
        <v>CF</v>
      </c>
      <c r="G42" s="117" t="str">
        <f> Debt!G$23</f>
        <v>$ 000s</v>
      </c>
      <c r="H42" s="117">
        <f> Debt!H$23</f>
        <v>-72154.22476191209</v>
      </c>
      <c r="I42" s="117">
        <f> Debt!I$23</f>
        <v>0.0</v>
      </c>
      <c r="J42" s="117">
        <f> Debt!J$23</f>
        <v>-0.0</v>
      </c>
      <c r="K42" s="117">
        <f> Debt!K$23</f>
        <v>-0.0</v>
      </c>
      <c r="L42" s="117">
        <f> Debt!L$23</f>
        <v>-1056.888892853977</v>
      </c>
      <c r="M42" s="117">
        <f> Debt!M$23</f>
        <v>-1148.893033090748</v>
      </c>
      <c r="N42" s="117">
        <f> Debt!N$23</f>
        <v>-1206.9247581123955</v>
      </c>
      <c r="O42" s="117">
        <f> Debt!O$23</f>
        <v>-1147.6320255188957</v>
      </c>
      <c r="P42" s="117">
        <f> Debt!P$23</f>
        <v>-1248.063592734087</v>
      </c>
      <c r="Q42" s="117">
        <f> Debt!Q$23</f>
        <v>-1183.1994560938842</v>
      </c>
      <c r="R42" s="117">
        <f> Debt!R$23</f>
        <v>-1260.966345979165</v>
      </c>
      <c r="S42" s="117">
        <f> Debt!S$23</f>
        <v>-312.8117638659016</v>
      </c>
      <c r="T42" s="117">
        <f> Debt!T$23</f>
        <v>-1360.1974026390815</v>
      </c>
      <c r="U42" s="117">
        <f> Debt!U$23</f>
        <v>-1338.3675869951842</v>
      </c>
      <c r="V42" s="117">
        <f> Debt!V$23</f>
        <v>-1428.036245529944</v>
      </c>
      <c r="W42" s="117">
        <f> Debt!W$23</f>
        <v>-923.6865714726051</v>
      </c>
      <c r="X42" s="117">
        <f> Debt!X$23</f>
        <v>-1482.3128794960858</v>
      </c>
      <c r="Y42" s="117">
        <f> Debt!Y$23</f>
        <v>-1419.2175372673782</v>
      </c>
      <c r="Z42" s="117">
        <f> Debt!Z$23</f>
        <v>-1510.5187875793956</v>
      </c>
      <c r="AA42" s="117">
        <f> Debt!AA$23</f>
        <v>-782.0376580279303</v>
      </c>
      <c r="AB42" s="117">
        <f> Debt!AB$23</f>
        <v>-1567.4884107846167</v>
      </c>
      <c r="AC42" s="117">
        <f> Debt!AC$23</f>
        <v>-1508.0357036137598</v>
      </c>
      <c r="AD42" s="117">
        <f> Debt!AD$23</f>
        <v>-1736.4356688519858</v>
      </c>
      <c r="AE42" s="117">
        <f> Debt!AE$23</f>
        <v>-1310.3069844943284</v>
      </c>
      <c r="AF42" s="117">
        <f> Debt!AF$23</f>
        <v>-1884.4496129994875</v>
      </c>
      <c r="AG42" s="117">
        <f> Debt!AG$23</f>
        <v>-1833.897794889823</v>
      </c>
      <c r="AH42" s="117">
        <f> Debt!AH$23</f>
        <v>-1949.547143875639</v>
      </c>
      <c r="AI42" s="117">
        <f> Debt!AI$23</f>
        <v>-1671.7130559004256</v>
      </c>
      <c r="AJ42" s="117">
        <f> Debt!AJ$23</f>
        <v>-2025.6261673954964</v>
      </c>
      <c r="AK42" s="117">
        <f> Debt!AK$23</f>
        <v>-1978.5118376514288</v>
      </c>
      <c r="AL42" s="117">
        <f> Debt!AL$23</f>
        <v>-2107.2696991096614</v>
      </c>
      <c r="AM42" s="117">
        <f> Debt!AM$23</f>
        <v>-1739.9646119225959</v>
      </c>
      <c r="AN42" s="117">
        <f> Debt!AN$23</f>
        <v>-2415.177432893484</v>
      </c>
      <c r="AO42" s="117">
        <f> Debt!AO$23</f>
        <v>-2378.3372637783823</v>
      </c>
      <c r="AP42" s="117">
        <f> Debt!AP$23</f>
        <v>-2520.5090568970522</v>
      </c>
      <c r="AQ42" s="117">
        <f> Debt!AQ$23</f>
        <v>-2026.8672092641057</v>
      </c>
      <c r="AR42" s="117">
        <f> Debt!AR$23</f>
        <v>-2621.3709441114406</v>
      </c>
      <c r="AS42" s="117">
        <f> Debt!AS$23</f>
        <v>-2589.1663404418628</v>
      </c>
      <c r="AT42" s="117">
        <f> Debt!AT$23</f>
        <v>-2741.403546517306</v>
      </c>
      <c r="AU42" s="117">
        <f> Debt!AU$23</f>
        <v>-2694.662671790391</v>
      </c>
      <c r="AV42" s="117">
        <f> Debt!AV$23</f>
        <v>-2849.792665876988</v>
      </c>
      <c r="AW42" s="117">
        <f> Debt!AW$23</f>
        <v>-2822.842524367711</v>
      </c>
      <c r="AX42" s="117">
        <f> Debt!AX$23</f>
        <v>-3155.675788997193</v>
      </c>
      <c r="AY42" s="117">
        <f> Debt!AY$23</f>
        <v>-3215.4180882301966</v>
      </c>
      <c r="AZ42" s="117">
        <f> Debt!AZ$23</f>
        <v>-9.78799461235101e-13</v>
      </c>
      <c r="BA42" s="117">
        <f> Debt!BA$23</f>
        <v>-9.948816801606723e-13</v>
      </c>
      <c r="BB42" s="117">
        <f> Debt!BB$23</f>
        <v>-1.0223405360082815e-12</v>
      </c>
      <c r="BC42" s="117">
        <f> Debt!BC$23</f>
        <v>-1.0393227482453078e-12</v>
      </c>
      <c r="BD42" s="117">
        <f> Debt!BD$23</f>
        <v>-1.0336177701163526e-12</v>
      </c>
      <c r="BE42" s="117">
        <f> Debt!BE$23</f>
        <v>-1.0620853262016405e-12</v>
      </c>
      <c r="BF42" s="117">
        <f> Debt!BF$23</f>
        <v>-1.0913990108855535e-12</v>
      </c>
      <c r="BG42" s="117">
        <f> Debt!BG$23</f>
        <v>-1.1095283611219301e-12</v>
      </c>
      <c r="BH42" s="117">
        <f> Debt!BH$23</f>
        <v>-1.1034380152266412e-12</v>
      </c>
      <c r="BI42" s="117">
        <f> Debt!BI$23</f>
        <v>-1.1338285372293419e-12</v>
      </c>
      <c r="BJ42" s="117">
        <f> Debt!BJ$23</f>
        <v>-1.1651223432974744e-12</v>
      </c>
      <c r="BK42" s="117">
        <f> Debt!BK$23</f>
        <v>-1.1844763200000271e-12</v>
      </c>
      <c r="BL42" s="117">
        <f> Debt!BL$23</f>
        <v>-1.1779745749826358e-12</v>
      </c>
      <c r="BM42" s="117">
        <f> Debt!BM$23</f>
        <v>-1.210417958068616e-12</v>
      </c>
      <c r="BN42" s="117">
        <f> Debt!BN$23</f>
        <v>-1.24382564150349e-12</v>
      </c>
      <c r="BO42" s="117">
        <f> Debt!BO$23</f>
        <v>-1.2644869674373535e-12</v>
      </c>
      <c r="BP42" s="117">
        <f> Debt!BP$23</f>
        <v>-1.2715187672460072e-12</v>
      </c>
      <c r="BQ42" s="117">
        <f> Debt!BQ$23</f>
        <v>-1.2924105269911742e-12</v>
      </c>
      <c r="BR42" s="117">
        <f> Debt!BR$23</f>
        <v>-1.3280812153396137e-12</v>
      </c>
      <c r="BS42" s="117">
        <f> Debt!BS$23</f>
        <v>-1.3501421199721997e-12</v>
      </c>
      <c r="BT42" s="117">
        <f> Debt!BT$23</f>
        <v>-1.3427310137701783e-12</v>
      </c>
      <c r="BU42" s="117">
        <f> Debt!BU$23</f>
        <v>-1.379712063774432e-12</v>
      </c>
      <c r="BV42" s="117">
        <f> Debt!BV$23</f>
        <v>-1.4177922851976178e-12</v>
      </c>
      <c r="BW42" s="117">
        <f> Debt!BW$23</f>
        <v>-1.4413433903795116e-12</v>
      </c>
      <c r="BX42" s="117">
        <f> Debt!BX$23</f>
        <v>-1.4334316685084066e-12</v>
      </c>
      <c r="BY42" s="117">
        <f> Debt!BY$23</f>
        <v>-1.472910765711909e-12</v>
      </c>
      <c r="BZ42" s="117">
        <f> Debt!BZ$23</f>
        <v>-1.513563282688142e-12</v>
      </c>
      <c r="CA42" s="117">
        <f> Debt!CA$23</f>
        <v>-1.5387052505505726e-12</v>
      </c>
      <c r="CB42" s="117">
        <f> Debt!CB$23</f>
        <v>-1.530259096729616e-12</v>
      </c>
      <c r="CC42" s="117">
        <f> Debt!CC$23</f>
        <v>-1.5724049826853774e-12</v>
      </c>
      <c r="CD42" s="117">
        <f> Debt!CD$23</f>
        <v>-1.6158035521983341e-12</v>
      </c>
      <c r="CE42" s="117">
        <f> Debt!CE$23</f>
        <v>-1.6426438445376286e-12</v>
      </c>
      <c r="CF42" s="117">
        <f> Debt!CF$23</f>
        <v>-1.6517785710861471e-12</v>
      </c>
      <c r="CG42" s="117">
        <f> Debt!CG$23</f>
        <v>-1.6789182106638544e-12</v>
      </c>
      <c r="CH42" s="117">
        <f> Debt!CH$23</f>
        <v>-1.7252565582742954e-12</v>
      </c>
      <c r="CI42" s="117">
        <f> Debt!CI$23</f>
        <v>-1.7539149866589627e-12</v>
      </c>
      <c r="CJ42" s="117">
        <f> Debt!CJ$23</f>
        <v>-1.744287518525672e-12</v>
      </c>
      <c r="CK42" s="117">
        <f> Debt!CK$23</f>
        <v>-1.792328103931733e-12</v>
      </c>
      <c r="CL42" s="117">
        <f> Debt!CL$23</f>
        <v>-1.841796578443729e-12</v>
      </c>
      <c r="CM42" s="117">
        <f> Debt!CM$23</f>
        <v>-1.8723908660523222e-12</v>
      </c>
      <c r="CN42" s="117">
        <f> Debt!CN$23</f>
        <v>-1.862113068363665e-12</v>
      </c>
      <c r="CO42" s="117">
        <f> Debt!CO$23</f>
        <v>-1.913398765788181e-12</v>
      </c>
    </row>
    <row r="43">
      <c r="E43" s="168" t="inlineStr">
        <is>
          <t>Cash flow available to shareholders</t>
        </is>
      </c>
      <c r="F43" s="168" t="n"/>
      <c r="G43" s="168" t="inlineStr">
        <is>
          <t>$ 000s</t>
        </is>
      </c>
      <c r="H43" s="168">
        <f> SUM(J43:CO43)</f>
        <v>490291.69696397777</v>
      </c>
      <c r="I43" s="168" t="n"/>
      <c r="J43" s="168">
        <f>J39+SUM(J40:J42)</f>
        <v>0.0</v>
      </c>
      <c r="K43" s="168">
        <f>K39+SUM(K40:K42)</f>
        <v>0.0</v>
      </c>
      <c r="L43" s="168">
        <f>L39+SUM(L40:L42)</f>
        <v>3268.6067374328723</v>
      </c>
      <c r="M43" s="168">
        <f>M39+SUM(M40:M42)</f>
        <v>3381.623500975068</v>
      </c>
      <c r="N43" s="168">
        <f>N39+SUM(N40:N42)</f>
        <v>3445.9615531252</v>
      </c>
      <c r="O43" s="168">
        <f>O39+SUM(O40:O42)</f>
        <v>3340.770677430701</v>
      </c>
      <c r="P43" s="168">
        <f>P39+SUM(P40:P42)</f>
        <v>3395.964358164935</v>
      </c>
      <c r="Q43" s="168">
        <f>Q39+SUM(Q40:Q42)</f>
        <v>3303.498021906081</v>
      </c>
      <c r="R43" s="168">
        <f>R39+SUM(R40:R42)</f>
        <v>3390.2919712168136</v>
      </c>
      <c r="S43" s="168">
        <f>S39+SUM(S40:S42)</f>
        <v>2172.632362850543</v>
      </c>
      <c r="T43" s="168">
        <f>T39+SUM(T40:T42)</f>
        <v>3454.532511840581</v>
      </c>
      <c r="U43" s="168">
        <f>U39+SUM(U40:U42)</f>
        <v>3392.6046038503036</v>
      </c>
      <c r="V43" s="168">
        <f>V39+SUM(V40:V42)</f>
        <v>3489.128378463418</v>
      </c>
      <c r="W43" s="168">
        <f>W39+SUM(W40:W42)</f>
        <v>2821.9233193366836</v>
      </c>
      <c r="X43" s="168">
        <f>X39+SUM(X40:X42)</f>
        <v>3460.694868303692</v>
      </c>
      <c r="Y43" s="168">
        <f>Y39+SUM(Y40:Y42)</f>
        <v>3361.9395794575107</v>
      </c>
      <c r="Z43" s="168">
        <f>Z39+SUM(Z40:Z42)</f>
        <v>3456.9748776258502</v>
      </c>
      <c r="AA43" s="168">
        <f>AA39+SUM(AA40:AA42)</f>
        <v>2507.481802791853</v>
      </c>
      <c r="AB43" s="168">
        <f>AB39+SUM(AB40:AB42)</f>
        <v>3436.3382195683917</v>
      </c>
      <c r="AC43" s="168">
        <f>AC39+SUM(AC40:AC42)</f>
        <v>3338.513405610857</v>
      </c>
      <c r="AD43" s="168">
        <f>AD39+SUM(AD40:AD42)</f>
        <v>3601.1578161313346</v>
      </c>
      <c r="AE43" s="168">
        <f>AE39+SUM(AE40:AE42)</f>
        <v>3023.788565643726</v>
      </c>
      <c r="AF43" s="168">
        <f>AF39+SUM(AF40:AF42)</f>
        <v>3678.335128124415</v>
      </c>
      <c r="AG43" s="168">
        <f>AG39+SUM(AG40:AG42)</f>
        <v>3581.850875718215</v>
      </c>
      <c r="AH43" s="168">
        <f>AH39+SUM(AH40:AH42)</f>
        <v>3693.364882750922</v>
      </c>
      <c r="AI43" s="168">
        <f>AI39+SUM(AI40:AI42)</f>
        <v>3295.8768492358336</v>
      </c>
      <c r="AJ43" s="168">
        <f>AJ39+SUM(AJ40:AJ42)</f>
        <v>3682.5828627819883</v>
      </c>
      <c r="AK43" s="168">
        <f>AK39+SUM(AK40:AK42)</f>
        <v>3572.102597520725</v>
      </c>
      <c r="AL43" s="168">
        <f>AL39+SUM(AL40:AL42)</f>
        <v>3694.1852546809396</v>
      </c>
      <c r="AM43" s="168">
        <f>AM39+SUM(AM40:AM42)</f>
        <v>3180.7975544719648</v>
      </c>
      <c r="AN43" s="168">
        <f>AN39+SUM(AN40:AN42)</f>
        <v>3959.1220961626022</v>
      </c>
      <c r="AO43" s="168">
        <f>AO39+SUM(AO40:AO42)</f>
        <v>3862.009803438327</v>
      </c>
      <c r="AP43" s="168">
        <f>AP39+SUM(AP40:AP42)</f>
        <v>3988.2591670473785</v>
      </c>
      <c r="AQ43" s="168">
        <f>AQ39+SUM(AQ40:AQ42)</f>
        <v>3306.3107507051323</v>
      </c>
      <c r="AR43" s="168">
        <f>AR39+SUM(AR40:AR42)</f>
        <v>3981.590294058692</v>
      </c>
      <c r="AS43" s="168">
        <f>AS39+SUM(AS40:AS42)</f>
        <v>3882.4071014087394</v>
      </c>
      <c r="AT43" s="168">
        <f>AT39+SUM(AT40:AT42)</f>
        <v>4013.1381104572188</v>
      </c>
      <c r="AU43" s="168">
        <f>AU39+SUM(AU40:AU42)</f>
        <v>3884.1284907356026</v>
      </c>
      <c r="AV43" s="168">
        <f>AV39+SUM(AV40:AV42)</f>
        <v>3998.9561205373157</v>
      </c>
      <c r="AW43" s="168">
        <f>AW39+SUM(AW40:AW42)</f>
        <v>3897.544136828045</v>
      </c>
      <c r="AX43" s="168">
        <f>AX39+SUM(AX40:AX42)</f>
        <v>4244.960209790772</v>
      </c>
      <c r="AY43" s="168">
        <f>AY39+SUM(AY40:AY42)</f>
        <v>4238.388198031429</v>
      </c>
      <c r="AZ43" s="168">
        <f>AZ39+SUM(AZ40:AZ42)</f>
        <v>7759.8450304382095</v>
      </c>
      <c r="BA43" s="168">
        <f>BA39+SUM(BA40:BA42)</f>
        <v>7517.18227506947</v>
      </c>
      <c r="BB43" s="168">
        <f>BB39+SUM(BB40:BB42)</f>
        <v>7765.071855591032</v>
      </c>
      <c r="BC43" s="168">
        <f>BC39+SUM(BC40:BC42)</f>
        <v>7521.637238564551</v>
      </c>
      <c r="BD43" s="168">
        <f>BD39+SUM(BD40:BD42)</f>
        <v>7786.862296074629</v>
      </c>
      <c r="BE43" s="168">
        <f>BE39+SUM(BE40:BE42)</f>
        <v>7627.988950314166</v>
      </c>
      <c r="BF43" s="168">
        <f>BF39+SUM(BF40:BF42)</f>
        <v>7926.412925883229</v>
      </c>
      <c r="BG43" s="168">
        <f>BG39+SUM(BG40:BG42)</f>
        <v>7703.404245475238</v>
      </c>
      <c r="BH43" s="168">
        <f>BH39+SUM(BH40:BH42)</f>
        <v>7569.490087277265</v>
      </c>
      <c r="BI43" s="168">
        <f>BI39+SUM(BI40:BI42)</f>
        <v>8073.785152795242</v>
      </c>
      <c r="BJ43" s="168">
        <f>BJ39+SUM(BJ40:BJ42)</f>
        <v>7864.656660041153</v>
      </c>
      <c r="BK43" s="168">
        <f>BK39+SUM(BK40:BK42)</f>
        <v>8164.350522971761</v>
      </c>
      <c r="BL43" s="168">
        <f>BL39+SUM(BL40:BL42)</f>
        <v>7920.158988451464</v>
      </c>
      <c r="BM43" s="168">
        <f>BM39+SUM(BM40:BM42)</f>
        <v>8283.741323993563</v>
      </c>
      <c r="BN43" s="168">
        <f>BN39+SUM(BN40:BN42)</f>
        <v>8069.951845626139</v>
      </c>
      <c r="BO43" s="168">
        <f>BO39+SUM(BO40:BO42)</f>
        <v>8380.168750155472</v>
      </c>
      <c r="BP43" s="168">
        <f>BP39+SUM(BP40:BP42)</f>
        <v>8145.432186534468</v>
      </c>
      <c r="BQ43" s="168">
        <f>BQ39+SUM(BQ40:BQ42)</f>
        <v>8051.368270145524</v>
      </c>
      <c r="BR43" s="168">
        <f>BR39+SUM(BR40:BR42)</f>
        <v>8564.966728450932</v>
      </c>
      <c r="BS43" s="168">
        <f>BS39+SUM(BS40:BS42)</f>
        <v>8326.10105657528</v>
      </c>
      <c r="BT43" s="168">
        <f>BT39+SUM(BT40:BT42)</f>
        <v>8631.592591488294</v>
      </c>
      <c r="BU43" s="168">
        <f>BU39+SUM(BU40:BU42)</f>
        <v>8459.408717410737</v>
      </c>
      <c r="BV43" s="168">
        <f>BV39+SUM(BV40:BV42)</f>
        <v>8801.585533466476</v>
      </c>
      <c r="BW43" s="168">
        <f>BW39+SUM(BW40:BW42)</f>
        <v>9017.663894454512</v>
      </c>
      <c r="BX43" s="168">
        <f>BX39+SUM(BX40:BX42)</f>
        <v>9044.339855832266</v>
      </c>
      <c r="BY43" s="168">
        <f>BY39+SUM(BY40:BY42)</f>
        <v>9161.799265857671</v>
      </c>
      <c r="BZ43" s="168">
        <f>BZ39+SUM(BZ40:BZ42)</f>
        <v>9225.704544162636</v>
      </c>
      <c r="CA43" s="168">
        <f>CA39+SUM(CA40:CA42)</f>
        <v>9272.462692519282</v>
      </c>
      <c r="CB43" s="168">
        <f>CB39+SUM(CB40:CB42)</f>
        <v>9300.72548867681</v>
      </c>
      <c r="CC43" s="168">
        <f>CC39+SUM(CC40:CC42)</f>
        <v>9422.455909144512</v>
      </c>
      <c r="CD43" s="168">
        <f>CD39+SUM(CD40:CD42)</f>
        <v>9488.988212533062</v>
      </c>
      <c r="CE43" s="168">
        <f>CE39+SUM(CE40:CE42)</f>
        <v>9537.823478738128</v>
      </c>
      <c r="CF43" s="168">
        <f>CF39+SUM(CF40:CF42)</f>
        <v>9586.890103432881</v>
      </c>
      <c r="CG43" s="168">
        <f>CG39+SUM(CG40:CG42)</f>
        <v>9674.25047865673</v>
      </c>
      <c r="CH43" s="168">
        <f>CH39+SUM(CH40:CH42)</f>
        <v>9762.672231963468</v>
      </c>
      <c r="CI43" s="168">
        <f>CI39+SUM(CI40:CI42)</f>
        <v>9813.521837501972</v>
      </c>
      <c r="CJ43" s="168">
        <f>CJ39+SUM(CJ40:CJ42)</f>
        <v>9844.687529595085</v>
      </c>
      <c r="CK43" s="168">
        <f>CK39+SUM(CK40:CK42)</f>
        <v>9974.953939736379</v>
      </c>
      <c r="CL43" s="168">
        <f>CL39+SUM(CL40:CL42)</f>
        <v>10046.604537115036</v>
      </c>
      <c r="CM43" s="168">
        <f>CM39+SUM(CM40:CM42)</f>
        <v>10709.88562449671</v>
      </c>
      <c r="CN43" s="168">
        <f>CN39+SUM(CN40:CN42)</f>
        <v>1810.7664905536142</v>
      </c>
      <c r="CO43" s="168">
        <f>CO39+SUM(CO40:CO42)</f>
        <v>-6.786241523111914e-13</v>
      </c>
    </row>
    <row r="44" customFormat="1" s="169">
      <c r="A44" s="163" t="n"/>
      <c r="B44" s="163" t="n"/>
      <c r="C44" s="172" t="n"/>
      <c r="D44" s="88" t="n"/>
      <c r="E44" s="117" t="str">
        <f>DSRA!E$17</f>
        <v>DSRA (funding) / release</v>
      </c>
      <c r="F44" s="117" t="n"/>
      <c r="G44" s="117" t="inlineStr">
        <is>
          <t>$ 000s</t>
        </is>
      </c>
      <c r="H44" s="117">
        <f> SUM(J44:CO44)</f>
        <v>-8.273875411966398e-14</v>
      </c>
      <c r="I44" s="117" t="n"/>
      <c r="J44" s="117">
        <f>DSRA!J$17</f>
        <v>0.0</v>
      </c>
      <c r="K44" s="117">
        <f>DSRA!K$17</f>
        <v>0.0</v>
      </c>
      <c r="L44" s="117">
        <f>DSRA!L$17</f>
        <v>-3268.6067374328723</v>
      </c>
      <c r="M44" s="117">
        <f>DSRA!M$17</f>
        <v>-1389.7443969335745</v>
      </c>
      <c r="N44" s="117">
        <f>DSRA!N$17</f>
        <v>22.38187302530423</v>
      </c>
      <c r="O44" s="117">
        <f>DSRA!O$17</f>
        <v>16.20684236119814</v>
      </c>
      <c r="P44" s="117">
        <f>DSRA!P$17</f>
        <v>3.074324102664832</v>
      </c>
      <c r="Q44" s="117">
        <f>DSRA!Q$17</f>
        <v>899.0088951072125</v>
      </c>
      <c r="R44" s="117">
        <f>DSRA!R$17</f>
        <v>-61.60753439613427</v>
      </c>
      <c r="S44" s="117">
        <f>DSRA!S$17</f>
        <v>-986.5295539553481</v>
      </c>
      <c r="T44" s="117">
        <f>DSRA!T$17</f>
        <v>-34.49399922440443</v>
      </c>
      <c r="U44" s="117">
        <f>DSRA!U$17</f>
        <v>449.39832894364463</v>
      </c>
      <c r="V44" s="117">
        <f>DSRA!V$17</f>
        <v>5.927018442160261</v>
      </c>
      <c r="W44" s="117">
        <f>DSRA!W$17</f>
        <v>-445.262819710656</v>
      </c>
      <c r="X44" s="117">
        <f>DSRA!X$17</f>
        <v>-1.147187330720044</v>
      </c>
      <c r="Y44" s="117">
        <f>DSRA!Y$17</f>
        <v>675.5442329869311</v>
      </c>
      <c r="Z44" s="117">
        <f>DSRA!Z$17</f>
        <v>0.3755675557149516</v>
      </c>
      <c r="AA44" s="117">
        <f>DSRA!AA$17</f>
        <v>-677.6211852819379</v>
      </c>
      <c r="AB44" s="117">
        <f>DSRA!AB$17</f>
        <v>-137.12266619265574</v>
      </c>
      <c r="AC44" s="117">
        <f>DSRA!AC$17</f>
        <v>242.27437186788666</v>
      </c>
      <c r="AD44" s="117">
        <f>DSRA!AD$17</f>
        <v>-80.35170104636563</v>
      </c>
      <c r="AE44" s="117">
        <f>DSRA!AE$17</f>
        <v>-462.3363702486404</v>
      </c>
      <c r="AF44" s="117">
        <f>DSRA!AF$17</f>
        <v>-20.38411129343058</v>
      </c>
      <c r="AG44" s="117">
        <f>DSRA!AG$17</f>
        <v>216.84597991707324</v>
      </c>
      <c r="AH44" s="117">
        <f>DSRA!AH$17</f>
        <v>-8.724843728574342</v>
      </c>
      <c r="AI44" s="117">
        <f>DSRA!AI$17</f>
        <v>-238.54658290480984</v>
      </c>
      <c r="AJ44" s="117">
        <f>DSRA!AJ$17</f>
        <v>-22.33137465866548</v>
      </c>
      <c r="AK44" s="117">
        <f>DSRA!AK$17</f>
        <v>299.58131061914173</v>
      </c>
      <c r="AL44" s="117">
        <f>DSRA!AL$17</f>
        <v>-232.43406645247705</v>
      </c>
      <c r="AM44" s="117">
        <f>DSRA!AM$17</f>
        <v>-564.0037840099039</v>
      </c>
      <c r="AN44" s="117">
        <f>DSRA!AN$17</f>
        <v>-37.27284948471788</v>
      </c>
      <c r="AO44" s="117">
        <f>DSRA!AO$17</f>
        <v>427.49799340628124</v>
      </c>
      <c r="AP44" s="117">
        <f>DSRA!AP$17</f>
        <v>-17.13118358720203</v>
      </c>
      <c r="AQ44" s="117">
        <f>DSRA!AQ$17</f>
        <v>-481.4631682252848</v>
      </c>
      <c r="AR44" s="117">
        <f>DSRA!AR$17</f>
        <v>-41.67351982951641</v>
      </c>
      <c r="AS44" s="117">
        <f>DSRA!AS$17</f>
        <v>-20.573205186552514</v>
      </c>
      <c r="AT44" s="117">
        <f>DSRA!AT$17</f>
        <v>-13.740895014540001</v>
      </c>
      <c r="AU44" s="117">
        <f>DSRA!AU$17</f>
        <v>-34.420272618001036</v>
      </c>
      <c r="AV44" s="117">
        <f>DSRA!AV$17</f>
        <v>-216.00347406772744</v>
      </c>
      <c r="AW44" s="117">
        <f>DSRA!AW$17</f>
        <v>-294.9257481741006</v>
      </c>
      <c r="AX44" s="117">
        <f>DSRA!AX$17</f>
        <v>3261.506737291136</v>
      </c>
      <c r="AY44" s="117">
        <f>DSRA!AY$17</f>
        <v>3268.8297553624634</v>
      </c>
      <c r="AZ44" s="117">
        <f>DSRA!AZ$17</f>
        <v>1.5423514317567925e-13</v>
      </c>
      <c r="BA44" s="117">
        <f>DSRA!BA$17</f>
        <v>-1.6421432115343066e-15</v>
      </c>
      <c r="BB44" s="117">
        <f>DSRA!BB$17</f>
        <v>3.284286423068714e-15</v>
      </c>
      <c r="BC44" s="117">
        <f>DSRA!BC$17</f>
        <v>1.6421432115344075e-15</v>
      </c>
      <c r="BD44" s="117">
        <f>DSRA!BD$17</f>
        <v>-3.2842864230683102e-15</v>
      </c>
      <c r="BE44" s="117">
        <f>DSRA!BE$17</f>
        <v>-1.6421432115341046e-15</v>
      </c>
      <c r="BF44" s="117">
        <f>DSRA!BF$17</f>
        <v>3.284286423068815e-15</v>
      </c>
      <c r="BG44" s="117">
        <f>DSRA!BG$17</f>
        <v>1.6421432115343066e-15</v>
      </c>
      <c r="BH44" s="117">
        <f>DSRA!BH$17</f>
        <v>-3.284286423068613e-15</v>
      </c>
      <c r="BI44" s="117">
        <f>DSRA!BI$17</f>
        <v>-1.6421432115343066e-15</v>
      </c>
      <c r="BJ44" s="117">
        <f>DSRA!BJ$17</f>
        <v>3.284286423068411e-15</v>
      </c>
      <c r="BK44" s="117">
        <f>DSRA!BK$17</f>
        <v>1.6421432115341046e-15</v>
      </c>
      <c r="BL44" s="117">
        <f>DSRA!BL$17</f>
        <v>-3.284286423068411e-15</v>
      </c>
      <c r="BM44" s="117">
        <f>DSRA!BM$17</f>
        <v>-1.6421432115339027e-15</v>
      </c>
      <c r="BN44" s="117">
        <f>DSRA!BN$17</f>
        <v>1.6421432115343066e-15</v>
      </c>
      <c r="BO44" s="117">
        <f>DSRA!BO$17</f>
        <v>1.6421432115343066e-15</v>
      </c>
      <c r="BP44" s="117">
        <f>DSRA!BP$17</f>
        <v>-1.6421432115343066e-15</v>
      </c>
      <c r="BQ44" s="117">
        <f>DSRA!BQ$17</f>
        <v>-1.6421432115345085e-15</v>
      </c>
      <c r="BR44" s="117">
        <f>DSRA!BR$17</f>
        <v>3.284286423068613e-15</v>
      </c>
      <c r="BS44" s="117">
        <f>DSRA!BS$17</f>
        <v>1.6421432115343066e-15</v>
      </c>
      <c r="BT44" s="117">
        <f>DSRA!BT$17</f>
        <v>-3.284286423068613e-15</v>
      </c>
      <c r="BU44" s="117">
        <f>DSRA!BU$17</f>
        <v>-1.6421432115341046e-15</v>
      </c>
      <c r="BV44" s="117">
        <f>DSRA!BV$17</f>
        <v>3.284286423068613e-15</v>
      </c>
      <c r="BW44" s="117">
        <f>DSRA!BW$17</f>
        <v>1.6421432115341046e-15</v>
      </c>
      <c r="BX44" s="117">
        <f>DSRA!BX$17</f>
        <v>-3.284286423068815e-15</v>
      </c>
      <c r="BY44" s="117">
        <f>DSRA!BY$17</f>
        <v>-1.6421432115339027e-15</v>
      </c>
      <c r="BZ44" s="117">
        <f>DSRA!BZ$17</f>
        <v>3.284286423068815e-15</v>
      </c>
      <c r="CA44" s="117">
        <f>DSRA!CA$17</f>
        <v>1.6421432115341046e-15</v>
      </c>
      <c r="CB44" s="117">
        <f>DSRA!CB$17</f>
        <v>-3.284286423068613e-15</v>
      </c>
      <c r="CC44" s="117">
        <f>DSRA!CC$17</f>
        <v>-1.6421432115343066e-15</v>
      </c>
      <c r="CD44" s="117">
        <f>DSRA!CD$17</f>
        <v>1.6421432115347105e-15</v>
      </c>
      <c r="CE44" s="117">
        <f>DSRA!CE$17</f>
        <v>1.6421432115345085e-15</v>
      </c>
      <c r="CF44" s="117">
        <f>DSRA!CF$17</f>
        <v>-1.6421432115347105e-15</v>
      </c>
      <c r="CG44" s="117">
        <f>DSRA!CG$17</f>
        <v>-1.6421432115343066e-15</v>
      </c>
      <c r="CH44" s="117">
        <f>DSRA!CH$17</f>
        <v>3.284286423068613e-15</v>
      </c>
      <c r="CI44" s="117">
        <f>DSRA!CI$17</f>
        <v>1.6421432115343066e-15</v>
      </c>
      <c r="CJ44" s="117">
        <f>DSRA!CJ$17</f>
        <v>-3.284286423068613e-15</v>
      </c>
      <c r="CK44" s="117">
        <f>DSRA!CK$17</f>
        <v>-2.9887006449924864e-13</v>
      </c>
      <c r="CL44" s="117">
        <f>DSRA!CL$17</f>
        <v>1.5107717546115903e-13</v>
      </c>
      <c r="CM44" s="117">
        <f>DSRA!CM$17</f>
        <v>4.4830509674887316e-13</v>
      </c>
      <c r="CN44" s="117">
        <f>DSRA!CN$17</f>
        <v>0.0</v>
      </c>
      <c r="CO44" s="117">
        <f>DSRA!CO$17</f>
        <v>0.0</v>
      </c>
    </row>
    <row r="45" customFormat="1" s="150">
      <c r="A45" s="163" t="n"/>
      <c r="B45" s="163" t="n"/>
      <c r="C45" s="172" t="n"/>
      <c r="D45" s="88" t="n"/>
      <c r="E45" s="117" t="str">
        <f>SHL!E$26</f>
        <v>Shareholder loan interest paid</v>
      </c>
      <c r="F45" s="117" t="n"/>
      <c r="G45" s="117" t="inlineStr">
        <is>
          <t>$ 000s</t>
        </is>
      </c>
      <c r="H45" s="117">
        <f> SUM(J45:CO45)</f>
        <v>-18390.59599787667</v>
      </c>
      <c r="I45" s="117" t="n"/>
      <c r="J45" s="117">
        <f>SHL!J$26</f>
        <v>-0.0</v>
      </c>
      <c r="K45" s="117">
        <f>SHL!K$26</f>
        <v>-0.0</v>
      </c>
      <c r="L45" s="117">
        <f>SHL!L$26</f>
        <v>-0.0</v>
      </c>
      <c r="M45" s="117">
        <f>SHL!M$26</f>
        <v>-449.4856099877539</v>
      </c>
      <c r="N45" s="117">
        <f>SHL!N$26</f>
        <v>-454.4250122953116</v>
      </c>
      <c r="O45" s="117">
        <f>SHL!O$26</f>
        <v>-454.4250122953116</v>
      </c>
      <c r="P45" s="117">
        <f>SHL!P$26</f>
        <v>-444.5462076801962</v>
      </c>
      <c r="Q45" s="117">
        <f>SHL!Q$26</f>
        <v>-449.4856099877539</v>
      </c>
      <c r="R45" s="117">
        <f>SHL!R$26</f>
        <v>-454.4250122953116</v>
      </c>
      <c r="S45" s="117">
        <f>SHL!S$26</f>
        <v>-454.4250122953116</v>
      </c>
      <c r="T45" s="117">
        <f>SHL!T$26</f>
        <v>-449.4856099877539</v>
      </c>
      <c r="U45" s="117">
        <f>SHL!U$26</f>
        <v>-449.4856099877539</v>
      </c>
      <c r="V45" s="117">
        <f>SHL!V$26</f>
        <v>-454.4250122953116</v>
      </c>
      <c r="W45" s="117">
        <f>SHL!W$26</f>
        <v>-454.4250122953116</v>
      </c>
      <c r="X45" s="117">
        <f>SHL!X$26</f>
        <v>-444.5462076801962</v>
      </c>
      <c r="Y45" s="117">
        <f>SHL!Y$26</f>
        <v>-449.4856099877539</v>
      </c>
      <c r="Z45" s="117">
        <f>SHL!Z$26</f>
        <v>-454.4250122953116</v>
      </c>
      <c r="AA45" s="117">
        <f>SHL!AA$26</f>
        <v>-454.4250122953116</v>
      </c>
      <c r="AB45" s="117">
        <f>SHL!AB$26</f>
        <v>-444.5462076801962</v>
      </c>
      <c r="AC45" s="117">
        <f>SHL!AC$26</f>
        <v>-449.4856099877539</v>
      </c>
      <c r="AD45" s="117">
        <f>SHL!AD$26</f>
        <v>-454.4250122953116</v>
      </c>
      <c r="AE45" s="117">
        <f>SHL!AE$26</f>
        <v>-454.4250122953116</v>
      </c>
      <c r="AF45" s="117">
        <f>SHL!AF$26</f>
        <v>-444.5462076801962</v>
      </c>
      <c r="AG45" s="117">
        <f>SHL!AG$26</f>
        <v>-449.4856099877539</v>
      </c>
      <c r="AH45" s="117">
        <f>SHL!AH$26</f>
        <v>-454.4250122953116</v>
      </c>
      <c r="AI45" s="117">
        <f>SHL!AI$26</f>
        <v>-454.4250122953116</v>
      </c>
      <c r="AJ45" s="117">
        <f>SHL!AJ$26</f>
        <v>-449.4856099877539</v>
      </c>
      <c r="AK45" s="117">
        <f>SHL!AK$26</f>
        <v>-449.4856099877539</v>
      </c>
      <c r="AL45" s="117">
        <f>SHL!AL$26</f>
        <v>-454.4250122953116</v>
      </c>
      <c r="AM45" s="117">
        <f>SHL!AM$26</f>
        <v>-454.4250122953116</v>
      </c>
      <c r="AN45" s="117">
        <f>SHL!AN$26</f>
        <v>-444.5462076801962</v>
      </c>
      <c r="AO45" s="117">
        <f>SHL!AO$26</f>
        <v>-449.4856099877539</v>
      </c>
      <c r="AP45" s="117">
        <f>SHL!AP$26</f>
        <v>-454.4250122953116</v>
      </c>
      <c r="AQ45" s="117">
        <f>SHL!AQ$26</f>
        <v>-454.4250122953116</v>
      </c>
      <c r="AR45" s="117">
        <f>SHL!AR$26</f>
        <v>-444.5462076801962</v>
      </c>
      <c r="AS45" s="117">
        <f>SHL!AS$26</f>
        <v>-449.4856099877539</v>
      </c>
      <c r="AT45" s="117">
        <f>SHL!AT$26</f>
        <v>-454.4250122953116</v>
      </c>
      <c r="AU45" s="117">
        <f>SHL!AU$26</f>
        <v>-454.4250122953116</v>
      </c>
      <c r="AV45" s="117">
        <f>SHL!AV$26</f>
        <v>-444.5462076801962</v>
      </c>
      <c r="AW45" s="117">
        <f>SHL!AW$26</f>
        <v>-449.4856099877539</v>
      </c>
      <c r="AX45" s="117">
        <f>SHL!AX$26</f>
        <v>-454.4250122953116</v>
      </c>
      <c r="AY45" s="117">
        <f>SHL!AY$26</f>
        <v>-454.4250122953116</v>
      </c>
      <c r="AZ45" s="117">
        <f>SHL!AZ$26</f>
        <v>-449.4856099877539</v>
      </c>
      <c r="BA45" s="117">
        <f>SHL!BA$26</f>
        <v>-264.69596908192295</v>
      </c>
      <c r="BB45" s="117">
        <f>SHL!BB$26</f>
        <v>-82.26339928634043</v>
      </c>
      <c r="BC45" s="117">
        <f>SHL!BC$26</f>
        <v>-0.0</v>
      </c>
      <c r="BD45" s="117">
        <f>SHL!BD$26</f>
        <v>-0.0</v>
      </c>
      <c r="BE45" s="117">
        <f>SHL!BE$26</f>
        <v>-0.0</v>
      </c>
      <c r="BF45" s="117">
        <f>SHL!BF$26</f>
        <v>-0.0</v>
      </c>
      <c r="BG45" s="117">
        <f>SHL!BG$26</f>
        <v>-0.0</v>
      </c>
      <c r="BH45" s="117">
        <f>SHL!BH$26</f>
        <v>-0.0</v>
      </c>
      <c r="BI45" s="117">
        <f>SHL!BI$26</f>
        <v>-0.0</v>
      </c>
      <c r="BJ45" s="117">
        <f>SHL!BJ$26</f>
        <v>-0.0</v>
      </c>
      <c r="BK45" s="117">
        <f>SHL!BK$26</f>
        <v>-0.0</v>
      </c>
      <c r="BL45" s="117">
        <f>SHL!BL$26</f>
        <v>-0.0</v>
      </c>
      <c r="BM45" s="117">
        <f>SHL!BM$26</f>
        <v>-0.0</v>
      </c>
      <c r="BN45" s="117">
        <f>SHL!BN$26</f>
        <v>-0.0</v>
      </c>
      <c r="BO45" s="117">
        <f>SHL!BO$26</f>
        <v>-0.0</v>
      </c>
      <c r="BP45" s="117">
        <f>SHL!BP$26</f>
        <v>-0.0</v>
      </c>
      <c r="BQ45" s="117">
        <f>SHL!BQ$26</f>
        <v>-0.0</v>
      </c>
      <c r="BR45" s="117">
        <f>SHL!BR$26</f>
        <v>-0.0</v>
      </c>
      <c r="BS45" s="117">
        <f>SHL!BS$26</f>
        <v>-0.0</v>
      </c>
      <c r="BT45" s="117">
        <f>SHL!BT$26</f>
        <v>-0.0</v>
      </c>
      <c r="BU45" s="117">
        <f>SHL!BU$26</f>
        <v>-0.0</v>
      </c>
      <c r="BV45" s="117">
        <f>SHL!BV$26</f>
        <v>-0.0</v>
      </c>
      <c r="BW45" s="117">
        <f>SHL!BW$26</f>
        <v>-0.0</v>
      </c>
      <c r="BX45" s="117">
        <f>SHL!BX$26</f>
        <v>-0.0</v>
      </c>
      <c r="BY45" s="117">
        <f>SHL!BY$26</f>
        <v>-0.0</v>
      </c>
      <c r="BZ45" s="117">
        <f>SHL!BZ$26</f>
        <v>-0.0</v>
      </c>
      <c r="CA45" s="117">
        <f>SHL!CA$26</f>
        <v>-0.0</v>
      </c>
      <c r="CB45" s="117">
        <f>SHL!CB$26</f>
        <v>-0.0</v>
      </c>
      <c r="CC45" s="117">
        <f>SHL!CC$26</f>
        <v>-0.0</v>
      </c>
      <c r="CD45" s="117">
        <f>SHL!CD$26</f>
        <v>-0.0</v>
      </c>
      <c r="CE45" s="117">
        <f>SHL!CE$26</f>
        <v>-0.0</v>
      </c>
      <c r="CF45" s="117">
        <f>SHL!CF$26</f>
        <v>-0.0</v>
      </c>
      <c r="CG45" s="117">
        <f>SHL!CG$26</f>
        <v>-0.0</v>
      </c>
      <c r="CH45" s="117">
        <f>SHL!CH$26</f>
        <v>-0.0</v>
      </c>
      <c r="CI45" s="117">
        <f>SHL!CI$26</f>
        <v>-0.0</v>
      </c>
      <c r="CJ45" s="117">
        <f>SHL!CJ$26</f>
        <v>-0.0</v>
      </c>
      <c r="CK45" s="117">
        <f>SHL!CK$26</f>
        <v>-0.0</v>
      </c>
      <c r="CL45" s="117">
        <f>SHL!CL$26</f>
        <v>-0.0</v>
      </c>
      <c r="CM45" s="117">
        <f>SHL!CM$26</f>
        <v>-0.0</v>
      </c>
      <c r="CN45" s="117">
        <f>SHL!CN$26</f>
        <v>-0.0</v>
      </c>
      <c r="CO45" s="117">
        <f>SHL!CO$26</f>
        <v>-0.0</v>
      </c>
    </row>
    <row r="46" s="396">
      <c r="A46" s="163" t="n"/>
      <c r="B46" s="163" t="n"/>
      <c r="C46" s="172" t="n"/>
      <c r="D46" s="88" t="n"/>
      <c r="E46" s="117" t="str">
        <f>SHL!E$27</f>
        <v>Shareholder loan principal repaid</v>
      </c>
      <c r="F46" s="117" t="n"/>
      <c r="G46" s="117" t="inlineStr">
        <is>
          <t>$ 000s</t>
        </is>
      </c>
      <c r="H46" s="117">
        <f> SUM(J46:CO46)</f>
        <v>-17781.848307207845</v>
      </c>
      <c r="I46" s="117" t="n"/>
      <c r="J46" s="117">
        <f>SHL!J$27</f>
        <v>-0.0</v>
      </c>
      <c r="K46" s="117">
        <f>SHL!K$27</f>
        <v>-0.0</v>
      </c>
      <c r="L46" s="117">
        <f>SHL!L$27</f>
        <v>-0.0</v>
      </c>
      <c r="M46" s="117">
        <f>SHL!M$27</f>
        <v>-0.0</v>
      </c>
      <c r="N46" s="117">
        <f>SHL!N$27</f>
        <v>-0.0</v>
      </c>
      <c r="O46" s="117">
        <f>SHL!O$27</f>
        <v>-0.0</v>
      </c>
      <c r="P46" s="117">
        <f>SHL!P$27</f>
        <v>-0.0</v>
      </c>
      <c r="Q46" s="117">
        <f>SHL!Q$27</f>
        <v>-0.0</v>
      </c>
      <c r="R46" s="117">
        <f>SHL!R$27</f>
        <v>-0.0</v>
      </c>
      <c r="S46" s="117">
        <f>SHL!S$27</f>
        <v>-0.0</v>
      </c>
      <c r="T46" s="117">
        <f>SHL!T$27</f>
        <v>-0.0</v>
      </c>
      <c r="U46" s="117">
        <f>SHL!U$27</f>
        <v>-0.0</v>
      </c>
      <c r="V46" s="117">
        <f>SHL!V$27</f>
        <v>-0.0</v>
      </c>
      <c r="W46" s="117">
        <f>SHL!W$27</f>
        <v>-0.0</v>
      </c>
      <c r="X46" s="117">
        <f>SHL!X$27</f>
        <v>-0.0</v>
      </c>
      <c r="Y46" s="117">
        <f>SHL!Y$27</f>
        <v>-0.0</v>
      </c>
      <c r="Z46" s="117">
        <f>SHL!Z$27</f>
        <v>-0.0</v>
      </c>
      <c r="AA46" s="117">
        <f>SHL!AA$27</f>
        <v>-0.0</v>
      </c>
      <c r="AB46" s="117">
        <f>SHL!AB$27</f>
        <v>-0.0</v>
      </c>
      <c r="AC46" s="117">
        <f>SHL!AC$27</f>
        <v>-0.0</v>
      </c>
      <c r="AD46" s="117">
        <f>SHL!AD$27</f>
        <v>-0.0</v>
      </c>
      <c r="AE46" s="117">
        <f>SHL!AE$27</f>
        <v>-0.0</v>
      </c>
      <c r="AF46" s="117">
        <f>SHL!AF$27</f>
        <v>-0.0</v>
      </c>
      <c r="AG46" s="117">
        <f>SHL!AG$27</f>
        <v>-0.0</v>
      </c>
      <c r="AH46" s="117">
        <f>SHL!AH$27</f>
        <v>-0.0</v>
      </c>
      <c r="AI46" s="117">
        <f>SHL!AI$27</f>
        <v>-0.0</v>
      </c>
      <c r="AJ46" s="117">
        <f>SHL!AJ$27</f>
        <v>-0.0</v>
      </c>
      <c r="AK46" s="117">
        <f>SHL!AK$27</f>
        <v>-0.0</v>
      </c>
      <c r="AL46" s="117">
        <f>SHL!AL$27</f>
        <v>-0.0</v>
      </c>
      <c r="AM46" s="117">
        <f>SHL!AM$27</f>
        <v>-0.0</v>
      </c>
      <c r="AN46" s="117">
        <f>SHL!AN$27</f>
        <v>-0.0</v>
      </c>
      <c r="AO46" s="117">
        <f>SHL!AO$27</f>
        <v>-0.0</v>
      </c>
      <c r="AP46" s="117">
        <f>SHL!AP$27</f>
        <v>-0.0</v>
      </c>
      <c r="AQ46" s="117">
        <f>SHL!AQ$27</f>
        <v>-0.0</v>
      </c>
      <c r="AR46" s="117">
        <f>SHL!AR$27</f>
        <v>-0.0</v>
      </c>
      <c r="AS46" s="117">
        <f>SHL!AS$27</f>
        <v>-0.0</v>
      </c>
      <c r="AT46" s="117">
        <f>SHL!AT$27</f>
        <v>-0.0</v>
      </c>
      <c r="AU46" s="117">
        <f>SHL!AU$27</f>
        <v>-0.0</v>
      </c>
      <c r="AV46" s="117">
        <f>SHL!AV$27</f>
        <v>-0.0</v>
      </c>
      <c r="AW46" s="117">
        <f>SHL!AW$27</f>
        <v>-0.0</v>
      </c>
      <c r="AX46" s="117">
        <f>SHL!AX$27</f>
        <v>-0.0</v>
      </c>
      <c r="AY46" s="117">
        <f>SHL!AY$27</f>
        <v>-0.0</v>
      </c>
      <c r="AZ46" s="117">
        <f>SHL!AZ$27</f>
        <v>-7310.359420450455</v>
      </c>
      <c r="BA46" s="117">
        <f>SHL!BA$27</f>
        <v>-7252.486305987547</v>
      </c>
      <c r="BB46" s="117">
        <f>SHL!BB$27</f>
        <v>-3219.002580769843</v>
      </c>
      <c r="BC46" s="117">
        <f>SHL!BC$27</f>
        <v>-0.0</v>
      </c>
      <c r="BD46" s="117">
        <f>SHL!BD$27</f>
        <v>-0.0</v>
      </c>
      <c r="BE46" s="117">
        <f>SHL!BE$27</f>
        <v>-0.0</v>
      </c>
      <c r="BF46" s="117">
        <f>SHL!BF$27</f>
        <v>-0.0</v>
      </c>
      <c r="BG46" s="117">
        <f>SHL!BG$27</f>
        <v>-0.0</v>
      </c>
      <c r="BH46" s="117">
        <f>SHL!BH$27</f>
        <v>-0.0</v>
      </c>
      <c r="BI46" s="117">
        <f>SHL!BI$27</f>
        <v>-0.0</v>
      </c>
      <c r="BJ46" s="117">
        <f>SHL!BJ$27</f>
        <v>-0.0</v>
      </c>
      <c r="BK46" s="117">
        <f>SHL!BK$27</f>
        <v>-0.0</v>
      </c>
      <c r="BL46" s="117">
        <f>SHL!BL$27</f>
        <v>-0.0</v>
      </c>
      <c r="BM46" s="117">
        <f>SHL!BM$27</f>
        <v>-0.0</v>
      </c>
      <c r="BN46" s="117">
        <f>SHL!BN$27</f>
        <v>-0.0</v>
      </c>
      <c r="BO46" s="117">
        <f>SHL!BO$27</f>
        <v>-0.0</v>
      </c>
      <c r="BP46" s="117">
        <f>SHL!BP$27</f>
        <v>-0.0</v>
      </c>
      <c r="BQ46" s="117">
        <f>SHL!BQ$27</f>
        <v>-0.0</v>
      </c>
      <c r="BR46" s="117">
        <f>SHL!BR$27</f>
        <v>-0.0</v>
      </c>
      <c r="BS46" s="117">
        <f>SHL!BS$27</f>
        <v>-0.0</v>
      </c>
      <c r="BT46" s="117">
        <f>SHL!BT$27</f>
        <v>-0.0</v>
      </c>
      <c r="BU46" s="117">
        <f>SHL!BU$27</f>
        <v>-0.0</v>
      </c>
      <c r="BV46" s="117">
        <f>SHL!BV$27</f>
        <v>-0.0</v>
      </c>
      <c r="BW46" s="117">
        <f>SHL!BW$27</f>
        <v>-0.0</v>
      </c>
      <c r="BX46" s="117">
        <f>SHL!BX$27</f>
        <v>-0.0</v>
      </c>
      <c r="BY46" s="117">
        <f>SHL!BY$27</f>
        <v>-0.0</v>
      </c>
      <c r="BZ46" s="117">
        <f>SHL!BZ$27</f>
        <v>-0.0</v>
      </c>
      <c r="CA46" s="117">
        <f>SHL!CA$27</f>
        <v>-0.0</v>
      </c>
      <c r="CB46" s="117">
        <f>SHL!CB$27</f>
        <v>-0.0</v>
      </c>
      <c r="CC46" s="117">
        <f>SHL!CC$27</f>
        <v>-0.0</v>
      </c>
      <c r="CD46" s="117">
        <f>SHL!CD$27</f>
        <v>-0.0</v>
      </c>
      <c r="CE46" s="117">
        <f>SHL!CE$27</f>
        <v>-0.0</v>
      </c>
      <c r="CF46" s="117">
        <f>SHL!CF$27</f>
        <v>-0.0</v>
      </c>
      <c r="CG46" s="117">
        <f>SHL!CG$27</f>
        <v>-0.0</v>
      </c>
      <c r="CH46" s="117">
        <f>SHL!CH$27</f>
        <v>-0.0</v>
      </c>
      <c r="CI46" s="117">
        <f>SHL!CI$27</f>
        <v>-0.0</v>
      </c>
      <c r="CJ46" s="117">
        <f>SHL!CJ$27</f>
        <v>-0.0</v>
      </c>
      <c r="CK46" s="117">
        <f>SHL!CK$27</f>
        <v>-0.0</v>
      </c>
      <c r="CL46" s="117">
        <f>SHL!CL$27</f>
        <v>-0.0</v>
      </c>
      <c r="CM46" s="117">
        <f>SHL!CM$27</f>
        <v>-0.0</v>
      </c>
      <c r="CN46" s="117">
        <f>SHL!CN$27</f>
        <v>-0.0</v>
      </c>
      <c r="CO46" s="117">
        <f>SHL!CO$27</f>
        <v>-0.0</v>
      </c>
    </row>
    <row r="47" customFormat="1" s="169">
      <c r="A47" s="163" t="n"/>
      <c r="B47" s="163" t="n"/>
      <c r="C47" s="172" t="n"/>
      <c r="D47" s="88" t="n"/>
      <c r="E47" s="117" t="str">
        <f>Equity!E$22</f>
        <v>Share capital - additional injection</v>
      </c>
      <c r="F47" s="117">
        <f>Equity!F$22</f>
        <v>0.0</v>
      </c>
      <c r="G47" s="117" t="str">
        <f>Equity!G$22</f>
        <v>$ 000s</v>
      </c>
      <c r="H47" s="117">
        <f> SUM(J47:CO47)</f>
        <v>0.0</v>
      </c>
      <c r="I47" s="117" t="n"/>
      <c r="J47" s="117">
        <f>Equity!J$22</f>
        <v>0.0</v>
      </c>
      <c r="K47" s="117">
        <f>Equity!K$22</f>
        <v>0.0</v>
      </c>
      <c r="L47" s="117">
        <f>Equity!L$22</f>
        <v>0.0</v>
      </c>
      <c r="M47" s="117">
        <f>Equity!M$22</f>
        <v>0.0</v>
      </c>
      <c r="N47" s="117">
        <f>Equity!N$22</f>
        <v>0.0</v>
      </c>
      <c r="O47" s="117">
        <f>Equity!O$22</f>
        <v>0.0</v>
      </c>
      <c r="P47" s="117">
        <f>Equity!P$22</f>
        <v>0.0</v>
      </c>
      <c r="Q47" s="117">
        <f>Equity!Q$22</f>
        <v>0.0</v>
      </c>
      <c r="R47" s="117">
        <f>Equity!R$22</f>
        <v>0.0</v>
      </c>
      <c r="S47" s="117">
        <f>Equity!S$22</f>
        <v>0.0</v>
      </c>
      <c r="T47" s="117">
        <f>Equity!T$22</f>
        <v>0.0</v>
      </c>
      <c r="U47" s="117">
        <f>Equity!U$22</f>
        <v>0.0</v>
      </c>
      <c r="V47" s="117">
        <f>Equity!V$22</f>
        <v>0.0</v>
      </c>
      <c r="W47" s="117">
        <f>Equity!W$22</f>
        <v>0.0</v>
      </c>
      <c r="X47" s="117">
        <f>Equity!X$22</f>
        <v>0.0</v>
      </c>
      <c r="Y47" s="117">
        <f>Equity!Y$22</f>
        <v>0.0</v>
      </c>
      <c r="Z47" s="117">
        <f>Equity!Z$22</f>
        <v>0.0</v>
      </c>
      <c r="AA47" s="117">
        <f>Equity!AA$22</f>
        <v>0.0</v>
      </c>
      <c r="AB47" s="117">
        <f>Equity!AB$22</f>
        <v>0.0</v>
      </c>
      <c r="AC47" s="117">
        <f>Equity!AC$22</f>
        <v>0.0</v>
      </c>
      <c r="AD47" s="117">
        <f>Equity!AD$22</f>
        <v>0.0</v>
      </c>
      <c r="AE47" s="117">
        <f>Equity!AE$22</f>
        <v>0.0</v>
      </c>
      <c r="AF47" s="117">
        <f>Equity!AF$22</f>
        <v>0.0</v>
      </c>
      <c r="AG47" s="117">
        <f>Equity!AG$22</f>
        <v>0.0</v>
      </c>
      <c r="AH47" s="117">
        <f>Equity!AH$22</f>
        <v>0.0</v>
      </c>
      <c r="AI47" s="117">
        <f>Equity!AI$22</f>
        <v>0.0</v>
      </c>
      <c r="AJ47" s="117">
        <f>Equity!AJ$22</f>
        <v>0.0</v>
      </c>
      <c r="AK47" s="117">
        <f>Equity!AK$22</f>
        <v>0.0</v>
      </c>
      <c r="AL47" s="117">
        <f>Equity!AL$22</f>
        <v>0.0</v>
      </c>
      <c r="AM47" s="117">
        <f>Equity!AM$22</f>
        <v>0.0</v>
      </c>
      <c r="AN47" s="117">
        <f>Equity!AN$22</f>
        <v>0.0</v>
      </c>
      <c r="AO47" s="117">
        <f>Equity!AO$22</f>
        <v>0.0</v>
      </c>
      <c r="AP47" s="117">
        <f>Equity!AP$22</f>
        <v>0.0</v>
      </c>
      <c r="AQ47" s="117">
        <f>Equity!AQ$22</f>
        <v>0.0</v>
      </c>
      <c r="AR47" s="117">
        <f>Equity!AR$22</f>
        <v>0.0</v>
      </c>
      <c r="AS47" s="117">
        <f>Equity!AS$22</f>
        <v>0.0</v>
      </c>
      <c r="AT47" s="117">
        <f>Equity!AT$22</f>
        <v>0.0</v>
      </c>
      <c r="AU47" s="117">
        <f>Equity!AU$22</f>
        <v>0.0</v>
      </c>
      <c r="AV47" s="117">
        <f>Equity!AV$22</f>
        <v>0.0</v>
      </c>
      <c r="AW47" s="117">
        <f>Equity!AW$22</f>
        <v>0.0</v>
      </c>
      <c r="AX47" s="117">
        <f>Equity!AX$22</f>
        <v>0.0</v>
      </c>
      <c r="AY47" s="117">
        <f>Equity!AY$22</f>
        <v>0.0</v>
      </c>
      <c r="AZ47" s="117">
        <f>Equity!AZ$22</f>
        <v>0.0</v>
      </c>
      <c r="BA47" s="117">
        <f>Equity!BA$22</f>
        <v>0.0</v>
      </c>
      <c r="BB47" s="117">
        <f>Equity!BB$22</f>
        <v>0.0</v>
      </c>
      <c r="BC47" s="117">
        <f>Equity!BC$22</f>
        <v>0.0</v>
      </c>
      <c r="BD47" s="117">
        <f>Equity!BD$22</f>
        <v>0.0</v>
      </c>
      <c r="BE47" s="117">
        <f>Equity!BE$22</f>
        <v>0.0</v>
      </c>
      <c r="BF47" s="117">
        <f>Equity!BF$22</f>
        <v>0.0</v>
      </c>
      <c r="BG47" s="117">
        <f>Equity!BG$22</f>
        <v>0.0</v>
      </c>
      <c r="BH47" s="117">
        <f>Equity!BH$22</f>
        <v>0.0</v>
      </c>
      <c r="BI47" s="117">
        <f>Equity!BI$22</f>
        <v>0.0</v>
      </c>
      <c r="BJ47" s="117">
        <f>Equity!BJ$22</f>
        <v>0.0</v>
      </c>
      <c r="BK47" s="117">
        <f>Equity!BK$22</f>
        <v>0.0</v>
      </c>
      <c r="BL47" s="117">
        <f>Equity!BL$22</f>
        <v>0.0</v>
      </c>
      <c r="BM47" s="117">
        <f>Equity!BM$22</f>
        <v>0.0</v>
      </c>
      <c r="BN47" s="117">
        <f>Equity!BN$22</f>
        <v>0.0</v>
      </c>
      <c r="BO47" s="117">
        <f>Equity!BO$22</f>
        <v>0.0</v>
      </c>
      <c r="BP47" s="117">
        <f>Equity!BP$22</f>
        <v>0.0</v>
      </c>
      <c r="BQ47" s="117">
        <f>Equity!BQ$22</f>
        <v>0.0</v>
      </c>
      <c r="BR47" s="117">
        <f>Equity!BR$22</f>
        <v>0.0</v>
      </c>
      <c r="BS47" s="117">
        <f>Equity!BS$22</f>
        <v>0.0</v>
      </c>
      <c r="BT47" s="117">
        <f>Equity!BT$22</f>
        <v>0.0</v>
      </c>
      <c r="BU47" s="117">
        <f>Equity!BU$22</f>
        <v>0.0</v>
      </c>
      <c r="BV47" s="117">
        <f>Equity!BV$22</f>
        <v>0.0</v>
      </c>
      <c r="BW47" s="117">
        <f>Equity!BW$22</f>
        <v>0.0</v>
      </c>
      <c r="BX47" s="117">
        <f>Equity!BX$22</f>
        <v>0.0</v>
      </c>
      <c r="BY47" s="117">
        <f>Equity!BY$22</f>
        <v>0.0</v>
      </c>
      <c r="BZ47" s="117">
        <f>Equity!BZ$22</f>
        <v>0.0</v>
      </c>
      <c r="CA47" s="117">
        <f>Equity!CA$22</f>
        <v>0.0</v>
      </c>
      <c r="CB47" s="117">
        <f>Equity!CB$22</f>
        <v>0.0</v>
      </c>
      <c r="CC47" s="117">
        <f>Equity!CC$22</f>
        <v>0.0</v>
      </c>
      <c r="CD47" s="117">
        <f>Equity!CD$22</f>
        <v>0.0</v>
      </c>
      <c r="CE47" s="117">
        <f>Equity!CE$22</f>
        <v>0.0</v>
      </c>
      <c r="CF47" s="117">
        <f>Equity!CF$22</f>
        <v>0.0</v>
      </c>
      <c r="CG47" s="117">
        <f>Equity!CG$22</f>
        <v>0.0</v>
      </c>
      <c r="CH47" s="117">
        <f>Equity!CH$22</f>
        <v>0.0</v>
      </c>
      <c r="CI47" s="117">
        <f>Equity!CI$22</f>
        <v>0.0</v>
      </c>
      <c r="CJ47" s="117">
        <f>Equity!CJ$22</f>
        <v>0.0</v>
      </c>
      <c r="CK47" s="117">
        <f>Equity!CK$22</f>
        <v>0.0</v>
      </c>
      <c r="CL47" s="117">
        <f>Equity!CL$22</f>
        <v>0.0</v>
      </c>
      <c r="CM47" s="117">
        <f>Equity!CM$22</f>
        <v>0.0</v>
      </c>
      <c r="CN47" s="117">
        <f>Equity!CN$22</f>
        <v>0.0</v>
      </c>
      <c r="CO47" s="117">
        <f>Equity!CO$22</f>
        <v>0.0</v>
      </c>
    </row>
    <row r="48" s="396">
      <c r="A48" s="163" t="n"/>
      <c r="B48" s="163" t="n"/>
      <c r="C48" s="172" t="n"/>
      <c r="D48" s="88" t="n"/>
      <c r="E48" s="117" t="str">
        <f> Equity!E$11</f>
        <v>Share capital redemption</v>
      </c>
      <c r="F48" s="117" t="str">
        <f> Equity!F$11</f>
        <v>CF</v>
      </c>
      <c r="G48" s="117" t="str">
        <f> Equity!G$11</f>
        <v>$ 000s</v>
      </c>
      <c r="H48" s="117">
        <f> Equity!H$11</f>
        <v>-11565.429793305917</v>
      </c>
      <c r="I48" s="117">
        <f> Equity!I$11</f>
        <v>0.0</v>
      </c>
      <c r="J48" s="117">
        <f> Equity!J$11</f>
        <v>-0.0</v>
      </c>
      <c r="K48" s="117">
        <f> Equity!K$11</f>
        <v>-0.0</v>
      </c>
      <c r="L48" s="117">
        <f> Equity!L$11</f>
        <v>-0.0</v>
      </c>
      <c r="M48" s="117">
        <f> Equity!M$11</f>
        <v>-0.0</v>
      </c>
      <c r="N48" s="117">
        <f> Equity!N$11</f>
        <v>-0.0</v>
      </c>
      <c r="O48" s="117">
        <f> Equity!O$11</f>
        <v>-0.0</v>
      </c>
      <c r="P48" s="117">
        <f> Equity!P$11</f>
        <v>-0.0</v>
      </c>
      <c r="Q48" s="117">
        <f> Equity!Q$11</f>
        <v>-0.0</v>
      </c>
      <c r="R48" s="117">
        <f> Equity!R$11</f>
        <v>-0.0</v>
      </c>
      <c r="S48" s="117">
        <f> Equity!S$11</f>
        <v>-0.0</v>
      </c>
      <c r="T48" s="117">
        <f> Equity!T$11</f>
        <v>-0.0</v>
      </c>
      <c r="U48" s="117">
        <f> Equity!U$11</f>
        <v>-0.0</v>
      </c>
      <c r="V48" s="117">
        <f> Equity!V$11</f>
        <v>-0.0</v>
      </c>
      <c r="W48" s="117">
        <f> Equity!W$11</f>
        <v>-0.0</v>
      </c>
      <c r="X48" s="117">
        <f> Equity!X$11</f>
        <v>-0.0</v>
      </c>
      <c r="Y48" s="117">
        <f> Equity!Y$11</f>
        <v>-0.0</v>
      </c>
      <c r="Z48" s="117">
        <f> Equity!Z$11</f>
        <v>-0.0</v>
      </c>
      <c r="AA48" s="117">
        <f> Equity!AA$11</f>
        <v>-0.0</v>
      </c>
      <c r="AB48" s="117">
        <f> Equity!AB$11</f>
        <v>-0.0</v>
      </c>
      <c r="AC48" s="117">
        <f> Equity!AC$11</f>
        <v>-0.0</v>
      </c>
      <c r="AD48" s="117">
        <f> Equity!AD$11</f>
        <v>-0.0</v>
      </c>
      <c r="AE48" s="117">
        <f> Equity!AE$11</f>
        <v>-0.0</v>
      </c>
      <c r="AF48" s="117">
        <f> Equity!AF$11</f>
        <v>-0.0</v>
      </c>
      <c r="AG48" s="117">
        <f> Equity!AG$11</f>
        <v>-0.0</v>
      </c>
      <c r="AH48" s="117">
        <f> Equity!AH$11</f>
        <v>-0.0</v>
      </c>
      <c r="AI48" s="117">
        <f> Equity!AI$11</f>
        <v>-0.0</v>
      </c>
      <c r="AJ48" s="117">
        <f> Equity!AJ$11</f>
        <v>-0.0</v>
      </c>
      <c r="AK48" s="117">
        <f> Equity!AK$11</f>
        <v>-0.0</v>
      </c>
      <c r="AL48" s="117">
        <f> Equity!AL$11</f>
        <v>-0.0</v>
      </c>
      <c r="AM48" s="117">
        <f> Equity!AM$11</f>
        <v>-0.0</v>
      </c>
      <c r="AN48" s="117">
        <f> Equity!AN$11</f>
        <v>-0.0</v>
      </c>
      <c r="AO48" s="117">
        <f> Equity!AO$11</f>
        <v>-0.0</v>
      </c>
      <c r="AP48" s="117">
        <f> Equity!AP$11</f>
        <v>-0.0</v>
      </c>
      <c r="AQ48" s="117">
        <f> Equity!AQ$11</f>
        <v>-0.0</v>
      </c>
      <c r="AR48" s="117">
        <f> Equity!AR$11</f>
        <v>-0.0</v>
      </c>
      <c r="AS48" s="117">
        <f> Equity!AS$11</f>
        <v>-0.0</v>
      </c>
      <c r="AT48" s="117">
        <f> Equity!AT$11</f>
        <v>-0.0</v>
      </c>
      <c r="AU48" s="117">
        <f> Equity!AU$11</f>
        <v>-0.0</v>
      </c>
      <c r="AV48" s="117">
        <f> Equity!AV$11</f>
        <v>-0.0</v>
      </c>
      <c r="AW48" s="117">
        <f> Equity!AW$11</f>
        <v>-0.0</v>
      </c>
      <c r="AX48" s="117">
        <f> Equity!AX$11</f>
        <v>-0.0</v>
      </c>
      <c r="AY48" s="117">
        <f> Equity!AY$11</f>
        <v>-0.0</v>
      </c>
      <c r="AZ48" s="117">
        <f> Equity!AZ$11</f>
        <v>-0.0</v>
      </c>
      <c r="BA48" s="117">
        <f> Equity!BA$11</f>
        <v>-0.0</v>
      </c>
      <c r="BB48" s="117">
        <f> Equity!BB$11</f>
        <v>-0.0</v>
      </c>
      <c r="BC48" s="117">
        <f> Equity!BC$11</f>
        <v>-0.0</v>
      </c>
      <c r="BD48" s="117">
        <f> Equity!BD$11</f>
        <v>-0.0</v>
      </c>
      <c r="BE48" s="117">
        <f> Equity!BE$11</f>
        <v>-0.0</v>
      </c>
      <c r="BF48" s="117">
        <f> Equity!BF$11</f>
        <v>-0.0</v>
      </c>
      <c r="BG48" s="117">
        <f> Equity!BG$11</f>
        <v>-0.0</v>
      </c>
      <c r="BH48" s="117">
        <f> Equity!BH$11</f>
        <v>-0.0</v>
      </c>
      <c r="BI48" s="117">
        <f> Equity!BI$11</f>
        <v>-0.0</v>
      </c>
      <c r="BJ48" s="117">
        <f> Equity!BJ$11</f>
        <v>-0.0</v>
      </c>
      <c r="BK48" s="117">
        <f> Equity!BK$11</f>
        <v>-0.0</v>
      </c>
      <c r="BL48" s="117">
        <f> Equity!BL$11</f>
        <v>-0.0</v>
      </c>
      <c r="BM48" s="117">
        <f> Equity!BM$11</f>
        <v>-0.0</v>
      </c>
      <c r="BN48" s="117">
        <f> Equity!BN$11</f>
        <v>-0.0</v>
      </c>
      <c r="BO48" s="117">
        <f> Equity!BO$11</f>
        <v>-0.0</v>
      </c>
      <c r="BP48" s="117">
        <f> Equity!BP$11</f>
        <v>-0.0</v>
      </c>
      <c r="BQ48" s="117">
        <f> Equity!BQ$11</f>
        <v>-0.0</v>
      </c>
      <c r="BR48" s="117">
        <f> Equity!BR$11</f>
        <v>-0.0</v>
      </c>
      <c r="BS48" s="117">
        <f> Equity!BS$11</f>
        <v>-0.0</v>
      </c>
      <c r="BT48" s="117">
        <f> Equity!BT$11</f>
        <v>-0.0</v>
      </c>
      <c r="BU48" s="117">
        <f> Equity!BU$11</f>
        <v>-0.0</v>
      </c>
      <c r="BV48" s="117">
        <f> Equity!BV$11</f>
        <v>-0.0</v>
      </c>
      <c r="BW48" s="117">
        <f> Equity!BW$11</f>
        <v>-0.0</v>
      </c>
      <c r="BX48" s="117">
        <f> Equity!BX$11</f>
        <v>-0.0</v>
      </c>
      <c r="BY48" s="117">
        <f> Equity!BY$11</f>
        <v>-0.0</v>
      </c>
      <c r="BZ48" s="117">
        <f> Equity!BZ$11</f>
        <v>-0.0</v>
      </c>
      <c r="CA48" s="117">
        <f> Equity!CA$11</f>
        <v>-0.0</v>
      </c>
      <c r="CB48" s="117">
        <f> Equity!CB$11</f>
        <v>-0.0</v>
      </c>
      <c r="CC48" s="117">
        <f> Equity!CC$11</f>
        <v>-0.0</v>
      </c>
      <c r="CD48" s="117">
        <f> Equity!CD$11</f>
        <v>-0.0</v>
      </c>
      <c r="CE48" s="117">
        <f> Equity!CE$11</f>
        <v>-0.0</v>
      </c>
      <c r="CF48" s="117">
        <f> Equity!CF$11</f>
        <v>-0.0</v>
      </c>
      <c r="CG48" s="117">
        <f> Equity!CG$11</f>
        <v>-0.0</v>
      </c>
      <c r="CH48" s="117">
        <f> Equity!CH$11</f>
        <v>-0.0</v>
      </c>
      <c r="CI48" s="117">
        <f> Equity!CI$11</f>
        <v>-0.0</v>
      </c>
      <c r="CJ48" s="117">
        <f> Equity!CJ$11</f>
        <v>-0.0</v>
      </c>
      <c r="CK48" s="117">
        <f> Equity!CK$11</f>
        <v>-0.0</v>
      </c>
      <c r="CL48" s="117">
        <f> Equity!CL$11</f>
        <v>-0.0</v>
      </c>
      <c r="CM48" s="117">
        <f> Equity!CM$11</f>
        <v>-11565.429793305917</v>
      </c>
      <c r="CN48" s="117">
        <f> Equity!CN$11</f>
        <v>-0.0</v>
      </c>
      <c r="CO48" s="117">
        <f> Equity!CO$11</f>
        <v>-0.0</v>
      </c>
    </row>
    <row r="49" s="396">
      <c r="A49" s="348" t="n"/>
      <c r="B49" s="348" t="n"/>
      <c r="C49" s="349" t="n"/>
      <c r="D49" s="193" t="n"/>
      <c r="E49" s="366" t="inlineStr">
        <is>
          <t>Cash flow available for dividends</t>
        </is>
      </c>
      <c r="F49" s="366" t="n"/>
      <c r="G49" s="366" t="inlineStr">
        <is>
          <t>$ 000s</t>
        </is>
      </c>
      <c r="H49" s="366">
        <f> SUM(J49:CO49)</f>
        <v>442553.8228655873</v>
      </c>
      <c r="I49" s="366" t="n"/>
      <c r="J49" s="366">
        <f>J43+SUM(J44:J48)</f>
        <v>0.0</v>
      </c>
      <c r="K49" s="366">
        <f>K43+SUM(K44:K48)</f>
        <v>0.0</v>
      </c>
      <c r="L49" s="366">
        <f>L43+SUM(L44:L48)</f>
        <v>0.0</v>
      </c>
      <c r="M49" s="366">
        <f>M43+SUM(M44:M48)</f>
        <v>1542.3934940537397</v>
      </c>
      <c r="N49" s="366">
        <f>N43+SUM(N44:N48)</f>
        <v>3013.9184138551927</v>
      </c>
      <c r="O49" s="366">
        <f>O43+SUM(O44:O48)</f>
        <v>2902.5525074965876</v>
      </c>
      <c r="P49" s="366">
        <f>P43+SUM(P44:P48)</f>
        <v>2954.492474587404</v>
      </c>
      <c r="Q49" s="366">
        <f>Q43+SUM(Q44:Q48)</f>
        <v>3753.0213070255395</v>
      </c>
      <c r="R49" s="366">
        <f>R43+SUM(R44:R48)</f>
        <v>2874.2594245253676</v>
      </c>
      <c r="S49" s="366">
        <f>S43+SUM(S44:S48)</f>
        <v>731.6777965998831</v>
      </c>
      <c r="T49" s="366">
        <f>T43+SUM(T44:T48)</f>
        <v>2970.5529026284225</v>
      </c>
      <c r="U49" s="366">
        <f>U43+SUM(U44:U48)</f>
        <v>3392.5173228061944</v>
      </c>
      <c r="V49" s="366">
        <f>V43+SUM(V44:V48)</f>
        <v>3040.6303846102664</v>
      </c>
      <c r="W49" s="366">
        <f>W43+SUM(W44:W48)</f>
        <v>1922.2354873307158</v>
      </c>
      <c r="X49" s="366">
        <f>X43+SUM(X44:X48)</f>
        <v>3015.0014732927757</v>
      </c>
      <c r="Y49" s="366">
        <f>Y43+SUM(Y44:Y48)</f>
        <v>3587.998202456688</v>
      </c>
      <c r="Z49" s="366">
        <f>Z43+SUM(Z44:Z48)</f>
        <v>3002.9254328862535</v>
      </c>
      <c r="AA49" s="366">
        <f>AA43+SUM(AA44:AA48)</f>
        <v>1375.4356052146036</v>
      </c>
      <c r="AB49" s="366">
        <f>AB43+SUM(AB44:AB48)</f>
        <v>2854.66934569554</v>
      </c>
      <c r="AC49" s="366">
        <f>AC43+SUM(AC44:AC48)</f>
        <v>3131.3021674909896</v>
      </c>
      <c r="AD49" s="366">
        <f>AD43+SUM(AD44:AD48)</f>
        <v>3066.3811027896572</v>
      </c>
      <c r="AE49" s="366">
        <f>AE43+SUM(AE44:AE48)</f>
        <v>2107.027183099774</v>
      </c>
      <c r="AF49" s="366">
        <f>AF43+SUM(AF44:AF48)</f>
        <v>3213.4048091507884</v>
      </c>
      <c r="AG49" s="366">
        <f>AG43+SUM(AG44:AG48)</f>
        <v>3349.2112456475343</v>
      </c>
      <c r="AH49" s="366">
        <f>AH43+SUM(AH44:AH48)</f>
        <v>3230.215026727036</v>
      </c>
      <c r="AI49" s="366">
        <f>AI43+SUM(AI44:AI48)</f>
        <v>2602.905254035712</v>
      </c>
      <c r="AJ49" s="366">
        <f>AJ43+SUM(AJ44:AJ48)</f>
        <v>3210.765878135569</v>
      </c>
      <c r="AK49" s="366">
        <f>AK43+SUM(AK44:AK48)</f>
        <v>3422.198298152113</v>
      </c>
      <c r="AL49" s="366">
        <f>AL43+SUM(AL44:AL48)</f>
        <v>3007.326175933151</v>
      </c>
      <c r="AM49" s="366">
        <f>AM43+SUM(AM44:AM48)</f>
        <v>2162.368758166749</v>
      </c>
      <c r="AN49" s="366">
        <f>AN43+SUM(AN44:AN48)</f>
        <v>3477.3030389976884</v>
      </c>
      <c r="AO49" s="366">
        <f>AO43+SUM(AO44:AO48)</f>
        <v>3840.022186856854</v>
      </c>
      <c r="AP49" s="366">
        <f>AP43+SUM(AP44:AP48)</f>
        <v>3516.7029711648647</v>
      </c>
      <c r="AQ49" s="366">
        <f>AQ43+SUM(AQ44:AQ48)</f>
        <v>2370.4225701845357</v>
      </c>
      <c r="AR49" s="366">
        <f>AR43+SUM(AR44:AR48)</f>
        <v>3495.3705665489797</v>
      </c>
      <c r="AS49" s="366">
        <f>AS43+SUM(AS44:AS48)</f>
        <v>3412.348286234433</v>
      </c>
      <c r="AT49" s="366">
        <f>AT43+SUM(AT44:AT48)</f>
        <v>3544.972203147367</v>
      </c>
      <c r="AU49" s="366">
        <f>AU43+SUM(AU44:AU48)</f>
        <v>3395.28320582229</v>
      </c>
      <c r="AV49" s="366">
        <f>AV43+SUM(AV44:AV48)</f>
        <v>3338.4064387893923</v>
      </c>
      <c r="AW49" s="366">
        <f>AW43+SUM(AW44:AW48)</f>
        <v>3153.1327786661905</v>
      </c>
      <c r="AX49" s="366">
        <f>AX43+SUM(AX44:AX48)</f>
        <v>7052.041934786595</v>
      </c>
      <c r="AY49" s="366">
        <f>AY43+SUM(AY44:AY48)</f>
        <v>7052.792941098581</v>
      </c>
      <c r="AZ49" s="366">
        <f>AZ43+SUM(AZ44:AZ48)</f>
        <v>9.094947017729282e-13</v>
      </c>
      <c r="BA49" s="366">
        <f>BA43+SUM(BA44:BA48)</f>
        <v>0.0</v>
      </c>
      <c r="BB49" s="366">
        <f>BB43+SUM(BB44:BB48)</f>
        <v>4463.805875534848</v>
      </c>
      <c r="BC49" s="366">
        <f>BC43+SUM(BC44:BC48)</f>
        <v>7521.637238564551</v>
      </c>
      <c r="BD49" s="366">
        <f>BD43+SUM(BD44:BD48)</f>
        <v>7786.862296074629</v>
      </c>
      <c r="BE49" s="366">
        <f>BE43+SUM(BE44:BE48)</f>
        <v>7627.988950314166</v>
      </c>
      <c r="BF49" s="366">
        <f>BF43+SUM(BF44:BF48)</f>
        <v>7926.412925883229</v>
      </c>
      <c r="BG49" s="366">
        <f>BG43+SUM(BG44:BG48)</f>
        <v>7703.404245475238</v>
      </c>
      <c r="BH49" s="366">
        <f>BH43+SUM(BH44:BH48)</f>
        <v>7569.490087277265</v>
      </c>
      <c r="BI49" s="366">
        <f>BI43+SUM(BI44:BI48)</f>
        <v>8073.785152795242</v>
      </c>
      <c r="BJ49" s="366">
        <f>BJ43+SUM(BJ44:BJ48)</f>
        <v>7864.656660041153</v>
      </c>
      <c r="BK49" s="366">
        <f>BK43+SUM(BK44:BK48)</f>
        <v>8164.350522971761</v>
      </c>
      <c r="BL49" s="366">
        <f>BL43+SUM(BL44:BL48)</f>
        <v>7920.158988451464</v>
      </c>
      <c r="BM49" s="366">
        <f>BM43+SUM(BM44:BM48)</f>
        <v>8283.741323993563</v>
      </c>
      <c r="BN49" s="366">
        <f>BN43+SUM(BN44:BN48)</f>
        <v>8069.951845626139</v>
      </c>
      <c r="BO49" s="366">
        <f>BO43+SUM(BO44:BO48)</f>
        <v>8380.168750155472</v>
      </c>
      <c r="BP49" s="366">
        <f>BP43+SUM(BP44:BP48)</f>
        <v>8145.432186534468</v>
      </c>
      <c r="BQ49" s="366">
        <f>BQ43+SUM(BQ44:BQ48)</f>
        <v>8051.368270145524</v>
      </c>
      <c r="BR49" s="366">
        <f>BR43+SUM(BR44:BR48)</f>
        <v>8564.966728450932</v>
      </c>
      <c r="BS49" s="366">
        <f>BS43+SUM(BS44:BS48)</f>
        <v>8326.10105657528</v>
      </c>
      <c r="BT49" s="366">
        <f>BT43+SUM(BT44:BT48)</f>
        <v>8631.592591488294</v>
      </c>
      <c r="BU49" s="366">
        <f>BU43+SUM(BU44:BU48)</f>
        <v>8459.408717410737</v>
      </c>
      <c r="BV49" s="366">
        <f>BV43+SUM(BV44:BV48)</f>
        <v>8801.585533466476</v>
      </c>
      <c r="BW49" s="366">
        <f>BW43+SUM(BW44:BW48)</f>
        <v>9017.663894454512</v>
      </c>
      <c r="BX49" s="366">
        <f>BX43+SUM(BX44:BX48)</f>
        <v>9044.339855832266</v>
      </c>
      <c r="BY49" s="366">
        <f>BY43+SUM(BY44:BY48)</f>
        <v>9161.799265857671</v>
      </c>
      <c r="BZ49" s="366">
        <f>BZ43+SUM(BZ44:BZ48)</f>
        <v>9225.704544162636</v>
      </c>
      <c r="CA49" s="366">
        <f>CA43+SUM(CA44:CA48)</f>
        <v>9272.462692519282</v>
      </c>
      <c r="CB49" s="366">
        <f>CB43+SUM(CB44:CB48)</f>
        <v>9300.72548867681</v>
      </c>
      <c r="CC49" s="366">
        <f>CC43+SUM(CC44:CC48)</f>
        <v>9422.455909144512</v>
      </c>
      <c r="CD49" s="366">
        <f>CD43+SUM(CD44:CD48)</f>
        <v>9488.988212533062</v>
      </c>
      <c r="CE49" s="366">
        <f>CE43+SUM(CE44:CE48)</f>
        <v>9537.823478738128</v>
      </c>
      <c r="CF49" s="366">
        <f>CF43+SUM(CF44:CF48)</f>
        <v>9586.890103432881</v>
      </c>
      <c r="CG49" s="366">
        <f>CG43+SUM(CG44:CG48)</f>
        <v>9674.25047865673</v>
      </c>
      <c r="CH49" s="366">
        <f>CH43+SUM(CH44:CH48)</f>
        <v>9762.672231963468</v>
      </c>
      <c r="CI49" s="366">
        <f>CI43+SUM(CI44:CI48)</f>
        <v>9813.521837501972</v>
      </c>
      <c r="CJ49" s="366">
        <f>CJ43+SUM(CJ44:CJ48)</f>
        <v>9844.687529595085</v>
      </c>
      <c r="CK49" s="366">
        <f>CK43+SUM(CK44:CK48)</f>
        <v>9974.953939736379</v>
      </c>
      <c r="CL49" s="366">
        <f>CL43+SUM(CL44:CL48)</f>
        <v>10046.604537115036</v>
      </c>
      <c r="CM49" s="366">
        <f>CM43+SUM(CM44:CM48)</f>
        <v>-855.5441688092069</v>
      </c>
      <c r="CN49" s="366">
        <f>CN43+SUM(CN44:CN48)</f>
        <v>1810.7664905536142</v>
      </c>
      <c r="CO49" s="366">
        <f>CO43+SUM(CO44:CO48)</f>
        <v>-6.786241523111914e-13</v>
      </c>
    </row>
    <row r="50" s="396">
      <c r="J50" s="169" t="n"/>
      <c r="K50" s="169" t="n"/>
      <c r="L50" s="169" t="n"/>
      <c r="M50" s="169" t="n"/>
      <c r="N50" s="169" t="n"/>
      <c r="O50" s="169" t="n"/>
      <c r="P50" s="169" t="n"/>
      <c r="Q50" s="169" t="n"/>
      <c r="R50" s="169" t="n"/>
      <c r="S50" s="169" t="n"/>
      <c r="T50" s="169" t="n"/>
      <c r="U50" s="169" t="n"/>
      <c r="V50" s="169" t="n"/>
      <c r="W50" s="169" t="n"/>
      <c r="X50" s="169" t="n"/>
      <c r="Y50" s="169" t="n"/>
      <c r="Z50" s="169" t="n"/>
      <c r="AA50" s="169" t="n"/>
      <c r="AB50" s="169" t="n"/>
      <c r="AC50" s="169" t="n"/>
      <c r="AD50" s="169" t="n"/>
      <c r="AE50" s="169" t="n"/>
      <c r="AF50" s="169" t="n"/>
      <c r="AG50" s="169" t="n"/>
      <c r="AH50" s="169" t="n"/>
      <c r="AI50" s="169" t="n"/>
      <c r="AJ50" s="169" t="n"/>
      <c r="AK50" s="169" t="n"/>
      <c r="AL50" s="169" t="n"/>
      <c r="AM50" s="169" t="n"/>
      <c r="AN50" s="169" t="n"/>
      <c r="AO50" s="169" t="n"/>
      <c r="AP50" s="169" t="n"/>
      <c r="AQ50" s="169" t="n"/>
      <c r="AR50" s="169" t="n"/>
      <c r="AS50" s="169" t="n"/>
      <c r="AT50" s="169" t="n"/>
      <c r="AU50" s="169" t="n"/>
      <c r="AV50" s="169" t="n"/>
      <c r="AW50" s="169" t="n"/>
      <c r="AX50" s="169" t="n"/>
      <c r="AY50" s="169" t="n"/>
      <c r="AZ50" s="169" t="n"/>
      <c r="BA50" s="169" t="n"/>
      <c r="BB50" s="169" t="n"/>
      <c r="BC50" s="169" t="n"/>
      <c r="BD50" s="169" t="n"/>
      <c r="BE50" s="169" t="n"/>
      <c r="BF50" s="169" t="n"/>
      <c r="BG50" s="169" t="n"/>
      <c r="BH50" s="169"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row>
    <row r="51" s="396">
      <c r="A51" s="163" t="n"/>
      <c r="B51" s="163" t="n"/>
      <c r="C51" s="172" t="n"/>
      <c r="D51" s="88" t="n"/>
      <c r="E51" s="117" t="str">
        <f> Equity!E$40</f>
        <v>Dividend declared and paid</v>
      </c>
      <c r="F51" s="117" t="str">
        <f> Equity!F$40</f>
        <v>IS&amp;CF</v>
      </c>
      <c r="G51" s="117" t="str">
        <f> Equity!G$40</f>
        <v>$ 000s</v>
      </c>
      <c r="H51" s="117">
        <f> Equity!H$40</f>
        <v>-442553.82286558725</v>
      </c>
      <c r="I51" s="117">
        <f> Equity!I$40</f>
        <v>0.0</v>
      </c>
      <c r="J51" s="117">
        <f> Equity!J$40</f>
        <v>-0.0</v>
      </c>
      <c r="K51" s="117">
        <f> Equity!K$40</f>
        <v>-0.0</v>
      </c>
      <c r="L51" s="117">
        <f> Equity!L$40</f>
        <v>-0.0</v>
      </c>
      <c r="M51" s="117">
        <f> Equity!M$40</f>
        <v>-1542.3934940537397</v>
      </c>
      <c r="N51" s="117">
        <f> Equity!N$40</f>
        <v>-3013.9184138551927</v>
      </c>
      <c r="O51" s="117">
        <f> Equity!O$40</f>
        <v>-1652.558514571199</v>
      </c>
      <c r="P51" s="117">
        <f> Equity!P$40</f>
        <v>-1877.2766631413442</v>
      </c>
      <c r="Q51" s="117">
        <f> Equity!Q$40</f>
        <v>-1605.6788192310419</v>
      </c>
      <c r="R51" s="117">
        <f> Equity!R$40</f>
        <v>-1983.6957441078443</v>
      </c>
      <c r="S51" s="117">
        <f> Equity!S$40</f>
        <v>-1717.6411136706224</v>
      </c>
      <c r="T51" s="117">
        <f> Equity!T$40</f>
        <v>-2256.3332814023483</v>
      </c>
      <c r="U51" s="117">
        <f> Equity!U$40</f>
        <v>-1965.571379355562</v>
      </c>
      <c r="V51" s="117">
        <f> Equity!V$40</f>
        <v>-2366.353713238842</v>
      </c>
      <c r="W51" s="117">
        <f> Equity!W$40</f>
        <v>-2070.4845041891194</v>
      </c>
      <c r="X51" s="117">
        <f> Equity!X$40</f>
        <v>-2460.9132086081445</v>
      </c>
      <c r="Y51" s="117">
        <f> Equity!Y$40</f>
        <v>-2138.5867346714954</v>
      </c>
      <c r="Z51" s="117">
        <f> Equity!Z$40</f>
        <v>-2543.247175784429</v>
      </c>
      <c r="AA51" s="117">
        <f> Equity!AA$40</f>
        <v>-2227.4008568537993</v>
      </c>
      <c r="AB51" s="117">
        <f> Equity!AB$40</f>
        <v>-2609.1588256288996</v>
      </c>
      <c r="AC51" s="117">
        <f> Equity!AC$40</f>
        <v>-2278.612895688263</v>
      </c>
      <c r="AD51" s="117">
        <f> Equity!AD$40</f>
        <v>-3170.982245342971</v>
      </c>
      <c r="AE51" s="117">
        <f> Equity!AE$40</f>
        <v>-2825.462487362219</v>
      </c>
      <c r="AF51" s="117">
        <f> Equity!AF$40</f>
        <v>-3270.814594244614</v>
      </c>
      <c r="AG51" s="117">
        <f> Equity!AG$40</f>
        <v>-2911.906669534241</v>
      </c>
      <c r="AH51" s="117">
        <f> Equity!AH$40</f>
        <v>-3376.9518156107697</v>
      </c>
      <c r="AI51" s="117">
        <f> Equity!AI$40</f>
        <v>-3022.938751121577</v>
      </c>
      <c r="AJ51" s="117">
        <f> Equity!AJ$40</f>
        <v>-3493.0275470452298</v>
      </c>
      <c r="AK51" s="117">
        <f> Equity!AK$40</f>
        <v>-3134.0346191567533</v>
      </c>
      <c r="AL51" s="117">
        <f> Equity!AL$40</f>
        <v>-3615.2940559842855</v>
      </c>
      <c r="AM51" s="117">
        <f> Equity!AM$40</f>
        <v>-3731.0718909450707</v>
      </c>
      <c r="AN51" s="117">
        <f> Equity!AN$40</f>
        <v>-4305.901460958602</v>
      </c>
      <c r="AO51" s="117">
        <f> Equity!AO$40</f>
        <v>-3908.4060180680067</v>
      </c>
      <c r="AP51" s="117">
        <f> Equity!AP$40</f>
        <v>-4440.958633417434</v>
      </c>
      <c r="AQ51" s="117">
        <f> Equity!AQ$40</f>
        <v>-4046.2789835152316</v>
      </c>
      <c r="AR51" s="117">
        <f> Equity!AR$40</f>
        <v>-4602.220994617373</v>
      </c>
      <c r="AS51" s="117">
        <f> Equity!AS$40</f>
        <v>-4195.744627353248</v>
      </c>
      <c r="AT51" s="117">
        <f> Equity!AT$40</f>
        <v>-4732.7085651994585</v>
      </c>
      <c r="AU51" s="117">
        <f> Equity!AU$40</f>
        <v>-3395.28320582229</v>
      </c>
      <c r="AV51" s="117">
        <f> Equity!AV$40</f>
        <v>-3338.4064387893923</v>
      </c>
      <c r="AW51" s="117">
        <f> Equity!AW$40</f>
        <v>-3153.1327786661905</v>
      </c>
      <c r="AX51" s="117">
        <f> Equity!AX$40</f>
        <v>-7052.041934786595</v>
      </c>
      <c r="AY51" s="117">
        <f> Equity!AY$40</f>
        <v>-7052.792941098581</v>
      </c>
      <c r="AZ51" s="117">
        <f> Equity!AZ$40</f>
        <v>-9.094947017729282e-13</v>
      </c>
      <c r="BA51" s="117">
        <f> Equity!BA$40</f>
        <v>-0.0</v>
      </c>
      <c r="BB51" s="117">
        <f> Equity!BB$40</f>
        <v>-4463.805875534848</v>
      </c>
      <c r="BC51" s="117">
        <f> Equity!BC$40</f>
        <v>-7521.637238564551</v>
      </c>
      <c r="BD51" s="117">
        <f> Equity!BD$40</f>
        <v>-7786.862296074629</v>
      </c>
      <c r="BE51" s="117">
        <f> Equity!BE$40</f>
        <v>-7627.988950314166</v>
      </c>
      <c r="BF51" s="117">
        <f> Equity!BF$40</f>
        <v>-7926.412925883229</v>
      </c>
      <c r="BG51" s="117">
        <f> Equity!BG$40</f>
        <v>-7703.404245475238</v>
      </c>
      <c r="BH51" s="117">
        <f> Equity!BH$40</f>
        <v>-7569.490087277265</v>
      </c>
      <c r="BI51" s="117">
        <f> Equity!BI$40</f>
        <v>-8073.785152795242</v>
      </c>
      <c r="BJ51" s="117">
        <f> Equity!BJ$40</f>
        <v>-7864.656660041153</v>
      </c>
      <c r="BK51" s="117">
        <f> Equity!BK$40</f>
        <v>-8164.350522971761</v>
      </c>
      <c r="BL51" s="117">
        <f> Equity!BL$40</f>
        <v>-7920.158988451464</v>
      </c>
      <c r="BM51" s="117">
        <f> Equity!BM$40</f>
        <v>-7620.27242300577</v>
      </c>
      <c r="BN51" s="117">
        <f> Equity!BN$40</f>
        <v>-6608.591626340138</v>
      </c>
      <c r="BO51" s="117">
        <f> Equity!BO$40</f>
        <v>-7263.244034060712</v>
      </c>
      <c r="BP51" s="117">
        <f> Equity!BP$40</f>
        <v>-6724.544147981963</v>
      </c>
      <c r="BQ51" s="117">
        <f> Equity!BQ$40</f>
        <v>-6783.166224349965</v>
      </c>
      <c r="BR51" s="117">
        <f> Equity!BR$40</f>
        <v>-7452.493753972138</v>
      </c>
      <c r="BS51" s="117">
        <f> Equity!BS$40</f>
        <v>-6901.718014504093</v>
      </c>
      <c r="BT51" s="117">
        <f> Equity!BT$40</f>
        <v>-8760.135590997805</v>
      </c>
      <c r="BU51" s="117">
        <f> Equity!BU$40</f>
        <v>-8201.159265343336</v>
      </c>
      <c r="BV51" s="117">
        <f> Equity!BV$40</f>
        <v>-8890.566620854173</v>
      </c>
      <c r="BW51" s="117">
        <f> Equity!BW$40</f>
        <v>-8956.508591625765</v>
      </c>
      <c r="BX51" s="117">
        <f> Equity!BX$40</f>
        <v>-9022.939658727733</v>
      </c>
      <c r="BY51" s="117">
        <f> Equity!BY$40</f>
        <v>-9089.863449822671</v>
      </c>
      <c r="BZ51" s="117">
        <f> Equity!BZ$40</f>
        <v>-9157.283619479796</v>
      </c>
      <c r="CA51" s="117">
        <f> Equity!CA$40</f>
        <v>-9225.203849374539</v>
      </c>
      <c r="CB51" s="117">
        <f> Equity!CB$40</f>
        <v>-9293.627848489565</v>
      </c>
      <c r="CC51" s="117">
        <f> Equity!CC$40</f>
        <v>-9362.559353317347</v>
      </c>
      <c r="CD51" s="117">
        <f> Equity!CD$40</f>
        <v>-9432.002128064189</v>
      </c>
      <c r="CE51" s="117">
        <f> Equity!CE$40</f>
        <v>-9501.959964855767</v>
      </c>
      <c r="CF51" s="117">
        <f> Equity!CF$40</f>
        <v>-9572.436683944248</v>
      </c>
      <c r="CG51" s="117">
        <f> Equity!CG$40</f>
        <v>-9643.436133916866</v>
      </c>
      <c r="CH51" s="117">
        <f> Equity!CH$40</f>
        <v>-9714.96219190611</v>
      </c>
      <c r="CI51" s="117">
        <f> Equity!CI$40</f>
        <v>-9787.018763801438</v>
      </c>
      <c r="CJ51" s="117">
        <f> Equity!CJ$40</f>
        <v>-9859.609784462573</v>
      </c>
      <c r="CK51" s="117">
        <f> Equity!CK$40</f>
        <v>-9932.73921793437</v>
      </c>
      <c r="CL51" s="117">
        <f> Equity!CL$40</f>
        <v>-10006.411057663292</v>
      </c>
      <c r="CM51" s="117">
        <f> Equity!CM$40</f>
        <v>-8269.862836161752</v>
      </c>
      <c r="CN51" s="117">
        <f> Equity!CN$40</f>
        <v>-1810.7664905536142</v>
      </c>
      <c r="CO51" s="117">
        <f> Equity!CO$40</f>
        <v>-0.0</v>
      </c>
    </row>
    <row r="52">
      <c r="E52" s="168" t="inlineStr">
        <is>
          <t>Net cash flow</t>
        </is>
      </c>
      <c r="F52" s="168" t="n"/>
      <c r="G52" s="168" t="inlineStr">
        <is>
          <t>$ 000s</t>
        </is>
      </c>
      <c r="H52" s="168">
        <f> SUM(J52:CO52)</f>
        <v>-6.135592362948761e-12</v>
      </c>
      <c r="I52" s="168" t="n"/>
      <c r="J52" s="168">
        <f> J49 + SUM(J51:J51)</f>
        <v>0.0</v>
      </c>
      <c r="K52" s="168">
        <f> K49 + SUM(K51:K51)</f>
        <v>0.0</v>
      </c>
      <c r="L52" s="168">
        <f> L49 + SUM(L51:L51)</f>
        <v>0.0</v>
      </c>
      <c r="M52" s="168">
        <f> M49 + SUM(M51:M51)</f>
        <v>0.0</v>
      </c>
      <c r="N52" s="168">
        <f> N49 + SUM(N51:N51)</f>
        <v>0.0</v>
      </c>
      <c r="O52" s="168">
        <f> O49 + SUM(O51:O51)</f>
        <v>1249.9939929253885</v>
      </c>
      <c r="P52" s="168">
        <f> P49 + SUM(P51:P51)</f>
        <v>1077.21581144606</v>
      </c>
      <c r="Q52" s="168">
        <f> Q49 + SUM(Q51:Q51)</f>
        <v>2147.3424877944976</v>
      </c>
      <c r="R52" s="168">
        <f> R49 + SUM(R51:R51)</f>
        <v>890.5636804175233</v>
      </c>
      <c r="S52" s="168">
        <f> S49 + SUM(S51:S51)</f>
        <v>-985.9633170707393</v>
      </c>
      <c r="T52" s="168">
        <f> T49 + SUM(T51:T51)</f>
        <v>714.2196212260742</v>
      </c>
      <c r="U52" s="168">
        <f> U49 + SUM(U51:U51)</f>
        <v>1426.9459434506325</v>
      </c>
      <c r="V52" s="168">
        <f> V49 + SUM(V51:V51)</f>
        <v>674.2766713714245</v>
      </c>
      <c r="W52" s="168">
        <f> W49 + SUM(W51:W51)</f>
        <v>-148.2490168584036</v>
      </c>
      <c r="X52" s="168">
        <f> X49 + SUM(X51:X51)</f>
        <v>554.0882646846312</v>
      </c>
      <c r="Y52" s="168">
        <f> Y49 + SUM(Y51:Y51)</f>
        <v>1449.4114677851926</v>
      </c>
      <c r="Z52" s="168">
        <f> Z49 + SUM(Z51:Z51)</f>
        <v>459.67825710182433</v>
      </c>
      <c r="AA52" s="168">
        <f> AA49 + SUM(AA51:AA51)</f>
        <v>-851.9652516391957</v>
      </c>
      <c r="AB52" s="168">
        <f> AB49 + SUM(AB51:AB51)</f>
        <v>245.5105200666403</v>
      </c>
      <c r="AC52" s="168">
        <f> AC49 + SUM(AC51:AC51)</f>
        <v>852.6892718027266</v>
      </c>
      <c r="AD52" s="168">
        <f> AD49 + SUM(AD51:AD51)</f>
        <v>-104.60114255331382</v>
      </c>
      <c r="AE52" s="168">
        <f> AE49 + SUM(AE51:AE51)</f>
        <v>-718.4353042624448</v>
      </c>
      <c r="AF52" s="168">
        <f> AF49 + SUM(AF51:AF51)</f>
        <v>-57.409785093825576</v>
      </c>
      <c r="AG52" s="168">
        <f> AG49 + SUM(AG51:AG51)</f>
        <v>437.3045761132935</v>
      </c>
      <c r="AH52" s="168">
        <f> AH49 + SUM(AH51:AH51)</f>
        <v>-146.73678888373388</v>
      </c>
      <c r="AI52" s="168">
        <f> AI49 + SUM(AI51:AI51)</f>
        <v>-420.03349708586484</v>
      </c>
      <c r="AJ52" s="168">
        <f> AJ49 + SUM(AJ51:AJ51)</f>
        <v>-282.2616689096608</v>
      </c>
      <c r="AK52" s="168">
        <f> AK49 + SUM(AK51:AK51)</f>
        <v>288.16367899535953</v>
      </c>
      <c r="AL52" s="168">
        <f> AL49 + SUM(AL51:AL51)</f>
        <v>-607.9678800511347</v>
      </c>
      <c r="AM52" s="168">
        <f> AM49 + SUM(AM51:AM51)</f>
        <v>-1568.7031327783216</v>
      </c>
      <c r="AN52" s="168">
        <f> AN49 + SUM(AN51:AN51)</f>
        <v>-828.5984219609136</v>
      </c>
      <c r="AO52" s="168">
        <f> AO49 + SUM(AO51:AO51)</f>
        <v>-68.38383121115248</v>
      </c>
      <c r="AP52" s="168">
        <f> AP49 + SUM(AP51:AP51)</f>
        <v>-924.255662252569</v>
      </c>
      <c r="AQ52" s="168">
        <f> AQ49 + SUM(AQ51:AQ51)</f>
        <v>-1675.856413330696</v>
      </c>
      <c r="AR52" s="168">
        <f> AR49 + SUM(AR51:AR51)</f>
        <v>-1106.8504280683937</v>
      </c>
      <c r="AS52" s="168">
        <f> AS49 + SUM(AS51:AS51)</f>
        <v>-783.3963411188147</v>
      </c>
      <c r="AT52" s="168">
        <f> AT49 + SUM(AT51:AT51)</f>
        <v>-1187.7363620520914</v>
      </c>
      <c r="AU52" s="168">
        <f> AU49 + SUM(AU51:AU51)</f>
        <v>0.0</v>
      </c>
      <c r="AV52" s="168">
        <f> AV49 + SUM(AV51:AV51)</f>
        <v>0.0</v>
      </c>
      <c r="AW52" s="168">
        <f> AW49 + SUM(AW51:AW51)</f>
        <v>0.0</v>
      </c>
      <c r="AX52" s="168">
        <f> AX49 + SUM(AX51:AX51)</f>
        <v>0.0</v>
      </c>
      <c r="AY52" s="168">
        <f> AY49 + SUM(AY51:AY51)</f>
        <v>0.0</v>
      </c>
      <c r="AZ52" s="168">
        <f> AZ49 + SUM(AZ51:AZ51)</f>
        <v>0.0</v>
      </c>
      <c r="BA52" s="168">
        <f> BA49 + SUM(BA51:BA51)</f>
        <v>0.0</v>
      </c>
      <c r="BB52" s="168">
        <f> BB49 + SUM(BB51:BB51)</f>
        <v>0.0</v>
      </c>
      <c r="BC52" s="168">
        <f> BC49 + SUM(BC51:BC51)</f>
        <v>0.0</v>
      </c>
      <c r="BD52" s="168">
        <f> BD49 + SUM(BD51:BD51)</f>
        <v>0.0</v>
      </c>
      <c r="BE52" s="168">
        <f> BE49 + SUM(BE51:BE51)</f>
        <v>0.0</v>
      </c>
      <c r="BF52" s="168">
        <f> BF49 + SUM(BF51:BF51)</f>
        <v>0.0</v>
      </c>
      <c r="BG52" s="168">
        <f> BG49 + SUM(BG51:BG51)</f>
        <v>0.0</v>
      </c>
      <c r="BH52" s="168">
        <f> BH49 + SUM(BH51:BH51)</f>
        <v>0.0</v>
      </c>
      <c r="BI52" s="168">
        <f> BI49 + SUM(BI51:BI51)</f>
        <v>0.0</v>
      </c>
      <c r="BJ52" s="168">
        <f> BJ49 + SUM(BJ51:BJ51)</f>
        <v>0.0</v>
      </c>
      <c r="BK52" s="168">
        <f> BK49 + SUM(BK51:BK51)</f>
        <v>0.0</v>
      </c>
      <c r="BL52" s="168">
        <f> BL49 + SUM(BL51:BL51)</f>
        <v>0.0</v>
      </c>
      <c r="BM52" s="168">
        <f> BM49 + SUM(BM51:BM51)</f>
        <v>663.468900987793</v>
      </c>
      <c r="BN52" s="168">
        <f> BN49 + SUM(BN51:BN51)</f>
        <v>1461.3602192860017</v>
      </c>
      <c r="BO52" s="168">
        <f> BO49 + SUM(BO51:BO51)</f>
        <v>1116.9247160947598</v>
      </c>
      <c r="BP52" s="168">
        <f> BP49 + SUM(BP51:BP51)</f>
        <v>1420.8880385525053</v>
      </c>
      <c r="BQ52" s="168">
        <f> BQ49 + SUM(BQ51:BQ51)</f>
        <v>1268.2020457955587</v>
      </c>
      <c r="BR52" s="168">
        <f> BR49 + SUM(BR51:BR51)</f>
        <v>1112.4729744787946</v>
      </c>
      <c r="BS52" s="168">
        <f> BS49 + SUM(BS51:BS51)</f>
        <v>1424.3830420711874</v>
      </c>
      <c r="BT52" s="168">
        <f> BT49 + SUM(BT51:BT51)</f>
        <v>-128.542999509511</v>
      </c>
      <c r="BU52" s="168">
        <f> BU49 + SUM(BU51:BU51)</f>
        <v>258.24945206740085</v>
      </c>
      <c r="BV52" s="168">
        <f> BV49 + SUM(BV51:BV51)</f>
        <v>-88.9810873876977</v>
      </c>
      <c r="BW52" s="168">
        <f> BW49 + SUM(BW51:BW51)</f>
        <v>61.15530282874715</v>
      </c>
      <c r="BX52" s="168">
        <f> BX49 + SUM(BX51:BX51)</f>
        <v>21.400197104532708</v>
      </c>
      <c r="BY52" s="168">
        <f> BY49 + SUM(BY51:BY51)</f>
        <v>71.93581603500024</v>
      </c>
      <c r="BZ52" s="168">
        <f> BZ49 + SUM(BZ51:BZ51)</f>
        <v>68.42092468283954</v>
      </c>
      <c r="CA52" s="168">
        <f> CA49 + SUM(CA51:CA51)</f>
        <v>47.25884314474388</v>
      </c>
      <c r="CB52" s="168">
        <f> CB49 + SUM(CB51:CB51)</f>
        <v>7.097640187244906</v>
      </c>
      <c r="CC52" s="168">
        <f> CC49 + SUM(CC51:CC51)</f>
        <v>59.896555827164775</v>
      </c>
      <c r="CD52" s="168">
        <f> CD49 + SUM(CD51:CD51)</f>
        <v>56.98608446887374</v>
      </c>
      <c r="CE52" s="168">
        <f> CE49 + SUM(CE51:CE51)</f>
        <v>35.863513882361076</v>
      </c>
      <c r="CF52" s="168">
        <f> CF49 + SUM(CF51:CF51)</f>
        <v>14.45341948863279</v>
      </c>
      <c r="CG52" s="168">
        <f> CG49 + SUM(CG51:CG51)</f>
        <v>30.814344739863373</v>
      </c>
      <c r="CH52" s="168">
        <f> CH49 + SUM(CH51:CH51)</f>
        <v>47.71004005735813</v>
      </c>
      <c r="CI52" s="168">
        <f> CI49 + SUM(CI51:CI51)</f>
        <v>26.503073700534515</v>
      </c>
      <c r="CJ52" s="168">
        <f> CJ49 + SUM(CJ51:CJ51)</f>
        <v>-14.922254867487936</v>
      </c>
      <c r="CK52" s="168">
        <f> CK49 + SUM(CK51:CK51)</f>
        <v>42.21472180200908</v>
      </c>
      <c r="CL52" s="168">
        <f> CL49 + SUM(CL51:CL51)</f>
        <v>40.19347945174377</v>
      </c>
      <c r="CM52" s="168">
        <f> CM49 + SUM(CM51:CM51)</f>
        <v>-9125.407004970959</v>
      </c>
      <c r="CN52" s="168">
        <f> CN49 + SUM(CN51:CN51)</f>
        <v>0.0</v>
      </c>
      <c r="CO52" s="168">
        <f> CO49 + SUM(CO51:CO51)</f>
        <v>-6.786241523111914e-13</v>
      </c>
    </row>
    <row r="53">
      <c r="J53" s="169" t="n"/>
      <c r="K53" s="169" t="n"/>
      <c r="L53" s="169" t="n"/>
      <c r="M53" s="169" t="n"/>
      <c r="N53" s="169" t="n"/>
      <c r="O53" s="169" t="n"/>
      <c r="P53" s="169" t="n"/>
      <c r="Q53" s="169" t="n"/>
      <c r="R53" s="169" t="n"/>
      <c r="S53" s="169" t="n"/>
      <c r="T53" s="169" t="n"/>
      <c r="U53" s="169" t="n"/>
      <c r="V53" s="169" t="n"/>
      <c r="W53" s="169" t="n"/>
      <c r="X53" s="169" t="n"/>
      <c r="Y53" s="169" t="n"/>
      <c r="Z53" s="169" t="n"/>
      <c r="AA53" s="169" t="n"/>
      <c r="AB53" s="169" t="n"/>
      <c r="AC53" s="169" t="n"/>
      <c r="AD53" s="169" t="n"/>
      <c r="AE53" s="169" t="n"/>
      <c r="AF53" s="169" t="n"/>
      <c r="AG53" s="169" t="n"/>
      <c r="AH53" s="169" t="n"/>
      <c r="AI53" s="169" t="n"/>
      <c r="AJ53" s="169" t="n"/>
      <c r="AK53" s="169" t="n"/>
      <c r="AL53" s="169" t="n"/>
      <c r="AM53" s="169" t="n"/>
      <c r="AN53" s="169" t="n"/>
      <c r="AO53" s="169" t="n"/>
      <c r="AP53" s="169" t="n"/>
      <c r="AQ53" s="169" t="n"/>
      <c r="AR53" s="169" t="n"/>
      <c r="AS53" s="169" t="n"/>
      <c r="AT53" s="169" t="n"/>
      <c r="AU53" s="169" t="n"/>
      <c r="AV53" s="169" t="n"/>
      <c r="AW53" s="169" t="n"/>
      <c r="AX53" s="169" t="n"/>
      <c r="AY53" s="169" t="n"/>
      <c r="AZ53" s="169" t="n"/>
      <c r="BA53" s="169" t="n"/>
      <c r="BB53" s="169" t="n"/>
      <c r="BC53" s="169" t="n"/>
      <c r="BD53" s="169" t="n"/>
      <c r="BE53" s="169" t="n"/>
      <c r="BF53" s="169" t="n"/>
      <c r="BG53" s="169" t="n"/>
      <c r="BH53" s="169"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row>
    <row r="54">
      <c r="E54" s="169" t="inlineStr">
        <is>
          <t>Retained cash balance BEG</t>
        </is>
      </c>
      <c r="F54" s="169" t="n"/>
      <c r="G54" s="169" t="n"/>
      <c r="H54" s="169" t="n"/>
      <c r="I54" s="169" t="n"/>
      <c r="J54" s="169">
        <f>I56</f>
        <v>0.0</v>
      </c>
      <c r="K54" s="169">
        <f>J56</f>
        <v>0.0</v>
      </c>
      <c r="L54" s="169">
        <f>K56</f>
        <v>0.0</v>
      </c>
      <c r="M54" s="169">
        <f>L56</f>
        <v>0.0</v>
      </c>
      <c r="N54" s="169">
        <f>M56</f>
        <v>0.0</v>
      </c>
      <c r="O54" s="169">
        <f>N56</f>
        <v>0.0</v>
      </c>
      <c r="P54" s="169">
        <f>O56</f>
        <v>1249.9939929253885</v>
      </c>
      <c r="Q54" s="169">
        <f>P56</f>
        <v>2327.2098043714486</v>
      </c>
      <c r="R54" s="169">
        <f>Q56</f>
        <v>4474.552292165947</v>
      </c>
      <c r="S54" s="169">
        <f>R56</f>
        <v>5365.11597258347</v>
      </c>
      <c r="T54" s="169">
        <f>S56</f>
        <v>4379.15265551273</v>
      </c>
      <c r="U54" s="169">
        <f>T56</f>
        <v>5093.372276738804</v>
      </c>
      <c r="V54" s="169">
        <f>U56</f>
        <v>6520.318220189437</v>
      </c>
      <c r="W54" s="169">
        <f>V56</f>
        <v>7194.5948915608615</v>
      </c>
      <c r="X54" s="169">
        <f>W56</f>
        <v>7046.345874702458</v>
      </c>
      <c r="Y54" s="169">
        <f>X56</f>
        <v>7600.434139387089</v>
      </c>
      <c r="Z54" s="169">
        <f>Y56</f>
        <v>9049.845607172281</v>
      </c>
      <c r="AA54" s="169">
        <f>Z56</f>
        <v>9509.523864274106</v>
      </c>
      <c r="AB54" s="169">
        <f>AA56</f>
        <v>8657.55861263491</v>
      </c>
      <c r="AC54" s="169">
        <f>AB56</f>
        <v>8903.06913270155</v>
      </c>
      <c r="AD54" s="169">
        <f>AC56</f>
        <v>9755.758404504277</v>
      </c>
      <c r="AE54" s="169">
        <f>AD56</f>
        <v>9651.157261950962</v>
      </c>
      <c r="AF54" s="169">
        <f>AE56</f>
        <v>8932.721957688518</v>
      </c>
      <c r="AG54" s="169">
        <f>AF56</f>
        <v>8875.312172594693</v>
      </c>
      <c r="AH54" s="169">
        <f>AG56</f>
        <v>9312.616748707987</v>
      </c>
      <c r="AI54" s="169">
        <f>AH56</f>
        <v>9165.879959824253</v>
      </c>
      <c r="AJ54" s="169">
        <f>AI56</f>
        <v>8745.846462738387</v>
      </c>
      <c r="AK54" s="169">
        <f>AJ56</f>
        <v>8463.584793828726</v>
      </c>
      <c r="AL54" s="169">
        <f>AK56</f>
        <v>8751.748472824085</v>
      </c>
      <c r="AM54" s="169">
        <f>AL56</f>
        <v>8143.7805927729505</v>
      </c>
      <c r="AN54" s="169">
        <f>AM56</f>
        <v>6575.077459994629</v>
      </c>
      <c r="AO54" s="169">
        <f>AN56</f>
        <v>5746.479038033715</v>
      </c>
      <c r="AP54" s="169">
        <f>AO56</f>
        <v>5678.095206822563</v>
      </c>
      <c r="AQ54" s="169">
        <f>AP56</f>
        <v>4753.839544569994</v>
      </c>
      <c r="AR54" s="169">
        <f>AQ56</f>
        <v>3077.9831312392985</v>
      </c>
      <c r="AS54" s="169">
        <f>AR56</f>
        <v>1971.1327031709047</v>
      </c>
      <c r="AT54" s="169">
        <f>AS56</f>
        <v>1187.73636205209</v>
      </c>
      <c r="AU54" s="169">
        <f>AT56</f>
        <v>-1.3642420526593924e-12</v>
      </c>
      <c r="AV54" s="169">
        <f>AU56</f>
        <v>-1.3642420526593924e-12</v>
      </c>
      <c r="AW54" s="169">
        <f>AV56</f>
        <v>-1.3642420526593924e-12</v>
      </c>
      <c r="AX54" s="169">
        <f>AW56</f>
        <v>-1.3642420526593924e-12</v>
      </c>
      <c r="AY54" s="169">
        <f>AX56</f>
        <v>-1.3642420526593924e-12</v>
      </c>
      <c r="AZ54" s="169">
        <f>AY56</f>
        <v>-1.3642420526593924e-12</v>
      </c>
      <c r="BA54" s="169">
        <f>AZ56</f>
        <v>-1.3642420526593924e-12</v>
      </c>
      <c r="BB54" s="169">
        <f>BA56</f>
        <v>-1.3642420526593924e-12</v>
      </c>
      <c r="BC54" s="169">
        <f>BB56</f>
        <v>-1.3642420526593924e-12</v>
      </c>
      <c r="BD54" s="169">
        <f>BC56</f>
        <v>-1.3642420526593924e-12</v>
      </c>
      <c r="BE54" s="169">
        <f>BD56</f>
        <v>-1.3642420526593924e-12</v>
      </c>
      <c r="BF54" s="169">
        <f>BE56</f>
        <v>-1.3642420526593924e-12</v>
      </c>
      <c r="BG54" s="169">
        <f>BF56</f>
        <v>-1.3642420526593924e-12</v>
      </c>
      <c r="BH54" s="169">
        <f>BG56</f>
        <v>-1.3642420526593924e-12</v>
      </c>
      <c r="BI54" s="169">
        <f>BH56</f>
        <v>-1.3642420526593924e-12</v>
      </c>
      <c r="BJ54" s="169">
        <f>BI56</f>
        <v>-1.3642420526593924e-12</v>
      </c>
      <c r="BK54" s="169">
        <f>BJ56</f>
        <v>-1.3642420526593924e-12</v>
      </c>
      <c r="BL54" s="169">
        <f>BK56</f>
        <v>-1.3642420526593924e-12</v>
      </c>
      <c r="BM54" s="169">
        <f>BL56</f>
        <v>-1.3642420526593924e-12</v>
      </c>
      <c r="BN54" s="169">
        <f>BM56</f>
        <v>663.4689009877916</v>
      </c>
      <c r="BO54" s="169">
        <f>BN56</f>
        <v>2124.8291202737933</v>
      </c>
      <c r="BP54" s="169">
        <f>BO56</f>
        <v>3241.753836368553</v>
      </c>
      <c r="BQ54" s="169">
        <f>BP56</f>
        <v>4662.641874921059</v>
      </c>
      <c r="BR54" s="169">
        <f>BQ56</f>
        <v>5930.8439207166175</v>
      </c>
      <c r="BS54" s="169">
        <f>BR56</f>
        <v>7043.316895195412</v>
      </c>
      <c r="BT54" s="169">
        <f>BS56</f>
        <v>8467.6999372666</v>
      </c>
      <c r="BU54" s="169">
        <f>BT56</f>
        <v>8339.156937757089</v>
      </c>
      <c r="BV54" s="169">
        <f>BU56</f>
        <v>8597.40638982449</v>
      </c>
      <c r="BW54" s="169">
        <f>BV56</f>
        <v>8508.425302436792</v>
      </c>
      <c r="BX54" s="169">
        <f>BW56</f>
        <v>8569.580605265539</v>
      </c>
      <c r="BY54" s="169">
        <f>BX56</f>
        <v>8590.980802370072</v>
      </c>
      <c r="BZ54" s="169">
        <f>BY56</f>
        <v>8662.916618405072</v>
      </c>
      <c r="CA54" s="169">
        <f>BZ56</f>
        <v>8731.337543087911</v>
      </c>
      <c r="CB54" s="169">
        <f>CA56</f>
        <v>8778.596386232655</v>
      </c>
      <c r="CC54" s="169">
        <f>CB56</f>
        <v>8785.6940264199</v>
      </c>
      <c r="CD54" s="169">
        <f>CC56</f>
        <v>8845.590582247065</v>
      </c>
      <c r="CE54" s="169">
        <f>CD56</f>
        <v>8902.576666715939</v>
      </c>
      <c r="CF54" s="169">
        <f>CE56</f>
        <v>8938.4401805983</v>
      </c>
      <c r="CG54" s="169">
        <f>CF56</f>
        <v>8952.893600086933</v>
      </c>
      <c r="CH54" s="169">
        <f>CG56</f>
        <v>8983.707944826796</v>
      </c>
      <c r="CI54" s="169">
        <f>CH56</f>
        <v>9031.417984884154</v>
      </c>
      <c r="CJ54" s="169">
        <f>CI56</f>
        <v>9057.921058584689</v>
      </c>
      <c r="CK54" s="169">
        <f>CJ56</f>
        <v>9042.9988037172</v>
      </c>
      <c r="CL54" s="169">
        <f>CK56</f>
        <v>9085.21352551921</v>
      </c>
      <c r="CM54" s="169">
        <f>CL56</f>
        <v>9125.407004970953</v>
      </c>
      <c r="CN54" s="169">
        <f>CM56</f>
        <v>-5.4569682106375694e-12</v>
      </c>
      <c r="CO54" s="169">
        <f>CN56</f>
        <v>-5.4569682106375694e-12</v>
      </c>
    </row>
    <row r="55">
      <c r="D55" s="88" t="inlineStr">
        <is>
          <t>plus</t>
        </is>
      </c>
      <c r="E55" s="169" t="str">
        <f> E$52</f>
        <v>Net cash flow</v>
      </c>
      <c r="F55" s="169">
        <f> F$52</f>
        <v>0.0</v>
      </c>
      <c r="G55" s="169" t="inlineStr">
        <is>
          <t>$ 000s</t>
        </is>
      </c>
      <c r="H55" s="169">
        <f> H$52</f>
        <v>-6.135592362948761e-12</v>
      </c>
      <c r="I55" s="169">
        <f> I$52</f>
        <v>0.0</v>
      </c>
      <c r="J55" s="169">
        <f> J$52</f>
        <v>0.0</v>
      </c>
      <c r="K55" s="169">
        <f> K$52</f>
        <v>0.0</v>
      </c>
      <c r="L55" s="169">
        <f> L$52</f>
        <v>0.0</v>
      </c>
      <c r="M55" s="169">
        <f> M$52</f>
        <v>0.0</v>
      </c>
      <c r="N55" s="169">
        <f> N$52</f>
        <v>0.0</v>
      </c>
      <c r="O55" s="169">
        <f> O$52</f>
        <v>1249.9939929253885</v>
      </c>
      <c r="P55" s="169">
        <f> P$52</f>
        <v>1077.21581144606</v>
      </c>
      <c r="Q55" s="169">
        <f> Q$52</f>
        <v>2147.3424877944976</v>
      </c>
      <c r="R55" s="169">
        <f> R$52</f>
        <v>890.5636804175233</v>
      </c>
      <c r="S55" s="169">
        <f> S$52</f>
        <v>-985.9633170707393</v>
      </c>
      <c r="T55" s="169">
        <f> T$52</f>
        <v>714.2196212260742</v>
      </c>
      <c r="U55" s="169">
        <f> U$52</f>
        <v>1426.9459434506325</v>
      </c>
      <c r="V55" s="169">
        <f> V$52</f>
        <v>674.2766713714245</v>
      </c>
      <c r="W55" s="169">
        <f> W$52</f>
        <v>-148.2490168584036</v>
      </c>
      <c r="X55" s="169">
        <f> X$52</f>
        <v>554.0882646846312</v>
      </c>
      <c r="Y55" s="169">
        <f> Y$52</f>
        <v>1449.4114677851926</v>
      </c>
      <c r="Z55" s="169">
        <f> Z$52</f>
        <v>459.67825710182433</v>
      </c>
      <c r="AA55" s="169">
        <f> AA$52</f>
        <v>-851.9652516391957</v>
      </c>
      <c r="AB55" s="169">
        <f> AB$52</f>
        <v>245.5105200666403</v>
      </c>
      <c r="AC55" s="169">
        <f> AC$52</f>
        <v>852.6892718027266</v>
      </c>
      <c r="AD55" s="169">
        <f> AD$52</f>
        <v>-104.60114255331382</v>
      </c>
      <c r="AE55" s="169">
        <f> AE$52</f>
        <v>-718.4353042624448</v>
      </c>
      <c r="AF55" s="169">
        <f> AF$52</f>
        <v>-57.409785093825576</v>
      </c>
      <c r="AG55" s="169">
        <f> AG$52</f>
        <v>437.3045761132935</v>
      </c>
      <c r="AH55" s="169">
        <f> AH$52</f>
        <v>-146.73678888373388</v>
      </c>
      <c r="AI55" s="169">
        <f> AI$52</f>
        <v>-420.03349708586484</v>
      </c>
      <c r="AJ55" s="169">
        <f> AJ$52</f>
        <v>-282.2616689096608</v>
      </c>
      <c r="AK55" s="169">
        <f> AK$52</f>
        <v>288.16367899535953</v>
      </c>
      <c r="AL55" s="169">
        <f> AL$52</f>
        <v>-607.9678800511347</v>
      </c>
      <c r="AM55" s="169">
        <f> AM$52</f>
        <v>-1568.7031327783216</v>
      </c>
      <c r="AN55" s="169">
        <f> AN$52</f>
        <v>-828.5984219609136</v>
      </c>
      <c r="AO55" s="169">
        <f> AO$52</f>
        <v>-68.38383121115248</v>
      </c>
      <c r="AP55" s="169">
        <f> AP$52</f>
        <v>-924.255662252569</v>
      </c>
      <c r="AQ55" s="169">
        <f> AQ$52</f>
        <v>-1675.856413330696</v>
      </c>
      <c r="AR55" s="169">
        <f> AR$52</f>
        <v>-1106.8504280683937</v>
      </c>
      <c r="AS55" s="169">
        <f> AS$52</f>
        <v>-783.3963411188147</v>
      </c>
      <c r="AT55" s="169">
        <f> AT$52</f>
        <v>-1187.7363620520914</v>
      </c>
      <c r="AU55" s="169">
        <f> AU$52</f>
        <v>0.0</v>
      </c>
      <c r="AV55" s="169">
        <f> AV$52</f>
        <v>0.0</v>
      </c>
      <c r="AW55" s="169">
        <f> AW$52</f>
        <v>0.0</v>
      </c>
      <c r="AX55" s="169">
        <f> AX$52</f>
        <v>0.0</v>
      </c>
      <c r="AY55" s="169">
        <f> AY$52</f>
        <v>0.0</v>
      </c>
      <c r="AZ55" s="169">
        <f> AZ$52</f>
        <v>0.0</v>
      </c>
      <c r="BA55" s="169">
        <f> BA$52</f>
        <v>0.0</v>
      </c>
      <c r="BB55" s="169">
        <f> BB$52</f>
        <v>0.0</v>
      </c>
      <c r="BC55" s="169">
        <f> BC$52</f>
        <v>0.0</v>
      </c>
      <c r="BD55" s="169">
        <f> BD$52</f>
        <v>0.0</v>
      </c>
      <c r="BE55" s="169">
        <f> BE$52</f>
        <v>0.0</v>
      </c>
      <c r="BF55" s="169">
        <f> BF$52</f>
        <v>0.0</v>
      </c>
      <c r="BG55" s="169">
        <f> BG$52</f>
        <v>0.0</v>
      </c>
      <c r="BH55" s="169">
        <f> BH$52</f>
        <v>0.0</v>
      </c>
      <c r="BI55" s="169">
        <f> BI$52</f>
        <v>0.0</v>
      </c>
      <c r="BJ55" s="169">
        <f> BJ$52</f>
        <v>0.0</v>
      </c>
      <c r="BK55" s="169">
        <f> BK$52</f>
        <v>0.0</v>
      </c>
      <c r="BL55" s="169">
        <f> BL$52</f>
        <v>0.0</v>
      </c>
      <c r="BM55" s="169">
        <f> BM$52</f>
        <v>663.468900987793</v>
      </c>
      <c r="BN55" s="169">
        <f> BN$52</f>
        <v>1461.3602192860017</v>
      </c>
      <c r="BO55" s="169">
        <f> BO$52</f>
        <v>1116.9247160947598</v>
      </c>
      <c r="BP55" s="169">
        <f> BP$52</f>
        <v>1420.8880385525053</v>
      </c>
      <c r="BQ55" s="169">
        <f> BQ$52</f>
        <v>1268.2020457955587</v>
      </c>
      <c r="BR55" s="169">
        <f> BR$52</f>
        <v>1112.4729744787946</v>
      </c>
      <c r="BS55" s="169">
        <f> BS$52</f>
        <v>1424.3830420711874</v>
      </c>
      <c r="BT55" s="169">
        <f> BT$52</f>
        <v>-128.542999509511</v>
      </c>
      <c r="BU55" s="169">
        <f> BU$52</f>
        <v>258.24945206740085</v>
      </c>
      <c r="BV55" s="169">
        <f> BV$52</f>
        <v>-88.9810873876977</v>
      </c>
      <c r="BW55" s="169">
        <f> BW$52</f>
        <v>61.15530282874715</v>
      </c>
      <c r="BX55" s="169">
        <f> BX$52</f>
        <v>21.400197104532708</v>
      </c>
      <c r="BY55" s="169">
        <f> BY$52</f>
        <v>71.93581603500024</v>
      </c>
      <c r="BZ55" s="169">
        <f> BZ$52</f>
        <v>68.42092468283954</v>
      </c>
      <c r="CA55" s="169">
        <f> CA$52</f>
        <v>47.25884314474388</v>
      </c>
      <c r="CB55" s="169">
        <f> CB$52</f>
        <v>7.097640187244906</v>
      </c>
      <c r="CC55" s="169">
        <f> CC$52</f>
        <v>59.896555827164775</v>
      </c>
      <c r="CD55" s="169">
        <f> CD$52</f>
        <v>56.98608446887374</v>
      </c>
      <c r="CE55" s="169">
        <f> CE$52</f>
        <v>35.863513882361076</v>
      </c>
      <c r="CF55" s="169">
        <f> CF$52</f>
        <v>14.45341948863279</v>
      </c>
      <c r="CG55" s="169">
        <f> CG$52</f>
        <v>30.814344739863373</v>
      </c>
      <c r="CH55" s="169">
        <f> CH$52</f>
        <v>47.71004005735813</v>
      </c>
      <c r="CI55" s="169">
        <f> CI$52</f>
        <v>26.503073700534515</v>
      </c>
      <c r="CJ55" s="169">
        <f> CJ$52</f>
        <v>-14.922254867487936</v>
      </c>
      <c r="CK55" s="169">
        <f> CK$52</f>
        <v>42.21472180200908</v>
      </c>
      <c r="CL55" s="169">
        <f> CL$52</f>
        <v>40.19347945174377</v>
      </c>
      <c r="CM55" s="169">
        <f> CM$52</f>
        <v>-9125.407004970959</v>
      </c>
      <c r="CN55" s="169">
        <f> CN$52</f>
        <v>0.0</v>
      </c>
      <c r="CO55" s="169">
        <f> CO$52</f>
        <v>-6.786241523111914e-13</v>
      </c>
    </row>
    <row r="56">
      <c r="E56" s="169" t="inlineStr">
        <is>
          <t>Retained cash balance</t>
        </is>
      </c>
      <c r="G56" s="169" t="inlineStr">
        <is>
          <t>$ 000s</t>
        </is>
      </c>
      <c r="I56" s="146" t="n"/>
      <c r="J56" s="169">
        <f> SUM(J54:J55)</f>
        <v>0.0</v>
      </c>
      <c r="K56" s="169">
        <f> SUM(K54:K55)</f>
        <v>0.0</v>
      </c>
      <c r="L56" s="169">
        <f> SUM(L54:L55)</f>
        <v>0.0</v>
      </c>
      <c r="M56" s="169">
        <f> SUM(M54:M55)</f>
        <v>0.0</v>
      </c>
      <c r="N56" s="169">
        <f> SUM(N54:N55)</f>
        <v>0.0</v>
      </c>
      <c r="O56" s="169">
        <f> SUM(O54:O55)</f>
        <v>1249.9939929253885</v>
      </c>
      <c r="P56" s="169">
        <f> SUM(P54:P55)</f>
        <v>2327.2098043714486</v>
      </c>
      <c r="Q56" s="169">
        <f> SUM(Q54:Q55)</f>
        <v>4474.552292165947</v>
      </c>
      <c r="R56" s="169">
        <f> SUM(R54:R55)</f>
        <v>5365.11597258347</v>
      </c>
      <c r="S56" s="169">
        <f> SUM(S54:S55)</f>
        <v>4379.15265551273</v>
      </c>
      <c r="T56" s="169">
        <f> SUM(T54:T55)</f>
        <v>5093.372276738804</v>
      </c>
      <c r="U56" s="169">
        <f> SUM(U54:U55)</f>
        <v>6520.318220189437</v>
      </c>
      <c r="V56" s="169">
        <f> SUM(V54:V55)</f>
        <v>7194.5948915608615</v>
      </c>
      <c r="W56" s="169">
        <f> SUM(W54:W55)</f>
        <v>7046.345874702458</v>
      </c>
      <c r="X56" s="169">
        <f> SUM(X54:X55)</f>
        <v>7600.434139387089</v>
      </c>
      <c r="Y56" s="169">
        <f> SUM(Y54:Y55)</f>
        <v>9049.845607172281</v>
      </c>
      <c r="Z56" s="169">
        <f> SUM(Z54:Z55)</f>
        <v>9509.523864274106</v>
      </c>
      <c r="AA56" s="169">
        <f> SUM(AA54:AA55)</f>
        <v>8657.55861263491</v>
      </c>
      <c r="AB56" s="169">
        <f> SUM(AB54:AB55)</f>
        <v>8903.06913270155</v>
      </c>
      <c r="AC56" s="169">
        <f> SUM(AC54:AC55)</f>
        <v>9755.758404504277</v>
      </c>
      <c r="AD56" s="169">
        <f> SUM(AD54:AD55)</f>
        <v>9651.157261950962</v>
      </c>
      <c r="AE56" s="169">
        <f> SUM(AE54:AE55)</f>
        <v>8932.721957688518</v>
      </c>
      <c r="AF56" s="169">
        <f> SUM(AF54:AF55)</f>
        <v>8875.312172594693</v>
      </c>
      <c r="AG56" s="169">
        <f> SUM(AG54:AG55)</f>
        <v>9312.616748707987</v>
      </c>
      <c r="AH56" s="169">
        <f> SUM(AH54:AH55)</f>
        <v>9165.879959824253</v>
      </c>
      <c r="AI56" s="169">
        <f> SUM(AI54:AI55)</f>
        <v>8745.846462738387</v>
      </c>
      <c r="AJ56" s="169">
        <f> SUM(AJ54:AJ55)</f>
        <v>8463.584793828726</v>
      </c>
      <c r="AK56" s="169">
        <f> SUM(AK54:AK55)</f>
        <v>8751.748472824085</v>
      </c>
      <c r="AL56" s="169">
        <f> SUM(AL54:AL55)</f>
        <v>8143.7805927729505</v>
      </c>
      <c r="AM56" s="169">
        <f> SUM(AM54:AM55)</f>
        <v>6575.077459994629</v>
      </c>
      <c r="AN56" s="169">
        <f> SUM(AN54:AN55)</f>
        <v>5746.479038033715</v>
      </c>
      <c r="AO56" s="169">
        <f> SUM(AO54:AO55)</f>
        <v>5678.095206822563</v>
      </c>
      <c r="AP56" s="169">
        <f> SUM(AP54:AP55)</f>
        <v>4753.839544569994</v>
      </c>
      <c r="AQ56" s="169">
        <f> SUM(AQ54:AQ55)</f>
        <v>3077.9831312392985</v>
      </c>
      <c r="AR56" s="169">
        <f> SUM(AR54:AR55)</f>
        <v>1971.1327031709047</v>
      </c>
      <c r="AS56" s="169">
        <f> SUM(AS54:AS55)</f>
        <v>1187.73636205209</v>
      </c>
      <c r="AT56" s="169">
        <f> SUM(AT54:AT55)</f>
        <v>-1.3642420526593924e-12</v>
      </c>
      <c r="AU56" s="169">
        <f> SUM(AU54:AU55)</f>
        <v>-1.3642420526593924e-12</v>
      </c>
      <c r="AV56" s="169">
        <f> SUM(AV54:AV55)</f>
        <v>-1.3642420526593924e-12</v>
      </c>
      <c r="AW56" s="169">
        <f> SUM(AW54:AW55)</f>
        <v>-1.3642420526593924e-12</v>
      </c>
      <c r="AX56" s="169">
        <f> SUM(AX54:AX55)</f>
        <v>-1.3642420526593924e-12</v>
      </c>
      <c r="AY56" s="169">
        <f> SUM(AY54:AY55)</f>
        <v>-1.3642420526593924e-12</v>
      </c>
      <c r="AZ56" s="169">
        <f> SUM(AZ54:AZ55)</f>
        <v>-1.3642420526593924e-12</v>
      </c>
      <c r="BA56" s="169">
        <f> SUM(BA54:BA55)</f>
        <v>-1.3642420526593924e-12</v>
      </c>
      <c r="BB56" s="169">
        <f> SUM(BB54:BB55)</f>
        <v>-1.3642420526593924e-12</v>
      </c>
      <c r="BC56" s="169">
        <f> SUM(BC54:BC55)</f>
        <v>-1.3642420526593924e-12</v>
      </c>
      <c r="BD56" s="169">
        <f> SUM(BD54:BD55)</f>
        <v>-1.3642420526593924e-12</v>
      </c>
      <c r="BE56" s="169">
        <f> SUM(BE54:BE55)</f>
        <v>-1.3642420526593924e-12</v>
      </c>
      <c r="BF56" s="169">
        <f> SUM(BF54:BF55)</f>
        <v>-1.3642420526593924e-12</v>
      </c>
      <c r="BG56" s="169">
        <f> SUM(BG54:BG55)</f>
        <v>-1.3642420526593924e-12</v>
      </c>
      <c r="BH56" s="169">
        <f> SUM(BH54:BH55)</f>
        <v>-1.3642420526593924e-12</v>
      </c>
      <c r="BI56" s="169">
        <f> SUM(BI54:BI55)</f>
        <v>-1.3642420526593924e-12</v>
      </c>
      <c r="BJ56" s="169">
        <f> SUM(BJ54:BJ55)</f>
        <v>-1.3642420526593924e-12</v>
      </c>
      <c r="BK56" s="169">
        <f> SUM(BK54:BK55)</f>
        <v>-1.3642420526593924e-12</v>
      </c>
      <c r="BL56" s="169">
        <f> SUM(BL54:BL55)</f>
        <v>-1.3642420526593924e-12</v>
      </c>
      <c r="BM56" s="169">
        <f> SUM(BM54:BM55)</f>
        <v>663.4689009877916</v>
      </c>
      <c r="BN56" s="169">
        <f> SUM(BN54:BN55)</f>
        <v>2124.8291202737933</v>
      </c>
      <c r="BO56" s="169">
        <f> SUM(BO54:BO55)</f>
        <v>3241.753836368553</v>
      </c>
      <c r="BP56" s="169">
        <f> SUM(BP54:BP55)</f>
        <v>4662.641874921059</v>
      </c>
      <c r="BQ56" s="169">
        <f> SUM(BQ54:BQ55)</f>
        <v>5930.8439207166175</v>
      </c>
      <c r="BR56" s="169">
        <f> SUM(BR54:BR55)</f>
        <v>7043.316895195412</v>
      </c>
      <c r="BS56" s="169">
        <f> SUM(BS54:BS55)</f>
        <v>8467.6999372666</v>
      </c>
      <c r="BT56" s="169">
        <f> SUM(BT54:BT55)</f>
        <v>8339.156937757089</v>
      </c>
      <c r="BU56" s="169">
        <f> SUM(BU54:BU55)</f>
        <v>8597.40638982449</v>
      </c>
      <c r="BV56" s="169">
        <f> SUM(BV54:BV55)</f>
        <v>8508.425302436792</v>
      </c>
      <c r="BW56" s="169">
        <f> SUM(BW54:BW55)</f>
        <v>8569.580605265539</v>
      </c>
      <c r="BX56" s="169">
        <f> SUM(BX54:BX55)</f>
        <v>8590.980802370072</v>
      </c>
      <c r="BY56" s="169">
        <f> SUM(BY54:BY55)</f>
        <v>8662.916618405072</v>
      </c>
      <c r="BZ56" s="169">
        <f> SUM(BZ54:BZ55)</f>
        <v>8731.337543087911</v>
      </c>
      <c r="CA56" s="169">
        <f> SUM(CA54:CA55)</f>
        <v>8778.596386232655</v>
      </c>
      <c r="CB56" s="169">
        <f> SUM(CB54:CB55)</f>
        <v>8785.6940264199</v>
      </c>
      <c r="CC56" s="169">
        <f> SUM(CC54:CC55)</f>
        <v>8845.590582247065</v>
      </c>
      <c r="CD56" s="169">
        <f> SUM(CD54:CD55)</f>
        <v>8902.576666715939</v>
      </c>
      <c r="CE56" s="169">
        <f> SUM(CE54:CE55)</f>
        <v>8938.4401805983</v>
      </c>
      <c r="CF56" s="169">
        <f> SUM(CF54:CF55)</f>
        <v>8952.893600086933</v>
      </c>
      <c r="CG56" s="169">
        <f> SUM(CG54:CG55)</f>
        <v>8983.707944826796</v>
      </c>
      <c r="CH56" s="169">
        <f> SUM(CH54:CH55)</f>
        <v>9031.417984884154</v>
      </c>
      <c r="CI56" s="169">
        <f> SUM(CI54:CI55)</f>
        <v>9057.921058584689</v>
      </c>
      <c r="CJ56" s="169">
        <f> SUM(CJ54:CJ55)</f>
        <v>9042.9988037172</v>
      </c>
      <c r="CK56" s="169">
        <f> SUM(CK54:CK55)</f>
        <v>9085.21352551921</v>
      </c>
      <c r="CL56" s="169">
        <f> SUM(CL54:CL55)</f>
        <v>9125.407004970953</v>
      </c>
      <c r="CM56" s="169">
        <f> SUM(CM54:CM55)</f>
        <v>-5.4569682106375694e-12</v>
      </c>
      <c r="CN56" s="169">
        <f> SUM(CN54:CN55)</f>
        <v>-5.4569682106375694e-12</v>
      </c>
      <c r="CO56" s="169">
        <f> SUM(CO54:CO55)</f>
        <v>-6.135592362948761e-12</v>
      </c>
    </row>
    <row r="58">
      <c r="J58" s="169" t="n"/>
      <c r="K58" s="169" t="n"/>
      <c r="L58" s="169" t="n"/>
      <c r="M58" s="169" t="n"/>
      <c r="N58" s="169" t="n"/>
      <c r="O58" s="169" t="n"/>
      <c r="P58" s="169" t="n"/>
      <c r="Q58" s="169" t="n"/>
      <c r="R58" s="169" t="n"/>
      <c r="S58" s="169" t="n"/>
      <c r="T58" s="169" t="n"/>
      <c r="U58" s="169" t="n"/>
      <c r="V58" s="169" t="n"/>
      <c r="W58" s="169" t="n"/>
      <c r="X58" s="169" t="n"/>
      <c r="Y58" s="169" t="n"/>
      <c r="Z58" s="169" t="n"/>
      <c r="AA58" s="169" t="n"/>
      <c r="AB58" s="169" t="n"/>
      <c r="AC58" s="169" t="n"/>
      <c r="AD58" s="169" t="n"/>
      <c r="AE58" s="169" t="n"/>
      <c r="AF58" s="169" t="n"/>
      <c r="AG58" s="169" t="n"/>
      <c r="AH58" s="169" t="n"/>
      <c r="AI58" s="169" t="n"/>
      <c r="AJ58" s="169" t="n"/>
      <c r="AK58" s="169" t="n"/>
      <c r="AL58" s="169" t="n"/>
      <c r="AM58" s="169" t="n"/>
      <c r="AN58" s="169" t="n"/>
      <c r="AO58" s="169" t="n"/>
      <c r="AP58" s="169" t="n"/>
      <c r="AQ58" s="169" t="n"/>
      <c r="AR58" s="169" t="n"/>
      <c r="AS58" s="169" t="n"/>
      <c r="AT58" s="169" t="n"/>
      <c r="AU58" s="169" t="n"/>
      <c r="AV58" s="169" t="n"/>
      <c r="AW58" s="169" t="n"/>
      <c r="AX58" s="169" t="n"/>
      <c r="AY58" s="169" t="n"/>
      <c r="AZ58" s="169" t="n"/>
      <c r="BA58" s="169" t="n"/>
      <c r="BB58" s="169" t="n"/>
      <c r="BC58" s="169" t="n"/>
      <c r="BD58" s="169" t="n"/>
      <c r="BE58" s="169" t="n"/>
      <c r="BF58" s="169" t="n"/>
      <c r="BG58" s="169" t="n"/>
      <c r="BH58" s="169"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row>
    <row r="59">
      <c r="A59" s="163" t="inlineStr">
        <is>
          <t>BALANCE SHEET</t>
        </is>
      </c>
    </row>
    <row r="60" customFormat="1" s="150">
      <c r="K60" s="169" t="n"/>
    </row>
    <row r="61" s="396">
      <c r="B61" s="163" t="inlineStr">
        <is>
          <t>Assets</t>
        </is>
      </c>
    </row>
    <row r="62">
      <c r="E62" s="308" t="str">
        <f> NCA!E$64</f>
        <v>Non current asset balance</v>
      </c>
      <c r="F62" s="308" t="str">
        <f> NCA!F$64</f>
        <v> </v>
      </c>
      <c r="G62" s="308" t="str">
        <f> NCA!G$64</f>
        <v>$ 000s</v>
      </c>
      <c r="H62" s="308">
        <f> NCA!H$64</f>
        <v>0.0</v>
      </c>
      <c r="I62" s="308">
        <f> NCA!I$64</f>
        <v>0.0</v>
      </c>
      <c r="J62" s="308">
        <f> NCA!J$64</f>
        <v>0.0</v>
      </c>
      <c r="K62" s="308">
        <f> NCA!K$64</f>
        <v>101067.79924517678</v>
      </c>
      <c r="L62" s="308">
        <f> NCA!L$64</f>
        <v>99383.33592442384</v>
      </c>
      <c r="M62" s="308">
        <f> NCA!M$64</f>
        <v>97698.8726036709</v>
      </c>
      <c r="N62" s="308">
        <f> NCA!N$64</f>
        <v>96014.40928291796</v>
      </c>
      <c r="O62" s="308">
        <f> NCA!O$64</f>
        <v>94329.94596216502</v>
      </c>
      <c r="P62" s="308">
        <f> NCA!P$64</f>
        <v>92645.48264141208</v>
      </c>
      <c r="Q62" s="308">
        <f> NCA!Q$64</f>
        <v>90961.01932065914</v>
      </c>
      <c r="R62" s="308">
        <f> NCA!R$64</f>
        <v>89276.5559999062</v>
      </c>
      <c r="S62" s="308">
        <f> NCA!S$64</f>
        <v>89592.09267915325</v>
      </c>
      <c r="T62" s="308">
        <f> NCA!T$64</f>
        <v>87807.62935840031</v>
      </c>
      <c r="U62" s="308">
        <f> NCA!U$64</f>
        <v>86023.16603764737</v>
      </c>
      <c r="V62" s="308">
        <f> NCA!V$64</f>
        <v>84238.70271689443</v>
      </c>
      <c r="W62" s="308">
        <f> NCA!W$64</f>
        <v>83454.2393961415</v>
      </c>
      <c r="X62" s="308">
        <f> NCA!X$64</f>
        <v>81619.77607538855</v>
      </c>
      <c r="Y62" s="308">
        <f> NCA!Y$64</f>
        <v>79785.31275463561</v>
      </c>
      <c r="Z62" s="308">
        <f> NCA!Z$64</f>
        <v>77950.84943388267</v>
      </c>
      <c r="AA62" s="308">
        <f> NCA!AA$64</f>
        <v>77616.38611312973</v>
      </c>
      <c r="AB62" s="308">
        <f> NCA!AB$64</f>
        <v>75706.92279237679</v>
      </c>
      <c r="AC62" s="308">
        <f> NCA!AC$64</f>
        <v>73797.45947162385</v>
      </c>
      <c r="AD62" s="308">
        <f> NCA!AD$64</f>
        <v>71887.99615087091</v>
      </c>
      <c r="AE62" s="308">
        <f> NCA!AE$64</f>
        <v>70978.53283011797</v>
      </c>
      <c r="AF62" s="308">
        <f> NCA!AF$64</f>
        <v>69019.06950936503</v>
      </c>
      <c r="AG62" s="308">
        <f> NCA!AG$64</f>
        <v>67059.60618861209</v>
      </c>
      <c r="AH62" s="308">
        <f> NCA!AH$64</f>
        <v>65100.14286785914</v>
      </c>
      <c r="AI62" s="308">
        <f> NCA!AI$64</f>
        <v>63640.679547106185</v>
      </c>
      <c r="AJ62" s="308">
        <f> NCA!AJ$64</f>
        <v>61656.21622635324</v>
      </c>
      <c r="AK62" s="308">
        <f> NCA!AK$64</f>
        <v>59671.75290560029</v>
      </c>
      <c r="AL62" s="308">
        <f> NCA!AL$64</f>
        <v>57687.28958484734</v>
      </c>
      <c r="AM62" s="308">
        <f> NCA!AM$64</f>
        <v>56702.826264094394</v>
      </c>
      <c r="AN62" s="308">
        <f> NCA!AN$64</f>
        <v>54768.362943341446</v>
      </c>
      <c r="AO62" s="308">
        <f> NCA!AO$64</f>
        <v>52833.8996225885</v>
      </c>
      <c r="AP62" s="308">
        <f> NCA!AP$64</f>
        <v>50899.43630183555</v>
      </c>
      <c r="AQ62" s="308">
        <f> NCA!AQ$64</f>
        <v>49964.9729810826</v>
      </c>
      <c r="AR62" s="308">
        <f> NCA!AR$64</f>
        <v>48030.509660329655</v>
      </c>
      <c r="AS62" s="308">
        <f> NCA!AS$64</f>
        <v>46096.04633957671</v>
      </c>
      <c r="AT62" s="308">
        <f> NCA!AT$64</f>
        <v>44161.58301882376</v>
      </c>
      <c r="AU62" s="308">
        <f> NCA!AU$64</f>
        <v>42227.11969807081</v>
      </c>
      <c r="AV62" s="308">
        <f> NCA!AV$64</f>
        <v>40367.656377317864</v>
      </c>
      <c r="AW62" s="308">
        <f> NCA!AW$64</f>
        <v>38508.193056564916</v>
      </c>
      <c r="AX62" s="308">
        <f> NCA!AX$64</f>
        <v>36648.72973581197</v>
      </c>
      <c r="AY62" s="308">
        <f> NCA!AY$64</f>
        <v>34789.26641505902</v>
      </c>
      <c r="AZ62" s="308">
        <f> NCA!AZ$64</f>
        <v>32979.80309430607</v>
      </c>
      <c r="BA62" s="308">
        <f> NCA!BA$64</f>
        <v>31170.339773553125</v>
      </c>
      <c r="BB62" s="308">
        <f> NCA!BB$64</f>
        <v>29360.876452800178</v>
      </c>
      <c r="BC62" s="308">
        <f> NCA!BC$64</f>
        <v>27551.41313204723</v>
      </c>
      <c r="BD62" s="308">
        <f> NCA!BD$64</f>
        <v>25766.949811294282</v>
      </c>
      <c r="BE62" s="308">
        <f> NCA!BE$64</f>
        <v>23982.486490541334</v>
      </c>
      <c r="BF62" s="308">
        <f> NCA!BF$64</f>
        <v>22198.023169788386</v>
      </c>
      <c r="BG62" s="308">
        <f> NCA!BG$64</f>
        <v>20413.55984903544</v>
      </c>
      <c r="BH62" s="308">
        <f> NCA!BH$64</f>
        <v>18679.09652828249</v>
      </c>
      <c r="BI62" s="308">
        <f> NCA!BI$64</f>
        <v>16944.633207529543</v>
      </c>
      <c r="BJ62" s="308">
        <f> NCA!BJ$64</f>
        <v>15210.169886776597</v>
      </c>
      <c r="BK62" s="308">
        <f> NCA!BK$64</f>
        <v>13475.706566023651</v>
      </c>
      <c r="BL62" s="308">
        <f> NCA!BL$64</f>
        <v>11791.243245270705</v>
      </c>
      <c r="BM62" s="308">
        <f> NCA!BM$64</f>
        <v>10106.77992451776</v>
      </c>
      <c r="BN62" s="308">
        <f> NCA!BN$64</f>
        <v>8422.316603764813</v>
      </c>
      <c r="BO62" s="308">
        <f> NCA!BO$64</f>
        <v>6737.8532830118675</v>
      </c>
      <c r="BP62" s="308">
        <f> NCA!BP$64</f>
        <v>5053.3899622589215</v>
      </c>
      <c r="BQ62" s="308">
        <f> NCA!BQ$64</f>
        <v>3368.926641505975</v>
      </c>
      <c r="BR62" s="308">
        <f> NCA!BR$64</f>
        <v>1684.4633207530287</v>
      </c>
      <c r="BS62" s="308">
        <f> NCA!BS$64</f>
        <v>8.230927051045e-11</v>
      </c>
      <c r="BT62" s="308">
        <f> NCA!BT$64</f>
        <v>8.230927051045e-11</v>
      </c>
      <c r="BU62" s="308">
        <f> NCA!BU$64</f>
        <v>8.230927051045e-11</v>
      </c>
      <c r="BV62" s="308">
        <f> NCA!BV$64</f>
        <v>8.230927051045e-11</v>
      </c>
      <c r="BW62" s="308">
        <f> NCA!BW$64</f>
        <v>8.230927051045e-11</v>
      </c>
      <c r="BX62" s="308">
        <f> NCA!BX$64</f>
        <v>8.230927051045e-11</v>
      </c>
      <c r="BY62" s="308">
        <f> NCA!BY$64</f>
        <v>8.230927051045e-11</v>
      </c>
      <c r="BZ62" s="308">
        <f> NCA!BZ$64</f>
        <v>8.230927051045e-11</v>
      </c>
      <c r="CA62" s="308">
        <f> NCA!CA$64</f>
        <v>8.230927051045e-11</v>
      </c>
      <c r="CB62" s="308">
        <f> NCA!CB$64</f>
        <v>8.230927051045e-11</v>
      </c>
      <c r="CC62" s="308">
        <f> NCA!CC$64</f>
        <v>8.230927051045e-11</v>
      </c>
      <c r="CD62" s="308">
        <f> NCA!CD$64</f>
        <v>8.230927051045e-11</v>
      </c>
      <c r="CE62" s="308">
        <f> NCA!CE$64</f>
        <v>8.230927051045e-11</v>
      </c>
      <c r="CF62" s="308">
        <f> NCA!CF$64</f>
        <v>8.230927051045e-11</v>
      </c>
      <c r="CG62" s="308">
        <f> NCA!CG$64</f>
        <v>8.230927051045e-11</v>
      </c>
      <c r="CH62" s="308">
        <f> NCA!CH$64</f>
        <v>8.230927051045e-11</v>
      </c>
      <c r="CI62" s="308">
        <f> NCA!CI$64</f>
        <v>8.230927051045e-11</v>
      </c>
      <c r="CJ62" s="308">
        <f> NCA!CJ$64</f>
        <v>8.230927051045e-11</v>
      </c>
      <c r="CK62" s="308">
        <f> NCA!CK$64</f>
        <v>8.230927051045e-11</v>
      </c>
      <c r="CL62" s="308">
        <f> NCA!CL$64</f>
        <v>8.230927051045e-11</v>
      </c>
      <c r="CM62" s="308">
        <f> NCA!CM$64</f>
        <v>8.230927051045e-11</v>
      </c>
      <c r="CN62" s="308">
        <f> NCA!CN$64</f>
        <v>8.230927051045e-11</v>
      </c>
      <c r="CO62" s="308">
        <f> NCA!CO$64</f>
        <v>8.230927051045e-11</v>
      </c>
    </row>
    <row r="63" s="396">
      <c r="E63" s="308" t="str">
        <f> OpRev!E$65</f>
        <v>Account receivables balance</v>
      </c>
      <c r="F63" s="308" t="str">
        <f> OpRev!F$65</f>
        <v>BS</v>
      </c>
      <c r="G63" s="308" t="str">
        <f> OpRev!G$65</f>
        <v>$ 000s</v>
      </c>
      <c r="H63" s="308">
        <f> OpRev!H$65</f>
        <v>0.0</v>
      </c>
      <c r="I63" s="308">
        <f> OpRev!I$65</f>
        <v>0.0</v>
      </c>
      <c r="J63" s="308">
        <f> OpRev!J$65</f>
        <v>0.0</v>
      </c>
      <c r="K63" s="308">
        <f> OpRev!K$65</f>
        <v>0.0</v>
      </c>
      <c r="L63" s="308">
        <f> OpRev!L$65</f>
        <v>4361.5962440136755</v>
      </c>
      <c r="M63" s="308">
        <f> OpRev!M$65</f>
        <v>4171.776463590259</v>
      </c>
      <c r="N63" s="308">
        <f> OpRev!N$65</f>
        <v>4421.415146788249</v>
      </c>
      <c r="O63" s="308">
        <f> OpRev!O$65</f>
        <v>4260.654301630433</v>
      </c>
      <c r="P63" s="308">
        <f> OpRev!P$65</f>
        <v>4654.928901452386</v>
      </c>
      <c r="Q63" s="308">
        <f> OpRev!Q$65</f>
        <v>4413.848095693906</v>
      </c>
      <c r="R63" s="308">
        <f> OpRev!R$65</f>
        <v>4666.189624456794</v>
      </c>
      <c r="S63" s="308">
        <f> OpRev!S$65</f>
        <v>4473.68701671196</v>
      </c>
      <c r="T63" s="308">
        <f> OpRev!T$65</f>
        <v>4908.18657342167</v>
      </c>
      <c r="U63" s="308">
        <f> OpRev!U$65</f>
        <v>4694.354288347131</v>
      </c>
      <c r="V63" s="308">
        <f> OpRev!V$65</f>
        <v>4950.981433467474</v>
      </c>
      <c r="W63" s="308">
        <f> OpRev!W$65</f>
        <v>4735.284728086957</v>
      </c>
      <c r="X63" s="308">
        <f> OpRev!X$65</f>
        <v>5148.779065365416</v>
      </c>
      <c r="Y63" s="308">
        <f> OpRev!Y$65</f>
        <v>4858.599993008393</v>
      </c>
      <c r="Z63" s="308">
        <f> OpRev!Z$65</f>
        <v>5111.843520033632</v>
      </c>
      <c r="AA63" s="308">
        <f> OpRev!AA$65</f>
        <v>4877.343269929563</v>
      </c>
      <c r="AB63" s="308">
        <f> OpRev!AB$65</f>
        <v>5303.242437326378</v>
      </c>
      <c r="AC63" s="308">
        <f> OpRev!AC$65</f>
        <v>5004.357992798643</v>
      </c>
      <c r="AD63" s="308">
        <f> OpRev!AD$65</f>
        <v>5449.222157147022</v>
      </c>
      <c r="AE63" s="308">
        <f> OpRev!AE$65</f>
        <v>5199.030827540548</v>
      </c>
      <c r="AF63" s="308">
        <f> OpRev!AF$65</f>
        <v>5653.253289336044</v>
      </c>
      <c r="AG63" s="308">
        <f> OpRev!AG$65</f>
        <v>5334.422868494308</v>
      </c>
      <c r="AH63" s="308">
        <f> OpRev!AH$65</f>
        <v>5612.6988218614315</v>
      </c>
      <c r="AI63" s="308">
        <f> OpRev!AI$65</f>
        <v>5355.001752366759</v>
      </c>
      <c r="AJ63" s="308">
        <f> OpRev!AJ$65</f>
        <v>5758.863515620342</v>
      </c>
      <c r="AK63" s="308">
        <f> OpRev!AK$65</f>
        <v>5494.4555545491385</v>
      </c>
      <c r="AL63" s="308">
        <f> OpRev!AL$65</f>
        <v>5781.079786517272</v>
      </c>
      <c r="AM63" s="308">
        <f> OpRev!AM$65</f>
        <v>5701.698930555205</v>
      </c>
      <c r="AN63" s="308">
        <f> OpRev!AN$65</f>
        <v>6200.0766305008765</v>
      </c>
      <c r="AO63" s="308">
        <f> OpRev!AO$65</f>
        <v>5850.181345974339</v>
      </c>
      <c r="AP63" s="308">
        <f> OpRev!AP$65</f>
        <v>6155.599443086321</v>
      </c>
      <c r="AQ63" s="308">
        <f> OpRev!AQ$65</f>
        <v>5872.749898471862</v>
      </c>
      <c r="AR63" s="308">
        <f> OpRev!AR$65</f>
        <v>6386.0789294159</v>
      </c>
      <c r="AS63" s="308">
        <f> OpRev!AS$65</f>
        <v>6025.686786353566</v>
      </c>
      <c r="AT63" s="308">
        <f> OpRev!AT$65</f>
        <v>6340.267426378909</v>
      </c>
      <c r="AU63" s="308">
        <f> OpRev!AU$65</f>
        <v>6048.932395426014</v>
      </c>
      <c r="AV63" s="308">
        <f> OpRev!AV$65</f>
        <v>6577.661297298375</v>
      </c>
      <c r="AW63" s="308">
        <f> OpRev!AW$65</f>
        <v>6206.457389944175</v>
      </c>
      <c r="AX63" s="308">
        <f> OpRev!AX$65</f>
        <v>6772.802511017038</v>
      </c>
      <c r="AY63" s="308">
        <f> OpRev!AY$65</f>
        <v>6462.907716779271</v>
      </c>
      <c r="AZ63" s="308">
        <f> OpRev!AZ$65</f>
        <v>6949.178375165771</v>
      </c>
      <c r="BA63" s="308">
        <f> OpRev!BA$65</f>
        <v>6631.213367446959</v>
      </c>
      <c r="BB63" s="308">
        <f> OpRev!BB$65</f>
        <v>6975.986586347546</v>
      </c>
      <c r="BC63" s="308">
        <f> OpRev!BC$65</f>
        <v>6656.794948282648</v>
      </c>
      <c r="BD63" s="308">
        <f> OpRev!BD$65</f>
        <v>7237.1832122698615</v>
      </c>
      <c r="BE63" s="308">
        <f> OpRev!BE$65</f>
        <v>6830.1497684703645</v>
      </c>
      <c r="BF63" s="308">
        <f> OpRev!BF$65</f>
        <v>7185.2661839379725</v>
      </c>
      <c r="BG63" s="308">
        <f> OpRev!BG$65</f>
        <v>6856.4987967311245</v>
      </c>
      <c r="BH63" s="308">
        <f> OpRev!BH$65</f>
        <v>7060.850694682653</v>
      </c>
      <c r="BI63" s="308">
        <f> OpRev!BI$65</f>
        <v>7427.064834605848</v>
      </c>
      <c r="BJ63" s="308">
        <f> OpRev!BJ$65</f>
        <v>7010.198614334375</v>
      </c>
      <c r="BK63" s="308">
        <f> OpRev!BK$65</f>
        <v>7455.71661353534</v>
      </c>
      <c r="BL63" s="308">
        <f> OpRev!BL$65</f>
        <v>7272.676215523126</v>
      </c>
      <c r="BM63" s="308">
        <f> OpRev!BM$65</f>
        <v>7649.876779644026</v>
      </c>
      <c r="BN63" s="308">
        <f> OpRev!BN$65</f>
        <v>7220.504572764403</v>
      </c>
      <c r="BO63" s="308">
        <f> OpRev!BO$65</f>
        <v>7679.3881119414</v>
      </c>
      <c r="BP63" s="308">
        <f> OpRev!BP$65</f>
        <v>7408.539397571356</v>
      </c>
      <c r="BQ63" s="308">
        <f> OpRev!BQ$65</f>
        <v>7463.489066051305</v>
      </c>
      <c r="BR63" s="308">
        <f> OpRev!BR$65</f>
        <v>7851.534361375976</v>
      </c>
      <c r="BS63" s="308">
        <f> OpRev!BS$65</f>
        <v>7492.281360655608</v>
      </c>
      <c r="BT63" s="308">
        <f> OpRev!BT$65</f>
        <v>8145.513464993815</v>
      </c>
      <c r="BU63" s="308">
        <f> OpRev!BU$65</f>
        <v>7687.393738032846</v>
      </c>
      <c r="BV63" s="308">
        <f> OpRev!BV$65</f>
        <v>8087.080392217256</v>
      </c>
      <c r="BW63" s="308">
        <f> OpRev!BW$65</f>
        <v>8147.06284795863</v>
      </c>
      <c r="BX63" s="308">
        <f> OpRev!BX$65</f>
        <v>8389.878868943626</v>
      </c>
      <c r="BY63" s="308">
        <f> OpRev!BY$65</f>
        <v>8359.22690379007</v>
      </c>
      <c r="BZ63" s="308">
        <f> OpRev!BZ$65</f>
        <v>8329.69280398377</v>
      </c>
      <c r="CA63" s="308">
        <f> OpRev!CA$65</f>
        <v>8391.474733397383</v>
      </c>
      <c r="CB63" s="308">
        <f> OpRev!CB$65</f>
        <v>8641.57523501194</v>
      </c>
      <c r="CC63" s="308">
        <f> OpRev!CC$65</f>
        <v>8610.00371090377</v>
      </c>
      <c r="CD63" s="308">
        <f> OpRev!CD$65</f>
        <v>8579.58358810328</v>
      </c>
      <c r="CE63" s="308">
        <f> OpRev!CE$65</f>
        <v>8643.218975399304</v>
      </c>
      <c r="CF63" s="308">
        <f> OpRev!CF$65</f>
        <v>8803.01125588578</v>
      </c>
      <c r="CG63" s="308">
        <f> OpRev!CG$65</f>
        <v>8868.303822230875</v>
      </c>
      <c r="CH63" s="308">
        <f> OpRev!CH$65</f>
        <v>8836.971095746376</v>
      </c>
      <c r="CI63" s="308">
        <f> OpRev!CI$65</f>
        <v>8902.51554466128</v>
      </c>
      <c r="CJ63" s="308">
        <f> OpRev!CJ$65</f>
        <v>9167.847166824162</v>
      </c>
      <c r="CK63" s="308">
        <f> OpRev!CK$65</f>
        <v>9134.352936897798</v>
      </c>
      <c r="CL63" s="308">
        <f> OpRev!CL$65</f>
        <v>9102.080228618768</v>
      </c>
      <c r="CM63" s="308">
        <f> OpRev!CM$65</f>
        <v>9169.591011001117</v>
      </c>
      <c r="CN63" s="308">
        <f> OpRev!CN$65</f>
        <v>0.0</v>
      </c>
      <c r="CO63" s="308">
        <f> OpRev!CO$65</f>
        <v>0.0</v>
      </c>
    </row>
    <row r="64" s="396">
      <c r="A64" s="348" t="n"/>
      <c r="B64" s="348" t="n"/>
      <c r="C64" s="349" t="n"/>
      <c r="D64" s="193" t="n"/>
      <c r="E64" s="308" t="str">
        <f> Equity!E$50</f>
        <v>Retained cash balance</v>
      </c>
      <c r="F64" s="308" t="str">
        <f> Equity!F$50</f>
        <v>BS</v>
      </c>
      <c r="G64" s="308" t="str">
        <f> Equity!G$50</f>
        <v>$ 000s</v>
      </c>
      <c r="H64" s="308">
        <f> Equity!H$50</f>
        <v>0.0</v>
      </c>
      <c r="I64" s="308">
        <f> Equity!I$50</f>
        <v>0.0</v>
      </c>
      <c r="J64" s="308">
        <f> Equity!J$50</f>
        <v>0.0</v>
      </c>
      <c r="K64" s="308">
        <f> Equity!K$50</f>
        <v>0.0</v>
      </c>
      <c r="L64" s="308">
        <f> Equity!L$50</f>
        <v>0.0</v>
      </c>
      <c r="M64" s="308">
        <f> Equity!M$50</f>
        <v>0.0</v>
      </c>
      <c r="N64" s="308">
        <f> Equity!N$50</f>
        <v>0.0</v>
      </c>
      <c r="O64" s="308">
        <f> Equity!O$50</f>
        <v>1249.9939929253885</v>
      </c>
      <c r="P64" s="308">
        <f> Equity!P$50</f>
        <v>2327.2098043714486</v>
      </c>
      <c r="Q64" s="308">
        <f> Equity!Q$50</f>
        <v>4474.552292165947</v>
      </c>
      <c r="R64" s="308">
        <f> Equity!R$50</f>
        <v>5365.11597258347</v>
      </c>
      <c r="S64" s="308">
        <f> Equity!S$50</f>
        <v>4379.152655512729</v>
      </c>
      <c r="T64" s="308">
        <f> Equity!T$50</f>
        <v>5093.372276738803</v>
      </c>
      <c r="U64" s="308">
        <f> Equity!U$50</f>
        <v>6520.318220189434</v>
      </c>
      <c r="V64" s="308">
        <f> Equity!V$50</f>
        <v>7194.59489156086</v>
      </c>
      <c r="W64" s="308">
        <f> Equity!W$50</f>
        <v>7046.345874702457</v>
      </c>
      <c r="X64" s="308">
        <f> Equity!X$50</f>
        <v>7600.434139387089</v>
      </c>
      <c r="Y64" s="308">
        <f> Equity!Y$50</f>
        <v>9049.845607172283</v>
      </c>
      <c r="Z64" s="308">
        <f> Equity!Z$50</f>
        <v>9509.523864274108</v>
      </c>
      <c r="AA64" s="308">
        <f> Equity!AA$50</f>
        <v>8657.558612634912</v>
      </c>
      <c r="AB64" s="308">
        <f> Equity!AB$50</f>
        <v>8903.069132701552</v>
      </c>
      <c r="AC64" s="308">
        <f> Equity!AC$50</f>
        <v>9755.758404504279</v>
      </c>
      <c r="AD64" s="308">
        <f> Equity!AD$50</f>
        <v>9651.157261950964</v>
      </c>
      <c r="AE64" s="308">
        <f> Equity!AE$50</f>
        <v>8932.721957688518</v>
      </c>
      <c r="AF64" s="308">
        <f> Equity!AF$50</f>
        <v>8875.312172594693</v>
      </c>
      <c r="AG64" s="308">
        <f> Equity!AG$50</f>
        <v>9312.616748707987</v>
      </c>
      <c r="AH64" s="308">
        <f> Equity!AH$50</f>
        <v>9165.879959824253</v>
      </c>
      <c r="AI64" s="308">
        <f> Equity!AI$50</f>
        <v>8745.846462738387</v>
      </c>
      <c r="AJ64" s="308">
        <f> Equity!AJ$50</f>
        <v>8463.584793828726</v>
      </c>
      <c r="AK64" s="308">
        <f> Equity!AK$50</f>
        <v>8751.748472824085</v>
      </c>
      <c r="AL64" s="308">
        <f> Equity!AL$50</f>
        <v>8143.7805927729505</v>
      </c>
      <c r="AM64" s="308">
        <f> Equity!AM$50</f>
        <v>6575.07745999463</v>
      </c>
      <c r="AN64" s="308">
        <f> Equity!AN$50</f>
        <v>5746.479038033717</v>
      </c>
      <c r="AO64" s="308">
        <f> Equity!AO$50</f>
        <v>5678.095206822565</v>
      </c>
      <c r="AP64" s="308">
        <f> Equity!AP$50</f>
        <v>4753.839544569996</v>
      </c>
      <c r="AQ64" s="308">
        <f> Equity!AQ$50</f>
        <v>3077.9831312393007</v>
      </c>
      <c r="AR64" s="308">
        <f> Equity!AR$50</f>
        <v>1971.132703170907</v>
      </c>
      <c r="AS64" s="308">
        <f> Equity!AS$50</f>
        <v>1187.7363620520919</v>
      </c>
      <c r="AT64" s="308">
        <f> Equity!AT$50</f>
        <v>0.0</v>
      </c>
      <c r="AU64" s="308">
        <f> Equity!AU$50</f>
        <v>0.0</v>
      </c>
      <c r="AV64" s="308">
        <f> Equity!AV$50</f>
        <v>0.0</v>
      </c>
      <c r="AW64" s="308">
        <f> Equity!AW$50</f>
        <v>0.0</v>
      </c>
      <c r="AX64" s="308">
        <f> Equity!AX$50</f>
        <v>0.0</v>
      </c>
      <c r="AY64" s="308">
        <f> Equity!AY$50</f>
        <v>0.0</v>
      </c>
      <c r="AZ64" s="308">
        <f> Equity!AZ$50</f>
        <v>0.0</v>
      </c>
      <c r="BA64" s="308">
        <f> Equity!BA$50</f>
        <v>0.0</v>
      </c>
      <c r="BB64" s="308">
        <f> Equity!BB$50</f>
        <v>0.0</v>
      </c>
      <c r="BC64" s="308">
        <f> Equity!BC$50</f>
        <v>0.0</v>
      </c>
      <c r="BD64" s="308">
        <f> Equity!BD$50</f>
        <v>0.0</v>
      </c>
      <c r="BE64" s="308">
        <f> Equity!BE$50</f>
        <v>0.0</v>
      </c>
      <c r="BF64" s="308">
        <f> Equity!BF$50</f>
        <v>0.0</v>
      </c>
      <c r="BG64" s="308">
        <f> Equity!BG$50</f>
        <v>0.0</v>
      </c>
      <c r="BH64" s="308">
        <f> Equity!BH$50</f>
        <v>0.0</v>
      </c>
      <c r="BI64" s="308">
        <f> Equity!BI$50</f>
        <v>0.0</v>
      </c>
      <c r="BJ64" s="308">
        <f> Equity!BJ$50</f>
        <v>0.0</v>
      </c>
      <c r="BK64" s="308">
        <f> Equity!BK$50</f>
        <v>0.0</v>
      </c>
      <c r="BL64" s="308">
        <f> Equity!BL$50</f>
        <v>0.0</v>
      </c>
      <c r="BM64" s="308">
        <f> Equity!BM$50</f>
        <v>663.468900987793</v>
      </c>
      <c r="BN64" s="308">
        <f> Equity!BN$50</f>
        <v>2124.8291202737946</v>
      </c>
      <c r="BO64" s="308">
        <f> Equity!BO$50</f>
        <v>3241.7538363685544</v>
      </c>
      <c r="BP64" s="308">
        <f> Equity!BP$50</f>
        <v>4662.64187492106</v>
      </c>
      <c r="BQ64" s="308">
        <f> Equity!BQ$50</f>
        <v>5930.8439207166175</v>
      </c>
      <c r="BR64" s="308">
        <f> Equity!BR$50</f>
        <v>7043.316895195412</v>
      </c>
      <c r="BS64" s="308">
        <f> Equity!BS$50</f>
        <v>8467.6999372666</v>
      </c>
      <c r="BT64" s="308">
        <f> Equity!BT$50</f>
        <v>8339.156937757089</v>
      </c>
      <c r="BU64" s="308">
        <f> Equity!BU$50</f>
        <v>8597.40638982449</v>
      </c>
      <c r="BV64" s="308">
        <f> Equity!BV$50</f>
        <v>8508.425302436794</v>
      </c>
      <c r="BW64" s="308">
        <f> Equity!BW$50</f>
        <v>8569.58060526554</v>
      </c>
      <c r="BX64" s="308">
        <f> Equity!BX$50</f>
        <v>8590.980802370072</v>
      </c>
      <c r="BY64" s="308">
        <f> Equity!BY$50</f>
        <v>8662.916618405074</v>
      </c>
      <c r="BZ64" s="308">
        <f> Equity!BZ$50</f>
        <v>8731.337543087913</v>
      </c>
      <c r="CA64" s="308">
        <f> Equity!CA$50</f>
        <v>8778.596386232657</v>
      </c>
      <c r="CB64" s="308">
        <f> Equity!CB$50</f>
        <v>8785.694026419902</v>
      </c>
      <c r="CC64" s="308">
        <f> Equity!CC$50</f>
        <v>8845.590582247065</v>
      </c>
      <c r="CD64" s="308">
        <f> Equity!CD$50</f>
        <v>8902.57666671594</v>
      </c>
      <c r="CE64" s="308">
        <f> Equity!CE$50</f>
        <v>8938.440180598303</v>
      </c>
      <c r="CF64" s="308">
        <f> Equity!CF$50</f>
        <v>8952.893600086936</v>
      </c>
      <c r="CG64" s="308">
        <f> Equity!CG$50</f>
        <v>8983.7079448268</v>
      </c>
      <c r="CH64" s="308">
        <f> Equity!CH$50</f>
        <v>9031.41798488416</v>
      </c>
      <c r="CI64" s="308">
        <f> Equity!CI$50</f>
        <v>9057.921058584694</v>
      </c>
      <c r="CJ64" s="308">
        <f> Equity!CJ$50</f>
        <v>9042.998803717204</v>
      </c>
      <c r="CK64" s="308">
        <f> Equity!CK$50</f>
        <v>9085.213525519215</v>
      </c>
      <c r="CL64" s="308">
        <f> Equity!CL$50</f>
        <v>9125.407004970959</v>
      </c>
      <c r="CM64" s="308">
        <f> Equity!CM$50</f>
        <v>0.0</v>
      </c>
      <c r="CN64" s="308">
        <f> Equity!CN$50</f>
        <v>0.0</v>
      </c>
      <c r="CO64" s="308">
        <f> Equity!CO$50</f>
        <v>-6.786241523111914e-13</v>
      </c>
    </row>
    <row r="65" s="396">
      <c r="A65" s="348" t="n"/>
      <c r="B65" s="348" t="n"/>
      <c r="C65" s="349" t="n"/>
      <c r="D65" s="193" t="n"/>
      <c r="E65" s="308" t="str">
        <f>DSRA!E$18</f>
        <v>DSRA balance END</v>
      </c>
      <c r="F65" s="308" t="n"/>
      <c r="G65" s="308" t="inlineStr">
        <is>
          <t>$ 000s</t>
        </is>
      </c>
      <c r="H65" s="308" t="n"/>
      <c r="I65" s="308" t="n"/>
      <c r="J65" s="308">
        <f>DSRA!J$18</f>
        <v>0.0</v>
      </c>
      <c r="K65" s="308">
        <f>DSRA!K$18</f>
        <v>0.0</v>
      </c>
      <c r="L65" s="308">
        <f>DSRA!L$18</f>
        <v>3268.6067374328723</v>
      </c>
      <c r="M65" s="308">
        <f>DSRA!M$18</f>
        <v>4658.351134366447</v>
      </c>
      <c r="N65" s="308">
        <f>DSRA!N$18</f>
        <v>4635.969261341143</v>
      </c>
      <c r="O65" s="308">
        <f>DSRA!O$18</f>
        <v>4619.762418979944</v>
      </c>
      <c r="P65" s="308">
        <f>DSRA!P$18</f>
        <v>4616.68809487728</v>
      </c>
      <c r="Q65" s="308">
        <f>DSRA!Q$18</f>
        <v>3717.679199770067</v>
      </c>
      <c r="R65" s="308">
        <f>DSRA!R$18</f>
        <v>3779.2867341662013</v>
      </c>
      <c r="S65" s="308">
        <f>DSRA!S$18</f>
        <v>4765.816288121549</v>
      </c>
      <c r="T65" s="308">
        <f>DSRA!T$18</f>
        <v>4800.310287345954</v>
      </c>
      <c r="U65" s="308">
        <f>DSRA!U$18</f>
        <v>4350.911958402309</v>
      </c>
      <c r="V65" s="308">
        <f>DSRA!V$18</f>
        <v>4344.984939960149</v>
      </c>
      <c r="W65" s="308">
        <f>DSRA!W$18</f>
        <v>4790.247759670805</v>
      </c>
      <c r="X65" s="308">
        <f>DSRA!X$18</f>
        <v>4791.394947001525</v>
      </c>
      <c r="Y65" s="308">
        <f>DSRA!Y$18</f>
        <v>4115.850714014594</v>
      </c>
      <c r="Z65" s="308">
        <f>DSRA!Z$18</f>
        <v>4115.475146458879</v>
      </c>
      <c r="AA65" s="308">
        <f>DSRA!AA$18</f>
        <v>4793.096331740817</v>
      </c>
      <c r="AB65" s="308">
        <f>DSRA!AB$18</f>
        <v>4930.218997933473</v>
      </c>
      <c r="AC65" s="308">
        <f>DSRA!AC$18</f>
        <v>4687.944626065586</v>
      </c>
      <c r="AD65" s="308">
        <f>DSRA!AD$18</f>
        <v>4768.2963271119515</v>
      </c>
      <c r="AE65" s="308">
        <f>DSRA!AE$18</f>
        <v>5230.632697360592</v>
      </c>
      <c r="AF65" s="308">
        <f>DSRA!AF$18</f>
        <v>5251.0168086540225</v>
      </c>
      <c r="AG65" s="308">
        <f>DSRA!AG$18</f>
        <v>5034.170828736949</v>
      </c>
      <c r="AH65" s="308">
        <f>DSRA!AH$18</f>
        <v>5042.895672465524</v>
      </c>
      <c r="AI65" s="308">
        <f>DSRA!AI$18</f>
        <v>5281.442255370333</v>
      </c>
      <c r="AJ65" s="308">
        <f>DSRA!AJ$18</f>
        <v>5303.773630028999</v>
      </c>
      <c r="AK65" s="308">
        <f>DSRA!AK$18</f>
        <v>5004.192319409857</v>
      </c>
      <c r="AL65" s="308">
        <f>DSRA!AL$18</f>
        <v>5236.626385862334</v>
      </c>
      <c r="AM65" s="308">
        <f>DSRA!AM$18</f>
        <v>5800.630169872238</v>
      </c>
      <c r="AN65" s="308">
        <f>DSRA!AN$18</f>
        <v>5837.903019356956</v>
      </c>
      <c r="AO65" s="308">
        <f>DSRA!AO$18</f>
        <v>5410.405025950675</v>
      </c>
      <c r="AP65" s="308">
        <f>DSRA!AP$18</f>
        <v>5427.536209537877</v>
      </c>
      <c r="AQ65" s="308">
        <f>DSRA!AQ$18</f>
        <v>5908.999377763162</v>
      </c>
      <c r="AR65" s="308">
        <f>DSRA!AR$18</f>
        <v>5950.672897592678</v>
      </c>
      <c r="AS65" s="308">
        <f>DSRA!AS$18</f>
        <v>5971.246102779231</v>
      </c>
      <c r="AT65" s="308">
        <f>DSRA!AT$18</f>
        <v>5984.986997793771</v>
      </c>
      <c r="AU65" s="308">
        <f>DSRA!AU$18</f>
        <v>6019.407270411772</v>
      </c>
      <c r="AV65" s="308">
        <f>DSRA!AV$18</f>
        <v>6235.410744479499</v>
      </c>
      <c r="AW65" s="308">
        <f>DSRA!AW$18</f>
        <v>6530.3364926536</v>
      </c>
      <c r="AX65" s="308">
        <f>DSRA!AX$18</f>
        <v>3268.829755362464</v>
      </c>
      <c r="AY65" s="308">
        <f>DSRA!AY$18</f>
        <v>4.547473508864641e-13</v>
      </c>
      <c r="AZ65" s="308">
        <f>DSRA!AZ$18</f>
        <v>3.0051220771078487e-13</v>
      </c>
      <c r="BA65" s="308">
        <f>DSRA!BA$18</f>
        <v>3.0215435092231917e-13</v>
      </c>
      <c r="BB65" s="308">
        <f>DSRA!BB$18</f>
        <v>2.9887006449925046e-13</v>
      </c>
      <c r="BC65" s="308">
        <f>DSRA!BC$18</f>
        <v>2.9722792128771605e-13</v>
      </c>
      <c r="BD65" s="308">
        <f>DSRA!BD$18</f>
        <v>3.0051220771078436e-13</v>
      </c>
      <c r="BE65" s="308">
        <f>DSRA!BE$18</f>
        <v>3.0215435092231847e-13</v>
      </c>
      <c r="BF65" s="308">
        <f>DSRA!BF$18</f>
        <v>2.9887006449924965e-13</v>
      </c>
      <c r="BG65" s="308">
        <f>DSRA!BG$18</f>
        <v>2.9722792128771534e-13</v>
      </c>
      <c r="BH65" s="308">
        <f>DSRA!BH$18</f>
        <v>3.0051220771078396e-13</v>
      </c>
      <c r="BI65" s="308">
        <f>DSRA!BI$18</f>
        <v>3.0215435092231826e-13</v>
      </c>
      <c r="BJ65" s="308">
        <f>DSRA!BJ$18</f>
        <v>2.9887006449924985e-13</v>
      </c>
      <c r="BK65" s="308">
        <f>DSRA!BK$18</f>
        <v>2.9722792128771575e-13</v>
      </c>
      <c r="BL65" s="308">
        <f>DSRA!BL$18</f>
        <v>3.0051220771078416e-13</v>
      </c>
      <c r="BM65" s="308">
        <f>DSRA!BM$18</f>
        <v>3.0215435092231806e-13</v>
      </c>
      <c r="BN65" s="308">
        <f>DSRA!BN$18</f>
        <v>3.0051220771078376e-13</v>
      </c>
      <c r="BO65" s="308">
        <f>DSRA!BO$18</f>
        <v>2.9887006449924945e-13</v>
      </c>
      <c r="BP65" s="308">
        <f>DSRA!BP$18</f>
        <v>3.0051220771078376e-13</v>
      </c>
      <c r="BQ65" s="308">
        <f>DSRA!BQ$18</f>
        <v>3.0215435092231826e-13</v>
      </c>
      <c r="BR65" s="308">
        <f>DSRA!BR$18</f>
        <v>2.9887006449924965e-13</v>
      </c>
      <c r="BS65" s="308">
        <f>DSRA!BS$18</f>
        <v>2.9722792128771534e-13</v>
      </c>
      <c r="BT65" s="308">
        <f>DSRA!BT$18</f>
        <v>3.0051220771078396e-13</v>
      </c>
      <c r="BU65" s="308">
        <f>DSRA!BU$18</f>
        <v>3.0215435092231806e-13</v>
      </c>
      <c r="BV65" s="308">
        <f>DSRA!BV$18</f>
        <v>2.9887006449924945e-13</v>
      </c>
      <c r="BW65" s="308">
        <f>DSRA!BW$18</f>
        <v>2.9722792128771534e-13</v>
      </c>
      <c r="BX65" s="308">
        <f>DSRA!BX$18</f>
        <v>3.0051220771078416e-13</v>
      </c>
      <c r="BY65" s="308">
        <f>DSRA!BY$18</f>
        <v>3.0215435092231806e-13</v>
      </c>
      <c r="BZ65" s="308">
        <f>DSRA!BZ$18</f>
        <v>2.9887006449924925e-13</v>
      </c>
      <c r="CA65" s="308">
        <f>DSRA!CA$18</f>
        <v>2.9722792128771514e-13</v>
      </c>
      <c r="CB65" s="308">
        <f>DSRA!CB$18</f>
        <v>3.0051220771078376e-13</v>
      </c>
      <c r="CC65" s="308">
        <f>DSRA!CC$18</f>
        <v>3.0215435092231806e-13</v>
      </c>
      <c r="CD65" s="308">
        <f>DSRA!CD$18</f>
        <v>3.0051220771078335e-13</v>
      </c>
      <c r="CE65" s="308">
        <f>DSRA!CE$18</f>
        <v>2.9887006449924884e-13</v>
      </c>
      <c r="CF65" s="308">
        <f>DSRA!CF$18</f>
        <v>3.0051220771078355e-13</v>
      </c>
      <c r="CG65" s="308">
        <f>DSRA!CG$18</f>
        <v>3.0215435092231786e-13</v>
      </c>
      <c r="CH65" s="308">
        <f>DSRA!CH$18</f>
        <v>2.9887006449924925e-13</v>
      </c>
      <c r="CI65" s="308">
        <f>DSRA!CI$18</f>
        <v>2.9722792128771494e-13</v>
      </c>
      <c r="CJ65" s="308">
        <f>DSRA!CJ$18</f>
        <v>3.0051220771078355e-13</v>
      </c>
      <c r="CK65" s="308">
        <f>DSRA!CK$18</f>
        <v>5.993822722100322e-13</v>
      </c>
      <c r="CL65" s="308">
        <f>DSRA!CL$18</f>
        <v>4.4830509674887316e-13</v>
      </c>
      <c r="CM65" s="308">
        <f>DSRA!CM$18</f>
        <v>0.0</v>
      </c>
      <c r="CN65" s="308">
        <f>DSRA!CN$18</f>
        <v>0.0</v>
      </c>
      <c r="CO65" s="308">
        <f>DSRA!CO$18</f>
        <v>0.0</v>
      </c>
    </row>
    <row r="66" s="396">
      <c r="E66" s="168" t="inlineStr">
        <is>
          <t>Total assets</t>
        </is>
      </c>
      <c r="F66" s="168" t="n"/>
      <c r="G66" s="168" t="inlineStr">
        <is>
          <t>$ 000s</t>
        </is>
      </c>
      <c r="H66" s="168" t="n"/>
      <c r="I66" s="168" t="n"/>
      <c r="J66" s="168">
        <f>SUM(J62:J65)</f>
        <v>0.0</v>
      </c>
      <c r="K66" s="168">
        <f>SUM(K62:K65)</f>
        <v>101067.79924517678</v>
      </c>
      <c r="L66" s="168">
        <f>SUM(L62:L65)</f>
        <v>107013.53890587039</v>
      </c>
      <c r="M66" s="168">
        <f>SUM(M62:M65)</f>
        <v>106529.0002016276</v>
      </c>
      <c r="N66" s="168">
        <f>SUM(N62:N65)</f>
        <v>105071.79369104735</v>
      </c>
      <c r="O66" s="168">
        <f>SUM(O62:O65)</f>
        <v>104460.35667570078</v>
      </c>
      <c r="P66" s="168">
        <f>SUM(P62:P65)</f>
        <v>104244.30944211318</v>
      </c>
      <c r="Q66" s="168">
        <f>SUM(Q62:Q65)</f>
        <v>103567.09890828904</v>
      </c>
      <c r="R66" s="168">
        <f>SUM(R62:R65)</f>
        <v>103087.14833111266</v>
      </c>
      <c r="S66" s="168">
        <f>SUM(S62:S65)</f>
        <v>103210.7486394995</v>
      </c>
      <c r="T66" s="168">
        <f>SUM(T62:T65)</f>
        <v>102609.49849590674</v>
      </c>
      <c r="U66" s="168">
        <f>SUM(U62:U65)</f>
        <v>101588.75050458625</v>
      </c>
      <c r="V66" s="168">
        <f>SUM(V62:V65)</f>
        <v>100729.26398188292</v>
      </c>
      <c r="W66" s="168">
        <f>SUM(W62:W65)</f>
        <v>100026.11775860171</v>
      </c>
      <c r="X66" s="168">
        <f>SUM(X62:X65)</f>
        <v>99160.38422714258</v>
      </c>
      <c r="Y66" s="168">
        <f>SUM(Y62:Y65)</f>
        <v>97809.60906883089</v>
      </c>
      <c r="Z66" s="168">
        <f>SUM(Z62:Z65)</f>
        <v>96687.69196464928</v>
      </c>
      <c r="AA66" s="168">
        <f>SUM(AA62:AA65)</f>
        <v>95944.38432743502</v>
      </c>
      <c r="AB66" s="168">
        <f>SUM(AB62:AB65)</f>
        <v>94843.4533603382</v>
      </c>
      <c r="AC66" s="168">
        <f>SUM(AC62:AC65)</f>
        <v>93245.52049499235</v>
      </c>
      <c r="AD66" s="168">
        <f>SUM(AD62:AD65)</f>
        <v>91756.67189708086</v>
      </c>
      <c r="AE66" s="168">
        <f>SUM(AE62:AE65)</f>
        <v>90340.91831270762</v>
      </c>
      <c r="AF66" s="168">
        <f>SUM(AF62:AF65)</f>
        <v>88798.6517799498</v>
      </c>
      <c r="AG66" s="168">
        <f>SUM(AG62:AG65)</f>
        <v>86740.81663455135</v>
      </c>
      <c r="AH66" s="168">
        <f>SUM(AH62:AH65)</f>
        <v>84921.61732201035</v>
      </c>
      <c r="AI66" s="168">
        <f>SUM(AI62:AI65)</f>
        <v>83022.97001758167</v>
      </c>
      <c r="AJ66" s="168">
        <f>SUM(AJ62:AJ65)</f>
        <v>81182.43816583129</v>
      </c>
      <c r="AK66" s="168">
        <f>SUM(AK62:AK65)</f>
        <v>78922.14925238337</v>
      </c>
      <c r="AL66" s="168">
        <f>SUM(AL62:AL65)</f>
        <v>76848.7763499999</v>
      </c>
      <c r="AM66" s="168">
        <f>SUM(AM62:AM65)</f>
        <v>74780.23282451647</v>
      </c>
      <c r="AN66" s="168">
        <f>SUM(AN62:AN65)</f>
        <v>72552.821631233</v>
      </c>
      <c r="AO66" s="168">
        <f>SUM(AO62:AO65)</f>
        <v>69772.58120133607</v>
      </c>
      <c r="AP66" s="168">
        <f>SUM(AP62:AP65)</f>
        <v>67236.41149902974</v>
      </c>
      <c r="AQ66" s="168">
        <f>SUM(AQ62:AQ65)</f>
        <v>64824.705388556926</v>
      </c>
      <c r="AR66" s="168">
        <f>SUM(AR62:AR65)</f>
        <v>62338.39419050915</v>
      </c>
      <c r="AS66" s="168">
        <f>SUM(AS62:AS65)</f>
        <v>59280.715590761596</v>
      </c>
      <c r="AT66" s="168">
        <f>SUM(AT62:AT65)</f>
        <v>56486.83744299644</v>
      </c>
      <c r="AU66" s="168">
        <f>SUM(AU62:AU65)</f>
        <v>54295.459363908594</v>
      </c>
      <c r="AV66" s="168">
        <f>SUM(AV62:AV65)</f>
        <v>53180.728419095736</v>
      </c>
      <c r="AW66" s="168">
        <f>SUM(AW62:AW65)</f>
        <v>51244.98693916269</v>
      </c>
      <c r="AX66" s="168">
        <f>SUM(AX62:AX65)</f>
        <v>46690.362002191476</v>
      </c>
      <c r="AY66" s="168">
        <f>SUM(AY62:AY65)</f>
        <v>41252.17413183829</v>
      </c>
      <c r="AZ66" s="168">
        <f>SUM(AZ62:AZ65)</f>
        <v>39928.981469471844</v>
      </c>
      <c r="BA66" s="168">
        <f>SUM(BA62:BA65)</f>
        <v>37801.553141000084</v>
      </c>
      <c r="BB66" s="168">
        <f>SUM(BB62:BB65)</f>
        <v>36336.86303914772</v>
      </c>
      <c r="BC66" s="168">
        <f>SUM(BC62:BC65)</f>
        <v>34208.208080329874</v>
      </c>
      <c r="BD66" s="168">
        <f>SUM(BD62:BD65)</f>
        <v>33004.13302356414</v>
      </c>
      <c r="BE66" s="168">
        <f>SUM(BE62:BE65)</f>
        <v>30812.6362590117</v>
      </c>
      <c r="BF66" s="168">
        <f>SUM(BF62:BF65)</f>
        <v>29383.28935372636</v>
      </c>
      <c r="BG66" s="168">
        <f>SUM(BG62:BG65)</f>
        <v>27270.058645766563</v>
      </c>
      <c r="BH66" s="168">
        <f>SUM(BH62:BH65)</f>
        <v>25739.947222965144</v>
      </c>
      <c r="BI66" s="168">
        <f>SUM(BI62:BI65)</f>
        <v>24371.69804213539</v>
      </c>
      <c r="BJ66" s="168">
        <f>SUM(BJ62:BJ65)</f>
        <v>22220.36850111097</v>
      </c>
      <c r="BK66" s="168">
        <f>SUM(BK62:BK65)</f>
        <v>20931.42317955899</v>
      </c>
      <c r="BL66" s="168">
        <f>SUM(BL62:BL65)</f>
        <v>19063.919460793833</v>
      </c>
      <c r="BM66" s="168">
        <f>SUM(BM62:BM65)</f>
        <v>18420.12560514958</v>
      </c>
      <c r="BN66" s="168">
        <f>SUM(BN62:BN65)</f>
        <v>17767.65029680301</v>
      </c>
      <c r="BO66" s="168">
        <f>SUM(BO62:BO65)</f>
        <v>17658.995231321824</v>
      </c>
      <c r="BP66" s="168">
        <f>SUM(BP62:BP65)</f>
        <v>17124.571234751336</v>
      </c>
      <c r="BQ66" s="168">
        <f>SUM(BQ62:BQ65)</f>
        <v>16763.259628273896</v>
      </c>
      <c r="BR66" s="168">
        <f>SUM(BR62:BR65)</f>
        <v>16579.314577324418</v>
      </c>
      <c r="BS66" s="168">
        <f>SUM(BS62:BS65)</f>
        <v>15959.98129792229</v>
      </c>
      <c r="BT66" s="168">
        <f>SUM(BT62:BT65)</f>
        <v>16484.670402750984</v>
      </c>
      <c r="BU66" s="168">
        <f>SUM(BU62:BU65)</f>
        <v>16284.800127857417</v>
      </c>
      <c r="BV66" s="168">
        <f>SUM(BV62:BV65)</f>
        <v>16595.50569465413</v>
      </c>
      <c r="BW66" s="168">
        <f>SUM(BW62:BW65)</f>
        <v>16716.643453224253</v>
      </c>
      <c r="BX66" s="168">
        <f>SUM(BX62:BX65)</f>
        <v>16980.85967131378</v>
      </c>
      <c r="BY66" s="168">
        <f>SUM(BY62:BY65)</f>
        <v>17022.143522195227</v>
      </c>
      <c r="BZ66" s="168">
        <f>SUM(BZ62:BZ65)</f>
        <v>17061.030347071763</v>
      </c>
      <c r="CA66" s="168">
        <f>SUM(CA62:CA65)</f>
        <v>17170.07111963012</v>
      </c>
      <c r="CB66" s="168">
        <f>SUM(CB62:CB65)</f>
        <v>17427.269261431924</v>
      </c>
      <c r="CC66" s="168">
        <f>SUM(CC62:CC65)</f>
        <v>17455.594293150916</v>
      </c>
      <c r="CD66" s="168">
        <f>SUM(CD62:CD65)</f>
        <v>17482.160254819304</v>
      </c>
      <c r="CE66" s="168">
        <f>SUM(CE62:CE65)</f>
        <v>17581.659155997688</v>
      </c>
      <c r="CF66" s="168">
        <f>SUM(CF62:CF65)</f>
        <v>17755.904855972796</v>
      </c>
      <c r="CG66" s="168">
        <f>SUM(CG62:CG65)</f>
        <v>17852.011767057757</v>
      </c>
      <c r="CH66" s="168">
        <f>SUM(CH62:CH65)</f>
        <v>17868.389080630615</v>
      </c>
      <c r="CI66" s="168">
        <f>SUM(CI62:CI65)</f>
        <v>17960.436603246057</v>
      </c>
      <c r="CJ66" s="168">
        <f>SUM(CJ62:CJ65)</f>
        <v>18210.84597054145</v>
      </c>
      <c r="CK66" s="168">
        <f>SUM(CK62:CK65)</f>
        <v>18219.566462417097</v>
      </c>
      <c r="CL66" s="168">
        <f>SUM(CL62:CL65)</f>
        <v>18227.48723358981</v>
      </c>
      <c r="CM66" s="168">
        <f>SUM(CM62:CM65)</f>
        <v>9169.5910110012</v>
      </c>
      <c r="CN66" s="168">
        <f>SUM(CN62:CN65)</f>
        <v>8.230927051045e-11</v>
      </c>
      <c r="CO66" s="168">
        <f>SUM(CO62:CO65)</f>
        <v>8.163064635813881e-11</v>
      </c>
    </row>
    <row r="67" s="396"/>
    <row r="68" customFormat="1" s="291">
      <c r="B68" s="163" t="inlineStr">
        <is>
          <t>Liabilities</t>
        </is>
      </c>
    </row>
    <row r="69" s="396">
      <c r="E69" s="308" t="str">
        <f> OpCost!E$62</f>
        <v>Account payables balance</v>
      </c>
      <c r="F69" s="308" t="str">
        <f> OpCost!F$62</f>
        <v>BS</v>
      </c>
      <c r="G69" s="308" t="str">
        <f> OpCost!G$62</f>
        <v>$ 000s</v>
      </c>
      <c r="H69" s="308">
        <f> OpCost!H$62</f>
        <v>0.0</v>
      </c>
      <c r="I69" s="308">
        <f> OpCost!I$62</f>
        <v>0.0</v>
      </c>
      <c r="J69" s="308">
        <f> OpCost!J$62</f>
        <v>0.0</v>
      </c>
      <c r="K69" s="308">
        <f> OpCost!K$62</f>
        <v>0.0</v>
      </c>
      <c r="L69" s="308">
        <f> OpCost!L$62</f>
        <v>3911.8805347494163</v>
      </c>
      <c r="M69" s="308">
        <f> OpCost!M$62</f>
        <v>3822.503480832038</v>
      </c>
      <c r="N69" s="308">
        <f> OpCost!N$62</f>
        <v>3994.910511465314</v>
      </c>
      <c r="O69" s="308">
        <f> OpCost!O$62</f>
        <v>3916.3149818840575</v>
      </c>
      <c r="P69" s="308">
        <f> OpCost!P$62</f>
        <v>4218.865024872304</v>
      </c>
      <c r="Q69" s="308">
        <f> OpCost!Q$62</f>
        <v>4057.127896603013</v>
      </c>
      <c r="R69" s="308">
        <f> OpCost!R$62</f>
        <v>4229.070867204988</v>
      </c>
      <c r="S69" s="308">
        <f> OpCost!S$62</f>
        <v>4112.1307309782605</v>
      </c>
      <c r="T69" s="308">
        <f> OpCost!T$62</f>
        <v>4370.660341780394</v>
      </c>
      <c r="U69" s="308">
        <f> OpCost!U$62</f>
        <v>4239.650121434395</v>
      </c>
      <c r="V69" s="308">
        <f> OpCost!V$62</f>
        <v>4408.768468852642</v>
      </c>
      <c r="W69" s="308">
        <f> OpCost!W$62</f>
        <v>4276.615960217392</v>
      </c>
      <c r="X69" s="308">
        <f> OpCost!X$62</f>
        <v>4584.904044080322</v>
      </c>
      <c r="Y69" s="308">
        <f> OpCost!Y$62</f>
        <v>4387.9866718819685</v>
      </c>
      <c r="Z69" s="308">
        <f> OpCost!Z$62</f>
        <v>4552.013541494738</v>
      </c>
      <c r="AA69" s="308">
        <f> OpCost!AA$62</f>
        <v>4404.914439023913</v>
      </c>
      <c r="AB69" s="308">
        <f> OpCost!AB$62</f>
        <v>4722.45116540273</v>
      </c>
      <c r="AC69" s="308">
        <f> OpCost!AC$62</f>
        <v>4519.626272038426</v>
      </c>
      <c r="AD69" s="308">
        <f> OpCost!AD$62</f>
        <v>4688.57394773958</v>
      </c>
      <c r="AE69" s="308">
        <f> OpCost!AE$62</f>
        <v>4537.061872194627</v>
      </c>
      <c r="AF69" s="308">
        <f> OpCost!AF$62</f>
        <v>4864.124700364808</v>
      </c>
      <c r="AG69" s="308">
        <f> OpCost!AG$62</f>
        <v>4655.215060199578</v>
      </c>
      <c r="AH69" s="308">
        <f> OpCost!AH$62</f>
        <v>4829.231166171765</v>
      </c>
      <c r="AI69" s="308">
        <f> OpCost!AI$62</f>
        <v>4673.173728360465</v>
      </c>
      <c r="AJ69" s="308">
        <f> OpCost!AJ$62</f>
        <v>4954.992963997996</v>
      </c>
      <c r="AK69" s="308">
        <f> OpCost!AK$62</f>
        <v>4794.871512005564</v>
      </c>
      <c r="AL69" s="308">
        <f> OpCost!AL$62</f>
        <v>4974.108101156915</v>
      </c>
      <c r="AM69" s="308">
        <f> OpCost!AM$62</f>
        <v>4813.36894021128</v>
      </c>
      <c r="AN69" s="308">
        <f> OpCost!AN$62</f>
        <v>5160.349894617024</v>
      </c>
      <c r="AO69" s="308">
        <f> OpCost!AO$62</f>
        <v>4938.717657365727</v>
      </c>
      <c r="AP69" s="308">
        <f> OpCost!AP$62</f>
        <v>5123.331344191618</v>
      </c>
      <c r="AQ69" s="308">
        <f> OpCost!AQ$62</f>
        <v>4957.770008417612</v>
      </c>
      <c r="AR69" s="308">
        <f> OpCost!AR$62</f>
        <v>5315.160391455533</v>
      </c>
      <c r="AS69" s="308">
        <f> OpCost!AS$62</f>
        <v>5086.879187086699</v>
      </c>
      <c r="AT69" s="308">
        <f> OpCost!AT$62</f>
        <v>5277.0312845173685</v>
      </c>
      <c r="AU69" s="308">
        <f> OpCost!AU$62</f>
        <v>5106.503108670138</v>
      </c>
      <c r="AV69" s="308">
        <f> OpCost!AV$62</f>
        <v>5474.615203199195</v>
      </c>
      <c r="AW69" s="308">
        <f> OpCost!AW$62</f>
        <v>5239.485562699298</v>
      </c>
      <c r="AX69" s="308">
        <f> OpCost!AX$62</f>
        <v>5435.342223052887</v>
      </c>
      <c r="AY69" s="308">
        <f> OpCost!AY$62</f>
        <v>5259.698201930241</v>
      </c>
      <c r="AZ69" s="308">
        <f> OpCost!AZ$62</f>
        <v>5576.8882344677495</v>
      </c>
      <c r="BA69" s="308">
        <f> OpCost!BA$62</f>
        <v>5396.670129580276</v>
      </c>
      <c r="BB69" s="308">
        <f> OpCost!BB$62</f>
        <v>5598.402489744471</v>
      </c>
      <c r="BC69" s="308">
        <f> OpCost!BC$62</f>
        <v>5417.48914798815</v>
      </c>
      <c r="BD69" s="308">
        <f> OpCost!BD$62</f>
        <v>5808.019269074026</v>
      </c>
      <c r="BE69" s="308">
        <f> OpCost!BE$62</f>
        <v>5558.570233467681</v>
      </c>
      <c r="BF69" s="308">
        <f> OpCost!BF$62</f>
        <v>5766.354564436804</v>
      </c>
      <c r="BG69" s="308">
        <f> OpCost!BG$62</f>
        <v>5580.013822427791</v>
      </c>
      <c r="BH69" s="308">
        <f> OpCost!BH$62</f>
        <v>5746.321211813247</v>
      </c>
      <c r="BI69" s="308">
        <f> OpCost!BI$62</f>
        <v>5960.403986860458</v>
      </c>
      <c r="BJ69" s="308">
        <f> OpCost!BJ$62</f>
        <v>5705.09910752106</v>
      </c>
      <c r="BK69" s="308">
        <f> OpCost!BK$62</f>
        <v>5983.3977510412005</v>
      </c>
      <c r="BL69" s="308">
        <f> OpCost!BL$62</f>
        <v>5918.710848167639</v>
      </c>
      <c r="BM69" s="308">
        <f> OpCost!BM$62</f>
        <v>6139.2161064662705</v>
      </c>
      <c r="BN69" s="308">
        <f> OpCost!BN$62</f>
        <v>5876.25208074669</v>
      </c>
      <c r="BO69" s="308">
        <f> OpCost!BO$62</f>
        <v>6162.899683572436</v>
      </c>
      <c r="BP69" s="308">
        <f> OpCost!BP$62</f>
        <v>6029.280171704837</v>
      </c>
      <c r="BQ69" s="308">
        <f> OpCost!BQ$62</f>
        <v>6073.999775506434</v>
      </c>
      <c r="BR69" s="308">
        <f> OpCost!BR$62</f>
        <v>6301.051324133328</v>
      </c>
      <c r="BS69" s="308">
        <f> OpCost!BS$62</f>
        <v>6097.431764140047</v>
      </c>
      <c r="BT69" s="308">
        <f> OpCost!BT$62</f>
        <v>6536.976855992563</v>
      </c>
      <c r="BU69" s="308">
        <f> OpCost!BU$62</f>
        <v>6256.219768771622</v>
      </c>
      <c r="BV69" s="308">
        <f> OpCost!BV$62</f>
        <v>6490.082863857329</v>
      </c>
      <c r="BW69" s="308">
        <f> OpCost!BW$62</f>
        <v>6538.220274301992</v>
      </c>
      <c r="BX69" s="308">
        <f> OpCost!BX$62</f>
        <v>6733.086161672341</v>
      </c>
      <c r="BY69" s="308">
        <f> OpCost!BY$62</f>
        <v>6708.487198370563</v>
      </c>
      <c r="BZ69" s="308">
        <f> OpCost!BZ$62</f>
        <v>6684.785349773047</v>
      </c>
      <c r="CA69" s="308">
        <f> OpCost!CA$62</f>
        <v>6734.366882531049</v>
      </c>
      <c r="CB69" s="308">
        <f> OpCost!CB$62</f>
        <v>6935.078746522508</v>
      </c>
      <c r="CC69" s="308">
        <f> OpCost!CC$62</f>
        <v>6909.741814321678</v>
      </c>
      <c r="CD69" s="308">
        <f> OpCost!CD$62</f>
        <v>6885.328910266235</v>
      </c>
      <c r="CE69" s="308">
        <f> OpCost!CE$62</f>
        <v>6936.397889006981</v>
      </c>
      <c r="CF69" s="308">
        <f> OpCost!CF$62</f>
        <v>7064.6351626663345</v>
      </c>
      <c r="CG69" s="308">
        <f> OpCost!CG$62</f>
        <v>7117.034068751327</v>
      </c>
      <c r="CH69" s="308">
        <f> OpCost!CH$62</f>
        <v>7091.888777574219</v>
      </c>
      <c r="CI69" s="308">
        <f> OpCost!CI$62</f>
        <v>7144.489825677185</v>
      </c>
      <c r="CJ69" s="308">
        <f> OpCost!CJ$62</f>
        <v>7357.425042185725</v>
      </c>
      <c r="CK69" s="308">
        <f> OpCost!CK$62</f>
        <v>7330.545090813863</v>
      </c>
      <c r="CL69" s="308">
        <f> OpCost!CL$62</f>
        <v>7304.645440901444</v>
      </c>
      <c r="CM69" s="308">
        <f> OpCost!CM$62</f>
        <v>7358.824520447502</v>
      </c>
      <c r="CN69" s="308">
        <f> OpCost!CN$62</f>
        <v>0.0</v>
      </c>
      <c r="CO69" s="308">
        <f> OpCost!CO$62</f>
        <v>0.0</v>
      </c>
    </row>
    <row r="70" s="396">
      <c r="E70" s="308" t="str">
        <f> Debt!E$45</f>
        <v>Senior debt balance</v>
      </c>
      <c r="F70" s="308" t="str">
        <f> Debt!F$45</f>
        <v>BS</v>
      </c>
      <c r="G70" s="308" t="str">
        <f> Debt!G$45</f>
        <v>$ 000s</v>
      </c>
      <c r="H70" s="308">
        <f> Debt!H$45</f>
        <v>0.0</v>
      </c>
      <c r="I70" s="308">
        <f> Debt!I$45</f>
        <v>0.0</v>
      </c>
      <c r="J70" s="308">
        <f> Debt!J$45</f>
        <v>0.0</v>
      </c>
      <c r="K70" s="308">
        <f> Debt!K$45</f>
        <v>72154.22476191197</v>
      </c>
      <c r="L70" s="308">
        <f> Debt!L$45</f>
        <v>71097.33586905799</v>
      </c>
      <c r="M70" s="308">
        <f> Debt!M$45</f>
        <v>69948.44283596725</v>
      </c>
      <c r="N70" s="308">
        <f> Debt!N$45</f>
        <v>68741.51807785485</v>
      </c>
      <c r="O70" s="308">
        <f> Debt!O$45</f>
        <v>67593.88605233596</v>
      </c>
      <c r="P70" s="308">
        <f> Debt!P$45</f>
        <v>66345.82245960187</v>
      </c>
      <c r="Q70" s="308">
        <f> Debt!Q$45</f>
        <v>65162.623003507986</v>
      </c>
      <c r="R70" s="308">
        <f> Debt!R$45</f>
        <v>63901.65665752882</v>
      </c>
      <c r="S70" s="308">
        <f> Debt!S$45</f>
        <v>63588.84489366292</v>
      </c>
      <c r="T70" s="308">
        <f> Debt!T$45</f>
        <v>62228.64749102384</v>
      </c>
      <c r="U70" s="308">
        <f> Debt!U$45</f>
        <v>60890.279904028655</v>
      </c>
      <c r="V70" s="308">
        <f> Debt!V$45</f>
        <v>59462.24365849871</v>
      </c>
      <c r="W70" s="308">
        <f> Debt!W$45</f>
        <v>58538.5570870261</v>
      </c>
      <c r="X70" s="308">
        <f> Debt!X$45</f>
        <v>57056.24420753001</v>
      </c>
      <c r="Y70" s="308">
        <f> Debt!Y$45</f>
        <v>55637.02667026263</v>
      </c>
      <c r="Z70" s="308">
        <f> Debt!Z$45</f>
        <v>54126.50788268324</v>
      </c>
      <c r="AA70" s="308">
        <f> Debt!AA$45</f>
        <v>53344.470224655306</v>
      </c>
      <c r="AB70" s="308">
        <f> Debt!AB$45</f>
        <v>51776.98181387069</v>
      </c>
      <c r="AC70" s="308">
        <f> Debt!AC$45</f>
        <v>50268.94611025693</v>
      </c>
      <c r="AD70" s="308">
        <f> Debt!AD$45</f>
        <v>48532.51044140495</v>
      </c>
      <c r="AE70" s="308">
        <f> Debt!AE$45</f>
        <v>47222.20345691062</v>
      </c>
      <c r="AF70" s="308">
        <f> Debt!AF$45</f>
        <v>45337.75384391113</v>
      </c>
      <c r="AG70" s="308">
        <f> Debt!AG$45</f>
        <v>43503.856049021306</v>
      </c>
      <c r="AH70" s="308">
        <f> Debt!AH$45</f>
        <v>41554.30890514567</v>
      </c>
      <c r="AI70" s="308">
        <f> Debt!AI$45</f>
        <v>39882.59584924524</v>
      </c>
      <c r="AJ70" s="308">
        <f> Debt!AJ$45</f>
        <v>37856.96968184975</v>
      </c>
      <c r="AK70" s="308">
        <f> Debt!AK$45</f>
        <v>35878.45784419832</v>
      </c>
      <c r="AL70" s="308">
        <f> Debt!AL$45</f>
        <v>33771.18814508866</v>
      </c>
      <c r="AM70" s="308">
        <f> Debt!AM$45</f>
        <v>32031.223533166063</v>
      </c>
      <c r="AN70" s="308">
        <f> Debt!AN$45</f>
        <v>29616.04610027258</v>
      </c>
      <c r="AO70" s="308">
        <f> Debt!AO$45</f>
        <v>27237.708836494196</v>
      </c>
      <c r="AP70" s="308">
        <f> Debt!AP$45</f>
        <v>24717.199779597144</v>
      </c>
      <c r="AQ70" s="308">
        <f> Debt!AQ$45</f>
        <v>22690.332570333037</v>
      </c>
      <c r="AR70" s="308">
        <f> Debt!AR$45</f>
        <v>20068.961626221597</v>
      </c>
      <c r="AS70" s="308">
        <f> Debt!AS$45</f>
        <v>17479.795285779735</v>
      </c>
      <c r="AT70" s="308">
        <f> Debt!AT$45</f>
        <v>14738.39173926243</v>
      </c>
      <c r="AU70" s="308">
        <f> Debt!AU$45</f>
        <v>12043.729067472039</v>
      </c>
      <c r="AV70" s="308">
        <f> Debt!AV$45</f>
        <v>9193.93640159505</v>
      </c>
      <c r="AW70" s="308">
        <f> Debt!AW$45</f>
        <v>6371.093877227339</v>
      </c>
      <c r="AX70" s="308">
        <f> Debt!AX$45</f>
        <v>3215.418088230146</v>
      </c>
      <c r="AY70" s="308">
        <f> Debt!AY$45</f>
        <v>-5.047695594839752e-11</v>
      </c>
      <c r="AZ70" s="308">
        <f> Debt!AZ$45</f>
        <v>-5.1455755409632617e-11</v>
      </c>
      <c r="BA70" s="308">
        <f> Debt!BA$45</f>
        <v>-5.245063708979329e-11</v>
      </c>
      <c r="BB70" s="308">
        <f> Debt!BB$45</f>
        <v>-5.347297762580157e-11</v>
      </c>
      <c r="BC70" s="308">
        <f> Debt!BC$45</f>
        <v>-5.4512300374046876e-11</v>
      </c>
      <c r="BD70" s="308">
        <f> Debt!BD$45</f>
        <v>-5.554591814416323e-11</v>
      </c>
      <c r="BE70" s="308">
        <f> Debt!BE$45</f>
        <v>-5.660800347036487e-11</v>
      </c>
      <c r="BF70" s="308">
        <f> Debt!BF$45</f>
        <v>-5.7699402481250426e-11</v>
      </c>
      <c r="BG70" s="308">
        <f> Debt!BG$45</f>
        <v>-5.880893084237236e-11</v>
      </c>
      <c r="BH70" s="308">
        <f> Debt!BH$45</f>
        <v>-5.9912368857599e-11</v>
      </c>
      <c r="BI70" s="308">
        <f> Debt!BI$45</f>
        <v>-6.104619739482834e-11</v>
      </c>
      <c r="BJ70" s="308">
        <f> Debt!BJ$45</f>
        <v>-6.221131973812582e-11</v>
      </c>
      <c r="BK70" s="308">
        <f> Debt!BK$45</f>
        <v>-6.339579605812585e-11</v>
      </c>
      <c r="BL70" s="308">
        <f> Debt!BL$45</f>
        <v>-6.457377063310849e-11</v>
      </c>
      <c r="BM70" s="308">
        <f> Debt!BM$45</f>
        <v>-6.578418859117711e-11</v>
      </c>
      <c r="BN70" s="308">
        <f> Debt!BN$45</f>
        <v>-6.70280142326806e-11</v>
      </c>
      <c r="BO70" s="308">
        <f> Debt!BO$45</f>
        <v>-6.829250120011795e-11</v>
      </c>
      <c r="BP70" s="308">
        <f> Debt!BP$45</f>
        <v>-6.956401996736396e-11</v>
      </c>
      <c r="BQ70" s="308">
        <f> Debt!BQ$45</f>
        <v>-7.085643049435513e-11</v>
      </c>
      <c r="BR70" s="308">
        <f> Debt!BR$45</f>
        <v>-7.218451170969474e-11</v>
      </c>
      <c r="BS70" s="308">
        <f> Debt!BS$45</f>
        <v>-7.353465382966694e-11</v>
      </c>
      <c r="BT70" s="308">
        <f> Debt!BT$45</f>
        <v>-7.487738484343712e-11</v>
      </c>
      <c r="BU70" s="308">
        <f> Debt!BU$45</f>
        <v>-7.625709690721156e-11</v>
      </c>
      <c r="BV70" s="308">
        <f> Debt!BV$45</f>
        <v>-7.767488919240918e-11</v>
      </c>
      <c r="BW70" s="308">
        <f> Debt!BW$45</f>
        <v>-7.911623258278868e-11</v>
      </c>
      <c r="BX70" s="308">
        <f> Debt!BX$45</f>
        <v>-8.054966425129709e-11</v>
      </c>
      <c r="BY70" s="308">
        <f> Debt!BY$45</f>
        <v>-8.2022575017009e-11</v>
      </c>
      <c r="BZ70" s="308">
        <f> Debt!BZ$45</f>
        <v>-8.353613829969715e-11</v>
      </c>
      <c r="CA70" s="308">
        <f> Debt!CA$45</f>
        <v>-8.507484355024772e-11</v>
      </c>
      <c r="CB70" s="308">
        <f> Debt!CB$45</f>
        <v>-8.660510264697734e-11</v>
      </c>
      <c r="CC70" s="308">
        <f> Debt!CC$45</f>
        <v>-8.817750762966272e-11</v>
      </c>
      <c r="CD70" s="308">
        <f> Debt!CD$45</f>
        <v>-8.979331118186105e-11</v>
      </c>
      <c r="CE70" s="308">
        <f> Debt!CE$45</f>
        <v>-9.143595502639868e-11</v>
      </c>
      <c r="CF70" s="308">
        <f> Debt!CF$45</f>
        <v>-9.308773359748482e-11</v>
      </c>
      <c r="CG70" s="308">
        <f> Debt!CG$45</f>
        <v>-9.476665180814868e-11</v>
      </c>
      <c r="CH70" s="308">
        <f> Debt!CH$45</f>
        <v>-9.649190836642298e-11</v>
      </c>
      <c r="CI70" s="308">
        <f> Debt!CI$45</f>
        <v>-9.824582335308194e-11</v>
      </c>
      <c r="CJ70" s="308">
        <f> Debt!CJ$45</f>
        <v>-9.999011087160761e-11</v>
      </c>
      <c r="CK70" s="308">
        <f> Debt!CK$45</f>
        <v>-1.0178243897553934e-10</v>
      </c>
      <c r="CL70" s="308">
        <f> Debt!CL$45</f>
        <v>-1.0362423555398307e-10</v>
      </c>
      <c r="CM70" s="308">
        <f> Debt!CM$45</f>
        <v>-1.0549662642003539e-10</v>
      </c>
      <c r="CN70" s="308">
        <f> Debt!CN$45</f>
        <v>-1.0735873948839905e-10</v>
      </c>
      <c r="CO70" s="308">
        <f> Debt!CO$45</f>
        <v>-1.0927213825418723e-10</v>
      </c>
    </row>
    <row r="71" s="396">
      <c r="E71" s="308" t="str">
        <f>SHL!E$24</f>
        <v>Shareholder loan balance END</v>
      </c>
      <c r="F71" s="308" t="n"/>
      <c r="G71" s="308" t="inlineStr">
        <is>
          <t>$ 000s</t>
        </is>
      </c>
      <c r="H71" s="308" t="n"/>
      <c r="I71" s="308" t="n"/>
      <c r="J71" s="308">
        <f>SHL!J$24</f>
        <v>0.0</v>
      </c>
      <c r="K71" s="308">
        <f>SHL!K$24</f>
        <v>17348.144689958874</v>
      </c>
      <c r="L71" s="308">
        <f>SHL!L$24</f>
        <v>17781.848307207845</v>
      </c>
      <c r="M71" s="308">
        <f>SHL!M$24</f>
        <v>17781.848307207845</v>
      </c>
      <c r="N71" s="308">
        <f>SHL!N$24</f>
        <v>17781.848307207845</v>
      </c>
      <c r="O71" s="308">
        <f>SHL!O$24</f>
        <v>17781.848307207845</v>
      </c>
      <c r="P71" s="308">
        <f>SHL!P$24</f>
        <v>17781.848307207845</v>
      </c>
      <c r="Q71" s="308">
        <f>SHL!Q$24</f>
        <v>17781.848307207845</v>
      </c>
      <c r="R71" s="308">
        <f>SHL!R$24</f>
        <v>17781.848307207845</v>
      </c>
      <c r="S71" s="308">
        <f>SHL!S$24</f>
        <v>17781.848307207845</v>
      </c>
      <c r="T71" s="308">
        <f>SHL!T$24</f>
        <v>17781.848307207845</v>
      </c>
      <c r="U71" s="308">
        <f>SHL!U$24</f>
        <v>17781.848307207845</v>
      </c>
      <c r="V71" s="308">
        <f>SHL!V$24</f>
        <v>17781.848307207845</v>
      </c>
      <c r="W71" s="308">
        <f>SHL!W$24</f>
        <v>17781.848307207845</v>
      </c>
      <c r="X71" s="308">
        <f>SHL!X$24</f>
        <v>17781.848307207845</v>
      </c>
      <c r="Y71" s="308">
        <f>SHL!Y$24</f>
        <v>17781.848307207845</v>
      </c>
      <c r="Z71" s="308">
        <f>SHL!Z$24</f>
        <v>17781.848307207845</v>
      </c>
      <c r="AA71" s="308">
        <f>SHL!AA$24</f>
        <v>17781.848307207845</v>
      </c>
      <c r="AB71" s="308">
        <f>SHL!AB$24</f>
        <v>17781.848307207845</v>
      </c>
      <c r="AC71" s="308">
        <f>SHL!AC$24</f>
        <v>17781.848307207845</v>
      </c>
      <c r="AD71" s="308">
        <f>SHL!AD$24</f>
        <v>17781.848307207845</v>
      </c>
      <c r="AE71" s="308">
        <f>SHL!AE$24</f>
        <v>17781.848307207845</v>
      </c>
      <c r="AF71" s="308">
        <f>SHL!AF$24</f>
        <v>17781.848307207845</v>
      </c>
      <c r="AG71" s="308">
        <f>SHL!AG$24</f>
        <v>17781.848307207845</v>
      </c>
      <c r="AH71" s="308">
        <f>SHL!AH$24</f>
        <v>17781.848307207845</v>
      </c>
      <c r="AI71" s="308">
        <f>SHL!AI$24</f>
        <v>17781.848307207845</v>
      </c>
      <c r="AJ71" s="308">
        <f>SHL!AJ$24</f>
        <v>17781.848307207845</v>
      </c>
      <c r="AK71" s="308">
        <f>SHL!AK$24</f>
        <v>17781.848307207845</v>
      </c>
      <c r="AL71" s="308">
        <f>SHL!AL$24</f>
        <v>17781.848307207845</v>
      </c>
      <c r="AM71" s="308">
        <f>SHL!AM$24</f>
        <v>17781.848307207845</v>
      </c>
      <c r="AN71" s="308">
        <f>SHL!AN$24</f>
        <v>17781.848307207845</v>
      </c>
      <c r="AO71" s="308">
        <f>SHL!AO$24</f>
        <v>17781.848307207845</v>
      </c>
      <c r="AP71" s="308">
        <f>SHL!AP$24</f>
        <v>17781.848307207845</v>
      </c>
      <c r="AQ71" s="308">
        <f>SHL!AQ$24</f>
        <v>17781.848307207845</v>
      </c>
      <c r="AR71" s="308">
        <f>SHL!AR$24</f>
        <v>17781.848307207845</v>
      </c>
      <c r="AS71" s="308">
        <f>SHL!AS$24</f>
        <v>17781.848307207845</v>
      </c>
      <c r="AT71" s="308">
        <f>SHL!AT$24</f>
        <v>17781.848307207845</v>
      </c>
      <c r="AU71" s="308">
        <f>SHL!AU$24</f>
        <v>17781.848307207845</v>
      </c>
      <c r="AV71" s="308">
        <f>SHL!AV$24</f>
        <v>17781.848307207845</v>
      </c>
      <c r="AW71" s="308">
        <f>SHL!AW$24</f>
        <v>17781.848307207845</v>
      </c>
      <c r="AX71" s="308">
        <f>SHL!AX$24</f>
        <v>17781.848307207845</v>
      </c>
      <c r="AY71" s="308">
        <f>SHL!AY$24</f>
        <v>17781.848307207845</v>
      </c>
      <c r="AZ71" s="308">
        <f>SHL!AZ$24</f>
        <v>10471.48888675739</v>
      </c>
      <c r="BA71" s="308">
        <f>SHL!BA$24</f>
        <v>3219.002580769843</v>
      </c>
      <c r="BB71" s="308">
        <f>SHL!BB$24</f>
        <v>0.0</v>
      </c>
      <c r="BC71" s="308">
        <f>SHL!BC$24</f>
        <v>0.0</v>
      </c>
      <c r="BD71" s="308">
        <f>SHL!BD$24</f>
        <v>0.0</v>
      </c>
      <c r="BE71" s="308">
        <f>SHL!BE$24</f>
        <v>0.0</v>
      </c>
      <c r="BF71" s="308">
        <f>SHL!BF$24</f>
        <v>0.0</v>
      </c>
      <c r="BG71" s="308">
        <f>SHL!BG$24</f>
        <v>0.0</v>
      </c>
      <c r="BH71" s="308">
        <f>SHL!BH$24</f>
        <v>0.0</v>
      </c>
      <c r="BI71" s="308">
        <f>SHL!BI$24</f>
        <v>0.0</v>
      </c>
      <c r="BJ71" s="308">
        <f>SHL!BJ$24</f>
        <v>0.0</v>
      </c>
      <c r="BK71" s="308">
        <f>SHL!BK$24</f>
        <v>0.0</v>
      </c>
      <c r="BL71" s="308">
        <f>SHL!BL$24</f>
        <v>0.0</v>
      </c>
      <c r="BM71" s="308">
        <f>SHL!BM$24</f>
        <v>0.0</v>
      </c>
      <c r="BN71" s="308">
        <f>SHL!BN$24</f>
        <v>0.0</v>
      </c>
      <c r="BO71" s="308">
        <f>SHL!BO$24</f>
        <v>0.0</v>
      </c>
      <c r="BP71" s="308">
        <f>SHL!BP$24</f>
        <v>0.0</v>
      </c>
      <c r="BQ71" s="308">
        <f>SHL!BQ$24</f>
        <v>0.0</v>
      </c>
      <c r="BR71" s="308">
        <f>SHL!BR$24</f>
        <v>0.0</v>
      </c>
      <c r="BS71" s="308">
        <f>SHL!BS$24</f>
        <v>0.0</v>
      </c>
      <c r="BT71" s="308">
        <f>SHL!BT$24</f>
        <v>0.0</v>
      </c>
      <c r="BU71" s="308">
        <f>SHL!BU$24</f>
        <v>0.0</v>
      </c>
      <c r="BV71" s="308">
        <f>SHL!BV$24</f>
        <v>0.0</v>
      </c>
      <c r="BW71" s="308">
        <f>SHL!BW$24</f>
        <v>0.0</v>
      </c>
      <c r="BX71" s="308">
        <f>SHL!BX$24</f>
        <v>0.0</v>
      </c>
      <c r="BY71" s="308">
        <f>SHL!BY$24</f>
        <v>0.0</v>
      </c>
      <c r="BZ71" s="308">
        <f>SHL!BZ$24</f>
        <v>0.0</v>
      </c>
      <c r="CA71" s="308">
        <f>SHL!CA$24</f>
        <v>0.0</v>
      </c>
      <c r="CB71" s="308">
        <f>SHL!CB$24</f>
        <v>0.0</v>
      </c>
      <c r="CC71" s="308">
        <f>SHL!CC$24</f>
        <v>0.0</v>
      </c>
      <c r="CD71" s="308">
        <f>SHL!CD$24</f>
        <v>0.0</v>
      </c>
      <c r="CE71" s="308">
        <f>SHL!CE$24</f>
        <v>0.0</v>
      </c>
      <c r="CF71" s="308">
        <f>SHL!CF$24</f>
        <v>0.0</v>
      </c>
      <c r="CG71" s="308">
        <f>SHL!CG$24</f>
        <v>0.0</v>
      </c>
      <c r="CH71" s="308">
        <f>SHL!CH$24</f>
        <v>0.0</v>
      </c>
      <c r="CI71" s="308">
        <f>SHL!CI$24</f>
        <v>0.0</v>
      </c>
      <c r="CJ71" s="308">
        <f>SHL!CJ$24</f>
        <v>0.0</v>
      </c>
      <c r="CK71" s="308">
        <f>SHL!CK$24</f>
        <v>0.0</v>
      </c>
      <c r="CL71" s="308">
        <f>SHL!CL$24</f>
        <v>0.0</v>
      </c>
      <c r="CM71" s="308">
        <f>SHL!CM$24</f>
        <v>0.0</v>
      </c>
      <c r="CN71" s="308">
        <f>SHL!CN$24</f>
        <v>0.0</v>
      </c>
      <c r="CO71" s="308">
        <f>SHL!CO$24</f>
        <v>0.0</v>
      </c>
    </row>
    <row r="72" s="396">
      <c r="E72" s="308" t="str">
        <f> Tax!E$49</f>
        <v>Deferred tax balance</v>
      </c>
      <c r="F72" s="308" t="str">
        <f> Tax!F$49</f>
        <v>BS</v>
      </c>
      <c r="G72" s="308" t="str">
        <f> Tax!G$49</f>
        <v>$ 000s</v>
      </c>
      <c r="H72" s="308">
        <f> Tax!H$49</f>
        <v>0.0</v>
      </c>
      <c r="I72" s="308">
        <f> Tax!I$49</f>
        <v>0.0</v>
      </c>
      <c r="J72" s="308">
        <f> Tax!J$49</f>
        <v>0.0</v>
      </c>
      <c r="K72" s="308">
        <f> Tax!K$49</f>
        <v>0.0</v>
      </c>
      <c r="L72" s="308">
        <f> Tax!L$49</f>
        <v>1010.677992451768</v>
      </c>
      <c r="M72" s="308">
        <f> Tax!M$49</f>
        <v>1945.5551354696536</v>
      </c>
      <c r="N72" s="308">
        <f> Tax!N$49</f>
        <v>2808.42147152535</v>
      </c>
      <c r="O72" s="308">
        <f> Tax!O$49</f>
        <v>3602.8775409669684</v>
      </c>
      <c r="P72" s="308">
        <f> Tax!P$49</f>
        <v>4332.343857125212</v>
      </c>
      <c r="Q72" s="308">
        <f> Tax!Q$49</f>
        <v>5000.069907664248</v>
      </c>
      <c r="R72" s="308">
        <f> Tax!R$49</f>
        <v>5609.142705865038</v>
      </c>
      <c r="S72" s="308">
        <f> Tax!S$49</f>
        <v>6162.494914344495</v>
      </c>
      <c r="T72" s="308">
        <f> Tax!T$49</f>
        <v>6662.9125625886845</v>
      </c>
      <c r="U72" s="308">
        <f> Tax!U$49</f>
        <v>7111.542378609371</v>
      </c>
      <c r="V72" s="308">
        <f> Tax!V$49</f>
        <v>7510.973754017728</v>
      </c>
      <c r="W72" s="308">
        <f> Tax!W$49</f>
        <v>7863.666610844374</v>
      </c>
      <c r="X72" s="308">
        <f> Tax!X$49</f>
        <v>8171.957875018393</v>
      </c>
      <c r="Y72" s="308">
        <f> Tax!Y$49</f>
        <v>8437.317626172417</v>
      </c>
      <c r="Z72" s="308">
        <f> Tax!Z$49</f>
        <v>8661.892439957444</v>
      </c>
      <c r="AA72" s="308">
        <f> Tax!AA$49</f>
        <v>8847.721563241927</v>
      </c>
      <c r="AB72" s="308">
        <f> Tax!AB$49</f>
        <v>8996.74228055089</v>
      </c>
      <c r="AC72" s="308">
        <f> Tax!AC$49</f>
        <v>9109.670012183113</v>
      </c>
      <c r="AD72" s="308">
        <f> Tax!AD$49</f>
        <v>9188.309407422428</v>
      </c>
      <c r="AE72" s="308">
        <f> Tax!AE$49</f>
        <v>9234.374883088485</v>
      </c>
      <c r="AF72" s="308">
        <f> Tax!AF$49</f>
        <v>9249.495135159945</v>
      </c>
      <c r="AG72" s="308">
        <f> Tax!AG$49</f>
        <v>9234.467424816536</v>
      </c>
      <c r="AH72" s="308">
        <f> Tax!AH$49</f>
        <v>9190.799150179004</v>
      </c>
      <c r="AI72" s="308">
        <f> Tax!AI$49</f>
        <v>9119.922339462055</v>
      </c>
      <c r="AJ72" s="308">
        <f> Tax!AJ$49</f>
        <v>9023.19741946966</v>
      </c>
      <c r="AK72" s="308">
        <f> Tax!AK$49</f>
        <v>8901.54179566559</v>
      </c>
      <c r="AL72" s="308">
        <f> Tax!AL$49</f>
        <v>8756.202003240429</v>
      </c>
      <c r="AM72" s="308">
        <f> Tax!AM$49</f>
        <v>8588.362250625232</v>
      </c>
      <c r="AN72" s="308">
        <f> Tax!AN$49</f>
        <v>8429.147535829501</v>
      </c>
      <c r="AO72" s="308">
        <f> Tax!AO$49</f>
        <v>8248.876606962263</v>
      </c>
      <c r="AP72" s="308">
        <f> Tax!AP$49</f>
        <v>8048.602274727091</v>
      </c>
      <c r="AQ72" s="308">
        <f> Tax!AQ$49</f>
        <v>7829.324709292385</v>
      </c>
      <c r="AR72" s="308">
        <f> Tax!AR$49</f>
        <v>7606.994072318119</v>
      </c>
      <c r="AS72" s="308">
        <f> Tax!AS$49</f>
        <v>7366.763017381273</v>
      </c>
      <c r="AT72" s="308">
        <f> Tax!AT$49</f>
        <v>7109.526565379974</v>
      </c>
      <c r="AU72" s="308">
        <f> Tax!AU$49</f>
        <v>6836.134986167446</v>
      </c>
      <c r="AV72" s="308">
        <f> Tax!AV$49</f>
        <v>6569.896036104252</v>
      </c>
      <c r="AW72" s="308">
        <f> Tax!AW$49</f>
        <v>6289.077083732921</v>
      </c>
      <c r="AX72" s="308">
        <f> Tax!AX$49</f>
        <v>5994.407129168863</v>
      </c>
      <c r="AY72" s="308">
        <f> Tax!AY$49</f>
        <v>5686.578722521715</v>
      </c>
      <c r="AZ72" s="308">
        <f> Tax!AZ$49</f>
        <v>5381.249786395629</v>
      </c>
      <c r="BA72" s="308">
        <f> Tax!BA$49</f>
        <v>5064.045347264553</v>
      </c>
      <c r="BB72" s="308">
        <f> Tax!BB$49</f>
        <v>4735.5591802787385</v>
      </c>
      <c r="BC72" s="308">
        <f> Tax!BC$49</f>
        <v>4396.355371830919</v>
      </c>
      <c r="BD72" s="308">
        <f> Tax!BD$49</f>
        <v>4054.4698039941964</v>
      </c>
      <c r="BE72" s="308">
        <f> Tax!BE$49</f>
        <v>3702.9115647380154</v>
      </c>
      <c r="BF72" s="308">
        <f> Tax!BF$49</f>
        <v>3342.1642876333494</v>
      </c>
      <c r="BG72" s="308">
        <f> Tax!BG$49</f>
        <v>2972.6874245726217</v>
      </c>
      <c r="BH72" s="308">
        <f> Tax!BH$49</f>
        <v>2609.9174548536366</v>
      </c>
      <c r="BI72" s="308">
        <f> Tax!BI$49</f>
        <v>2239.269033809306</v>
      </c>
      <c r="BJ72" s="308">
        <f> Tax!BJ$49</f>
        <v>1861.1360840058987</v>
      </c>
      <c r="BK72" s="308">
        <f> Tax!BK$49</f>
        <v>1475.8928318813673</v>
      </c>
      <c r="BL72" s="308">
        <f> Tax!BL$49</f>
        <v>1098.8947925517687</v>
      </c>
      <c r="BM72" s="308">
        <f> Tax!BM$49</f>
        <v>715.4797053773555</v>
      </c>
      <c r="BN72" s="308">
        <f> Tax!BN$49</f>
        <v>325.968422750369</v>
      </c>
      <c r="BO72" s="308">
        <f> Tax!BO$49</f>
        <v>-69.33424555656302</v>
      </c>
      <c r="BP72" s="308">
        <f> Tax!BP$49</f>
        <v>-470.13873025944304</v>
      </c>
      <c r="BQ72" s="308">
        <f> Tax!BQ$49</f>
        <v>-876.1699405384729</v>
      </c>
      <c r="BR72" s="308">
        <f> Tax!BR$49</f>
        <v>-1287.1665401148452</v>
      </c>
      <c r="BS72" s="308">
        <f> Tax!BS$49</f>
        <v>-1702.880259523693</v>
      </c>
      <c r="BT72" s="308">
        <f> Tax!BT$49</f>
        <v>-1617.7362465475085</v>
      </c>
      <c r="BU72" s="308">
        <f> Tax!BU$49</f>
        <v>-1536.8494342201334</v>
      </c>
      <c r="BV72" s="308">
        <f> Tax!BV$49</f>
        <v>-1460.0069625091269</v>
      </c>
      <c r="BW72" s="308">
        <f> Tax!BW$49</f>
        <v>-1387.0066143836702</v>
      </c>
      <c r="BX72" s="308">
        <f> Tax!BX$49</f>
        <v>-1317.656283664487</v>
      </c>
      <c r="BY72" s="308">
        <f> Tax!BY$49</f>
        <v>-1251.773469481263</v>
      </c>
      <c r="BZ72" s="308">
        <f> Tax!BZ$49</f>
        <v>-1189.1847960072</v>
      </c>
      <c r="CA72" s="308">
        <f> Tax!CA$49</f>
        <v>-1129.7255562068399</v>
      </c>
      <c r="CB72" s="308">
        <f> Tax!CB$49</f>
        <v>-1073.2392783964983</v>
      </c>
      <c r="CC72" s="308">
        <f> Tax!CC$49</f>
        <v>-1019.5773144766736</v>
      </c>
      <c r="CD72" s="308">
        <f> Tax!CD$49</f>
        <v>-968.5984487528403</v>
      </c>
      <c r="CE72" s="308">
        <f> Tax!CE$49</f>
        <v>-920.1685263151985</v>
      </c>
      <c r="CF72" s="308">
        <f> Tax!CF$49</f>
        <v>-874.1600999994384</v>
      </c>
      <c r="CG72" s="308">
        <f> Tax!CG$49</f>
        <v>-830.4520949994667</v>
      </c>
      <c r="CH72" s="308">
        <f> Tax!CH$49</f>
        <v>-788.9294902494939</v>
      </c>
      <c r="CI72" s="308">
        <f> Tax!CI$49</f>
        <v>-749.4830157370197</v>
      </c>
      <c r="CJ72" s="308">
        <f> Tax!CJ$49</f>
        <v>-712.0088649501686</v>
      </c>
      <c r="CK72" s="308">
        <f> Tax!CK$49</f>
        <v>-676.4084217026602</v>
      </c>
      <c r="CL72" s="308">
        <f> Tax!CL$49</f>
        <v>-642.5880006175275</v>
      </c>
      <c r="CM72" s="308">
        <f> Tax!CM$49</f>
        <v>-4.547473508864641e-12</v>
      </c>
      <c r="CN72" s="308">
        <f> Tax!CN$49</f>
        <v>-4.547473508864641e-12</v>
      </c>
      <c r="CO72" s="308">
        <f> Tax!CO$49</f>
        <v>-4.547473508864641e-12</v>
      </c>
    </row>
    <row r="73" s="396">
      <c r="E73" s="308" t="str">
        <f> Equity!E$24</f>
        <v>Share capital balance</v>
      </c>
      <c r="F73" s="308" t="str">
        <f> Equity!F$24</f>
        <v>BS</v>
      </c>
      <c r="G73" s="308" t="str">
        <f> Equity!G$24</f>
        <v>$ 000s</v>
      </c>
      <c r="H73" s="308">
        <f> Equity!H$24</f>
        <v>0.0</v>
      </c>
      <c r="I73" s="308">
        <f> Equity!I$24</f>
        <v>0.0</v>
      </c>
      <c r="J73" s="308">
        <f> Equity!J$24</f>
        <v>0.0</v>
      </c>
      <c r="K73" s="308">
        <f> Equity!K$24</f>
        <v>11565.429793305917</v>
      </c>
      <c r="L73" s="308">
        <f> Equity!L$24</f>
        <v>11565.429793305917</v>
      </c>
      <c r="M73" s="308">
        <f> Equity!M$24</f>
        <v>11565.429793305917</v>
      </c>
      <c r="N73" s="308">
        <f> Equity!N$24</f>
        <v>11565.429793305917</v>
      </c>
      <c r="O73" s="308">
        <f> Equity!O$24</f>
        <v>11565.429793305917</v>
      </c>
      <c r="P73" s="308">
        <f> Equity!P$24</f>
        <v>11565.429793305917</v>
      </c>
      <c r="Q73" s="308">
        <f> Equity!Q$24</f>
        <v>11565.429793305917</v>
      </c>
      <c r="R73" s="308">
        <f> Equity!R$24</f>
        <v>11565.429793305917</v>
      </c>
      <c r="S73" s="308">
        <f> Equity!S$24</f>
        <v>11565.429793305917</v>
      </c>
      <c r="T73" s="308">
        <f> Equity!T$24</f>
        <v>11565.429793305917</v>
      </c>
      <c r="U73" s="308">
        <f> Equity!U$24</f>
        <v>11565.429793305917</v>
      </c>
      <c r="V73" s="308">
        <f> Equity!V$24</f>
        <v>11565.429793305917</v>
      </c>
      <c r="W73" s="308">
        <f> Equity!W$24</f>
        <v>11565.429793305917</v>
      </c>
      <c r="X73" s="308">
        <f> Equity!X$24</f>
        <v>11565.429793305917</v>
      </c>
      <c r="Y73" s="308">
        <f> Equity!Y$24</f>
        <v>11565.429793305917</v>
      </c>
      <c r="Z73" s="308">
        <f> Equity!Z$24</f>
        <v>11565.429793305917</v>
      </c>
      <c r="AA73" s="308">
        <f> Equity!AA$24</f>
        <v>11565.429793305917</v>
      </c>
      <c r="AB73" s="308">
        <f> Equity!AB$24</f>
        <v>11565.429793305917</v>
      </c>
      <c r="AC73" s="308">
        <f> Equity!AC$24</f>
        <v>11565.429793305917</v>
      </c>
      <c r="AD73" s="308">
        <f> Equity!AD$24</f>
        <v>11565.429793305917</v>
      </c>
      <c r="AE73" s="308">
        <f> Equity!AE$24</f>
        <v>11565.429793305917</v>
      </c>
      <c r="AF73" s="308">
        <f> Equity!AF$24</f>
        <v>11565.429793305917</v>
      </c>
      <c r="AG73" s="308">
        <f> Equity!AG$24</f>
        <v>11565.429793305917</v>
      </c>
      <c r="AH73" s="308">
        <f> Equity!AH$24</f>
        <v>11565.429793305917</v>
      </c>
      <c r="AI73" s="308">
        <f> Equity!AI$24</f>
        <v>11565.429793305917</v>
      </c>
      <c r="AJ73" s="308">
        <f> Equity!AJ$24</f>
        <v>11565.429793305917</v>
      </c>
      <c r="AK73" s="308">
        <f> Equity!AK$24</f>
        <v>11565.429793305917</v>
      </c>
      <c r="AL73" s="308">
        <f> Equity!AL$24</f>
        <v>11565.429793305917</v>
      </c>
      <c r="AM73" s="308">
        <f> Equity!AM$24</f>
        <v>11565.429793305917</v>
      </c>
      <c r="AN73" s="308">
        <f> Equity!AN$24</f>
        <v>11565.429793305917</v>
      </c>
      <c r="AO73" s="308">
        <f> Equity!AO$24</f>
        <v>11565.429793305917</v>
      </c>
      <c r="AP73" s="308">
        <f> Equity!AP$24</f>
        <v>11565.429793305917</v>
      </c>
      <c r="AQ73" s="308">
        <f> Equity!AQ$24</f>
        <v>11565.429793305917</v>
      </c>
      <c r="AR73" s="308">
        <f> Equity!AR$24</f>
        <v>11565.429793305917</v>
      </c>
      <c r="AS73" s="308">
        <f> Equity!AS$24</f>
        <v>11565.429793305917</v>
      </c>
      <c r="AT73" s="308">
        <f> Equity!AT$24</f>
        <v>11565.429793305917</v>
      </c>
      <c r="AU73" s="308">
        <f> Equity!AU$24</f>
        <v>11565.429793305917</v>
      </c>
      <c r="AV73" s="308">
        <f> Equity!AV$24</f>
        <v>11565.429793305917</v>
      </c>
      <c r="AW73" s="308">
        <f> Equity!AW$24</f>
        <v>11565.429793305917</v>
      </c>
      <c r="AX73" s="308">
        <f> Equity!AX$24</f>
        <v>11565.429793305917</v>
      </c>
      <c r="AY73" s="308">
        <f> Equity!AY$24</f>
        <v>11565.429793305917</v>
      </c>
      <c r="AZ73" s="308">
        <f> Equity!AZ$24</f>
        <v>11565.429793305917</v>
      </c>
      <c r="BA73" s="308">
        <f> Equity!BA$24</f>
        <v>11565.429793305917</v>
      </c>
      <c r="BB73" s="308">
        <f> Equity!BB$24</f>
        <v>11565.429793305917</v>
      </c>
      <c r="BC73" s="308">
        <f> Equity!BC$24</f>
        <v>11565.429793305917</v>
      </c>
      <c r="BD73" s="308">
        <f> Equity!BD$24</f>
        <v>11565.429793305917</v>
      </c>
      <c r="BE73" s="308">
        <f> Equity!BE$24</f>
        <v>11565.429793305917</v>
      </c>
      <c r="BF73" s="308">
        <f> Equity!BF$24</f>
        <v>11565.429793305917</v>
      </c>
      <c r="BG73" s="308">
        <f> Equity!BG$24</f>
        <v>11565.429793305917</v>
      </c>
      <c r="BH73" s="308">
        <f> Equity!BH$24</f>
        <v>11565.429793305917</v>
      </c>
      <c r="BI73" s="308">
        <f> Equity!BI$24</f>
        <v>11565.429793305917</v>
      </c>
      <c r="BJ73" s="308">
        <f> Equity!BJ$24</f>
        <v>11565.429793305917</v>
      </c>
      <c r="BK73" s="308">
        <f> Equity!BK$24</f>
        <v>11565.429793305917</v>
      </c>
      <c r="BL73" s="308">
        <f> Equity!BL$24</f>
        <v>11565.429793305917</v>
      </c>
      <c r="BM73" s="308">
        <f> Equity!BM$24</f>
        <v>11565.429793305917</v>
      </c>
      <c r="BN73" s="308">
        <f> Equity!BN$24</f>
        <v>11565.429793305917</v>
      </c>
      <c r="BO73" s="308">
        <f> Equity!BO$24</f>
        <v>11565.429793305917</v>
      </c>
      <c r="BP73" s="308">
        <f> Equity!BP$24</f>
        <v>11565.429793305917</v>
      </c>
      <c r="BQ73" s="308">
        <f> Equity!BQ$24</f>
        <v>11565.429793305917</v>
      </c>
      <c r="BR73" s="308">
        <f> Equity!BR$24</f>
        <v>11565.429793305917</v>
      </c>
      <c r="BS73" s="308">
        <f> Equity!BS$24</f>
        <v>11565.429793305917</v>
      </c>
      <c r="BT73" s="308">
        <f> Equity!BT$24</f>
        <v>11565.429793305917</v>
      </c>
      <c r="BU73" s="308">
        <f> Equity!BU$24</f>
        <v>11565.429793305917</v>
      </c>
      <c r="BV73" s="308">
        <f> Equity!BV$24</f>
        <v>11565.429793305917</v>
      </c>
      <c r="BW73" s="308">
        <f> Equity!BW$24</f>
        <v>11565.429793305917</v>
      </c>
      <c r="BX73" s="308">
        <f> Equity!BX$24</f>
        <v>11565.429793305917</v>
      </c>
      <c r="BY73" s="308">
        <f> Equity!BY$24</f>
        <v>11565.429793305917</v>
      </c>
      <c r="BZ73" s="308">
        <f> Equity!BZ$24</f>
        <v>11565.429793305917</v>
      </c>
      <c r="CA73" s="308">
        <f> Equity!CA$24</f>
        <v>11565.429793305917</v>
      </c>
      <c r="CB73" s="308">
        <f> Equity!CB$24</f>
        <v>11565.429793305917</v>
      </c>
      <c r="CC73" s="308">
        <f> Equity!CC$24</f>
        <v>11565.429793305917</v>
      </c>
      <c r="CD73" s="308">
        <f> Equity!CD$24</f>
        <v>11565.429793305917</v>
      </c>
      <c r="CE73" s="308">
        <f> Equity!CE$24</f>
        <v>11565.429793305917</v>
      </c>
      <c r="CF73" s="308">
        <f> Equity!CF$24</f>
        <v>11565.429793305917</v>
      </c>
      <c r="CG73" s="308">
        <f> Equity!CG$24</f>
        <v>11565.429793305917</v>
      </c>
      <c r="CH73" s="308">
        <f> Equity!CH$24</f>
        <v>11565.429793305917</v>
      </c>
      <c r="CI73" s="308">
        <f> Equity!CI$24</f>
        <v>11565.429793305917</v>
      </c>
      <c r="CJ73" s="308">
        <f> Equity!CJ$24</f>
        <v>11565.429793305917</v>
      </c>
      <c r="CK73" s="308">
        <f> Equity!CK$24</f>
        <v>11565.429793305917</v>
      </c>
      <c r="CL73" s="308">
        <f> Equity!CL$24</f>
        <v>11565.429793305917</v>
      </c>
      <c r="CM73" s="308">
        <f> Equity!CM$24</f>
        <v>0.0</v>
      </c>
      <c r="CN73" s="308">
        <f> Equity!CN$24</f>
        <v>0.0</v>
      </c>
      <c r="CO73" s="308">
        <f> Equity!CO$24</f>
        <v>0.0</v>
      </c>
    </row>
    <row r="74" s="396">
      <c r="A74" s="288" t="n"/>
      <c r="B74" s="288" t="n"/>
      <c r="C74" s="289" t="n"/>
      <c r="D74" s="290" t="n"/>
      <c r="E74" s="308" t="str">
        <f> Equity!E$61</f>
        <v>Retained earnings balance</v>
      </c>
      <c r="F74" s="308" t="str">
        <f> Equity!F$61</f>
        <v>BS</v>
      </c>
      <c r="G74" s="308" t="str">
        <f> Equity!G$61</f>
        <v>$ 000s</v>
      </c>
      <c r="H74" s="308">
        <f> Equity!H$61</f>
        <v>0.0</v>
      </c>
      <c r="I74" s="308">
        <f> Equity!I$61</f>
        <v>0.0</v>
      </c>
      <c r="J74" s="308">
        <f> Equity!J$61</f>
        <v>0.0</v>
      </c>
      <c r="K74" s="308">
        <f> Equity!K$61</f>
        <v>0.0</v>
      </c>
      <c r="L74" s="308">
        <f> Equity!L$61</f>
        <v>1646.366409097422</v>
      </c>
      <c r="M74" s="308">
        <f> Equity!M$61</f>
        <v>1465.2206488448728</v>
      </c>
      <c r="N74" s="308">
        <f> Equity!N$61</f>
        <v>179.6655296880358</v>
      </c>
      <c r="O74" s="308">
        <f> Equity!O$61</f>
        <v>0.0</v>
      </c>
      <c r="P74" s="308">
        <f> Equity!P$61</f>
        <v>0.0</v>
      </c>
      <c r="Q74" s="308">
        <f> Equity!Q$61</f>
        <v>0.0</v>
      </c>
      <c r="R74" s="308">
        <f> Equity!R$61</f>
        <v>0.0</v>
      </c>
      <c r="S74" s="308">
        <f> Equity!S$61</f>
        <v>0.0</v>
      </c>
      <c r="T74" s="308">
        <f> Equity!T$61</f>
        <v>0.0</v>
      </c>
      <c r="U74" s="308">
        <f> Equity!U$61</f>
        <v>0.0</v>
      </c>
      <c r="V74" s="308">
        <f> Equity!V$61</f>
        <v>0.0</v>
      </c>
      <c r="W74" s="308">
        <f> Equity!W$61</f>
        <v>0.0</v>
      </c>
      <c r="X74" s="308">
        <f> Equity!X$61</f>
        <v>0.0</v>
      </c>
      <c r="Y74" s="308">
        <f> Equity!Y$61</f>
        <v>0.0</v>
      </c>
      <c r="Z74" s="308">
        <f> Equity!Z$61</f>
        <v>0.0</v>
      </c>
      <c r="AA74" s="308">
        <f> Equity!AA$61</f>
        <v>0.0</v>
      </c>
      <c r="AB74" s="308">
        <f> Equity!AB$61</f>
        <v>0.0</v>
      </c>
      <c r="AC74" s="308">
        <f> Equity!AC$61</f>
        <v>0.0</v>
      </c>
      <c r="AD74" s="308">
        <f> Equity!AD$61</f>
        <v>0.0</v>
      </c>
      <c r="AE74" s="308">
        <f> Equity!AE$61</f>
        <v>0.0</v>
      </c>
      <c r="AF74" s="308">
        <f> Equity!AF$61</f>
        <v>0.0</v>
      </c>
      <c r="AG74" s="308">
        <f> Equity!AG$61</f>
        <v>0.0</v>
      </c>
      <c r="AH74" s="308">
        <f> Equity!AH$61</f>
        <v>0.0</v>
      </c>
      <c r="AI74" s="308">
        <f> Equity!AI$61</f>
        <v>0.0</v>
      </c>
      <c r="AJ74" s="308">
        <f> Equity!AJ$61</f>
        <v>0.0</v>
      </c>
      <c r="AK74" s="308">
        <f> Equity!AK$61</f>
        <v>0.0</v>
      </c>
      <c r="AL74" s="308">
        <f> Equity!AL$61</f>
        <v>0.0</v>
      </c>
      <c r="AM74" s="308">
        <f> Equity!AM$61</f>
        <v>0.0</v>
      </c>
      <c r="AN74" s="308">
        <f> Equity!AN$61</f>
        <v>0.0</v>
      </c>
      <c r="AO74" s="308">
        <f> Equity!AO$61</f>
        <v>0.0</v>
      </c>
      <c r="AP74" s="308">
        <f> Equity!AP$61</f>
        <v>0.0</v>
      </c>
      <c r="AQ74" s="308">
        <f> Equity!AQ$61</f>
        <v>0.0</v>
      </c>
      <c r="AR74" s="308">
        <f> Equity!AR$61</f>
        <v>0.0</v>
      </c>
      <c r="AS74" s="308">
        <f> Equity!AS$61</f>
        <v>0.0</v>
      </c>
      <c r="AT74" s="308">
        <f> Equity!AT$61</f>
        <v>14.609753322781216</v>
      </c>
      <c r="AU74" s="308">
        <f> Equity!AU$61</f>
        <v>961.8141010850882</v>
      </c>
      <c r="AV74" s="308">
        <f> Equity!AV$61</f>
        <v>2595.0026776833547</v>
      </c>
      <c r="AW74" s="308">
        <f> Equity!AW$61</f>
        <v>3998.052314989248</v>
      </c>
      <c r="AX74" s="308">
        <f> Equity!AX$61</f>
        <v>2697.916461225692</v>
      </c>
      <c r="AY74" s="308">
        <f> Equity!AY$61</f>
        <v>958.6191068725047</v>
      </c>
      <c r="AZ74" s="308">
        <f> Equity!AZ$61</f>
        <v>6933.92476854509</v>
      </c>
      <c r="BA74" s="308">
        <f> Equity!BA$61</f>
        <v>12556.40529007943</v>
      </c>
      <c r="BB74" s="308">
        <f> Equity!BB$61</f>
        <v>14437.471575818536</v>
      </c>
      <c r="BC74" s="308">
        <f> Equity!BC$61</f>
        <v>12828.933767204835</v>
      </c>
      <c r="BD74" s="308">
        <f> Equity!BD$61</f>
        <v>11576.214157189948</v>
      </c>
      <c r="BE74" s="308">
        <f> Equity!BE$61</f>
        <v>9985.72466750003</v>
      </c>
      <c r="BF74" s="308">
        <f> Equity!BF$61</f>
        <v>8709.340708350235</v>
      </c>
      <c r="BG74" s="308">
        <f> Equity!BG$61</f>
        <v>7151.927605460183</v>
      </c>
      <c r="BH74" s="308">
        <f> Equity!BH$61</f>
        <v>5818.278762992297</v>
      </c>
      <c r="BI74" s="308">
        <f> Equity!BI$61</f>
        <v>4606.5952281596665</v>
      </c>
      <c r="BJ74" s="308">
        <f> Equity!BJ$61</f>
        <v>3088.703516278054</v>
      </c>
      <c r="BK74" s="308">
        <f> Equity!BK$61</f>
        <v>1906.7028033304687</v>
      </c>
      <c r="BL74" s="308">
        <f> Equity!BL$61</f>
        <v>480.8840267684727</v>
      </c>
      <c r="BM74" s="308">
        <f> Equity!BM$61</f>
        <v>0.0</v>
      </c>
      <c r="BN74" s="308">
        <f> Equity!BN$61</f>
        <v>0.0</v>
      </c>
      <c r="BO74" s="308">
        <f> Equity!BO$61</f>
        <v>0.0</v>
      </c>
      <c r="BP74" s="308">
        <f> Equity!BP$61</f>
        <v>0.0</v>
      </c>
      <c r="BQ74" s="308">
        <f> Equity!BQ$61</f>
        <v>0.0</v>
      </c>
      <c r="BR74" s="308">
        <f> Equity!BR$61</f>
        <v>0.0</v>
      </c>
      <c r="BS74" s="308">
        <f> Equity!BS$61</f>
        <v>0.0</v>
      </c>
      <c r="BT74" s="308">
        <f> Equity!BT$61</f>
        <v>0.0</v>
      </c>
      <c r="BU74" s="308">
        <f> Equity!BU$61</f>
        <v>0.0</v>
      </c>
      <c r="BV74" s="308">
        <f> Equity!BV$61</f>
        <v>0.0</v>
      </c>
      <c r="BW74" s="308">
        <f> Equity!BW$61</f>
        <v>0.0</v>
      </c>
      <c r="BX74" s="308">
        <f> Equity!BX$61</f>
        <v>0.0</v>
      </c>
      <c r="BY74" s="308">
        <f> Equity!BY$61</f>
        <v>0.0</v>
      </c>
      <c r="BZ74" s="308">
        <f> Equity!BZ$61</f>
        <v>0.0</v>
      </c>
      <c r="CA74" s="308">
        <f> Equity!CA$61</f>
        <v>0.0</v>
      </c>
      <c r="CB74" s="308">
        <f> Equity!CB$61</f>
        <v>0.0</v>
      </c>
      <c r="CC74" s="308">
        <f> Equity!CC$61</f>
        <v>0.0</v>
      </c>
      <c r="CD74" s="308">
        <f> Equity!CD$61</f>
        <v>0.0</v>
      </c>
      <c r="CE74" s="308">
        <f> Equity!CE$61</f>
        <v>0.0</v>
      </c>
      <c r="CF74" s="308">
        <f> Equity!CF$61</f>
        <v>0.0</v>
      </c>
      <c r="CG74" s="308">
        <f> Equity!CG$61</f>
        <v>0.0</v>
      </c>
      <c r="CH74" s="308">
        <f> Equity!CH$61</f>
        <v>0.0</v>
      </c>
      <c r="CI74" s="308">
        <f> Equity!CI$61</f>
        <v>0.0</v>
      </c>
      <c r="CJ74" s="308">
        <f> Equity!CJ$61</f>
        <v>0.0</v>
      </c>
      <c r="CK74" s="308">
        <f> Equity!CK$61</f>
        <v>0.0</v>
      </c>
      <c r="CL74" s="308">
        <f> Equity!CL$61</f>
        <v>0.0</v>
      </c>
      <c r="CM74" s="308">
        <f> Equity!CM$61</f>
        <v>1810.7664905537276</v>
      </c>
      <c r="CN74" s="308">
        <f> Equity!CN$61</f>
        <v>1.1459633242338896e-10</v>
      </c>
      <c r="CO74" s="308">
        <f> Equity!CO$61</f>
        <v>1.1583110703686594e-10</v>
      </c>
    </row>
    <row r="75" s="396">
      <c r="E75" s="168" t="inlineStr">
        <is>
          <t>Total liabilities and shareholder funds</t>
        </is>
      </c>
      <c r="F75" s="168" t="n"/>
      <c r="G75" s="168" t="inlineStr">
        <is>
          <t>$ 000s</t>
        </is>
      </c>
      <c r="H75" s="168" t="n"/>
      <c r="I75" s="168" t="n"/>
      <c r="J75" s="168">
        <f>SUM(J69:J74)</f>
        <v>0.0</v>
      </c>
      <c r="K75" s="168">
        <f>SUM(K69:K74)</f>
        <v>101067.79924517676</v>
      </c>
      <c r="L75" s="168">
        <f>SUM(L69:L74)</f>
        <v>107013.53890587036</v>
      </c>
      <c r="M75" s="168">
        <f>SUM(M69:M74)</f>
        <v>106529.00020162757</v>
      </c>
      <c r="N75" s="168">
        <f>SUM(N69:N74)</f>
        <v>105071.79369104729</v>
      </c>
      <c r="O75" s="168">
        <f>SUM(O69:O74)</f>
        <v>104460.35667570074</v>
      </c>
      <c r="P75" s="168">
        <f>SUM(P69:P74)</f>
        <v>104244.30944211314</v>
      </c>
      <c r="Q75" s="168">
        <f>SUM(Q69:Q74)</f>
        <v>103567.09890828902</v>
      </c>
      <c r="R75" s="168">
        <f>SUM(R69:R74)</f>
        <v>103087.1483311126</v>
      </c>
      <c r="S75" s="168">
        <f>SUM(S69:S74)</f>
        <v>103210.74863949945</v>
      </c>
      <c r="T75" s="168">
        <f>SUM(T69:T74)</f>
        <v>102609.49849590668</v>
      </c>
      <c r="U75" s="168">
        <f>SUM(U69:U74)</f>
        <v>101588.75050458618</v>
      </c>
      <c r="V75" s="168">
        <f>SUM(V69:V74)</f>
        <v>100729.26398188285</v>
      </c>
      <c r="W75" s="168">
        <f>SUM(W69:W74)</f>
        <v>100026.11775860163</v>
      </c>
      <c r="X75" s="168">
        <f>SUM(X69:X74)</f>
        <v>99160.38422714248</v>
      </c>
      <c r="Y75" s="168">
        <f>SUM(Y69:Y74)</f>
        <v>97809.60906883077</v>
      </c>
      <c r="Z75" s="168">
        <f>SUM(Z69:Z74)</f>
        <v>96687.69196464917</v>
      </c>
      <c r="AA75" s="168">
        <f>SUM(AA69:AA74)</f>
        <v>95944.3843274349</v>
      </c>
      <c r="AB75" s="168">
        <f>SUM(AB69:AB74)</f>
        <v>94843.45336033807</v>
      </c>
      <c r="AC75" s="168">
        <f>SUM(AC69:AC74)</f>
        <v>93245.52049499222</v>
      </c>
      <c r="AD75" s="168">
        <f>SUM(AD69:AD74)</f>
        <v>91756.67189708071</v>
      </c>
      <c r="AE75" s="168">
        <f>SUM(AE69:AE74)</f>
        <v>90340.9183127075</v>
      </c>
      <c r="AF75" s="168">
        <f>SUM(AF69:AF74)</f>
        <v>88798.65177994964</v>
      </c>
      <c r="AG75" s="168">
        <f>SUM(AG69:AG74)</f>
        <v>86740.81663455117</v>
      </c>
      <c r="AH75" s="168">
        <f>SUM(AH69:AH74)</f>
        <v>84921.61732201019</v>
      </c>
      <c r="AI75" s="168">
        <f>SUM(AI69:AI74)</f>
        <v>83022.97001758152</v>
      </c>
      <c r="AJ75" s="168">
        <f>SUM(AJ69:AJ74)</f>
        <v>81182.43816583116</v>
      </c>
      <c r="AK75" s="168">
        <f>SUM(AK69:AK74)</f>
        <v>78922.14925238323</v>
      </c>
      <c r="AL75" s="168">
        <f>SUM(AL69:AL74)</f>
        <v>76848.77634999977</v>
      </c>
      <c r="AM75" s="168">
        <f>SUM(AM69:AM74)</f>
        <v>74780.23282451634</v>
      </c>
      <c r="AN75" s="168">
        <f>SUM(AN69:AN74)</f>
        <v>72552.82163123286</v>
      </c>
      <c r="AO75" s="168">
        <f>SUM(AO69:AO74)</f>
        <v>69772.58120133595</v>
      </c>
      <c r="AP75" s="168">
        <f>SUM(AP69:AP74)</f>
        <v>67236.41149902961</v>
      </c>
      <c r="AQ75" s="168">
        <f>SUM(AQ69:AQ74)</f>
        <v>64824.7053885568</v>
      </c>
      <c r="AR75" s="168">
        <f>SUM(AR69:AR74)</f>
        <v>62338.39419050902</v>
      </c>
      <c r="AS75" s="168">
        <f>SUM(AS69:AS74)</f>
        <v>59280.715590761465</v>
      </c>
      <c r="AT75" s="168">
        <f>SUM(AT69:AT74)</f>
        <v>56486.83744299631</v>
      </c>
      <c r="AU75" s="168">
        <f>SUM(AU69:AU74)</f>
        <v>54295.45936390847</v>
      </c>
      <c r="AV75" s="168">
        <f>SUM(AV69:AV74)</f>
        <v>53180.72841909561</v>
      </c>
      <c r="AW75" s="168">
        <f>SUM(AW69:AW74)</f>
        <v>51244.98693916256</v>
      </c>
      <c r="AX75" s="168">
        <f>SUM(AX69:AX74)</f>
        <v>46690.36200219135</v>
      </c>
      <c r="AY75" s="168">
        <f>SUM(AY69:AY74)</f>
        <v>41252.17413183817</v>
      </c>
      <c r="AZ75" s="168">
        <f>SUM(AZ69:AZ74)</f>
        <v>39928.98146947173</v>
      </c>
      <c r="BA75" s="168">
        <f>SUM(BA69:BA74)</f>
        <v>37801.55314099997</v>
      </c>
      <c r="BB75" s="168">
        <f>SUM(BB69:BB74)</f>
        <v>36336.86303914761</v>
      </c>
      <c r="BC75" s="168">
        <f>SUM(BC69:BC74)</f>
        <v>34208.208080329765</v>
      </c>
      <c r="BD75" s="168">
        <f>SUM(BD69:BD74)</f>
        <v>33004.133023564034</v>
      </c>
      <c r="BE75" s="168">
        <f>SUM(BE69:BE74)</f>
        <v>30812.636259011582</v>
      </c>
      <c r="BF75" s="168">
        <f>SUM(BF69:BF74)</f>
        <v>29383.289353726246</v>
      </c>
      <c r="BG75" s="168">
        <f>SUM(BG69:BG74)</f>
        <v>27270.058645766454</v>
      </c>
      <c r="BH75" s="168">
        <f>SUM(BH69:BH74)</f>
        <v>25739.94722296504</v>
      </c>
      <c r="BI75" s="168">
        <f>SUM(BI69:BI74)</f>
        <v>24371.698042135286</v>
      </c>
      <c r="BJ75" s="168">
        <f>SUM(BJ69:BJ74)</f>
        <v>22220.36850111087</v>
      </c>
      <c r="BK75" s="168">
        <f>SUM(BK69:BK74)</f>
        <v>20931.423179558886</v>
      </c>
      <c r="BL75" s="168">
        <f>SUM(BL69:BL74)</f>
        <v>19063.91946079373</v>
      </c>
      <c r="BM75" s="168">
        <f>SUM(BM69:BM74)</f>
        <v>18420.12560514948</v>
      </c>
      <c r="BN75" s="168">
        <f>SUM(BN69:BN74)</f>
        <v>17767.65029680291</v>
      </c>
      <c r="BO75" s="168">
        <f>SUM(BO69:BO74)</f>
        <v>17658.99523132172</v>
      </c>
      <c r="BP75" s="168">
        <f>SUM(BP69:BP74)</f>
        <v>17124.57123475124</v>
      </c>
      <c r="BQ75" s="168">
        <f>SUM(BQ69:BQ74)</f>
        <v>16763.25962827381</v>
      </c>
      <c r="BR75" s="168">
        <f>SUM(BR69:BR74)</f>
        <v>16579.31457732433</v>
      </c>
      <c r="BS75" s="168">
        <f>SUM(BS69:BS74)</f>
        <v>15959.981297922197</v>
      </c>
      <c r="BT75" s="168">
        <f>SUM(BT69:BT74)</f>
        <v>16484.670402750897</v>
      </c>
      <c r="BU75" s="168">
        <f>SUM(BU69:BU74)</f>
        <v>16284.800127857328</v>
      </c>
      <c r="BV75" s="168">
        <f>SUM(BV69:BV74)</f>
        <v>16595.505694654043</v>
      </c>
      <c r="BW75" s="168">
        <f>SUM(BW69:BW74)</f>
        <v>16716.64345322416</v>
      </c>
      <c r="BX75" s="168">
        <f>SUM(BX69:BX74)</f>
        <v>16980.85967131369</v>
      </c>
      <c r="BY75" s="168">
        <f>SUM(BY69:BY74)</f>
        <v>17022.143522195136</v>
      </c>
      <c r="BZ75" s="168">
        <f>SUM(BZ69:BZ74)</f>
        <v>17061.03034707168</v>
      </c>
      <c r="CA75" s="168">
        <f>SUM(CA69:CA74)</f>
        <v>17170.07111963004</v>
      </c>
      <c r="CB75" s="168">
        <f>SUM(CB69:CB74)</f>
        <v>17427.26926143184</v>
      </c>
      <c r="CC75" s="168">
        <f>SUM(CC69:CC74)</f>
        <v>17455.594293150833</v>
      </c>
      <c r="CD75" s="168">
        <f>SUM(CD69:CD74)</f>
        <v>17482.16025481922</v>
      </c>
      <c r="CE75" s="168">
        <f>SUM(CE69:CE74)</f>
        <v>17581.659155997608</v>
      </c>
      <c r="CF75" s="168">
        <f>SUM(CF69:CF74)</f>
        <v>17755.90485597272</v>
      </c>
      <c r="CG75" s="168">
        <f>SUM(CG69:CG74)</f>
        <v>17852.011767057684</v>
      </c>
      <c r="CH75" s="168">
        <f>SUM(CH69:CH74)</f>
        <v>17868.389080630546</v>
      </c>
      <c r="CI75" s="168">
        <f>SUM(CI69:CI74)</f>
        <v>17960.436603245984</v>
      </c>
      <c r="CJ75" s="168">
        <f>SUM(CJ69:CJ74)</f>
        <v>18210.845970541373</v>
      </c>
      <c r="CK75" s="168">
        <f>SUM(CK69:CK74)</f>
        <v>18219.566462417017</v>
      </c>
      <c r="CL75" s="168">
        <f>SUM(CL69:CL74)</f>
        <v>18227.48723358973</v>
      </c>
      <c r="CM75" s="168">
        <f>SUM(CM69:CM74)</f>
        <v>9169.591011001121</v>
      </c>
      <c r="CN75" s="168">
        <f>SUM(CN69:CN74)</f>
        <v>2.6901194261252624e-12</v>
      </c>
      <c r="CO75" s="168">
        <f>SUM(CO69:CO74)</f>
        <v>2.011495273814068e-12</v>
      </c>
    </row>
    <row r="76" s="396">
      <c r="E76" s="169" t="n"/>
      <c r="F76" s="169" t="n"/>
      <c r="G76" s="169" t="n"/>
      <c r="H76" s="169" t="n"/>
      <c r="I76" s="169" t="n"/>
      <c r="J76" s="169" t="n"/>
      <c r="K76" s="169" t="n"/>
      <c r="L76" s="169"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row>
    <row r="77" s="396"/>
    <row r="78" s="396">
      <c r="A78" s="163" t="inlineStr">
        <is>
          <t>FINANCIAL STATEMENT CHECKS</t>
        </is>
      </c>
      <c r="J78" s="169" t="n"/>
      <c r="K78" s="169" t="n"/>
      <c r="L78" s="169"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row>
    <row r="79">
      <c r="J79" s="169" t="n"/>
      <c r="K79" s="169" t="n"/>
      <c r="L79" s="169"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row>
    <row r="80" s="396">
      <c r="E80" s="169" t="inlineStr">
        <is>
          <t>FinStat - income statement check</t>
        </is>
      </c>
      <c r="F80" s="7">
        <f> IF(SUM(J80:CO80) &lt;&gt; 0, 1, 0)</f>
        <v>0.0</v>
      </c>
      <c r="G80" s="169" t="inlineStr">
        <is>
          <t>check</t>
        </is>
      </c>
      <c r="J80" s="7">
        <f> IF(ABS(J26 - J74) &gt; CHK_TOL, 1, 0)</f>
        <v>0.0</v>
      </c>
      <c r="K80" s="7">
        <f> IF(ABS(K26 - K74) &gt; CHK_TOL, 1, 0)</f>
        <v>0.0</v>
      </c>
      <c r="L80" s="7">
        <f> IF(ABS(L26 - L74) &gt; CHK_TOL, 1, 0)</f>
        <v>0.0</v>
      </c>
      <c r="M80" s="7">
        <f> IF(ABS(M26 - M74) &gt; CHK_TOL, 1, 0)</f>
        <v>0.0</v>
      </c>
      <c r="N80" s="7">
        <f> IF(ABS(N26 - N74) &gt; CHK_TOL, 1, 0)</f>
        <v>0.0</v>
      </c>
      <c r="O80" s="7">
        <f> IF(ABS(O26 - O74) &gt; CHK_TOL, 1, 0)</f>
        <v>0.0</v>
      </c>
      <c r="P80" s="7">
        <f> IF(ABS(P26 - P74) &gt; CHK_TOL, 1, 0)</f>
        <v>0.0</v>
      </c>
      <c r="Q80" s="7">
        <f> IF(ABS(Q26 - Q74) &gt; CHK_TOL, 1, 0)</f>
        <v>0.0</v>
      </c>
      <c r="R80" s="7">
        <f> IF(ABS(R26 - R74) &gt; CHK_TOL, 1, 0)</f>
        <v>0.0</v>
      </c>
      <c r="S80" s="7">
        <f> IF(ABS(S26 - S74) &gt; CHK_TOL, 1, 0)</f>
        <v>0.0</v>
      </c>
      <c r="T80" s="7">
        <f> IF(ABS(T26 - T74) &gt; CHK_TOL, 1, 0)</f>
        <v>0.0</v>
      </c>
      <c r="U80" s="7">
        <f> IF(ABS(U26 - U74) &gt; CHK_TOL, 1, 0)</f>
        <v>0.0</v>
      </c>
      <c r="V80" s="7">
        <f> IF(ABS(V26 - V74) &gt; CHK_TOL, 1, 0)</f>
        <v>0.0</v>
      </c>
      <c r="W80" s="7">
        <f> IF(ABS(W26 - W74) &gt; CHK_TOL, 1, 0)</f>
        <v>0.0</v>
      </c>
      <c r="X80" s="7">
        <f> IF(ABS(X26 - X74) &gt; CHK_TOL, 1, 0)</f>
        <v>0.0</v>
      </c>
      <c r="Y80" s="7">
        <f> IF(ABS(Y26 - Y74) &gt; CHK_TOL, 1, 0)</f>
        <v>0.0</v>
      </c>
      <c r="Z80" s="7">
        <f> IF(ABS(Z26 - Z74) &gt; CHK_TOL, 1, 0)</f>
        <v>0.0</v>
      </c>
      <c r="AA80" s="7">
        <f> IF(ABS(AA26 - AA74) &gt; CHK_TOL, 1, 0)</f>
        <v>0.0</v>
      </c>
      <c r="AB80" s="7">
        <f> IF(ABS(AB26 - AB74) &gt; CHK_TOL, 1, 0)</f>
        <v>0.0</v>
      </c>
      <c r="AC80" s="7">
        <f> IF(ABS(AC26 - AC74) &gt; CHK_TOL, 1, 0)</f>
        <v>0.0</v>
      </c>
      <c r="AD80" s="7">
        <f> IF(ABS(AD26 - AD74) &gt; CHK_TOL, 1, 0)</f>
        <v>0.0</v>
      </c>
      <c r="AE80" s="7">
        <f> IF(ABS(AE26 - AE74) &gt; CHK_TOL, 1, 0)</f>
        <v>0.0</v>
      </c>
      <c r="AF80" s="7">
        <f> IF(ABS(AF26 - AF74) &gt; CHK_TOL, 1, 0)</f>
        <v>0.0</v>
      </c>
      <c r="AG80" s="7">
        <f> IF(ABS(AG26 - AG74) &gt; CHK_TOL, 1, 0)</f>
        <v>0.0</v>
      </c>
      <c r="AH80" s="7">
        <f> IF(ABS(AH26 - AH74) &gt; CHK_TOL, 1, 0)</f>
        <v>0.0</v>
      </c>
      <c r="AI80" s="7">
        <f> IF(ABS(AI26 - AI74) &gt; CHK_TOL, 1, 0)</f>
        <v>0.0</v>
      </c>
      <c r="AJ80" s="7">
        <f> IF(ABS(AJ26 - AJ74) &gt; CHK_TOL, 1, 0)</f>
        <v>0.0</v>
      </c>
      <c r="AK80" s="7">
        <f> IF(ABS(AK26 - AK74) &gt; CHK_TOL, 1, 0)</f>
        <v>0.0</v>
      </c>
      <c r="AL80" s="7">
        <f> IF(ABS(AL26 - AL74) &gt; CHK_TOL, 1, 0)</f>
        <v>0.0</v>
      </c>
      <c r="AM80" s="7">
        <f> IF(ABS(AM26 - AM74) &gt; CHK_TOL, 1, 0)</f>
        <v>0.0</v>
      </c>
      <c r="AN80" s="7">
        <f> IF(ABS(AN26 - AN74) &gt; CHK_TOL, 1, 0)</f>
        <v>0.0</v>
      </c>
      <c r="AO80" s="7">
        <f> IF(ABS(AO26 - AO74) &gt; CHK_TOL, 1, 0)</f>
        <v>0.0</v>
      </c>
      <c r="AP80" s="7">
        <f> IF(ABS(AP26 - AP74) &gt; CHK_TOL, 1, 0)</f>
        <v>0.0</v>
      </c>
      <c r="AQ80" s="7">
        <f> IF(ABS(AQ26 - AQ74) &gt; CHK_TOL, 1, 0)</f>
        <v>0.0</v>
      </c>
      <c r="AR80" s="7">
        <f> IF(ABS(AR26 - AR74) &gt; CHK_TOL, 1, 0)</f>
        <v>0.0</v>
      </c>
      <c r="AS80" s="7">
        <f> IF(ABS(AS26 - AS74) &gt; CHK_TOL, 1, 0)</f>
        <v>0.0</v>
      </c>
      <c r="AT80" s="7">
        <f> IF(ABS(AT26 - AT74) &gt; CHK_TOL, 1, 0)</f>
        <v>0.0</v>
      </c>
      <c r="AU80" s="7">
        <f> IF(ABS(AU26 - AU74) &gt; CHK_TOL, 1, 0)</f>
        <v>0.0</v>
      </c>
      <c r="AV80" s="7">
        <f> IF(ABS(AV26 - AV74) &gt; CHK_TOL, 1, 0)</f>
        <v>0.0</v>
      </c>
      <c r="AW80" s="7">
        <f> IF(ABS(AW26 - AW74) &gt; CHK_TOL, 1, 0)</f>
        <v>0.0</v>
      </c>
      <c r="AX80" s="7">
        <f> IF(ABS(AX26 - AX74) &gt; CHK_TOL, 1, 0)</f>
        <v>0.0</v>
      </c>
      <c r="AY80" s="7">
        <f> IF(ABS(AY26 - AY74) &gt; CHK_TOL, 1, 0)</f>
        <v>0.0</v>
      </c>
      <c r="AZ80" s="7">
        <f> IF(ABS(AZ26 - AZ74) &gt; CHK_TOL, 1, 0)</f>
        <v>0.0</v>
      </c>
      <c r="BA80" s="7">
        <f> IF(ABS(BA26 - BA74) &gt; CHK_TOL, 1, 0)</f>
        <v>0.0</v>
      </c>
      <c r="BB80" s="7">
        <f> IF(ABS(BB26 - BB74) &gt; CHK_TOL, 1, 0)</f>
        <v>0.0</v>
      </c>
      <c r="BC80" s="7">
        <f> IF(ABS(BC26 - BC74) &gt; CHK_TOL, 1, 0)</f>
        <v>0.0</v>
      </c>
      <c r="BD80" s="7">
        <f> IF(ABS(BD26 - BD74) &gt; CHK_TOL, 1, 0)</f>
        <v>0.0</v>
      </c>
      <c r="BE80" s="7">
        <f> IF(ABS(BE26 - BE74) &gt; CHK_TOL, 1, 0)</f>
        <v>0.0</v>
      </c>
      <c r="BF80" s="7">
        <f> IF(ABS(BF26 - BF74) &gt; CHK_TOL, 1, 0)</f>
        <v>0.0</v>
      </c>
      <c r="BG80" s="7">
        <f> IF(ABS(BG26 - BG74) &gt; CHK_TOL, 1, 0)</f>
        <v>0.0</v>
      </c>
      <c r="BH80" s="7">
        <f> IF(ABS(BH26 - BH74) &gt; CHK_TOL, 1, 0)</f>
        <v>0.0</v>
      </c>
      <c r="BI80" s="7">
        <f> IF(ABS(BI26 - BI74) &gt; CHK_TOL, 1, 0)</f>
        <v>0.0</v>
      </c>
      <c r="BJ80" s="7">
        <f> IF(ABS(BJ26 - BJ74) &gt; CHK_TOL, 1, 0)</f>
        <v>0.0</v>
      </c>
      <c r="BK80" s="7">
        <f> IF(ABS(BK26 - BK74) &gt; CHK_TOL, 1, 0)</f>
        <v>0.0</v>
      </c>
      <c r="BL80" s="7">
        <f> IF(ABS(BL26 - BL74) &gt; CHK_TOL, 1, 0)</f>
        <v>0.0</v>
      </c>
      <c r="BM80" s="7">
        <f> IF(ABS(BM26 - BM74) &gt; CHK_TOL, 1, 0)</f>
        <v>0.0</v>
      </c>
      <c r="BN80" s="7">
        <f> IF(ABS(BN26 - BN74) &gt; CHK_TOL, 1, 0)</f>
        <v>0.0</v>
      </c>
      <c r="BO80" s="7">
        <f> IF(ABS(BO26 - BO74) &gt; CHK_TOL, 1, 0)</f>
        <v>0.0</v>
      </c>
      <c r="BP80" s="7">
        <f> IF(ABS(BP26 - BP74) &gt; CHK_TOL, 1, 0)</f>
        <v>0.0</v>
      </c>
      <c r="BQ80" s="7">
        <f> IF(ABS(BQ26 - BQ74) &gt; CHK_TOL, 1, 0)</f>
        <v>0.0</v>
      </c>
      <c r="BR80" s="7">
        <f> IF(ABS(BR26 - BR74) &gt; CHK_TOL, 1, 0)</f>
        <v>0.0</v>
      </c>
      <c r="BS80" s="7">
        <f> IF(ABS(BS26 - BS74) &gt; CHK_TOL, 1, 0)</f>
        <v>0.0</v>
      </c>
      <c r="BT80" s="7">
        <f> IF(ABS(BT26 - BT74) &gt; CHK_TOL, 1, 0)</f>
        <v>0.0</v>
      </c>
      <c r="BU80" s="7">
        <f> IF(ABS(BU26 - BU74) &gt; CHK_TOL, 1, 0)</f>
        <v>0.0</v>
      </c>
      <c r="BV80" s="7">
        <f> IF(ABS(BV26 - BV74) &gt; CHK_TOL, 1, 0)</f>
        <v>0.0</v>
      </c>
      <c r="BW80" s="7">
        <f> IF(ABS(BW26 - BW74) &gt; CHK_TOL, 1, 0)</f>
        <v>0.0</v>
      </c>
      <c r="BX80" s="7">
        <f> IF(ABS(BX26 - BX74) &gt; CHK_TOL, 1, 0)</f>
        <v>0.0</v>
      </c>
      <c r="BY80" s="7">
        <f> IF(ABS(BY26 - BY74) &gt; CHK_TOL, 1, 0)</f>
        <v>0.0</v>
      </c>
      <c r="BZ80" s="7">
        <f> IF(ABS(BZ26 - BZ74) &gt; CHK_TOL, 1, 0)</f>
        <v>0.0</v>
      </c>
      <c r="CA80" s="7">
        <f> IF(ABS(CA26 - CA74) &gt; CHK_TOL, 1, 0)</f>
        <v>0.0</v>
      </c>
      <c r="CB80" s="7">
        <f> IF(ABS(CB26 - CB74) &gt; CHK_TOL, 1, 0)</f>
        <v>0.0</v>
      </c>
      <c r="CC80" s="7">
        <f> IF(ABS(CC26 - CC74) &gt; CHK_TOL, 1, 0)</f>
        <v>0.0</v>
      </c>
      <c r="CD80" s="7">
        <f> IF(ABS(CD26 - CD74) &gt; CHK_TOL, 1, 0)</f>
        <v>0.0</v>
      </c>
      <c r="CE80" s="7">
        <f> IF(ABS(CE26 - CE74) &gt; CHK_TOL, 1, 0)</f>
        <v>0.0</v>
      </c>
      <c r="CF80" s="7">
        <f> IF(ABS(CF26 - CF74) &gt; CHK_TOL, 1, 0)</f>
        <v>0.0</v>
      </c>
      <c r="CG80" s="7">
        <f> IF(ABS(CG26 - CG74) &gt; CHK_TOL, 1, 0)</f>
        <v>0.0</v>
      </c>
      <c r="CH80" s="7">
        <f> IF(ABS(CH26 - CH74) &gt; CHK_TOL, 1, 0)</f>
        <v>0.0</v>
      </c>
      <c r="CI80" s="7">
        <f> IF(ABS(CI26 - CI74) &gt; CHK_TOL, 1, 0)</f>
        <v>0.0</v>
      </c>
      <c r="CJ80" s="7">
        <f> IF(ABS(CJ26 - CJ74) &gt; CHK_TOL, 1, 0)</f>
        <v>0.0</v>
      </c>
      <c r="CK80" s="7">
        <f> IF(ABS(CK26 - CK74) &gt; CHK_TOL, 1, 0)</f>
        <v>0.0</v>
      </c>
      <c r="CL80" s="7">
        <f> IF(ABS(CL26 - CL74) &gt; CHK_TOL, 1, 0)</f>
        <v>0.0</v>
      </c>
      <c r="CM80" s="7">
        <f> IF(ABS(CM26 - CM74) &gt; CHK_TOL, 1, 0)</f>
        <v>0.0</v>
      </c>
      <c r="CN80" s="7">
        <f> IF(ABS(CN26 - CN74) &gt; CHK_TOL, 1, 0)</f>
        <v>0.0</v>
      </c>
      <c r="CO80" s="7">
        <f> IF(ABS(CO26 - CO74) &gt; CHK_TOL, 1, 0)</f>
        <v>0.0</v>
      </c>
    </row>
    <row r="81" s="396">
      <c r="D81" s="169" t="n"/>
      <c r="E81" s="169" t="inlineStr">
        <is>
          <t>FinStat - income statement difference</t>
        </is>
      </c>
      <c r="G81" s="169" t="inlineStr">
        <is>
          <t>$ 000s</t>
        </is>
      </c>
      <c r="H81" s="169">
        <f> SUM(J81:CO81)</f>
        <v>1.3005774235352874e-10</v>
      </c>
      <c r="J81" s="169">
        <f> J26 - J74</f>
        <v>0.0</v>
      </c>
      <c r="K81" s="169">
        <f> K26 - K74</f>
        <v>0.0</v>
      </c>
      <c r="L81" s="169">
        <f> L26 - L74</f>
        <v>0.0</v>
      </c>
      <c r="M81" s="169">
        <f> M26 - M74</f>
        <v>0.0</v>
      </c>
      <c r="N81" s="169">
        <f> N26 - N74</f>
        <v>0.0</v>
      </c>
      <c r="O81" s="169">
        <f> O26 - O74</f>
        <v>0.0</v>
      </c>
      <c r="P81" s="169">
        <f> P26 - P74</f>
        <v>0.0</v>
      </c>
      <c r="Q81" s="169">
        <f> Q26 - Q74</f>
        <v>0.0</v>
      </c>
      <c r="R81" s="169">
        <f> R26 - R74</f>
        <v>0.0</v>
      </c>
      <c r="S81" s="169">
        <f> S26 - S74</f>
        <v>0.0</v>
      </c>
      <c r="T81" s="169">
        <f> T26 - T74</f>
        <v>0.0</v>
      </c>
      <c r="U81" s="169">
        <f> U26 - U74</f>
        <v>0.0</v>
      </c>
      <c r="V81" s="169">
        <f> V26 - V74</f>
        <v>0.0</v>
      </c>
      <c r="W81" s="169">
        <f> W26 - W74</f>
        <v>0.0</v>
      </c>
      <c r="X81" s="169">
        <f> X26 - X74</f>
        <v>0.0</v>
      </c>
      <c r="Y81" s="169">
        <f> Y26 - Y74</f>
        <v>0.0</v>
      </c>
      <c r="Z81" s="169">
        <f> Z26 - Z74</f>
        <v>0.0</v>
      </c>
      <c r="AA81" s="169">
        <f> AA26 - AA74</f>
        <v>0.0</v>
      </c>
      <c r="AB81" s="169">
        <f> AB26 - AB74</f>
        <v>0.0</v>
      </c>
      <c r="AC81" s="169">
        <f> AC26 - AC74</f>
        <v>0.0</v>
      </c>
      <c r="AD81" s="169">
        <f> AD26 - AD74</f>
        <v>0.0</v>
      </c>
      <c r="AE81" s="169">
        <f> AE26 - AE74</f>
        <v>0.0</v>
      </c>
      <c r="AF81" s="169">
        <f> AF26 - AF74</f>
        <v>0.0</v>
      </c>
      <c r="AG81" s="169">
        <f> AG26 - AG74</f>
        <v>0.0</v>
      </c>
      <c r="AH81" s="169">
        <f> AH26 - AH74</f>
        <v>0.0</v>
      </c>
      <c r="AI81" s="169">
        <f> AI26 - AI74</f>
        <v>0.0</v>
      </c>
      <c r="AJ81" s="169">
        <f> AJ26 - AJ74</f>
        <v>0.0</v>
      </c>
      <c r="AK81" s="169">
        <f> AK26 - AK74</f>
        <v>0.0</v>
      </c>
      <c r="AL81" s="169">
        <f> AL26 - AL74</f>
        <v>0.0</v>
      </c>
      <c r="AM81" s="169">
        <f> AM26 - AM74</f>
        <v>0.0</v>
      </c>
      <c r="AN81" s="169">
        <f> AN26 - AN74</f>
        <v>0.0</v>
      </c>
      <c r="AO81" s="169">
        <f> AO26 - AO74</f>
        <v>0.0</v>
      </c>
      <c r="AP81" s="169">
        <f> AP26 - AP74</f>
        <v>0.0</v>
      </c>
      <c r="AQ81" s="169">
        <f> AQ26 - AQ74</f>
        <v>0.0</v>
      </c>
      <c r="AR81" s="169">
        <f> AR26 - AR74</f>
        <v>0.0</v>
      </c>
      <c r="AS81" s="169">
        <f> AS26 - AS74</f>
        <v>0.0</v>
      </c>
      <c r="AT81" s="169">
        <f> AT26 - AT74</f>
        <v>0.0</v>
      </c>
      <c r="AU81" s="169">
        <f> AU26 - AU74</f>
        <v>0.0</v>
      </c>
      <c r="AV81" s="169">
        <f> AV26 - AV74</f>
        <v>-4.547473508864641e-13</v>
      </c>
      <c r="AW81" s="169">
        <f> AW26 - AW74</f>
        <v>-4.547473508864641e-13</v>
      </c>
      <c r="AX81" s="169">
        <f> AX26 - AX74</f>
        <v>-4.547473508864641e-13</v>
      </c>
      <c r="AY81" s="169">
        <f> AY26 - AY74</f>
        <v>-4.547473508864641e-13</v>
      </c>
      <c r="AZ81" s="169">
        <f> AZ26 - AZ74</f>
        <v>0.0</v>
      </c>
      <c r="BA81" s="169">
        <f> BA26 - BA74</f>
        <v>0.0</v>
      </c>
      <c r="BB81" s="169">
        <f> BB26 - BB74</f>
        <v>0.0</v>
      </c>
      <c r="BC81" s="169">
        <f> BC26 - BC74</f>
        <v>0.0</v>
      </c>
      <c r="BD81" s="169">
        <f> BD26 - BD74</f>
        <v>1.8189894035458565e-12</v>
      </c>
      <c r="BE81" s="169">
        <f> BE26 - BE74</f>
        <v>3.637978807091713e-12</v>
      </c>
      <c r="BF81" s="169">
        <f> BF26 - BF74</f>
        <v>3.637978807091713e-12</v>
      </c>
      <c r="BG81" s="169">
        <f> BG26 - BG74</f>
        <v>2.7284841053187847e-12</v>
      </c>
      <c r="BH81" s="169">
        <f> BH26 - BH74</f>
        <v>2.7284841053187847e-12</v>
      </c>
      <c r="BI81" s="169">
        <f> BI26 - BI74</f>
        <v>2.7284841053187847e-12</v>
      </c>
      <c r="BJ81" s="169">
        <f> BJ26 - BJ74</f>
        <v>2.7284841053187847e-12</v>
      </c>
      <c r="BK81" s="169">
        <f> BK26 - BK74</f>
        <v>2.7284841053187847e-12</v>
      </c>
      <c r="BL81" s="169">
        <f> BL26 - BL74</f>
        <v>3.637978807091713e-12</v>
      </c>
      <c r="BM81" s="169">
        <f> BM26 - BM74</f>
        <v>3.637978807091713e-12</v>
      </c>
      <c r="BN81" s="169">
        <f> BN26 - BN74</f>
        <v>3.637978807091713e-12</v>
      </c>
      <c r="BO81" s="169">
        <f> BO26 - BO74</f>
        <v>3.637978807091713e-12</v>
      </c>
      <c r="BP81" s="169">
        <f> BP26 - BP74</f>
        <v>3.637978807091713e-12</v>
      </c>
      <c r="BQ81" s="169">
        <f> BQ26 - BQ74</f>
        <v>3.637978807091713e-12</v>
      </c>
      <c r="BR81" s="169">
        <f> BR26 - BR74</f>
        <v>3.637978807091713e-12</v>
      </c>
      <c r="BS81" s="169">
        <f> BS26 - BS74</f>
        <v>3.637978807091713e-12</v>
      </c>
      <c r="BT81" s="169">
        <f> BT26 - BT74</f>
        <v>3.637978807091713e-12</v>
      </c>
      <c r="BU81" s="169">
        <f> BU26 - BU74</f>
        <v>3.637978807091713e-12</v>
      </c>
      <c r="BV81" s="169">
        <f> BV26 - BV74</f>
        <v>3.637978807091713e-12</v>
      </c>
      <c r="BW81" s="169">
        <f> BW26 - BW74</f>
        <v>3.637978807091713e-12</v>
      </c>
      <c r="BX81" s="169">
        <f> BX26 - BX74</f>
        <v>3.637978807091713e-12</v>
      </c>
      <c r="BY81" s="169">
        <f> BY26 - BY74</f>
        <v>3.637978807091713e-12</v>
      </c>
      <c r="BZ81" s="169">
        <f> BZ26 - BZ74</f>
        <v>3.637978807091713e-12</v>
      </c>
      <c r="CA81" s="169">
        <f> CA26 - CA74</f>
        <v>3.637978807091713e-12</v>
      </c>
      <c r="CB81" s="169">
        <f> CB26 - CB74</f>
        <v>3.637978807091713e-12</v>
      </c>
      <c r="CC81" s="169">
        <f> CC26 - CC74</f>
        <v>3.637978807091713e-12</v>
      </c>
      <c r="CD81" s="169">
        <f> CD26 - CD74</f>
        <v>3.637978807091713e-12</v>
      </c>
      <c r="CE81" s="169">
        <f> CE26 - CE74</f>
        <v>3.637978807091713e-12</v>
      </c>
      <c r="CF81" s="169">
        <f> CF26 - CF74</f>
        <v>3.637978807091713e-12</v>
      </c>
      <c r="CG81" s="169">
        <f> CG26 - CG74</f>
        <v>3.637978807091713e-12</v>
      </c>
      <c r="CH81" s="169">
        <f> CH26 - CH74</f>
        <v>3.637978807091713e-12</v>
      </c>
      <c r="CI81" s="169">
        <f> CI26 - CI74</f>
        <v>3.637978807091713e-12</v>
      </c>
      <c r="CJ81" s="169">
        <f> CJ26 - CJ74</f>
        <v>3.637978807091713e-12</v>
      </c>
      <c r="CK81" s="169">
        <f> CK26 - CK74</f>
        <v>3.637978807091713e-12</v>
      </c>
      <c r="CL81" s="169">
        <f> CL26 - CL74</f>
        <v>3.637978807091713e-12</v>
      </c>
      <c r="CM81" s="169">
        <f> CM26 - CM74</f>
        <v>3.637978807091713e-12</v>
      </c>
      <c r="CN81" s="169">
        <f> CN26 - CN74</f>
        <v>3.637978807091713e-12</v>
      </c>
      <c r="CO81" s="169">
        <f> CO26 - CO74</f>
        <v>3.637978807091713e-12</v>
      </c>
    </row>
    <row r="82" s="396"/>
    <row r="83" s="396">
      <c r="E83" s="169" t="inlineStr">
        <is>
          <t>FinStat - cash flow check</t>
        </is>
      </c>
      <c r="F83" s="7">
        <f> IF(SUM(J83:CO83) &lt;&gt; 0, 1, 0)</f>
        <v>0.0</v>
      </c>
      <c r="G83" s="169" t="inlineStr">
        <is>
          <t>check</t>
        </is>
      </c>
      <c r="J83" s="7">
        <f> IF(ABS(J64 - J56) &gt; CHK_TOL, 1, 0)</f>
        <v>0.0</v>
      </c>
      <c r="K83" s="7">
        <f> IF(ABS(K64 - K56) &gt; CHK_TOL, 1, 0)</f>
        <v>0.0</v>
      </c>
      <c r="L83" s="7">
        <f> IF(ABS(L64 - L56) &gt; CHK_TOL, 1, 0)</f>
        <v>0.0</v>
      </c>
      <c r="M83" s="7">
        <f> IF(ABS(M64 - M56) &gt; CHK_TOL, 1, 0)</f>
        <v>0.0</v>
      </c>
      <c r="N83" s="7">
        <f> IF(ABS(N64 - N56) &gt; CHK_TOL, 1, 0)</f>
        <v>0.0</v>
      </c>
      <c r="O83" s="7">
        <f> IF(ABS(O64 - O56) &gt; CHK_TOL, 1, 0)</f>
        <v>0.0</v>
      </c>
      <c r="P83" s="7">
        <f> IF(ABS(P64 - P56) &gt; CHK_TOL, 1, 0)</f>
        <v>0.0</v>
      </c>
      <c r="Q83" s="7">
        <f> IF(ABS(Q64 - Q56) &gt; CHK_TOL, 1, 0)</f>
        <v>0.0</v>
      </c>
      <c r="R83" s="7">
        <f> IF(ABS(R64 - R56) &gt; CHK_TOL, 1, 0)</f>
        <v>0.0</v>
      </c>
      <c r="S83" s="7">
        <f> IF(ABS(S64 - S56) &gt; CHK_TOL, 1, 0)</f>
        <v>0.0</v>
      </c>
      <c r="T83" s="7">
        <f> IF(ABS(T64 - T56) &gt; CHK_TOL, 1, 0)</f>
        <v>0.0</v>
      </c>
      <c r="U83" s="7">
        <f> IF(ABS(U64 - U56) &gt; CHK_TOL, 1, 0)</f>
        <v>0.0</v>
      </c>
      <c r="V83" s="7">
        <f> IF(ABS(V64 - V56) &gt; CHK_TOL, 1, 0)</f>
        <v>0.0</v>
      </c>
      <c r="W83" s="7">
        <f> IF(ABS(W64 - W56) &gt; CHK_TOL, 1, 0)</f>
        <v>0.0</v>
      </c>
      <c r="X83" s="7">
        <f> IF(ABS(X64 - X56) &gt; CHK_TOL, 1, 0)</f>
        <v>0.0</v>
      </c>
      <c r="Y83" s="7">
        <f> IF(ABS(Y64 - Y56) &gt; CHK_TOL, 1, 0)</f>
        <v>0.0</v>
      </c>
      <c r="Z83" s="7">
        <f> IF(ABS(Z64 - Z56) &gt; CHK_TOL, 1, 0)</f>
        <v>0.0</v>
      </c>
      <c r="AA83" s="7">
        <f> IF(ABS(AA64 - AA56) &gt; CHK_TOL, 1, 0)</f>
        <v>0.0</v>
      </c>
      <c r="AB83" s="7">
        <f> IF(ABS(AB64 - AB56) &gt; CHK_TOL, 1, 0)</f>
        <v>0.0</v>
      </c>
      <c r="AC83" s="7">
        <f> IF(ABS(AC64 - AC56) &gt; CHK_TOL, 1, 0)</f>
        <v>0.0</v>
      </c>
      <c r="AD83" s="7">
        <f> IF(ABS(AD64 - AD56) &gt; CHK_TOL, 1, 0)</f>
        <v>0.0</v>
      </c>
      <c r="AE83" s="7">
        <f> IF(ABS(AE64 - AE56) &gt; CHK_TOL, 1, 0)</f>
        <v>0.0</v>
      </c>
      <c r="AF83" s="7">
        <f> IF(ABS(AF64 - AF56) &gt; CHK_TOL, 1, 0)</f>
        <v>0.0</v>
      </c>
      <c r="AG83" s="7">
        <f> IF(ABS(AG64 - AG56) &gt; CHK_TOL, 1, 0)</f>
        <v>0.0</v>
      </c>
      <c r="AH83" s="7">
        <f> IF(ABS(AH64 - AH56) &gt; CHK_TOL, 1, 0)</f>
        <v>0.0</v>
      </c>
      <c r="AI83" s="7">
        <f> IF(ABS(AI64 - AI56) &gt; CHK_TOL, 1, 0)</f>
        <v>0.0</v>
      </c>
      <c r="AJ83" s="7">
        <f> IF(ABS(AJ64 - AJ56) &gt; CHK_TOL, 1, 0)</f>
        <v>0.0</v>
      </c>
      <c r="AK83" s="7">
        <f> IF(ABS(AK64 - AK56) &gt; CHK_TOL, 1, 0)</f>
        <v>0.0</v>
      </c>
      <c r="AL83" s="7">
        <f> IF(ABS(AL64 - AL56) &gt; CHK_TOL, 1, 0)</f>
        <v>0.0</v>
      </c>
      <c r="AM83" s="7">
        <f> IF(ABS(AM64 - AM56) &gt; CHK_TOL, 1, 0)</f>
        <v>0.0</v>
      </c>
      <c r="AN83" s="7">
        <f> IF(ABS(AN64 - AN56) &gt; CHK_TOL, 1, 0)</f>
        <v>0.0</v>
      </c>
      <c r="AO83" s="7">
        <f> IF(ABS(AO64 - AO56) &gt; CHK_TOL, 1, 0)</f>
        <v>0.0</v>
      </c>
      <c r="AP83" s="7">
        <f> IF(ABS(AP64 - AP56) &gt; CHK_TOL, 1, 0)</f>
        <v>0.0</v>
      </c>
      <c r="AQ83" s="7">
        <f> IF(ABS(AQ64 - AQ56) &gt; CHK_TOL, 1, 0)</f>
        <v>0.0</v>
      </c>
      <c r="AR83" s="7">
        <f> IF(ABS(AR64 - AR56) &gt; CHK_TOL, 1, 0)</f>
        <v>0.0</v>
      </c>
      <c r="AS83" s="7">
        <f> IF(ABS(AS64 - AS56) &gt; CHK_TOL, 1, 0)</f>
        <v>0.0</v>
      </c>
      <c r="AT83" s="7">
        <f> IF(ABS(AT64 - AT56) &gt; CHK_TOL, 1, 0)</f>
        <v>0.0</v>
      </c>
      <c r="AU83" s="7">
        <f> IF(ABS(AU64 - AU56) &gt; CHK_TOL, 1, 0)</f>
        <v>0.0</v>
      </c>
      <c r="AV83" s="7">
        <f> IF(ABS(AV64 - AV56) &gt; CHK_TOL, 1, 0)</f>
        <v>0.0</v>
      </c>
      <c r="AW83" s="7">
        <f> IF(ABS(AW64 - AW56) &gt; CHK_TOL, 1, 0)</f>
        <v>0.0</v>
      </c>
      <c r="AX83" s="7">
        <f> IF(ABS(AX64 - AX56) &gt; CHK_TOL, 1, 0)</f>
        <v>0.0</v>
      </c>
      <c r="AY83" s="7">
        <f> IF(ABS(AY64 - AY56) &gt; CHK_TOL, 1, 0)</f>
        <v>0.0</v>
      </c>
      <c r="AZ83" s="7">
        <f> IF(ABS(AZ64 - AZ56) &gt; CHK_TOL, 1, 0)</f>
        <v>0.0</v>
      </c>
      <c r="BA83" s="7">
        <f> IF(ABS(BA64 - BA56) &gt; CHK_TOL, 1, 0)</f>
        <v>0.0</v>
      </c>
      <c r="BB83" s="7">
        <f> IF(ABS(BB64 - BB56) &gt; CHK_TOL, 1, 0)</f>
        <v>0.0</v>
      </c>
      <c r="BC83" s="7">
        <f> IF(ABS(BC64 - BC56) &gt; CHK_TOL, 1, 0)</f>
        <v>0.0</v>
      </c>
      <c r="BD83" s="7">
        <f> IF(ABS(BD64 - BD56) &gt; CHK_TOL, 1, 0)</f>
        <v>0.0</v>
      </c>
      <c r="BE83" s="7">
        <f> IF(ABS(BE64 - BE56) &gt; CHK_TOL, 1, 0)</f>
        <v>0.0</v>
      </c>
      <c r="BF83" s="7">
        <f> IF(ABS(BF64 - BF56) &gt; CHK_TOL, 1, 0)</f>
        <v>0.0</v>
      </c>
      <c r="BG83" s="7">
        <f> IF(ABS(BG64 - BG56) &gt; CHK_TOL, 1, 0)</f>
        <v>0.0</v>
      </c>
      <c r="BH83" s="7">
        <f> IF(ABS(BH64 - BH56) &gt; CHK_TOL, 1, 0)</f>
        <v>0.0</v>
      </c>
      <c r="BI83" s="7">
        <f> IF(ABS(BI64 - BI56) &gt; CHK_TOL, 1, 0)</f>
        <v>0.0</v>
      </c>
      <c r="BJ83" s="7">
        <f> IF(ABS(BJ64 - BJ56) &gt; CHK_TOL, 1, 0)</f>
        <v>0.0</v>
      </c>
      <c r="BK83" s="7">
        <f> IF(ABS(BK64 - BK56) &gt; CHK_TOL, 1, 0)</f>
        <v>0.0</v>
      </c>
      <c r="BL83" s="7">
        <f> IF(ABS(BL64 - BL56) &gt; CHK_TOL, 1, 0)</f>
        <v>0.0</v>
      </c>
      <c r="BM83" s="7">
        <f> IF(ABS(BM64 - BM56) &gt; CHK_TOL, 1, 0)</f>
        <v>0.0</v>
      </c>
      <c r="BN83" s="7">
        <f> IF(ABS(BN64 - BN56) &gt; CHK_TOL, 1, 0)</f>
        <v>0.0</v>
      </c>
      <c r="BO83" s="7">
        <f> IF(ABS(BO64 - BO56) &gt; CHK_TOL, 1, 0)</f>
        <v>0.0</v>
      </c>
      <c r="BP83" s="7">
        <f> IF(ABS(BP64 - BP56) &gt; CHK_TOL, 1, 0)</f>
        <v>0.0</v>
      </c>
      <c r="BQ83" s="7">
        <f> IF(ABS(BQ64 - BQ56) &gt; CHK_TOL, 1, 0)</f>
        <v>0.0</v>
      </c>
      <c r="BR83" s="7">
        <f> IF(ABS(BR64 - BR56) &gt; CHK_TOL, 1, 0)</f>
        <v>0.0</v>
      </c>
      <c r="BS83" s="7">
        <f> IF(ABS(BS64 - BS56) &gt; CHK_TOL, 1, 0)</f>
        <v>0.0</v>
      </c>
      <c r="BT83" s="7">
        <f> IF(ABS(BT64 - BT56) &gt; CHK_TOL, 1, 0)</f>
        <v>0.0</v>
      </c>
      <c r="BU83" s="7">
        <f> IF(ABS(BU64 - BU56) &gt; CHK_TOL, 1, 0)</f>
        <v>0.0</v>
      </c>
      <c r="BV83" s="7">
        <f> IF(ABS(BV64 - BV56) &gt; CHK_TOL, 1, 0)</f>
        <v>0.0</v>
      </c>
      <c r="BW83" s="7">
        <f> IF(ABS(BW64 - BW56) &gt; CHK_TOL, 1, 0)</f>
        <v>0.0</v>
      </c>
      <c r="BX83" s="7">
        <f> IF(ABS(BX64 - BX56) &gt; CHK_TOL, 1, 0)</f>
        <v>0.0</v>
      </c>
      <c r="BY83" s="7">
        <f> IF(ABS(BY64 - BY56) &gt; CHK_TOL, 1, 0)</f>
        <v>0.0</v>
      </c>
      <c r="BZ83" s="7">
        <f> IF(ABS(BZ64 - BZ56) &gt; CHK_TOL, 1, 0)</f>
        <v>0.0</v>
      </c>
      <c r="CA83" s="7">
        <f> IF(ABS(CA64 - CA56) &gt; CHK_TOL, 1, 0)</f>
        <v>0.0</v>
      </c>
      <c r="CB83" s="7">
        <f> IF(ABS(CB64 - CB56) &gt; CHK_TOL, 1, 0)</f>
        <v>0.0</v>
      </c>
      <c r="CC83" s="7">
        <f> IF(ABS(CC64 - CC56) &gt; CHK_TOL, 1, 0)</f>
        <v>0.0</v>
      </c>
      <c r="CD83" s="7">
        <f> IF(ABS(CD64 - CD56) &gt; CHK_TOL, 1, 0)</f>
        <v>0.0</v>
      </c>
      <c r="CE83" s="7">
        <f> IF(ABS(CE64 - CE56) &gt; CHK_TOL, 1, 0)</f>
        <v>0.0</v>
      </c>
      <c r="CF83" s="7">
        <f> IF(ABS(CF64 - CF56) &gt; CHK_TOL, 1, 0)</f>
        <v>0.0</v>
      </c>
      <c r="CG83" s="7">
        <f> IF(ABS(CG64 - CG56) &gt; CHK_TOL, 1, 0)</f>
        <v>0.0</v>
      </c>
      <c r="CH83" s="7">
        <f> IF(ABS(CH64 - CH56) &gt; CHK_TOL, 1, 0)</f>
        <v>0.0</v>
      </c>
      <c r="CI83" s="7">
        <f> IF(ABS(CI64 - CI56) &gt; CHK_TOL, 1, 0)</f>
        <v>0.0</v>
      </c>
      <c r="CJ83" s="7">
        <f> IF(ABS(CJ64 - CJ56) &gt; CHK_TOL, 1, 0)</f>
        <v>0.0</v>
      </c>
      <c r="CK83" s="7">
        <f> IF(ABS(CK64 - CK56) &gt; CHK_TOL, 1, 0)</f>
        <v>0.0</v>
      </c>
      <c r="CL83" s="7">
        <f> IF(ABS(CL64 - CL56) &gt; CHK_TOL, 1, 0)</f>
        <v>0.0</v>
      </c>
      <c r="CM83" s="7">
        <f> IF(ABS(CM64 - CM56) &gt; CHK_TOL, 1, 0)</f>
        <v>0.0</v>
      </c>
      <c r="CN83" s="7">
        <f> IF(ABS(CN64 - CN56) &gt; CHK_TOL, 1, 0)</f>
        <v>0.0</v>
      </c>
      <c r="CO83" s="7">
        <f> IF(ABS(CO64 - CO56) &gt; CHK_TOL, 1, 0)</f>
        <v>0.0</v>
      </c>
    </row>
    <row r="84" s="396">
      <c r="D84" s="169" t="n"/>
      <c r="E84" s="169" t="inlineStr">
        <is>
          <t>FinStat - cash flow difference</t>
        </is>
      </c>
      <c r="G84" s="169" t="inlineStr">
        <is>
          <t>$ 000s</t>
        </is>
      </c>
      <c r="H84" s="169">
        <f> SUM(J84:CO84)</f>
        <v>1.1186784831807017e-10</v>
      </c>
      <c r="J84" s="169">
        <f> J64 - J56</f>
        <v>0.0</v>
      </c>
      <c r="K84" s="169">
        <f> K64 - K56</f>
        <v>0.0</v>
      </c>
      <c r="L84" s="169">
        <f> L64 - L56</f>
        <v>0.0</v>
      </c>
      <c r="M84" s="169">
        <f> M64 - M56</f>
        <v>0.0</v>
      </c>
      <c r="N84" s="169">
        <f> N64 - N56</f>
        <v>0.0</v>
      </c>
      <c r="O84" s="169">
        <f> O64 - O56</f>
        <v>0.0</v>
      </c>
      <c r="P84" s="169">
        <f> P64 - P56</f>
        <v>0.0</v>
      </c>
      <c r="Q84" s="169">
        <f> Q64 - Q56</f>
        <v>0.0</v>
      </c>
      <c r="R84" s="169">
        <f> R64 - R56</f>
        <v>0.0</v>
      </c>
      <c r="S84" s="169">
        <f> S64 - S56</f>
        <v>-9.094947017729282e-13</v>
      </c>
      <c r="T84" s="169">
        <f> T64 - T56</f>
        <v>-1.8189894035458565e-12</v>
      </c>
      <c r="U84" s="169">
        <f> U64 - U56</f>
        <v>-2.7284841053187847e-12</v>
      </c>
      <c r="V84" s="169">
        <f> V64 - V56</f>
        <v>-1.8189894035458565e-12</v>
      </c>
      <c r="W84" s="169">
        <f> W64 - W56</f>
        <v>-9.094947017729282e-13</v>
      </c>
      <c r="X84" s="169">
        <f> X64 - X56</f>
        <v>0.0</v>
      </c>
      <c r="Y84" s="169">
        <f> Y64 - Y56</f>
        <v>1.8189894035458565e-12</v>
      </c>
      <c r="Z84" s="169">
        <f> Z64 - Z56</f>
        <v>1.8189894035458565e-12</v>
      </c>
      <c r="AA84" s="169">
        <f> AA64 - AA56</f>
        <v>1.8189894035458565e-12</v>
      </c>
      <c r="AB84" s="169">
        <f> AB64 - AB56</f>
        <v>1.8189894035458565e-12</v>
      </c>
      <c r="AC84" s="169">
        <f> AC64 - AC56</f>
        <v>1.8189894035458565e-12</v>
      </c>
      <c r="AD84" s="169">
        <f> AD64 - AD56</f>
        <v>1.8189894035458565e-12</v>
      </c>
      <c r="AE84" s="169">
        <f> AE64 - AE56</f>
        <v>0.0</v>
      </c>
      <c r="AF84" s="169">
        <f> AF64 - AF56</f>
        <v>0.0</v>
      </c>
      <c r="AG84" s="169">
        <f> AG64 - AG56</f>
        <v>0.0</v>
      </c>
      <c r="AH84" s="169">
        <f> AH64 - AH56</f>
        <v>0.0</v>
      </c>
      <c r="AI84" s="169">
        <f> AI64 - AI56</f>
        <v>0.0</v>
      </c>
      <c r="AJ84" s="169">
        <f> AJ64 - AJ56</f>
        <v>0.0</v>
      </c>
      <c r="AK84" s="169">
        <f> AK64 - AK56</f>
        <v>0.0</v>
      </c>
      <c r="AL84" s="169">
        <f> AL64 - AL56</f>
        <v>0.0</v>
      </c>
      <c r="AM84" s="169">
        <f> AM64 - AM56</f>
        <v>9.094947017729282e-13</v>
      </c>
      <c r="AN84" s="169">
        <f> AN64 - AN56</f>
        <v>1.8189894035458565e-12</v>
      </c>
      <c r="AO84" s="169">
        <f> AO64 - AO56</f>
        <v>1.8189894035458565e-12</v>
      </c>
      <c r="AP84" s="169">
        <f> AP64 - AP56</f>
        <v>1.8189894035458565e-12</v>
      </c>
      <c r="AQ84" s="169">
        <f> AQ64 - AQ56</f>
        <v>2.2737367544323206e-12</v>
      </c>
      <c r="AR84" s="169">
        <f> AR64 - AR56</f>
        <v>2.2737367544323206e-12</v>
      </c>
      <c r="AS84" s="169">
        <f> AS64 - AS56</f>
        <v>1.8189894035458565e-12</v>
      </c>
      <c r="AT84" s="169">
        <f> AT64 - AT56</f>
        <v>1.3642420526593924e-12</v>
      </c>
      <c r="AU84" s="169">
        <f> AU64 - AU56</f>
        <v>1.3642420526593924e-12</v>
      </c>
      <c r="AV84" s="169">
        <f> AV64 - AV56</f>
        <v>1.3642420526593924e-12</v>
      </c>
      <c r="AW84" s="169">
        <f> AW64 - AW56</f>
        <v>1.3642420526593924e-12</v>
      </c>
      <c r="AX84" s="169">
        <f> AX64 - AX56</f>
        <v>1.3642420526593924e-12</v>
      </c>
      <c r="AY84" s="169">
        <f> AY64 - AY56</f>
        <v>1.3642420526593924e-12</v>
      </c>
      <c r="AZ84" s="169">
        <f> AZ64 - AZ56</f>
        <v>1.3642420526593924e-12</v>
      </c>
      <c r="BA84" s="169">
        <f> BA64 - BA56</f>
        <v>1.3642420526593924e-12</v>
      </c>
      <c r="BB84" s="169">
        <f> BB64 - BB56</f>
        <v>1.3642420526593924e-12</v>
      </c>
      <c r="BC84" s="169">
        <f> BC64 - BC56</f>
        <v>1.3642420526593924e-12</v>
      </c>
      <c r="BD84" s="169">
        <f> BD64 - BD56</f>
        <v>1.3642420526593924e-12</v>
      </c>
      <c r="BE84" s="169">
        <f> BE64 - BE56</f>
        <v>1.3642420526593924e-12</v>
      </c>
      <c r="BF84" s="169">
        <f> BF64 - BF56</f>
        <v>1.3642420526593924e-12</v>
      </c>
      <c r="BG84" s="169">
        <f> BG64 - BG56</f>
        <v>1.3642420526593924e-12</v>
      </c>
      <c r="BH84" s="169">
        <f> BH64 - BH56</f>
        <v>1.3642420526593924e-12</v>
      </c>
      <c r="BI84" s="169">
        <f> BI64 - BI56</f>
        <v>1.3642420526593924e-12</v>
      </c>
      <c r="BJ84" s="169">
        <f> BJ64 - BJ56</f>
        <v>1.3642420526593924e-12</v>
      </c>
      <c r="BK84" s="169">
        <f> BK64 - BK56</f>
        <v>1.3642420526593924e-12</v>
      </c>
      <c r="BL84" s="169">
        <f> BL64 - BL56</f>
        <v>1.3642420526593924e-12</v>
      </c>
      <c r="BM84" s="169">
        <f> BM64 - BM56</f>
        <v>1.3642420526593924e-12</v>
      </c>
      <c r="BN84" s="169">
        <f> BN64 - BN56</f>
        <v>1.3642420526593924e-12</v>
      </c>
      <c r="BO84" s="169">
        <f> BO64 - BO56</f>
        <v>1.3642420526593924e-12</v>
      </c>
      <c r="BP84" s="169">
        <f> BP64 - BP56</f>
        <v>9.094947017729282e-13</v>
      </c>
      <c r="BQ84" s="169">
        <f> BQ64 - BQ56</f>
        <v>0.0</v>
      </c>
      <c r="BR84" s="169">
        <f> BR64 - BR56</f>
        <v>0.0</v>
      </c>
      <c r="BS84" s="169">
        <f> BS64 - BS56</f>
        <v>0.0</v>
      </c>
      <c r="BT84" s="169">
        <f> BT64 - BT56</f>
        <v>0.0</v>
      </c>
      <c r="BU84" s="169">
        <f> BU64 - BU56</f>
        <v>0.0</v>
      </c>
      <c r="BV84" s="169">
        <f> BV64 - BV56</f>
        <v>1.8189894035458565e-12</v>
      </c>
      <c r="BW84" s="169">
        <f> BW64 - BW56</f>
        <v>1.8189894035458565e-12</v>
      </c>
      <c r="BX84" s="169">
        <f> BX64 - BX56</f>
        <v>0.0</v>
      </c>
      <c r="BY84" s="169">
        <f> BY64 - BY56</f>
        <v>1.8189894035458565e-12</v>
      </c>
      <c r="BZ84" s="169">
        <f> BZ64 - BZ56</f>
        <v>1.8189894035458565e-12</v>
      </c>
      <c r="CA84" s="169">
        <f> CA64 - CA56</f>
        <v>1.8189894035458565e-12</v>
      </c>
      <c r="CB84" s="169">
        <f> CB64 - CB56</f>
        <v>1.8189894035458565e-12</v>
      </c>
      <c r="CC84" s="169">
        <f> CC64 - CC56</f>
        <v>0.0</v>
      </c>
      <c r="CD84" s="169">
        <f> CD64 - CD56</f>
        <v>1.8189894035458565e-12</v>
      </c>
      <c r="CE84" s="169">
        <f> CE64 - CE56</f>
        <v>3.637978807091713e-12</v>
      </c>
      <c r="CF84" s="169">
        <f> CF64 - CF56</f>
        <v>3.637978807091713e-12</v>
      </c>
      <c r="CG84" s="169">
        <f> CG64 - CG56</f>
        <v>3.637978807091713e-12</v>
      </c>
      <c r="CH84" s="169">
        <f> CH64 - CH56</f>
        <v>5.4569682106375694e-12</v>
      </c>
      <c r="CI84" s="169">
        <f> CI64 - CI56</f>
        <v>5.4569682106375694e-12</v>
      </c>
      <c r="CJ84" s="169">
        <f> CJ64 - CJ56</f>
        <v>3.637978807091713e-12</v>
      </c>
      <c r="CK84" s="169">
        <f> CK64 - CK56</f>
        <v>5.4569682106375694e-12</v>
      </c>
      <c r="CL84" s="169">
        <f> CL64 - CL56</f>
        <v>5.4569682106375694e-12</v>
      </c>
      <c r="CM84" s="169">
        <f> CM64 - CM56</f>
        <v>5.4569682106375694e-12</v>
      </c>
      <c r="CN84" s="169">
        <f> CN64 - CN56</f>
        <v>5.4569682106375694e-12</v>
      </c>
      <c r="CO84" s="169">
        <f> CO64 - CO56</f>
        <v>5.4569682106375694e-12</v>
      </c>
    </row>
    <row r="85" s="396"/>
    <row r="86" s="396">
      <c r="E86" s="169" t="inlineStr">
        <is>
          <t>FinStat - balance sheet check</t>
        </is>
      </c>
      <c r="F86" s="7">
        <f> IF(SUM(J86:CO86) &lt;&gt; 0, 1, 0)</f>
        <v>0.0</v>
      </c>
      <c r="G86" s="169" t="inlineStr">
        <is>
          <t>check</t>
        </is>
      </c>
      <c r="J86" s="7">
        <f> IF(ABS(J66 - J75) &gt; CHK_TOL, 1, 0)</f>
        <v>0.0</v>
      </c>
      <c r="K86" s="7">
        <f> IF(ABS(K66 - K75) &gt; CHK_TOL, 1, 0)</f>
        <v>0.0</v>
      </c>
      <c r="L86" s="7">
        <f> IF(ABS(L66 - L75) &gt; CHK_TOL, 1, 0)</f>
        <v>0.0</v>
      </c>
      <c r="M86" s="7">
        <f> IF(ABS(M66 - M75) &gt; CHK_TOL, 1, 0)</f>
        <v>0.0</v>
      </c>
      <c r="N86" s="7">
        <f> IF(ABS(N66 - N75) &gt; CHK_TOL, 1, 0)</f>
        <v>0.0</v>
      </c>
      <c r="O86" s="7">
        <f> IF(ABS(O66 - O75) &gt; CHK_TOL, 1, 0)</f>
        <v>0.0</v>
      </c>
      <c r="P86" s="7">
        <f> IF(ABS(P66 - P75) &gt; CHK_TOL, 1, 0)</f>
        <v>0.0</v>
      </c>
      <c r="Q86" s="7">
        <f> IF(ABS(Q66 - Q75) &gt; CHK_TOL, 1, 0)</f>
        <v>0.0</v>
      </c>
      <c r="R86" s="7">
        <f> IF(ABS(R66 - R75) &gt; CHK_TOL, 1, 0)</f>
        <v>0.0</v>
      </c>
      <c r="S86" s="7">
        <f> IF(ABS(S66 - S75) &gt; CHK_TOL, 1, 0)</f>
        <v>0.0</v>
      </c>
      <c r="T86" s="7">
        <f> IF(ABS(T66 - T75) &gt; CHK_TOL, 1, 0)</f>
        <v>0.0</v>
      </c>
      <c r="U86" s="7">
        <f> IF(ABS(U66 - U75) &gt; CHK_TOL, 1, 0)</f>
        <v>0.0</v>
      </c>
      <c r="V86" s="7">
        <f> IF(ABS(V66 - V75) &gt; CHK_TOL, 1, 0)</f>
        <v>0.0</v>
      </c>
      <c r="W86" s="7">
        <f> IF(ABS(W66 - W75) &gt; CHK_TOL, 1, 0)</f>
        <v>0.0</v>
      </c>
      <c r="X86" s="7">
        <f> IF(ABS(X66 - X75) &gt; CHK_TOL, 1, 0)</f>
        <v>0.0</v>
      </c>
      <c r="Y86" s="7">
        <f> IF(ABS(Y66 - Y75) &gt; CHK_TOL, 1, 0)</f>
        <v>0.0</v>
      </c>
      <c r="Z86" s="7">
        <f> IF(ABS(Z66 - Z75) &gt; CHK_TOL, 1, 0)</f>
        <v>0.0</v>
      </c>
      <c r="AA86" s="7">
        <f> IF(ABS(AA66 - AA75) &gt; CHK_TOL, 1, 0)</f>
        <v>0.0</v>
      </c>
      <c r="AB86" s="7">
        <f> IF(ABS(AB66 - AB75) &gt; CHK_TOL, 1, 0)</f>
        <v>0.0</v>
      </c>
      <c r="AC86" s="7">
        <f> IF(ABS(AC66 - AC75) &gt; CHK_TOL, 1, 0)</f>
        <v>0.0</v>
      </c>
      <c r="AD86" s="7">
        <f> IF(ABS(AD66 - AD75) &gt; CHK_TOL, 1, 0)</f>
        <v>0.0</v>
      </c>
      <c r="AE86" s="7">
        <f> IF(ABS(AE66 - AE75) &gt; CHK_TOL, 1, 0)</f>
        <v>0.0</v>
      </c>
      <c r="AF86" s="7">
        <f> IF(ABS(AF66 - AF75) &gt; CHK_TOL, 1, 0)</f>
        <v>0.0</v>
      </c>
      <c r="AG86" s="7">
        <f> IF(ABS(AG66 - AG75) &gt; CHK_TOL, 1, 0)</f>
        <v>0.0</v>
      </c>
      <c r="AH86" s="7">
        <f> IF(ABS(AH66 - AH75) &gt; CHK_TOL, 1, 0)</f>
        <v>0.0</v>
      </c>
      <c r="AI86" s="7">
        <f> IF(ABS(AI66 - AI75) &gt; CHK_TOL, 1, 0)</f>
        <v>0.0</v>
      </c>
      <c r="AJ86" s="7">
        <f> IF(ABS(AJ66 - AJ75) &gt; CHK_TOL, 1, 0)</f>
        <v>0.0</v>
      </c>
      <c r="AK86" s="7">
        <f> IF(ABS(AK66 - AK75) &gt; CHK_TOL, 1, 0)</f>
        <v>0.0</v>
      </c>
      <c r="AL86" s="7">
        <f> IF(ABS(AL66 - AL75) &gt; CHK_TOL, 1, 0)</f>
        <v>0.0</v>
      </c>
      <c r="AM86" s="7">
        <f> IF(ABS(AM66 - AM75) &gt; CHK_TOL, 1, 0)</f>
        <v>0.0</v>
      </c>
      <c r="AN86" s="7">
        <f> IF(ABS(AN66 - AN75) &gt; CHK_TOL, 1, 0)</f>
        <v>0.0</v>
      </c>
      <c r="AO86" s="7">
        <f> IF(ABS(AO66 - AO75) &gt; CHK_TOL, 1, 0)</f>
        <v>0.0</v>
      </c>
      <c r="AP86" s="7">
        <f> IF(ABS(AP66 - AP75) &gt; CHK_TOL, 1, 0)</f>
        <v>0.0</v>
      </c>
      <c r="AQ86" s="7">
        <f> IF(ABS(AQ66 - AQ75) &gt; CHK_TOL, 1, 0)</f>
        <v>0.0</v>
      </c>
      <c r="AR86" s="7">
        <f> IF(ABS(AR66 - AR75) &gt; CHK_TOL, 1, 0)</f>
        <v>0.0</v>
      </c>
      <c r="AS86" s="7">
        <f> IF(ABS(AS66 - AS75) &gt; CHK_TOL, 1, 0)</f>
        <v>0.0</v>
      </c>
      <c r="AT86" s="7">
        <f> IF(ABS(AT66 - AT75) &gt; CHK_TOL, 1, 0)</f>
        <v>0.0</v>
      </c>
      <c r="AU86" s="7">
        <f> IF(ABS(AU66 - AU75) &gt; CHK_TOL, 1, 0)</f>
        <v>0.0</v>
      </c>
      <c r="AV86" s="7">
        <f> IF(ABS(AV66 - AV75) &gt; CHK_TOL, 1, 0)</f>
        <v>0.0</v>
      </c>
      <c r="AW86" s="7">
        <f> IF(ABS(AW66 - AW75) &gt; CHK_TOL, 1, 0)</f>
        <v>0.0</v>
      </c>
      <c r="AX86" s="7">
        <f> IF(ABS(AX66 - AX75) &gt; CHK_TOL, 1, 0)</f>
        <v>0.0</v>
      </c>
      <c r="AY86" s="7">
        <f> IF(ABS(AY66 - AY75) &gt; CHK_TOL, 1, 0)</f>
        <v>0.0</v>
      </c>
      <c r="AZ86" s="7">
        <f> IF(ABS(AZ66 - AZ75) &gt; CHK_TOL, 1, 0)</f>
        <v>0.0</v>
      </c>
      <c r="BA86" s="7">
        <f> IF(ABS(BA66 - BA75) &gt; CHK_TOL, 1, 0)</f>
        <v>0.0</v>
      </c>
      <c r="BB86" s="7">
        <f> IF(ABS(BB66 - BB75) &gt; CHK_TOL, 1, 0)</f>
        <v>0.0</v>
      </c>
      <c r="BC86" s="7">
        <f> IF(ABS(BC66 - BC75) &gt; CHK_TOL, 1, 0)</f>
        <v>0.0</v>
      </c>
      <c r="BD86" s="7">
        <f> IF(ABS(BD66 - BD75) &gt; CHK_TOL, 1, 0)</f>
        <v>0.0</v>
      </c>
      <c r="BE86" s="7">
        <f> IF(ABS(BE66 - BE75) &gt; CHK_TOL, 1, 0)</f>
        <v>0.0</v>
      </c>
      <c r="BF86" s="7">
        <f> IF(ABS(BF66 - BF75) &gt; CHK_TOL, 1, 0)</f>
        <v>0.0</v>
      </c>
      <c r="BG86" s="7">
        <f> IF(ABS(BG66 - BG75) &gt; CHK_TOL, 1, 0)</f>
        <v>0.0</v>
      </c>
      <c r="BH86" s="7">
        <f> IF(ABS(BH66 - BH75) &gt; CHK_TOL, 1, 0)</f>
        <v>0.0</v>
      </c>
      <c r="BI86" s="7">
        <f> IF(ABS(BI66 - BI75) &gt; CHK_TOL, 1, 0)</f>
        <v>0.0</v>
      </c>
      <c r="BJ86" s="7">
        <f> IF(ABS(BJ66 - BJ75) &gt; CHK_TOL, 1, 0)</f>
        <v>0.0</v>
      </c>
      <c r="BK86" s="7">
        <f> IF(ABS(BK66 - BK75) &gt; CHK_TOL, 1, 0)</f>
        <v>0.0</v>
      </c>
      <c r="BL86" s="7">
        <f> IF(ABS(BL66 - BL75) &gt; CHK_TOL, 1, 0)</f>
        <v>0.0</v>
      </c>
      <c r="BM86" s="7">
        <f> IF(ABS(BM66 - BM75) &gt; CHK_TOL, 1, 0)</f>
        <v>0.0</v>
      </c>
      <c r="BN86" s="7">
        <f> IF(ABS(BN66 - BN75) &gt; CHK_TOL, 1, 0)</f>
        <v>0.0</v>
      </c>
      <c r="BO86" s="7">
        <f> IF(ABS(BO66 - BO75) &gt; CHK_TOL, 1, 0)</f>
        <v>0.0</v>
      </c>
      <c r="BP86" s="7">
        <f> IF(ABS(BP66 - BP75) &gt; CHK_TOL, 1, 0)</f>
        <v>0.0</v>
      </c>
      <c r="BQ86" s="7">
        <f> IF(ABS(BQ66 - BQ75) &gt; CHK_TOL, 1, 0)</f>
        <v>0.0</v>
      </c>
      <c r="BR86" s="7">
        <f> IF(ABS(BR66 - BR75) &gt; CHK_TOL, 1, 0)</f>
        <v>0.0</v>
      </c>
      <c r="BS86" s="7">
        <f> IF(ABS(BS66 - BS75) &gt; CHK_TOL, 1, 0)</f>
        <v>0.0</v>
      </c>
      <c r="BT86" s="7">
        <f> IF(ABS(BT66 - BT75) &gt; CHK_TOL, 1, 0)</f>
        <v>0.0</v>
      </c>
      <c r="BU86" s="7">
        <f> IF(ABS(BU66 - BU75) &gt; CHK_TOL, 1, 0)</f>
        <v>0.0</v>
      </c>
      <c r="BV86" s="7">
        <f> IF(ABS(BV66 - BV75) &gt; CHK_TOL, 1, 0)</f>
        <v>0.0</v>
      </c>
      <c r="BW86" s="7">
        <f> IF(ABS(BW66 - BW75) &gt; CHK_TOL, 1, 0)</f>
        <v>0.0</v>
      </c>
      <c r="BX86" s="7">
        <f> IF(ABS(BX66 - BX75) &gt; CHK_TOL, 1, 0)</f>
        <v>0.0</v>
      </c>
      <c r="BY86" s="7">
        <f> IF(ABS(BY66 - BY75) &gt; CHK_TOL, 1, 0)</f>
        <v>0.0</v>
      </c>
      <c r="BZ86" s="7">
        <f> IF(ABS(BZ66 - BZ75) &gt; CHK_TOL, 1, 0)</f>
        <v>0.0</v>
      </c>
      <c r="CA86" s="7">
        <f> IF(ABS(CA66 - CA75) &gt; CHK_TOL, 1, 0)</f>
        <v>0.0</v>
      </c>
      <c r="CB86" s="7">
        <f> IF(ABS(CB66 - CB75) &gt; CHK_TOL, 1, 0)</f>
        <v>0.0</v>
      </c>
      <c r="CC86" s="7">
        <f> IF(ABS(CC66 - CC75) &gt; CHK_TOL, 1, 0)</f>
        <v>0.0</v>
      </c>
      <c r="CD86" s="7">
        <f> IF(ABS(CD66 - CD75) &gt; CHK_TOL, 1, 0)</f>
        <v>0.0</v>
      </c>
      <c r="CE86" s="7">
        <f> IF(ABS(CE66 - CE75) &gt; CHK_TOL, 1, 0)</f>
        <v>0.0</v>
      </c>
      <c r="CF86" s="7">
        <f> IF(ABS(CF66 - CF75) &gt; CHK_TOL, 1, 0)</f>
        <v>0.0</v>
      </c>
      <c r="CG86" s="7">
        <f> IF(ABS(CG66 - CG75) &gt; CHK_TOL, 1, 0)</f>
        <v>0.0</v>
      </c>
      <c r="CH86" s="7">
        <f> IF(ABS(CH66 - CH75) &gt; CHK_TOL, 1, 0)</f>
        <v>0.0</v>
      </c>
      <c r="CI86" s="7">
        <f> IF(ABS(CI66 - CI75) &gt; CHK_TOL, 1, 0)</f>
        <v>0.0</v>
      </c>
      <c r="CJ86" s="7">
        <f> IF(ABS(CJ66 - CJ75) &gt; CHK_TOL, 1, 0)</f>
        <v>0.0</v>
      </c>
      <c r="CK86" s="7">
        <f> IF(ABS(CK66 - CK75) &gt; CHK_TOL, 1, 0)</f>
        <v>0.0</v>
      </c>
      <c r="CL86" s="7">
        <f> IF(ABS(CL66 - CL75) &gt; CHK_TOL, 1, 0)</f>
        <v>0.0</v>
      </c>
      <c r="CM86" s="7">
        <f> IF(ABS(CM66 - CM75) &gt; CHK_TOL, 1, 0)</f>
        <v>0.0</v>
      </c>
      <c r="CN86" s="7">
        <f> IF(ABS(CN66 - CN75) &gt; CHK_TOL, 1, 0)</f>
        <v>0.0</v>
      </c>
      <c r="CO86" s="7">
        <f> IF(ABS(CO66 - CO75) &gt; CHK_TOL, 1, 0)</f>
        <v>0.0</v>
      </c>
    </row>
    <row r="87">
      <c r="D87" s="169" t="n"/>
      <c r="E87" s="169" t="inlineStr">
        <is>
          <t>FinStat - balance sheet difference</t>
        </is>
      </c>
      <c r="G87" s="169" t="inlineStr">
        <is>
          <t>$ 000s</t>
        </is>
      </c>
      <c r="H87" s="169">
        <f> SUM(J87:CO87)</f>
        <v>8.230094285701614e-09</v>
      </c>
      <c r="J87" s="169">
        <f> J66 - J75</f>
        <v>0.0</v>
      </c>
      <c r="K87" s="169">
        <f> K66 - K75</f>
        <v>1.4551915228366852e-11</v>
      </c>
      <c r="L87" s="169">
        <f> L66 - L75</f>
        <v>2.9103830456733704e-11</v>
      </c>
      <c r="M87" s="169">
        <f> M66 - M75</f>
        <v>2.9103830456733704e-11</v>
      </c>
      <c r="N87" s="169">
        <f> N66 - N75</f>
        <v>5.820766091346741e-11</v>
      </c>
      <c r="O87" s="169">
        <f> O66 - O75</f>
        <v>4.3655745685100555e-11</v>
      </c>
      <c r="P87" s="169">
        <f> P66 - P75</f>
        <v>4.3655745685100555e-11</v>
      </c>
      <c r="Q87" s="169">
        <f> Q66 - Q75</f>
        <v>2.9103830456733704e-11</v>
      </c>
      <c r="R87" s="169">
        <f> R66 - R75</f>
        <v>5.820766091346741e-11</v>
      </c>
      <c r="S87" s="169">
        <f> S66 - S75</f>
        <v>5.820766091346741e-11</v>
      </c>
      <c r="T87" s="169">
        <f> T66 - T75</f>
        <v>5.820766091346741e-11</v>
      </c>
      <c r="U87" s="169">
        <f> U66 - U75</f>
        <v>7.275957614183426e-11</v>
      </c>
      <c r="V87" s="169">
        <f> V66 - V75</f>
        <v>7.275957614183426e-11</v>
      </c>
      <c r="W87" s="169">
        <f> W66 - W75</f>
        <v>8.731149137020111e-11</v>
      </c>
      <c r="X87" s="169">
        <f> X66 - X75</f>
        <v>1.0186340659856796e-10</v>
      </c>
      <c r="Y87" s="169">
        <f> Y66 - Y75</f>
        <v>1.1641532182693481e-10</v>
      </c>
      <c r="Z87" s="169">
        <f> Z66 - Z75</f>
        <v>1.0186340659856796e-10</v>
      </c>
      <c r="AA87" s="169">
        <f> AA66 - AA75</f>
        <v>1.1641532182693481e-10</v>
      </c>
      <c r="AB87" s="169">
        <f> AB66 - AB75</f>
        <v>1.3096723705530167e-10</v>
      </c>
      <c r="AC87" s="169">
        <f> AC66 - AC75</f>
        <v>1.3096723705530167e-10</v>
      </c>
      <c r="AD87" s="169">
        <f> AD66 - AD75</f>
        <v>1.4551915228366852e-10</v>
      </c>
      <c r="AE87" s="169">
        <f> AE66 - AE75</f>
        <v>1.3096723705530167e-10</v>
      </c>
      <c r="AF87" s="169">
        <f> AF66 - AF75</f>
        <v>1.6007106751203537e-10</v>
      </c>
      <c r="AG87" s="169">
        <f> AG66 - AG75</f>
        <v>1.7462298274040222e-10</v>
      </c>
      <c r="AH87" s="169">
        <f> AH66 - AH75</f>
        <v>1.6007106751203537e-10</v>
      </c>
      <c r="AI87" s="169">
        <f> AI66 - AI75</f>
        <v>1.4551915228366852e-10</v>
      </c>
      <c r="AJ87" s="169">
        <f> AJ66 - AJ75</f>
        <v>1.3096723705530167e-10</v>
      </c>
      <c r="AK87" s="169">
        <f> AK66 - AK75</f>
        <v>1.4551915228366852e-10</v>
      </c>
      <c r="AL87" s="169">
        <f> AL66 - AL75</f>
        <v>1.3096723705530167e-10</v>
      </c>
      <c r="AM87" s="169">
        <f> AM66 - AM75</f>
        <v>1.3096723705530167e-10</v>
      </c>
      <c r="AN87" s="169">
        <f> AN66 - AN75</f>
        <v>1.4551915228366852e-10</v>
      </c>
      <c r="AO87" s="169">
        <f> AO66 - AO75</f>
        <v>1.1641532182693481e-10</v>
      </c>
      <c r="AP87" s="169">
        <f> AP66 - AP75</f>
        <v>1.3096723705530167e-10</v>
      </c>
      <c r="AQ87" s="169">
        <f> AQ66 - AQ75</f>
        <v>1.2369127944111824e-10</v>
      </c>
      <c r="AR87" s="169">
        <f> AR66 - AR75</f>
        <v>1.3096723705530167e-10</v>
      </c>
      <c r="AS87" s="169">
        <f> AS66 - AS75</f>
        <v>1.3096723705530167e-10</v>
      </c>
      <c r="AT87" s="169">
        <f> AT66 - AT75</f>
        <v>1.3096723705530167e-10</v>
      </c>
      <c r="AU87" s="169">
        <f> AU66 - AU75</f>
        <v>1.2369127944111824e-10</v>
      </c>
      <c r="AV87" s="169">
        <f> AV66 - AV75</f>
        <v>1.2369127944111824e-10</v>
      </c>
      <c r="AW87" s="169">
        <f> AW66 - AW75</f>
        <v>1.3096723705530167e-10</v>
      </c>
      <c r="AX87" s="169">
        <f> AX66 - AX75</f>
        <v>1.2369127944111824e-10</v>
      </c>
      <c r="AY87" s="169">
        <f> AY66 - AY75</f>
        <v>1.2369127944111824e-10</v>
      </c>
      <c r="AZ87" s="169">
        <f> AZ66 - AZ75</f>
        <v>1.1641532182693481e-10</v>
      </c>
      <c r="BA87" s="169">
        <f> BA66 - BA75</f>
        <v>1.1641532182693481e-10</v>
      </c>
      <c r="BB87" s="169">
        <f> BB66 - BB75</f>
        <v>1.0913936421275139e-10</v>
      </c>
      <c r="BC87" s="169">
        <f> BC66 - BC75</f>
        <v>1.0913936421275139e-10</v>
      </c>
      <c r="BD87" s="169">
        <f> BD66 - BD75</f>
        <v>1.0913936421275139e-10</v>
      </c>
      <c r="BE87" s="169">
        <f> BE66 - BE75</f>
        <v>1.1641532182693481e-10</v>
      </c>
      <c r="BF87" s="169">
        <f> BF66 - BF75</f>
        <v>1.127773430198431e-10</v>
      </c>
      <c r="BG87" s="169">
        <f> BG66 - BG75</f>
        <v>1.0913936421275139e-10</v>
      </c>
      <c r="BH87" s="169">
        <f> BH66 - BH75</f>
        <v>1.0550138540565968e-10</v>
      </c>
      <c r="BI87" s="169">
        <f> BI66 - BI75</f>
        <v>1.0550138540565968e-10</v>
      </c>
      <c r="BJ87" s="169">
        <f> BJ66 - BJ75</f>
        <v>1.0186340659856796e-10</v>
      </c>
      <c r="BK87" s="169">
        <f> BK66 - BK75</f>
        <v>1.0550138540565968e-10</v>
      </c>
      <c r="BL87" s="169">
        <f> BL66 - BL75</f>
        <v>1.0186340659856796e-10</v>
      </c>
      <c r="BM87" s="169">
        <f> BM66 - BM75</f>
        <v>1.0186340659856796e-10</v>
      </c>
      <c r="BN87" s="169">
        <f> BN66 - BN75</f>
        <v>1.0186340659856796e-10</v>
      </c>
      <c r="BO87" s="169">
        <f> BO66 - BO75</f>
        <v>1.0186340659856796e-10</v>
      </c>
      <c r="BP87" s="169">
        <f> BP66 - BP75</f>
        <v>9.458744898438454e-11</v>
      </c>
      <c r="BQ87" s="169">
        <f> BQ66 - BQ75</f>
        <v>8.731149137020111e-11</v>
      </c>
      <c r="BR87" s="169">
        <f> BR66 - BR75</f>
        <v>8.731149137020111e-11</v>
      </c>
      <c r="BS87" s="169">
        <f> BS66 - BS75</f>
        <v>9.276845958083868e-11</v>
      </c>
      <c r="BT87" s="169">
        <f> BT66 - BT75</f>
        <v>8.731149137020111e-11</v>
      </c>
      <c r="BU87" s="169">
        <f> BU66 - BU75</f>
        <v>8.913048077374697e-11</v>
      </c>
      <c r="BV87" s="169">
        <f> BV66 - BV75</f>
        <v>8.731149137020111e-11</v>
      </c>
      <c r="BW87" s="169">
        <f> BW66 - BW75</f>
        <v>9.458744898438454e-11</v>
      </c>
      <c r="BX87" s="169">
        <f> BX66 - BX75</f>
        <v>9.094947017729282e-11</v>
      </c>
      <c r="BY87" s="169">
        <f> BY66 - BY75</f>
        <v>9.094947017729282e-11</v>
      </c>
      <c r="BZ87" s="169">
        <f> BZ66 - BZ75</f>
        <v>8.36735125631094e-11</v>
      </c>
      <c r="CA87" s="169">
        <f> CA66 - CA75</f>
        <v>8.003553375601768e-11</v>
      </c>
      <c r="CB87" s="169">
        <f> CB66 - CB75</f>
        <v>8.36735125631094e-11</v>
      </c>
      <c r="CC87" s="169">
        <f> CC66 - CC75</f>
        <v>8.36735125631094e-11</v>
      </c>
      <c r="CD87" s="169">
        <f> CD66 - CD75</f>
        <v>8.36735125631094e-11</v>
      </c>
      <c r="CE87" s="169">
        <f> CE66 - CE75</f>
        <v>8.003553375601768e-11</v>
      </c>
      <c r="CF87" s="169">
        <f> CF66 - CF75</f>
        <v>7.639755494892597e-11</v>
      </c>
      <c r="CG87" s="169">
        <f> CG66 - CG75</f>
        <v>7.275957614183426e-11</v>
      </c>
      <c r="CH87" s="169">
        <f> CH66 - CH75</f>
        <v>6.912159733474255e-11</v>
      </c>
      <c r="CI87" s="169">
        <f> CI66 - CI75</f>
        <v>7.275957614183426e-11</v>
      </c>
      <c r="CJ87" s="169">
        <f> CJ66 - CJ75</f>
        <v>7.639755494892597e-11</v>
      </c>
      <c r="CK87" s="169">
        <f> CK66 - CK75</f>
        <v>8.003553375601768e-11</v>
      </c>
      <c r="CL87" s="169">
        <f> CL66 - CL75</f>
        <v>8.003553375601768e-11</v>
      </c>
      <c r="CM87" s="169">
        <f> CM66 - CM75</f>
        <v>7.821654435247183e-11</v>
      </c>
      <c r="CN87" s="169">
        <f> CN66 - CN75</f>
        <v>7.961915108432474e-11</v>
      </c>
      <c r="CO87" s="169">
        <f> CO66 - CO75</f>
        <v>7.961915108432474e-11</v>
      </c>
    </row>
    <row r="89">
      <c r="A89" s="163" t="inlineStr">
        <is>
          <t>SENIOR DEBT RATIOS</t>
        </is>
      </c>
      <c r="J89" s="169" t="n"/>
      <c r="K89" s="169" t="n"/>
      <c r="L89" s="169" t="n"/>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row>
    <row r="90">
      <c r="E90" s="169" t="n"/>
      <c r="F90" s="7" t="n"/>
      <c r="G90" s="169" t="n"/>
      <c r="J90" s="7" t="n"/>
      <c r="K90" s="7" t="n"/>
      <c r="L90" s="7" t="n"/>
      <c r="M90" s="7" t="n"/>
      <c r="N90" s="7" t="n"/>
      <c r="O90" s="7" t="n"/>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c r="AK90" s="7" t="n"/>
      <c r="AL90" s="7" t="n"/>
      <c r="AM90" s="7" t="n"/>
      <c r="AN90" s="7" t="n"/>
      <c r="AO90" s="7" t="n"/>
      <c r="AP90" s="7" t="n"/>
      <c r="AQ90" s="7" t="n"/>
      <c r="AR90" s="7" t="n"/>
      <c r="AS90" s="7" t="n"/>
      <c r="AT90" s="7" t="n"/>
      <c r="AU90" s="7" t="n"/>
      <c r="AV90" s="7" t="n"/>
      <c r="AW90" s="7" t="n"/>
      <c r="AX90" s="7" t="n"/>
      <c r="AY90" s="7" t="n"/>
      <c r="AZ90" s="7" t="n"/>
      <c r="BA90" s="7" t="n"/>
      <c r="BB90" s="7" t="n"/>
      <c r="BC90" s="7" t="n"/>
      <c r="BD90" s="7" t="n"/>
      <c r="BE90" s="7" t="n"/>
      <c r="BF90" s="7" t="n"/>
      <c r="BG90" s="7" t="n"/>
      <c r="BH90" s="7" t="n"/>
      <c r="BI90" s="7" t="n"/>
      <c r="BJ90" s="7" t="n"/>
      <c r="BK90" s="7" t="n"/>
      <c r="BL90" s="7" t="n"/>
      <c r="BM90" s="7" t="n"/>
      <c r="BN90" s="7" t="n"/>
      <c r="BO90" s="7" t="n"/>
      <c r="BP90" s="7" t="n"/>
      <c r="BQ90" s="7" t="n"/>
      <c r="BR90" s="7" t="n"/>
      <c r="BS90" s="7" t="n"/>
      <c r="BT90" s="7" t="n"/>
      <c r="BU90" s="7" t="n"/>
      <c r="BV90" s="7" t="n"/>
      <c r="BW90" s="7" t="n"/>
      <c r="BX90" s="7" t="n"/>
      <c r="BY90" s="7" t="n"/>
      <c r="BZ90" s="7" t="n"/>
      <c r="CA90" s="7" t="n"/>
      <c r="CB90" s="7" t="n"/>
      <c r="CC90" s="7" t="n"/>
      <c r="CD90" s="7" t="n"/>
      <c r="CE90" s="7" t="n"/>
      <c r="CF90" s="7" t="n"/>
      <c r="CG90" s="7" t="n"/>
      <c r="CH90" s="7" t="n"/>
      <c r="CI90" s="7" t="n"/>
      <c r="CJ90" s="7" t="n"/>
      <c r="CK90" s="7" t="n"/>
      <c r="CL90" s="7" t="n"/>
      <c r="CM90" s="7" t="n"/>
      <c r="CN90" s="7" t="n"/>
      <c r="CO90" s="7" t="n"/>
    </row>
    <row r="91">
      <c r="A91" s="163" t="n"/>
      <c r="B91" s="163" t="n"/>
      <c r="C91" s="172" t="n"/>
      <c r="D91" s="88" t="n"/>
      <c r="E91" s="117" t="str">
        <f>Debt!E$22</f>
        <v>Senior debt principal repayment POS</v>
      </c>
      <c r="F91" s="117">
        <f>Debt!F$22</f>
        <v>0.0</v>
      </c>
      <c r="G91" s="117" t="str">
        <f>Debt!G$22</f>
        <v>$ 000s</v>
      </c>
      <c r="H91" s="117">
        <f>Debt!H$22</f>
        <v>72154.22476191209</v>
      </c>
      <c r="I91" s="117" t="n"/>
      <c r="J91" s="117">
        <f>Debt!J$22</f>
        <v>0.0</v>
      </c>
      <c r="K91" s="117">
        <f>Debt!K$22</f>
        <v>0.0</v>
      </c>
      <c r="L91" s="117">
        <f>Debt!L$22</f>
        <v>1056.888892853977</v>
      </c>
      <c r="M91" s="117">
        <f>Debt!M$22</f>
        <v>1148.893033090748</v>
      </c>
      <c r="N91" s="117">
        <f>Debt!N$22</f>
        <v>1206.9247581123955</v>
      </c>
      <c r="O91" s="117">
        <f>Debt!O$22</f>
        <v>1147.6320255188957</v>
      </c>
      <c r="P91" s="117">
        <f>Debt!P$22</f>
        <v>1248.063592734087</v>
      </c>
      <c r="Q91" s="117">
        <f>Debt!Q$22</f>
        <v>1183.1994560938842</v>
      </c>
      <c r="R91" s="117">
        <f>Debt!R$22</f>
        <v>1260.966345979165</v>
      </c>
      <c r="S91" s="117">
        <f>Debt!S$22</f>
        <v>312.8117638659016</v>
      </c>
      <c r="T91" s="117">
        <f>Debt!T$22</f>
        <v>1360.1974026390815</v>
      </c>
      <c r="U91" s="117">
        <f>Debt!U$22</f>
        <v>1338.3675869951842</v>
      </c>
      <c r="V91" s="117">
        <f>Debt!V$22</f>
        <v>1428.036245529944</v>
      </c>
      <c r="W91" s="117">
        <f>Debt!W$22</f>
        <v>923.6865714726051</v>
      </c>
      <c r="X91" s="117">
        <f>Debt!X$22</f>
        <v>1482.3128794960858</v>
      </c>
      <c r="Y91" s="117">
        <f>Debt!Y$22</f>
        <v>1419.2175372673782</v>
      </c>
      <c r="Z91" s="117">
        <f>Debt!Z$22</f>
        <v>1510.5187875793956</v>
      </c>
      <c r="AA91" s="117">
        <f>Debt!AA$22</f>
        <v>782.0376580279303</v>
      </c>
      <c r="AB91" s="117">
        <f>Debt!AB$22</f>
        <v>1567.4884107846167</v>
      </c>
      <c r="AC91" s="117">
        <f>Debt!AC$22</f>
        <v>1508.0357036137598</v>
      </c>
      <c r="AD91" s="117">
        <f>Debt!AD$22</f>
        <v>1736.4356688519858</v>
      </c>
      <c r="AE91" s="117">
        <f>Debt!AE$22</f>
        <v>1310.3069844943284</v>
      </c>
      <c r="AF91" s="117">
        <f>Debt!AF$22</f>
        <v>1884.4496129994875</v>
      </c>
      <c r="AG91" s="117">
        <f>Debt!AG$22</f>
        <v>1833.897794889823</v>
      </c>
      <c r="AH91" s="117">
        <f>Debt!AH$22</f>
        <v>1949.547143875639</v>
      </c>
      <c r="AI91" s="117">
        <f>Debt!AI$22</f>
        <v>1671.7130559004256</v>
      </c>
      <c r="AJ91" s="117">
        <f>Debt!AJ$22</f>
        <v>2025.6261673954964</v>
      </c>
      <c r="AK91" s="117">
        <f>Debt!AK$22</f>
        <v>1978.5118376514288</v>
      </c>
      <c r="AL91" s="117">
        <f>Debt!AL$22</f>
        <v>2107.2696991096614</v>
      </c>
      <c r="AM91" s="117">
        <f>Debt!AM$22</f>
        <v>1739.9646119225959</v>
      </c>
      <c r="AN91" s="117">
        <f>Debt!AN$22</f>
        <v>2415.177432893484</v>
      </c>
      <c r="AO91" s="117">
        <f>Debt!AO$22</f>
        <v>2378.3372637783823</v>
      </c>
      <c r="AP91" s="117">
        <f>Debt!AP$22</f>
        <v>2520.5090568970522</v>
      </c>
      <c r="AQ91" s="117">
        <f>Debt!AQ$22</f>
        <v>2026.8672092641057</v>
      </c>
      <c r="AR91" s="117">
        <f>Debt!AR$22</f>
        <v>2621.3709441114406</v>
      </c>
      <c r="AS91" s="117">
        <f>Debt!AS$22</f>
        <v>2589.1663404418628</v>
      </c>
      <c r="AT91" s="117">
        <f>Debt!AT$22</f>
        <v>2741.403546517306</v>
      </c>
      <c r="AU91" s="117">
        <f>Debt!AU$22</f>
        <v>2694.662671790391</v>
      </c>
      <c r="AV91" s="117">
        <f>Debt!AV$22</f>
        <v>2849.792665876988</v>
      </c>
      <c r="AW91" s="117">
        <f>Debt!AW$22</f>
        <v>2822.842524367711</v>
      </c>
      <c r="AX91" s="117">
        <f>Debt!AX$22</f>
        <v>3155.675788997193</v>
      </c>
      <c r="AY91" s="117">
        <f>Debt!AY$22</f>
        <v>3215.4180882301966</v>
      </c>
      <c r="AZ91" s="117">
        <f>Debt!AZ$22</f>
        <v>9.78799461235101e-13</v>
      </c>
      <c r="BA91" s="117">
        <f>Debt!BA$22</f>
        <v>9.948816801606723e-13</v>
      </c>
      <c r="BB91" s="117">
        <f>Debt!BB$22</f>
        <v>1.0223405360082815e-12</v>
      </c>
      <c r="BC91" s="117">
        <f>Debt!BC$22</f>
        <v>1.0393227482453078e-12</v>
      </c>
      <c r="BD91" s="117">
        <f>Debt!BD$22</f>
        <v>1.0336177701163526e-12</v>
      </c>
      <c r="BE91" s="117">
        <f>Debt!BE$22</f>
        <v>1.0620853262016405e-12</v>
      </c>
      <c r="BF91" s="117">
        <f>Debt!BF$22</f>
        <v>1.0913990108855535e-12</v>
      </c>
      <c r="BG91" s="117">
        <f>Debt!BG$22</f>
        <v>1.1095283611219301e-12</v>
      </c>
      <c r="BH91" s="117">
        <f>Debt!BH$22</f>
        <v>1.1034380152266412e-12</v>
      </c>
      <c r="BI91" s="117">
        <f>Debt!BI$22</f>
        <v>1.1338285372293419e-12</v>
      </c>
      <c r="BJ91" s="117">
        <f>Debt!BJ$22</f>
        <v>1.1651223432974744e-12</v>
      </c>
      <c r="BK91" s="117">
        <f>Debt!BK$22</f>
        <v>1.1844763200000271e-12</v>
      </c>
      <c r="BL91" s="117">
        <f>Debt!BL$22</f>
        <v>1.1779745749826358e-12</v>
      </c>
      <c r="BM91" s="117">
        <f>Debt!BM$22</f>
        <v>1.210417958068616e-12</v>
      </c>
      <c r="BN91" s="117">
        <f>Debt!BN$22</f>
        <v>1.24382564150349e-12</v>
      </c>
      <c r="BO91" s="117">
        <f>Debt!BO$22</f>
        <v>1.2644869674373535e-12</v>
      </c>
      <c r="BP91" s="117">
        <f>Debt!BP$22</f>
        <v>1.2715187672460072e-12</v>
      </c>
      <c r="BQ91" s="117">
        <f>Debt!BQ$22</f>
        <v>1.2924105269911742e-12</v>
      </c>
      <c r="BR91" s="117">
        <f>Debt!BR$22</f>
        <v>1.3280812153396137e-12</v>
      </c>
      <c r="BS91" s="117">
        <f>Debt!BS$22</f>
        <v>1.3501421199721997e-12</v>
      </c>
      <c r="BT91" s="117">
        <f>Debt!BT$22</f>
        <v>1.3427310137701783e-12</v>
      </c>
      <c r="BU91" s="117">
        <f>Debt!BU$22</f>
        <v>1.379712063774432e-12</v>
      </c>
      <c r="BV91" s="117">
        <f>Debt!BV$22</f>
        <v>1.4177922851976178e-12</v>
      </c>
      <c r="BW91" s="117">
        <f>Debt!BW$22</f>
        <v>1.4413433903795116e-12</v>
      </c>
      <c r="BX91" s="117">
        <f>Debt!BX$22</f>
        <v>1.4334316685084066e-12</v>
      </c>
      <c r="BY91" s="117">
        <f>Debt!BY$22</f>
        <v>1.472910765711909e-12</v>
      </c>
      <c r="BZ91" s="117">
        <f>Debt!BZ$22</f>
        <v>1.513563282688142e-12</v>
      </c>
      <c r="CA91" s="117">
        <f>Debt!CA$22</f>
        <v>1.5387052505505726e-12</v>
      </c>
      <c r="CB91" s="117">
        <f>Debt!CB$22</f>
        <v>1.530259096729616e-12</v>
      </c>
      <c r="CC91" s="117">
        <f>Debt!CC$22</f>
        <v>1.5724049826853774e-12</v>
      </c>
      <c r="CD91" s="117">
        <f>Debt!CD$22</f>
        <v>1.6158035521983341e-12</v>
      </c>
      <c r="CE91" s="117">
        <f>Debt!CE$22</f>
        <v>1.6426438445376286e-12</v>
      </c>
      <c r="CF91" s="117">
        <f>Debt!CF$22</f>
        <v>1.6517785710861471e-12</v>
      </c>
      <c r="CG91" s="117">
        <f>Debt!CG$22</f>
        <v>1.6789182106638544e-12</v>
      </c>
      <c r="CH91" s="117">
        <f>Debt!CH$22</f>
        <v>1.7252565582742954e-12</v>
      </c>
      <c r="CI91" s="117">
        <f>Debt!CI$22</f>
        <v>1.7539149866589627e-12</v>
      </c>
      <c r="CJ91" s="117">
        <f>Debt!CJ$22</f>
        <v>1.744287518525672e-12</v>
      </c>
      <c r="CK91" s="117">
        <f>Debt!CK$22</f>
        <v>1.792328103931733e-12</v>
      </c>
      <c r="CL91" s="117">
        <f>Debt!CL$22</f>
        <v>1.841796578443729e-12</v>
      </c>
      <c r="CM91" s="117">
        <f>Debt!CM$22</f>
        <v>1.8723908660523222e-12</v>
      </c>
      <c r="CN91" s="117">
        <f>Debt!CN$22</f>
        <v>1.862113068363665e-12</v>
      </c>
      <c r="CO91" s="117">
        <f>Debt!CO$22</f>
        <v>1.913398765788181e-12</v>
      </c>
    </row>
    <row r="92">
      <c r="A92" s="163" t="n"/>
      <c r="B92" s="163" t="n"/>
      <c r="C92" s="172" t="n"/>
      <c r="D92" s="88" t="n"/>
      <c r="E92" s="117" t="str">
        <f>Debt!E$33</f>
        <v>Senior debt interest payment POS</v>
      </c>
      <c r="F92" s="117">
        <f>Debt!F$33</f>
        <v>0.0</v>
      </c>
      <c r="G92" s="117" t="str">
        <f>Debt!G$33</f>
        <v>$ 000s</v>
      </c>
      <c r="H92" s="117">
        <f>Debt!H$33</f>
        <v>29083.355014702807</v>
      </c>
      <c r="I92" s="117" t="n"/>
      <c r="J92" s="117">
        <f>Debt!J$33</f>
        <v>0.0</v>
      </c>
      <c r="K92" s="117">
        <f>Debt!K$33</f>
        <v>0.0</v>
      </c>
      <c r="L92" s="117">
        <f>Debt!L$33</f>
        <v>1172.5061523810696</v>
      </c>
      <c r="M92" s="117">
        <f>Debt!M$33</f>
        <v>1168.16872684855</v>
      </c>
      <c r="N92" s="117">
        <f>Debt!N$33</f>
        <v>1161.921355997456</v>
      </c>
      <c r="O92" s="117">
        <f>Debt!O$33</f>
        <v>1141.8729947377</v>
      </c>
      <c r="P92" s="117">
        <f>Debt!P$33</f>
        <v>1098.4006483504595</v>
      </c>
      <c r="Q92" s="117">
        <f>Debt!Q$33</f>
        <v>1090.098721801514</v>
      </c>
      <c r="R92" s="117">
        <f>Debt!R$33</f>
        <v>1082.423571002716</v>
      </c>
      <c r="S92" s="117">
        <f>Debt!S$33</f>
        <v>1061.4775189222844</v>
      </c>
      <c r="T92" s="117">
        <f>Debt!T$33</f>
        <v>1044.8000487389338</v>
      </c>
      <c r="U92" s="117">
        <f>Debt!U$33</f>
        <v>1022.45124974835</v>
      </c>
      <c r="V92" s="117">
        <f>Debt!V$33</f>
        <v>1011.455205072476</v>
      </c>
      <c r="W92" s="117">
        <f>Debt!W$33</f>
        <v>987.7339363272841</v>
      </c>
      <c r="X92" s="117">
        <f>Debt!X$33</f>
        <v>951.2515526641741</v>
      </c>
      <c r="Y92" s="117">
        <f>Debt!Y$33</f>
        <v>937.4657902431668</v>
      </c>
      <c r="Z92" s="117">
        <f>Debt!Z$33</f>
        <v>924.1928319115848</v>
      </c>
      <c r="AA92" s="117">
        <f>Debt!AA$33</f>
        <v>899.1014364956827</v>
      </c>
      <c r="AB92" s="117">
        <f>Debt!AB$33</f>
        <v>866.8476411506488</v>
      </c>
      <c r="AC92" s="117">
        <f>Debt!AC$33</f>
        <v>850.724576191792</v>
      </c>
      <c r="AD92" s="117">
        <f>Debt!AD$33</f>
        <v>835.0230492759346</v>
      </c>
      <c r="AE92" s="117">
        <f>Debt!AE$33</f>
        <v>806.1789234433378</v>
      </c>
      <c r="AF92" s="117">
        <f>Debt!AF$33</f>
        <v>767.3608061747975</v>
      </c>
      <c r="AG92" s="117">
        <f>Debt!AG$33</f>
        <v>744.9244832964843</v>
      </c>
      <c r="AH92" s="117">
        <f>Debt!AH$33</f>
        <v>722.6473865920761</v>
      </c>
      <c r="AI92" s="117">
        <f>Debt!AI$33</f>
        <v>690.2632423688086</v>
      </c>
      <c r="AJ92" s="117">
        <f>Debt!AJ$33</f>
        <v>655.2932068007933</v>
      </c>
      <c r="AK92" s="117">
        <f>Debt!AK$33</f>
        <v>622.0110435226146</v>
      </c>
      <c r="AL92" s="117">
        <f>Debt!AL$33</f>
        <v>595.9810497452943</v>
      </c>
      <c r="AM92" s="117">
        <f>Debt!AM$33</f>
        <v>560.976958632306</v>
      </c>
      <c r="AN92" s="117">
        <f>Debt!AN$33</f>
        <v>520.5073824139486</v>
      </c>
      <c r="AO92" s="117">
        <f>Debt!AO$33</f>
        <v>486.6080907864231</v>
      </c>
      <c r="AP92" s="117">
        <f>Debt!AP$33</f>
        <v>452.448607895098</v>
      </c>
      <c r="AQ92" s="117">
        <f>Debt!AQ$33</f>
        <v>410.5801518944192</v>
      </c>
      <c r="AR92" s="117">
        <f>Debt!AR$33</f>
        <v>368.7179042679119</v>
      </c>
      <c r="AS92" s="117">
        <f>Debt!AS$33</f>
        <v>329.7441889419465</v>
      </c>
      <c r="AT92" s="117">
        <f>Debt!AT$33</f>
        <v>290.3588216915634</v>
      </c>
      <c r="AU92" s="117">
        <f>Debt!AU$33</f>
        <v>244.82106277997036</v>
      </c>
      <c r="AV92" s="117">
        <f>Debt!AV$33</f>
        <v>195.71059734642063</v>
      </c>
      <c r="AW92" s="117">
        <f>Debt!AW$33</f>
        <v>151.061482820652</v>
      </c>
      <c r="AX92" s="117">
        <f>Debt!AX$33</f>
        <v>105.83094829394302</v>
      </c>
      <c r="AY92" s="117">
        <f>Debt!AY$33</f>
        <v>53.411667132267425</v>
      </c>
      <c r="AZ92" s="117">
        <f>Debt!AZ$33</f>
        <v>-8.293644289854759e-13</v>
      </c>
      <c r="BA92" s="117">
        <f>Debt!BA$33</f>
        <v>-8.45446647911047e-13</v>
      </c>
      <c r="BB92" s="117">
        <f>Debt!BB$33</f>
        <v>-8.712633605471219e-13</v>
      </c>
      <c r="BC92" s="117">
        <f>Debt!BC$33</f>
        <v>-8.882455727841483e-13</v>
      </c>
      <c r="BD92" s="117">
        <f>Debt!BD$33</f>
        <v>-8.858248810782617e-13</v>
      </c>
      <c r="BE92" s="117">
        <f>Debt!BE$33</f>
        <v>-9.126502939520154e-13</v>
      </c>
      <c r="BF92" s="117">
        <f>Debt!BF$33</f>
        <v>-9.403218354243942e-13</v>
      </c>
      <c r="BG92" s="117">
        <f>Debt!BG$33</f>
        <v>-9.584511856607709e-13</v>
      </c>
      <c r="BH92" s="117">
        <f>Debt!BH$33</f>
        <v>-9.556451261885508e-13</v>
      </c>
      <c r="BI92" s="117">
        <f>Debt!BI$33</f>
        <v>-9.84393504979717e-13</v>
      </c>
      <c r="BJ92" s="117">
        <f>Debt!BJ$33</f>
        <v>-1.0140451678363153e-12</v>
      </c>
      <c r="BK92" s="117">
        <f>Debt!BK$33</f>
        <v>-1.033399144538868e-12</v>
      </c>
      <c r="BL92" s="117">
        <f>Debt!BL$33</f>
        <v>-1.0301816859445451e-12</v>
      </c>
      <c r="BM92" s="117">
        <f>Debt!BM$33</f>
        <v>-1.0609829258189909e-12</v>
      </c>
      <c r="BN92" s="117">
        <f>Debt!BN$33</f>
        <v>-1.092748466042331e-12</v>
      </c>
      <c r="BO92" s="117">
        <f>Debt!BO$33</f>
        <v>-1.1134097919761945e-12</v>
      </c>
      <c r="BP92" s="117">
        <f>Debt!BP$33</f>
        <v>-1.1220837349963825e-12</v>
      </c>
      <c r="BQ92" s="117">
        <f>Debt!BQ$33</f>
        <v>-1.1429754947415495e-12</v>
      </c>
      <c r="BR92" s="117">
        <f>Debt!BR$33</f>
        <v>-1.1770040398784547e-12</v>
      </c>
      <c r="BS92" s="117">
        <f>Debt!BS$33</f>
        <v>-1.1990649445110405e-12</v>
      </c>
      <c r="BT92" s="117">
        <f>Debt!BT$33</f>
        <v>-1.1949381247320879e-12</v>
      </c>
      <c r="BU92" s="117">
        <f>Debt!BU$33</f>
        <v>-1.2302770315248071e-12</v>
      </c>
      <c r="BV92" s="117">
        <f>Debt!BV$33</f>
        <v>-1.2667151097364587e-12</v>
      </c>
      <c r="BW92" s="117">
        <f>Debt!BW$33</f>
        <v>-1.2902662149183525e-12</v>
      </c>
      <c r="BX92" s="117">
        <f>Debt!BX$33</f>
        <v>-1.2856387794703161e-12</v>
      </c>
      <c r="BY92" s="117">
        <f>Debt!BY$33</f>
        <v>-1.3234757334622841e-12</v>
      </c>
      <c r="BZ92" s="117">
        <f>Debt!BZ$33</f>
        <v>-1.3624861072269829e-12</v>
      </c>
      <c r="CA92" s="117">
        <f>Debt!CA$33</f>
        <v>-1.3876280750894138e-12</v>
      </c>
      <c r="CB92" s="117">
        <f>Debt!CB$33</f>
        <v>-1.3824662076915255e-12</v>
      </c>
      <c r="CC92" s="117">
        <f>Debt!CC$33</f>
        <v>-1.4229699504357526e-12</v>
      </c>
      <c r="CD92" s="117">
        <f>Debt!CD$33</f>
        <v>-1.464726376737175e-12</v>
      </c>
      <c r="CE92" s="117">
        <f>Debt!CE$33</f>
        <v>-1.4915666690764695e-12</v>
      </c>
      <c r="CF92" s="117">
        <f>Debt!CF$33</f>
        <v>-1.5023435388365228e-12</v>
      </c>
      <c r="CG92" s="117">
        <f>Debt!CG$33</f>
        <v>-1.5294831784142299e-12</v>
      </c>
      <c r="CH92" s="117">
        <f>Debt!CH$33</f>
        <v>-1.5741793828131364e-12</v>
      </c>
      <c r="CI92" s="117">
        <f>Debt!CI$33</f>
        <v>-1.6028378111978039e-12</v>
      </c>
      <c r="CJ92" s="117">
        <f>Debt!CJ$33</f>
        <v>-1.5964946294875815e-12</v>
      </c>
      <c r="CK92" s="117">
        <f>Debt!CK$33</f>
        <v>-1.6428930716821085e-12</v>
      </c>
      <c r="CL92" s="117">
        <f>Debt!CL$33</f>
        <v>-1.69071940298257e-12</v>
      </c>
      <c r="CM92" s="117">
        <f>Debt!CM$33</f>
        <v>-1.7213136905911632e-12</v>
      </c>
      <c r="CN92" s="117">
        <f>Debt!CN$33</f>
        <v>-1.7143201793255752e-12</v>
      </c>
      <c r="CO92" s="117">
        <f>Debt!CO$33</f>
        <v>-1.7639637335385567e-12</v>
      </c>
    </row>
    <row r="93">
      <c r="A93" s="163" t="n"/>
      <c r="B93" s="163" t="n"/>
      <c r="C93" s="172" t="n"/>
      <c r="D93" s="88" t="n"/>
      <c r="E93" s="117" t="str">
        <f>E$39</f>
        <v>Cash flow available for debt service (CFADS)</v>
      </c>
      <c r="F93" s="117">
        <f>F$39</f>
        <v>0.0</v>
      </c>
      <c r="G93" s="117" t="str">
        <f>G$39</f>
        <v>$ 000s</v>
      </c>
      <c r="H93" s="117">
        <f> H$39</f>
        <v>591529.2767405927</v>
      </c>
      <c r="I93" s="117" t="n"/>
      <c r="J93" s="117">
        <f>J$39</f>
        <v>0.0</v>
      </c>
      <c r="K93" s="117">
        <f>K$39</f>
        <v>0.0</v>
      </c>
      <c r="L93" s="117">
        <f>L$39</f>
        <v>5498.001782667919</v>
      </c>
      <c r="M93" s="117">
        <f>M$39</f>
        <v>5698.685260914366</v>
      </c>
      <c r="N93" s="117">
        <f>N$39</f>
        <v>5814.807667235052</v>
      </c>
      <c r="O93" s="117">
        <f>O$39</f>
        <v>5630.275697687297</v>
      </c>
      <c r="P93" s="117">
        <f>P$39</f>
        <v>5742.4285992494815</v>
      </c>
      <c r="Q93" s="117">
        <f>Q$39</f>
        <v>5576.796199801479</v>
      </c>
      <c r="R93" s="117">
        <f>R$39</f>
        <v>5733.681888198695</v>
      </c>
      <c r="S93" s="117">
        <f>S$39</f>
        <v>3546.921645638729</v>
      </c>
      <c r="T93" s="117">
        <f>T$39</f>
        <v>5859.529963218596</v>
      </c>
      <c r="U93" s="117">
        <f>U$39</f>
        <v>5753.423440593838</v>
      </c>
      <c r="V93" s="117">
        <f>V$39</f>
        <v>5928.619829065838</v>
      </c>
      <c r="W93" s="117">
        <f>W$39</f>
        <v>4733.343827136573</v>
      </c>
      <c r="X93" s="117">
        <f>X$39</f>
        <v>5894.259300463952</v>
      </c>
      <c r="Y93" s="117">
        <f>Y$39</f>
        <v>5718.622906968056</v>
      </c>
      <c r="Z93" s="117">
        <f>Z$39</f>
        <v>5891.686497116831</v>
      </c>
      <c r="AA93" s="117">
        <f>AA$39</f>
        <v>4188.620897315466</v>
      </c>
      <c r="AB93" s="117">
        <f>AB$39</f>
        <v>5870.674271503657</v>
      </c>
      <c r="AC93" s="117">
        <f>AC$39</f>
        <v>5697.273685416409</v>
      </c>
      <c r="AD93" s="117">
        <f>AD$39</f>
        <v>6172.616534259255</v>
      </c>
      <c r="AE93" s="117">
        <f>AE$39</f>
        <v>5140.274473581392</v>
      </c>
      <c r="AF93" s="117">
        <f>AF$39</f>
        <v>6330.1455472987</v>
      </c>
      <c r="AG93" s="117">
        <f>AG$39</f>
        <v>6160.673153904522</v>
      </c>
      <c r="AH93" s="117">
        <f>AH$39</f>
        <v>6365.559413218637</v>
      </c>
      <c r="AI93" s="117">
        <f>AI$39</f>
        <v>5657.853147505068</v>
      </c>
      <c r="AJ93" s="117">
        <f>AJ$39</f>
        <v>6363.502236978278</v>
      </c>
      <c r="AK93" s="117">
        <f>AK$39</f>
        <v>6172.625478694768</v>
      </c>
      <c r="AL93" s="117">
        <f>AL$39</f>
        <v>6397.436003535895</v>
      </c>
      <c r="AM93" s="117">
        <f>AM$39</f>
        <v>5481.7391250268665</v>
      </c>
      <c r="AN93" s="117">
        <f>AN$39</f>
        <v>6894.806911470035</v>
      </c>
      <c r="AO93" s="117">
        <f>AO$39</f>
        <v>6726.955158003132</v>
      </c>
      <c r="AP93" s="117">
        <f>AP$39</f>
        <v>6961.216831839529</v>
      </c>
      <c r="AQ93" s="117">
        <f>AQ$39</f>
        <v>5743.758111863657</v>
      </c>
      <c r="AR93" s="117">
        <f>AR$39</f>
        <v>6971.679142438044</v>
      </c>
      <c r="AS93" s="117">
        <f>AS$39</f>
        <v>6801.317630792549</v>
      </c>
      <c r="AT93" s="117">
        <f>AT$39</f>
        <v>7044.900478666088</v>
      </c>
      <c r="AU93" s="117">
        <f>AU$39</f>
        <v>6823.612225305964</v>
      </c>
      <c r="AV93" s="117">
        <f>AV$39</f>
        <v>7044.459383760724</v>
      </c>
      <c r="AW93" s="117">
        <f>AW$39</f>
        <v>6871.448144016408</v>
      </c>
      <c r="AX93" s="117">
        <f>AX$39</f>
        <v>7506.466947081908</v>
      </c>
      <c r="AY93" s="117">
        <f>AY$39</f>
        <v>7507.217953393893</v>
      </c>
      <c r="AZ93" s="117">
        <f>AZ$39</f>
        <v>7759.8450304382095</v>
      </c>
      <c r="BA93" s="117">
        <f>BA$39</f>
        <v>7517.18227506947</v>
      </c>
      <c r="BB93" s="117">
        <f>BB$39</f>
        <v>7765.071855591032</v>
      </c>
      <c r="BC93" s="117">
        <f>BC$39</f>
        <v>7521.637238564551</v>
      </c>
      <c r="BD93" s="117">
        <f>BD$39</f>
        <v>7786.862296074629</v>
      </c>
      <c r="BE93" s="117">
        <f>BE$39</f>
        <v>7627.988950314166</v>
      </c>
      <c r="BF93" s="117">
        <f>BF$39</f>
        <v>7926.412925883229</v>
      </c>
      <c r="BG93" s="117">
        <f>BG$39</f>
        <v>7703.404245475238</v>
      </c>
      <c r="BH93" s="117">
        <f>BH$39</f>
        <v>7569.490087277265</v>
      </c>
      <c r="BI93" s="117">
        <f>BI$39</f>
        <v>8073.785152795242</v>
      </c>
      <c r="BJ93" s="117">
        <f>BJ$39</f>
        <v>7864.656660041153</v>
      </c>
      <c r="BK93" s="117">
        <f>BK$39</f>
        <v>8164.350522971761</v>
      </c>
      <c r="BL93" s="117">
        <f>BL$39</f>
        <v>7920.158988451464</v>
      </c>
      <c r="BM93" s="117">
        <f>BM$39</f>
        <v>8283.741323993563</v>
      </c>
      <c r="BN93" s="117">
        <f>BN$39</f>
        <v>8069.951845626139</v>
      </c>
      <c r="BO93" s="117">
        <f>BO$39</f>
        <v>8380.168750155472</v>
      </c>
      <c r="BP93" s="117">
        <f>BP$39</f>
        <v>8145.432186534468</v>
      </c>
      <c r="BQ93" s="117">
        <f>BQ$39</f>
        <v>8051.368270145524</v>
      </c>
      <c r="BR93" s="117">
        <f>BR$39</f>
        <v>8564.966728450932</v>
      </c>
      <c r="BS93" s="117">
        <f>BS$39</f>
        <v>8326.10105657528</v>
      </c>
      <c r="BT93" s="117">
        <f>BT$39</f>
        <v>8631.592591488294</v>
      </c>
      <c r="BU93" s="117">
        <f>BU$39</f>
        <v>8459.408717410737</v>
      </c>
      <c r="BV93" s="117">
        <f>BV$39</f>
        <v>8801.585533466476</v>
      </c>
      <c r="BW93" s="117">
        <f>BW$39</f>
        <v>9017.663894454512</v>
      </c>
      <c r="BX93" s="117">
        <f>BX$39</f>
        <v>9044.339855832266</v>
      </c>
      <c r="BY93" s="117">
        <f>BY$39</f>
        <v>9161.799265857671</v>
      </c>
      <c r="BZ93" s="117">
        <f>BZ$39</f>
        <v>9225.704544162636</v>
      </c>
      <c r="CA93" s="117">
        <f>CA$39</f>
        <v>9272.462692519282</v>
      </c>
      <c r="CB93" s="117">
        <f>CB$39</f>
        <v>9300.72548867681</v>
      </c>
      <c r="CC93" s="117">
        <f>CC$39</f>
        <v>9422.455909144512</v>
      </c>
      <c r="CD93" s="117">
        <f>CD$39</f>
        <v>9488.988212533062</v>
      </c>
      <c r="CE93" s="117">
        <f>CE$39</f>
        <v>9537.823478738128</v>
      </c>
      <c r="CF93" s="117">
        <f>CF$39</f>
        <v>9586.890103432881</v>
      </c>
      <c r="CG93" s="117">
        <f>CG$39</f>
        <v>9674.25047865673</v>
      </c>
      <c r="CH93" s="117">
        <f>CH$39</f>
        <v>9762.672231963468</v>
      </c>
      <c r="CI93" s="117">
        <f>CI$39</f>
        <v>9813.521837501972</v>
      </c>
      <c r="CJ93" s="117">
        <f>CJ$39</f>
        <v>9844.687529595085</v>
      </c>
      <c r="CK93" s="117">
        <f>CK$39</f>
        <v>9974.953939736379</v>
      </c>
      <c r="CL93" s="117">
        <f>CL$39</f>
        <v>10046.604537115036</v>
      </c>
      <c r="CM93" s="117">
        <f>CM$39</f>
        <v>10709.88562449671</v>
      </c>
      <c r="CN93" s="117">
        <f>CN$39</f>
        <v>1810.7664905536144</v>
      </c>
      <c r="CO93" s="117">
        <f>CO$39</f>
        <v>-5.29189120061567e-13</v>
      </c>
    </row>
    <row r="94">
      <c r="E94" s="168" t="inlineStr">
        <is>
          <t>Senior debt service</t>
        </is>
      </c>
      <c r="F94" s="168" t="n"/>
      <c r="G94" s="168" t="inlineStr">
        <is>
          <t>$ 000s</t>
        </is>
      </c>
      <c r="H94" s="168">
        <f> SUM(J94:CO94)</f>
        <v>101237.57977661488</v>
      </c>
      <c r="I94" s="168" t="n"/>
      <c r="J94" s="168">
        <f>SUM(J91:J92)</f>
        <v>0.0</v>
      </c>
      <c r="K94" s="168">
        <f>SUM(K91:K92)</f>
        <v>0.0</v>
      </c>
      <c r="L94" s="168">
        <f>SUM(L91:L92)</f>
        <v>2229.3950452350464</v>
      </c>
      <c r="M94" s="168">
        <f>SUM(M91:M92)</f>
        <v>2317.061759939298</v>
      </c>
      <c r="N94" s="168">
        <f>SUM(N91:N92)</f>
        <v>2368.8461141098514</v>
      </c>
      <c r="O94" s="168">
        <f>SUM(O91:O92)</f>
        <v>2289.505020256596</v>
      </c>
      <c r="P94" s="168">
        <f>SUM(P91:P92)</f>
        <v>2346.4642410845463</v>
      </c>
      <c r="Q94" s="168">
        <f>SUM(Q91:Q92)</f>
        <v>2273.298177895398</v>
      </c>
      <c r="R94" s="168">
        <f>SUM(R91:R92)</f>
        <v>2343.389916981881</v>
      </c>
      <c r="S94" s="168">
        <f>SUM(S91:S92)</f>
        <v>1374.289282788186</v>
      </c>
      <c r="T94" s="168">
        <f>SUM(T91:T92)</f>
        <v>2404.9974513780153</v>
      </c>
      <c r="U94" s="168">
        <f>SUM(U91:U92)</f>
        <v>2360.818836743534</v>
      </c>
      <c r="V94" s="168">
        <f>SUM(V91:V92)</f>
        <v>2439.4914506024197</v>
      </c>
      <c r="W94" s="168">
        <f>SUM(W91:W92)</f>
        <v>1911.4205077998893</v>
      </c>
      <c r="X94" s="168">
        <f>SUM(X91:X92)</f>
        <v>2433.56443216026</v>
      </c>
      <c r="Y94" s="168">
        <f>SUM(Y91:Y92)</f>
        <v>2356.683327510545</v>
      </c>
      <c r="Z94" s="168">
        <f>SUM(Z91:Z92)</f>
        <v>2434.7116194909804</v>
      </c>
      <c r="AA94" s="168">
        <f>SUM(AA91:AA92)</f>
        <v>1681.139094523613</v>
      </c>
      <c r="AB94" s="168">
        <f>SUM(AB91:AB92)</f>
        <v>2434.3360519352655</v>
      </c>
      <c r="AC94" s="168">
        <f>SUM(AC91:AC92)</f>
        <v>2358.760279805552</v>
      </c>
      <c r="AD94" s="168">
        <f>SUM(AD91:AD92)</f>
        <v>2571.4587181279203</v>
      </c>
      <c r="AE94" s="168">
        <f>SUM(AE91:AE92)</f>
        <v>2116.485907937666</v>
      </c>
      <c r="AF94" s="168">
        <f>SUM(AF91:AF92)</f>
        <v>2651.810419174285</v>
      </c>
      <c r="AG94" s="168">
        <f>SUM(AG91:AG92)</f>
        <v>2578.8222781863074</v>
      </c>
      <c r="AH94" s="168">
        <f>SUM(AH91:AH92)</f>
        <v>2672.194530467715</v>
      </c>
      <c r="AI94" s="168">
        <f>SUM(AI91:AI92)</f>
        <v>2361.976298269234</v>
      </c>
      <c r="AJ94" s="168">
        <f>SUM(AJ91:AJ92)</f>
        <v>2680.91937419629</v>
      </c>
      <c r="AK94" s="168">
        <f>SUM(AK91:AK92)</f>
        <v>2600.5228811740435</v>
      </c>
      <c r="AL94" s="168">
        <f>SUM(AL91:AL92)</f>
        <v>2703.2507488549554</v>
      </c>
      <c r="AM94" s="168">
        <f>SUM(AM91:AM92)</f>
        <v>2300.941570554902</v>
      </c>
      <c r="AN94" s="168">
        <f>SUM(AN91:AN92)</f>
        <v>2935.6848153074325</v>
      </c>
      <c r="AO94" s="168">
        <f>SUM(AO91:AO92)</f>
        <v>2864.9453545648053</v>
      </c>
      <c r="AP94" s="168">
        <f>SUM(AP91:AP92)</f>
        <v>2972.9576647921504</v>
      </c>
      <c r="AQ94" s="168">
        <f>SUM(AQ91:AQ92)</f>
        <v>2437.447361158525</v>
      </c>
      <c r="AR94" s="168">
        <f>SUM(AR91:AR92)</f>
        <v>2990.0888483793524</v>
      </c>
      <c r="AS94" s="168">
        <f>SUM(AS91:AS92)</f>
        <v>2918.9105293838093</v>
      </c>
      <c r="AT94" s="168">
        <f>SUM(AT91:AT92)</f>
        <v>3031.7623682088692</v>
      </c>
      <c r="AU94" s="168">
        <f>SUM(AU91:AU92)</f>
        <v>2939.4837345703613</v>
      </c>
      <c r="AV94" s="168">
        <f>SUM(AV91:AV92)</f>
        <v>3045.503263223409</v>
      </c>
      <c r="AW94" s="168">
        <f>SUM(AW91:AW92)</f>
        <v>2973.9040071883633</v>
      </c>
      <c r="AX94" s="168">
        <f>SUM(AX91:AX92)</f>
        <v>3261.5067372911362</v>
      </c>
      <c r="AY94" s="168">
        <f>SUM(AY91:AY92)</f>
        <v>3268.829755362464</v>
      </c>
      <c r="AZ94" s="168">
        <f>SUM(AZ91:AZ92)</f>
        <v>1.4943503224962513e-13</v>
      </c>
      <c r="BA94" s="168">
        <f>SUM(BA91:BA92)</f>
        <v>1.4943503224962523e-13</v>
      </c>
      <c r="BB94" s="168">
        <f>SUM(BB91:BB92)</f>
        <v>1.5107717546115964e-13</v>
      </c>
      <c r="BC94" s="168">
        <f>SUM(BC91:BC92)</f>
        <v>1.5107717546115954e-13</v>
      </c>
      <c r="BD94" s="168">
        <f>SUM(BD91:BD92)</f>
        <v>1.4779288903809092e-13</v>
      </c>
      <c r="BE94" s="168">
        <f>SUM(BE91:BE92)</f>
        <v>1.4943503224962513e-13</v>
      </c>
      <c r="BF94" s="168">
        <f>SUM(BF91:BF92)</f>
        <v>1.5107717546115923e-13</v>
      </c>
      <c r="BG94" s="168">
        <f>SUM(BG91:BG92)</f>
        <v>1.5107717546115923e-13</v>
      </c>
      <c r="BH94" s="168">
        <f>SUM(BH91:BH92)</f>
        <v>1.4779288903809042e-13</v>
      </c>
      <c r="BI94" s="168">
        <f>SUM(BI91:BI92)</f>
        <v>1.4943503224962493e-13</v>
      </c>
      <c r="BJ94" s="168">
        <f>SUM(BJ91:BJ92)</f>
        <v>1.5107717546115903e-13</v>
      </c>
      <c r="BK94" s="168">
        <f>SUM(BK91:BK92)</f>
        <v>1.5107717546115923e-13</v>
      </c>
      <c r="BL94" s="168">
        <f>SUM(BL91:BL92)</f>
        <v>1.4779288903809062e-13</v>
      </c>
      <c r="BM94" s="168">
        <f>SUM(BM91:BM92)</f>
        <v>1.4943503224962513e-13</v>
      </c>
      <c r="BN94" s="168">
        <f>SUM(BN91:BN92)</f>
        <v>1.5107717546115903e-13</v>
      </c>
      <c r="BO94" s="168">
        <f>SUM(BO91:BO92)</f>
        <v>1.5107717546115903e-13</v>
      </c>
      <c r="BP94" s="168">
        <f>SUM(BP91:BP92)</f>
        <v>1.4943503224962472e-13</v>
      </c>
      <c r="BQ94" s="168">
        <f>SUM(BQ91:BQ92)</f>
        <v>1.4943503224962472e-13</v>
      </c>
      <c r="BR94" s="168">
        <f>SUM(BR91:BR92)</f>
        <v>1.5107717546115903e-13</v>
      </c>
      <c r="BS94" s="168">
        <f>SUM(BS91:BS92)</f>
        <v>1.5107717546115923e-13</v>
      </c>
      <c r="BT94" s="168">
        <f>SUM(BT91:BT92)</f>
        <v>1.4779288903809042e-13</v>
      </c>
      <c r="BU94" s="168">
        <f>SUM(BU91:BU92)</f>
        <v>1.4943503224962493e-13</v>
      </c>
      <c r="BV94" s="168">
        <f>SUM(BV91:BV92)</f>
        <v>1.5107717546115903e-13</v>
      </c>
      <c r="BW94" s="168">
        <f>SUM(BW91:BW92)</f>
        <v>1.5107717546115903e-13</v>
      </c>
      <c r="BX94" s="168">
        <f>SUM(BX91:BX92)</f>
        <v>1.4779288903809042e-13</v>
      </c>
      <c r="BY94" s="168">
        <f>SUM(BY91:BY92)</f>
        <v>1.4943503224962493e-13</v>
      </c>
      <c r="BZ94" s="168">
        <f>SUM(BZ91:BZ92)</f>
        <v>1.5107717546115923e-13</v>
      </c>
      <c r="CA94" s="168">
        <f>SUM(CA91:CA92)</f>
        <v>1.5107717546115883e-13</v>
      </c>
      <c r="CB94" s="168">
        <f>SUM(CB91:CB92)</f>
        <v>1.4779288903809042e-13</v>
      </c>
      <c r="CC94" s="168">
        <f>SUM(CC91:CC92)</f>
        <v>1.4943503224962472e-13</v>
      </c>
      <c r="CD94" s="168">
        <f>SUM(CD91:CD92)</f>
        <v>1.5107717546115903e-13</v>
      </c>
      <c r="CE94" s="168">
        <f>SUM(CE91:CE92)</f>
        <v>1.5107717546115903e-13</v>
      </c>
      <c r="CF94" s="168">
        <f>SUM(CF91:CF92)</f>
        <v>1.4943503224962432e-13</v>
      </c>
      <c r="CG94" s="168">
        <f>SUM(CG91:CG92)</f>
        <v>1.4943503224962452e-13</v>
      </c>
      <c r="CH94" s="168">
        <f>SUM(CH91:CH92)</f>
        <v>1.5107717546115903e-13</v>
      </c>
      <c r="CI94" s="168">
        <f>SUM(CI91:CI92)</f>
        <v>1.5107717546115883e-13</v>
      </c>
      <c r="CJ94" s="168">
        <f>SUM(CJ91:CJ92)</f>
        <v>1.4779288903809042e-13</v>
      </c>
      <c r="CK94" s="168">
        <f>SUM(CK91:CK92)</f>
        <v>1.4943503224962452e-13</v>
      </c>
      <c r="CL94" s="168">
        <f>SUM(CL91:CL92)</f>
        <v>1.5107717546115903e-13</v>
      </c>
      <c r="CM94" s="168">
        <f>SUM(CM91:CM92)</f>
        <v>1.5107717546115903e-13</v>
      </c>
      <c r="CN94" s="168">
        <f>SUM(CN91:CN92)</f>
        <v>1.477928890380898e-13</v>
      </c>
      <c r="CO94" s="168">
        <f>SUM(CO91:CO92)</f>
        <v>1.4943503224962432e-13</v>
      </c>
    </row>
    <row r="95">
      <c r="E95" s="168" t="inlineStr">
        <is>
          <t>Debt service period flag</t>
        </is>
      </c>
      <c r="F95" s="168" t="n"/>
      <c r="G95" s="168" t="inlineStr">
        <is>
          <t>flag</t>
        </is>
      </c>
      <c r="H95" s="168">
        <f> SUM(J95:CO95)</f>
        <v>40.0</v>
      </c>
      <c r="I95" s="168" t="n"/>
      <c r="J95" s="168">
        <f>IF(J94&gt;CHK_TOL,1,0)</f>
        <v>0.0</v>
      </c>
      <c r="K95" s="168">
        <f>IF(K94&gt;CHK_TOL,1,0)</f>
        <v>0.0</v>
      </c>
      <c r="L95" s="168">
        <f>IF(L94&gt;CHK_TOL,1,0)</f>
        <v>1.0</v>
      </c>
      <c r="M95" s="168">
        <f>IF(M94&gt;CHK_TOL,1,0)</f>
        <v>1.0</v>
      </c>
      <c r="N95" s="168">
        <f>IF(N94&gt;CHK_TOL,1,0)</f>
        <v>1.0</v>
      </c>
      <c r="O95" s="168">
        <f>IF(O94&gt;CHK_TOL,1,0)</f>
        <v>1.0</v>
      </c>
      <c r="P95" s="168">
        <f>IF(P94&gt;CHK_TOL,1,0)</f>
        <v>1.0</v>
      </c>
      <c r="Q95" s="168">
        <f>IF(Q94&gt;CHK_TOL,1,0)</f>
        <v>1.0</v>
      </c>
      <c r="R95" s="168">
        <f>IF(R94&gt;CHK_TOL,1,0)</f>
        <v>1.0</v>
      </c>
      <c r="S95" s="168">
        <f>IF(S94&gt;CHK_TOL,1,0)</f>
        <v>1.0</v>
      </c>
      <c r="T95" s="168">
        <f>IF(T94&gt;CHK_TOL,1,0)</f>
        <v>1.0</v>
      </c>
      <c r="U95" s="168">
        <f>IF(U94&gt;CHK_TOL,1,0)</f>
        <v>1.0</v>
      </c>
      <c r="V95" s="168">
        <f>IF(V94&gt;CHK_TOL,1,0)</f>
        <v>1.0</v>
      </c>
      <c r="W95" s="168">
        <f>IF(W94&gt;CHK_TOL,1,0)</f>
        <v>1.0</v>
      </c>
      <c r="X95" s="168">
        <f>IF(X94&gt;CHK_TOL,1,0)</f>
        <v>1.0</v>
      </c>
      <c r="Y95" s="168">
        <f>IF(Y94&gt;CHK_TOL,1,0)</f>
        <v>1.0</v>
      </c>
      <c r="Z95" s="168">
        <f>IF(Z94&gt;CHK_TOL,1,0)</f>
        <v>1.0</v>
      </c>
      <c r="AA95" s="168">
        <f>IF(AA94&gt;CHK_TOL,1,0)</f>
        <v>1.0</v>
      </c>
      <c r="AB95" s="168">
        <f>IF(AB94&gt;CHK_TOL,1,0)</f>
        <v>1.0</v>
      </c>
      <c r="AC95" s="168">
        <f>IF(AC94&gt;CHK_TOL,1,0)</f>
        <v>1.0</v>
      </c>
      <c r="AD95" s="168">
        <f>IF(AD94&gt;CHK_TOL,1,0)</f>
        <v>1.0</v>
      </c>
      <c r="AE95" s="168">
        <f>IF(AE94&gt;CHK_TOL,1,0)</f>
        <v>1.0</v>
      </c>
      <c r="AF95" s="168">
        <f>IF(AF94&gt;CHK_TOL,1,0)</f>
        <v>1.0</v>
      </c>
      <c r="AG95" s="168">
        <f>IF(AG94&gt;CHK_TOL,1,0)</f>
        <v>1.0</v>
      </c>
      <c r="AH95" s="168">
        <f>IF(AH94&gt;CHK_TOL,1,0)</f>
        <v>1.0</v>
      </c>
      <c r="AI95" s="168">
        <f>IF(AI94&gt;CHK_TOL,1,0)</f>
        <v>1.0</v>
      </c>
      <c r="AJ95" s="168">
        <f>IF(AJ94&gt;CHK_TOL,1,0)</f>
        <v>1.0</v>
      </c>
      <c r="AK95" s="168">
        <f>IF(AK94&gt;CHK_TOL,1,0)</f>
        <v>1.0</v>
      </c>
      <c r="AL95" s="168">
        <f>IF(AL94&gt;CHK_TOL,1,0)</f>
        <v>1.0</v>
      </c>
      <c r="AM95" s="168">
        <f>IF(AM94&gt;CHK_TOL,1,0)</f>
        <v>1.0</v>
      </c>
      <c r="AN95" s="168">
        <f>IF(AN94&gt;CHK_TOL,1,0)</f>
        <v>1.0</v>
      </c>
      <c r="AO95" s="168">
        <f>IF(AO94&gt;CHK_TOL,1,0)</f>
        <v>1.0</v>
      </c>
      <c r="AP95" s="168">
        <f>IF(AP94&gt;CHK_TOL,1,0)</f>
        <v>1.0</v>
      </c>
      <c r="AQ95" s="168">
        <f>IF(AQ94&gt;CHK_TOL,1,0)</f>
        <v>1.0</v>
      </c>
      <c r="AR95" s="168">
        <f>IF(AR94&gt;CHK_TOL,1,0)</f>
        <v>1.0</v>
      </c>
      <c r="AS95" s="168">
        <f>IF(AS94&gt;CHK_TOL,1,0)</f>
        <v>1.0</v>
      </c>
      <c r="AT95" s="168">
        <f>IF(AT94&gt;CHK_TOL,1,0)</f>
        <v>1.0</v>
      </c>
      <c r="AU95" s="168">
        <f>IF(AU94&gt;CHK_TOL,1,0)</f>
        <v>1.0</v>
      </c>
      <c r="AV95" s="168">
        <f>IF(AV94&gt;CHK_TOL,1,0)</f>
        <v>1.0</v>
      </c>
      <c r="AW95" s="168">
        <f>IF(AW94&gt;CHK_TOL,1,0)</f>
        <v>1.0</v>
      </c>
      <c r="AX95" s="168">
        <f>IF(AX94&gt;CHK_TOL,1,0)</f>
        <v>1.0</v>
      </c>
      <c r="AY95" s="168">
        <f>IF(AY94&gt;CHK_TOL,1,0)</f>
        <v>1.0</v>
      </c>
      <c r="AZ95" s="168">
        <f>IF(AZ94&gt;CHK_TOL,1,0)</f>
        <v>0.0</v>
      </c>
      <c r="BA95" s="168">
        <f>IF(BA94&gt;CHK_TOL,1,0)</f>
        <v>0.0</v>
      </c>
      <c r="BB95" s="168">
        <f>IF(BB94&gt;CHK_TOL,1,0)</f>
        <v>0.0</v>
      </c>
      <c r="BC95" s="168">
        <f>IF(BC94&gt;CHK_TOL,1,0)</f>
        <v>0.0</v>
      </c>
      <c r="BD95" s="168">
        <f>IF(BD94&gt;CHK_TOL,1,0)</f>
        <v>0.0</v>
      </c>
      <c r="BE95" s="168">
        <f>IF(BE94&gt;CHK_TOL,1,0)</f>
        <v>0.0</v>
      </c>
      <c r="BF95" s="168">
        <f>IF(BF94&gt;CHK_TOL,1,0)</f>
        <v>0.0</v>
      </c>
      <c r="BG95" s="168">
        <f>IF(BG94&gt;CHK_TOL,1,0)</f>
        <v>0.0</v>
      </c>
      <c r="BH95" s="168">
        <f>IF(BH94&gt;CHK_TOL,1,0)</f>
        <v>0.0</v>
      </c>
      <c r="BI95" s="168">
        <f>IF(BI94&gt;CHK_TOL,1,0)</f>
        <v>0.0</v>
      </c>
      <c r="BJ95" s="168">
        <f>IF(BJ94&gt;CHK_TOL,1,0)</f>
        <v>0.0</v>
      </c>
      <c r="BK95" s="168">
        <f>IF(BK94&gt;CHK_TOL,1,0)</f>
        <v>0.0</v>
      </c>
      <c r="BL95" s="168">
        <f>IF(BL94&gt;CHK_TOL,1,0)</f>
        <v>0.0</v>
      </c>
      <c r="BM95" s="168">
        <f>IF(BM94&gt;CHK_TOL,1,0)</f>
        <v>0.0</v>
      </c>
      <c r="BN95" s="168">
        <f>IF(BN94&gt;CHK_TOL,1,0)</f>
        <v>0.0</v>
      </c>
      <c r="BO95" s="168">
        <f>IF(BO94&gt;CHK_TOL,1,0)</f>
        <v>0.0</v>
      </c>
      <c r="BP95" s="168">
        <f>IF(BP94&gt;CHK_TOL,1,0)</f>
        <v>0.0</v>
      </c>
      <c r="BQ95" s="168">
        <f>IF(BQ94&gt;CHK_TOL,1,0)</f>
        <v>0.0</v>
      </c>
      <c r="BR95" s="168">
        <f>IF(BR94&gt;CHK_TOL,1,0)</f>
        <v>0.0</v>
      </c>
      <c r="BS95" s="168">
        <f>IF(BS94&gt;CHK_TOL,1,0)</f>
        <v>0.0</v>
      </c>
      <c r="BT95" s="168">
        <f>IF(BT94&gt;CHK_TOL,1,0)</f>
        <v>0.0</v>
      </c>
      <c r="BU95" s="168">
        <f>IF(BU94&gt;CHK_TOL,1,0)</f>
        <v>0.0</v>
      </c>
      <c r="BV95" s="168">
        <f>IF(BV94&gt;CHK_TOL,1,0)</f>
        <v>0.0</v>
      </c>
      <c r="BW95" s="168">
        <f>IF(BW94&gt;CHK_TOL,1,0)</f>
        <v>0.0</v>
      </c>
      <c r="BX95" s="168">
        <f>IF(BX94&gt;CHK_TOL,1,0)</f>
        <v>0.0</v>
      </c>
      <c r="BY95" s="168">
        <f>IF(BY94&gt;CHK_TOL,1,0)</f>
        <v>0.0</v>
      </c>
      <c r="BZ95" s="168">
        <f>IF(BZ94&gt;CHK_TOL,1,0)</f>
        <v>0.0</v>
      </c>
      <c r="CA95" s="168">
        <f>IF(CA94&gt;CHK_TOL,1,0)</f>
        <v>0.0</v>
      </c>
      <c r="CB95" s="168">
        <f>IF(CB94&gt;CHK_TOL,1,0)</f>
        <v>0.0</v>
      </c>
      <c r="CC95" s="168">
        <f>IF(CC94&gt;CHK_TOL,1,0)</f>
        <v>0.0</v>
      </c>
      <c r="CD95" s="168">
        <f>IF(CD94&gt;CHK_TOL,1,0)</f>
        <v>0.0</v>
      </c>
      <c r="CE95" s="168">
        <f>IF(CE94&gt;CHK_TOL,1,0)</f>
        <v>0.0</v>
      </c>
      <c r="CF95" s="168">
        <f>IF(CF94&gt;CHK_TOL,1,0)</f>
        <v>0.0</v>
      </c>
      <c r="CG95" s="168">
        <f>IF(CG94&gt;CHK_TOL,1,0)</f>
        <v>0.0</v>
      </c>
      <c r="CH95" s="168">
        <f>IF(CH94&gt;CHK_TOL,1,0)</f>
        <v>0.0</v>
      </c>
      <c r="CI95" s="168">
        <f>IF(CI94&gt;CHK_TOL,1,0)</f>
        <v>0.0</v>
      </c>
      <c r="CJ95" s="168">
        <f>IF(CJ94&gt;CHK_TOL,1,0)</f>
        <v>0.0</v>
      </c>
      <c r="CK95" s="168">
        <f>IF(CK94&gt;CHK_TOL,1,0)</f>
        <v>0.0</v>
      </c>
      <c r="CL95" s="168">
        <f>IF(CL94&gt;CHK_TOL,1,0)</f>
        <v>0.0</v>
      </c>
      <c r="CM95" s="168">
        <f>IF(CM94&gt;CHK_TOL,1,0)</f>
        <v>0.0</v>
      </c>
      <c r="CN95" s="168">
        <f>IF(CN94&gt;CHK_TOL,1,0)</f>
        <v>0.0</v>
      </c>
      <c r="CO95" s="168">
        <f>IF(CO94&gt;CHK_TOL,1,0)</f>
        <v>0.0</v>
      </c>
    </row>
    <row r="96">
      <c r="E96" s="168" t="inlineStr">
        <is>
          <t>DSCR (CFADS / debt service)</t>
        </is>
      </c>
      <c r="F96" s="168" t="n"/>
      <c r="G96" s="168" t="inlineStr">
        <is>
          <t>x</t>
        </is>
      </c>
      <c r="H96" s="168" t="n"/>
      <c r="I96" s="168" t="n"/>
      <c r="J96" s="400">
        <f>IF(J95=1,J93/J94,0)</f>
        <v>0.0</v>
      </c>
      <c r="K96" s="400">
        <f>IF(K95=1,K93/K94,0)</f>
        <v>0.0</v>
      </c>
      <c r="L96" s="400">
        <f>IF(L95=1,L93/L94,0)</f>
        <v>2.4661406664641894</v>
      </c>
      <c r="M96" s="400">
        <f>IF(M95=1,M93/M94,0)</f>
        <v>2.4594446982128173</v>
      </c>
      <c r="N96" s="400">
        <f>IF(N95=1,N93/N94,0)</f>
        <v>2.454700468974997</v>
      </c>
      <c r="O96" s="400">
        <f>IF(O95=1,O93/O94,0)</f>
        <v>2.459167220806655</v>
      </c>
      <c r="P96" s="400">
        <f>IF(P95=1,P93/P94,0)</f>
        <v>2.4472687453337474</v>
      </c>
      <c r="Q96" s="400">
        <f>IF(Q95=1,Q93/Q94,0)</f>
        <v>2.4531740948142726</v>
      </c>
      <c r="R96" s="400">
        <f>IF(R95=1,R93/R94,0)</f>
        <v>2.4467468459466906</v>
      </c>
      <c r="S96" s="400">
        <f>IF(S95=1,S93/S94,0)</f>
        <v>2.5809134147089194</v>
      </c>
      <c r="T96" s="400">
        <f>IF(T95=1,T93/T94,0)</f>
        <v>2.436397576995852</v>
      </c>
      <c r="U96" s="400">
        <f>IF(U95=1,U93/U94,0)</f>
        <v>2.437045719497051</v>
      </c>
      <c r="V96" s="400">
        <f>IF(V95=1,V93/V94,0)</f>
        <v>2.4302687462183137</v>
      </c>
      <c r="W96" s="400">
        <f>IF(W95=1,W93/W94,0)</f>
        <v>2.4763487719323543</v>
      </c>
      <c r="X96" s="400">
        <f>IF(X95=1,X93/X94,0)</f>
        <v>2.4220683136922965</v>
      </c>
      <c r="Y96" s="400">
        <f>IF(Y95=1,Y93/Y94,0)</f>
        <v>2.4265555071452285</v>
      </c>
      <c r="Z96" s="400">
        <f>IF(Z95=1,Z93/Z94,0)</f>
        <v>2.4198703657349743</v>
      </c>
      <c r="AA96" s="400">
        <f>IF(AA95=1,AA93/AA94,0)</f>
        <v>2.491537381386281</v>
      </c>
      <c r="AB96" s="400">
        <f>IF(AB95=1,AB93/AB94,0)</f>
        <v>2.411612097202663</v>
      </c>
      <c r="AC96" s="400">
        <f>IF(AC95=1,AC93/AC94,0)</f>
        <v>2.415367824442962</v>
      </c>
      <c r="AD96" s="400">
        <f>IF(AD95=1,AD93/AD94,0)</f>
        <v>2.400433843539615</v>
      </c>
      <c r="AE96" s="400">
        <f>IF(AE95=1,AE93/AE94,0)</f>
        <v>2.4286835335417605</v>
      </c>
      <c r="AF96" s="400">
        <f>IF(AF95=1,AF93/AF94,0)</f>
        <v>2.3871033545715408</v>
      </c>
      <c r="AG96" s="400">
        <f>IF(AG95=1,AG93/AG94,0)</f>
        <v>2.3889483218817777</v>
      </c>
      <c r="AH96" s="400">
        <f>IF(AH95=1,AH93/AH94,0)</f>
        <v>2.382146711491274</v>
      </c>
      <c r="AI96" s="400">
        <f>IF(AI95=1,AI93/AI94,0)</f>
        <v>2.3953894675619423</v>
      </c>
      <c r="AJ96" s="400">
        <f>IF(AJ95=1,AJ93/AJ94,0)</f>
        <v>2.3736268603325628</v>
      </c>
      <c r="AK96" s="400">
        <f>IF(AK95=1,AK93/AK94,0)</f>
        <v>2.373609370400174</v>
      </c>
      <c r="AL96" s="400">
        <f>IF(AL95=1,AL93/AL94,0)</f>
        <v>2.3665714348717835</v>
      </c>
      <c r="AM96" s="400">
        <f>IF(AM95=1,AM93/AM94,0)</f>
        <v>2.382389537907681</v>
      </c>
      <c r="AN96" s="400">
        <f>IF(AN95=1,AN93/AN94,0)</f>
        <v>2.348619605047074</v>
      </c>
      <c r="AO96" s="400">
        <f>IF(AO95=1,AO93/AO94,0)</f>
        <v>2.3480221524242575</v>
      </c>
      <c r="AP96" s="400">
        <f>IF(AP95=1,AP93/AP94,0)</f>
        <v>2.341512263790077</v>
      </c>
      <c r="AQ96" s="400">
        <f>IF(AQ95=1,AQ93/AQ94,0)</f>
        <v>2.3564644731993862</v>
      </c>
      <c r="AR96" s="400">
        <f>IF(AR95=1,AR93/AR94,0)</f>
        <v>2.3315959812420757</v>
      </c>
      <c r="AS96" s="400">
        <f>IF(AS95=1,AS93/AS94,0)</f>
        <v>2.330087737299823</v>
      </c>
      <c r="AT96" s="400">
        <f>IF(AT95=1,AT93/AT94,0)</f>
        <v>2.323698107918707</v>
      </c>
      <c r="AU96" s="400">
        <f>IF(AU95=1,AU93/AU94,0)</f>
        <v>2.3213641718971143</v>
      </c>
      <c r="AV96" s="400">
        <f>IF(AV95=1,AV93/AV94,0)</f>
        <v>2.3130690644227903</v>
      </c>
      <c r="AW96" s="400">
        <f>IF(AW95=1,AW93/AW94,0)</f>
        <v>2.310581689054895</v>
      </c>
      <c r="AX96" s="400">
        <f>IF(AX95=1,AX93/AX94,0)</f>
        <v>2.301533478761552</v>
      </c>
      <c r="AY96" s="400">
        <f>IF(AY95=1,AY93/AY94,0)</f>
        <v>2.2966072005060587</v>
      </c>
      <c r="AZ96" s="400">
        <f>IF(AZ95=1,AZ93/AZ94,0)</f>
        <v>0.0</v>
      </c>
      <c r="BA96" s="400">
        <f>IF(BA95=1,BA93/BA94,0)</f>
        <v>0.0</v>
      </c>
      <c r="BB96" s="400">
        <f>IF(BB95=1,BB93/BB94,0)</f>
        <v>0.0</v>
      </c>
      <c r="BC96" s="400">
        <f>IF(BC95=1,BC93/BC94,0)</f>
        <v>0.0</v>
      </c>
      <c r="BD96" s="400">
        <f>IF(BD95=1,BD93/BD94,0)</f>
        <v>0.0</v>
      </c>
      <c r="BE96" s="400">
        <f>IF(BE95=1,BE93/BE94,0)</f>
        <v>0.0</v>
      </c>
      <c r="BF96" s="400">
        <f>IF(BF95=1,BF93/BF94,0)</f>
        <v>0.0</v>
      </c>
      <c r="BG96" s="400">
        <f>IF(BG95=1,BG93/BG94,0)</f>
        <v>0.0</v>
      </c>
      <c r="BH96" s="400">
        <f>IF(BH95=1,BH93/BH94,0)</f>
        <v>0.0</v>
      </c>
      <c r="BI96" s="400">
        <f>IF(BI95=1,BI93/BI94,0)</f>
        <v>0.0</v>
      </c>
      <c r="BJ96" s="400">
        <f>IF(BJ95=1,BJ93/BJ94,0)</f>
        <v>0.0</v>
      </c>
      <c r="BK96" s="400">
        <f>IF(BK95=1,BK93/BK94,0)</f>
        <v>0.0</v>
      </c>
      <c r="BL96" s="400">
        <f>IF(BL95=1,BL93/BL94,0)</f>
        <v>0.0</v>
      </c>
      <c r="BM96" s="400">
        <f>IF(BM95=1,BM93/BM94,0)</f>
        <v>0.0</v>
      </c>
      <c r="BN96" s="400">
        <f>IF(BN95=1,BN93/BN94,0)</f>
        <v>0.0</v>
      </c>
      <c r="BO96" s="400">
        <f>IF(BO95=1,BO93/BO94,0)</f>
        <v>0.0</v>
      </c>
      <c r="BP96" s="400">
        <f>IF(BP95=1,BP93/BP94,0)</f>
        <v>0.0</v>
      </c>
      <c r="BQ96" s="400">
        <f>IF(BQ95=1,BQ93/BQ94,0)</f>
        <v>0.0</v>
      </c>
      <c r="BR96" s="400">
        <f>IF(BR95=1,BR93/BR94,0)</f>
        <v>0.0</v>
      </c>
      <c r="BS96" s="400">
        <f>IF(BS95=1,BS93/BS94,0)</f>
        <v>0.0</v>
      </c>
      <c r="BT96" s="400">
        <f>IF(BT95=1,BT93/BT94,0)</f>
        <v>0.0</v>
      </c>
      <c r="BU96" s="400">
        <f>IF(BU95=1,BU93/BU94,0)</f>
        <v>0.0</v>
      </c>
      <c r="BV96" s="400">
        <f>IF(BV95=1,BV93/BV94,0)</f>
        <v>0.0</v>
      </c>
      <c r="BW96" s="400">
        <f>IF(BW95=1,BW93/BW94,0)</f>
        <v>0.0</v>
      </c>
      <c r="BX96" s="400">
        <f>IF(BX95=1,BX93/BX94,0)</f>
        <v>0.0</v>
      </c>
      <c r="BY96" s="400">
        <f>IF(BY95=1,BY93/BY94,0)</f>
        <v>0.0</v>
      </c>
      <c r="BZ96" s="400">
        <f>IF(BZ95=1,BZ93/BZ94,0)</f>
        <v>0.0</v>
      </c>
      <c r="CA96" s="400">
        <f>IF(CA95=1,CA93/CA94,0)</f>
        <v>0.0</v>
      </c>
      <c r="CB96" s="400">
        <f>IF(CB95=1,CB93/CB94,0)</f>
        <v>0.0</v>
      </c>
      <c r="CC96" s="400">
        <f>IF(CC95=1,CC93/CC94,0)</f>
        <v>0.0</v>
      </c>
      <c r="CD96" s="400">
        <f>IF(CD95=1,CD93/CD94,0)</f>
        <v>0.0</v>
      </c>
      <c r="CE96" s="400">
        <f>IF(CE95=1,CE93/CE94,0)</f>
        <v>0.0</v>
      </c>
      <c r="CF96" s="400">
        <f>IF(CF95=1,CF93/CF94,0)</f>
        <v>0.0</v>
      </c>
      <c r="CG96" s="400">
        <f>IF(CG95=1,CG93/CG94,0)</f>
        <v>0.0</v>
      </c>
      <c r="CH96" s="400">
        <f>IF(CH95=1,CH93/CH94,0)</f>
        <v>0.0</v>
      </c>
      <c r="CI96" s="400">
        <f>IF(CI95=1,CI93/CI94,0)</f>
        <v>0.0</v>
      </c>
      <c r="CJ96" s="400">
        <f>IF(CJ95=1,CJ93/CJ94,0)</f>
        <v>0.0</v>
      </c>
      <c r="CK96" s="400">
        <f>IF(CK95=1,CK93/CK94,0)</f>
        <v>0.0</v>
      </c>
      <c r="CL96" s="400">
        <f>IF(CL95=1,CL93/CL94,0)</f>
        <v>0.0</v>
      </c>
      <c r="CM96" s="400">
        <f>IF(CM95=1,CM93/CM94,0)</f>
        <v>0.0</v>
      </c>
      <c r="CN96" s="400">
        <f>IF(CN95=1,CN93/CN94,0)</f>
        <v>0.0</v>
      </c>
      <c r="CO96" s="400">
        <f>IF(CO95=1,CO93/CO94,0)</f>
        <v>0.0</v>
      </c>
    </row>
    <row r="97">
      <c r="E97" s="169" t="n"/>
      <c r="F97" s="7" t="n"/>
      <c r="G97" s="169" t="n"/>
      <c r="J97" s="7" t="n"/>
      <c r="K97" s="7" t="n"/>
      <c r="L97" s="7" t="n"/>
      <c r="M97" s="7" t="n"/>
      <c r="N97" s="7" t="n"/>
      <c r="O97" s="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c r="AK97" s="7" t="n"/>
      <c r="AL97" s="7" t="n"/>
      <c r="AM97" s="7" t="n"/>
      <c r="AN97" s="7" t="n"/>
      <c r="AO97" s="7" t="n"/>
      <c r="AP97" s="7" t="n"/>
      <c r="AQ97" s="7" t="n"/>
      <c r="AR97" s="7" t="n"/>
      <c r="AS97" s="7" t="n"/>
      <c r="AT97" s="7" t="n"/>
      <c r="AU97" s="7" t="n"/>
      <c r="AV97" s="7" t="n"/>
      <c r="AW97" s="7" t="n"/>
      <c r="AX97" s="7" t="n"/>
      <c r="AY97" s="7" t="n"/>
      <c r="AZ97" s="7" t="n"/>
      <c r="BA97" s="7" t="n"/>
      <c r="BB97" s="7" t="n"/>
      <c r="BC97" s="7" t="n"/>
      <c r="BD97" s="7" t="n"/>
      <c r="BE97" s="7" t="n"/>
      <c r="BF97" s="7" t="n"/>
      <c r="BG97" s="7" t="n"/>
      <c r="BH97" s="7" t="n"/>
      <c r="BI97" s="7" t="n"/>
      <c r="BJ97" s="7" t="n"/>
      <c r="BK97" s="7" t="n"/>
      <c r="BL97" s="7" t="n"/>
      <c r="BM97" s="7" t="n"/>
      <c r="BN97" s="7" t="n"/>
      <c r="BO97" s="7" t="n"/>
      <c r="BP97" s="7" t="n"/>
      <c r="BQ97" s="7" t="n"/>
      <c r="BR97" s="7" t="n"/>
      <c r="BS97" s="7" t="n"/>
      <c r="BT97" s="7" t="n"/>
      <c r="BU97" s="7" t="n"/>
      <c r="BV97" s="7" t="n"/>
      <c r="BW97" s="7" t="n"/>
      <c r="BX97" s="7" t="n"/>
      <c r="BY97" s="7" t="n"/>
      <c r="BZ97" s="7" t="n"/>
      <c r="CA97" s="7" t="n"/>
      <c r="CB97" s="7" t="n"/>
      <c r="CC97" s="7" t="n"/>
      <c r="CD97" s="7" t="n"/>
      <c r="CE97" s="7" t="n"/>
      <c r="CF97" s="7" t="n"/>
      <c r="CG97" s="7" t="n"/>
      <c r="CH97" s="7" t="n"/>
      <c r="CI97" s="7" t="n"/>
      <c r="CJ97" s="7" t="n"/>
      <c r="CK97" s="7" t="n"/>
      <c r="CL97" s="7" t="n"/>
      <c r="CM97" s="7" t="n"/>
      <c r="CN97" s="7" t="n"/>
      <c r="CO97" s="7" t="n"/>
    </row>
    <row r="98">
      <c r="E98" s="168" t="inlineStr">
        <is>
          <t>Minimum DSCR</t>
        </is>
      </c>
      <c r="F98" s="401">
        <f>_xlfn.MINIFS(J96:CO96,J95:CO95,1)</f>
        <v>2.2966072005060587</v>
      </c>
      <c r="G98" s="168" t="inlineStr">
        <is>
          <t>x</t>
        </is>
      </c>
      <c r="H98" s="168" t="n"/>
      <c r="I98" s="168" t="n"/>
      <c r="J98" s="168" t="n"/>
      <c r="K98" s="168" t="n"/>
      <c r="L98" s="168" t="n"/>
      <c r="M98" s="168" t="n"/>
      <c r="N98" s="168" t="n"/>
      <c r="O98" s="168" t="n"/>
      <c r="P98" s="168" t="n"/>
      <c r="Q98" s="168" t="n"/>
      <c r="R98" s="168" t="n"/>
      <c r="S98" s="168" t="n"/>
      <c r="T98" s="168" t="n"/>
      <c r="U98" s="168" t="n"/>
      <c r="V98" s="168" t="n"/>
      <c r="W98" s="168" t="n"/>
      <c r="X98" s="168" t="n"/>
      <c r="Y98" s="168" t="n"/>
      <c r="Z98" s="168" t="n"/>
      <c r="AA98" s="168" t="n"/>
      <c r="AB98" s="168" t="n"/>
      <c r="AC98" s="168" t="n"/>
      <c r="AD98" s="168" t="n"/>
      <c r="AE98" s="168" t="n"/>
      <c r="AF98" s="168" t="n"/>
      <c r="AG98" s="168" t="n"/>
      <c r="AH98" s="168" t="n"/>
      <c r="AI98" s="168" t="n"/>
      <c r="AJ98" s="168" t="n"/>
      <c r="AK98" s="168" t="n"/>
      <c r="AL98" s="168" t="n"/>
      <c r="AM98" s="168" t="n"/>
      <c r="AN98" s="168" t="n"/>
      <c r="AO98" s="168" t="n"/>
      <c r="AP98" s="168" t="n"/>
      <c r="AQ98" s="168" t="n"/>
      <c r="AR98" s="168" t="n"/>
      <c r="AS98" s="168" t="n"/>
      <c r="AT98" s="168" t="n"/>
      <c r="AU98" s="168" t="n"/>
      <c r="AV98" s="168" t="n"/>
      <c r="AW98" s="168" t="n"/>
      <c r="AX98" s="168" t="n"/>
      <c r="AY98" s="168" t="n"/>
      <c r="AZ98" s="168" t="n"/>
      <c r="BA98" s="168" t="n"/>
      <c r="BB98" s="168" t="n"/>
      <c r="BC98" s="168" t="n"/>
      <c r="BD98" s="168" t="n"/>
      <c r="BE98" s="168" t="n"/>
      <c r="BF98" s="168" t="n"/>
      <c r="BG98" s="168" t="n"/>
      <c r="BH98" s="168" t="n"/>
      <c r="BI98" s="168" t="n"/>
      <c r="BJ98" s="168" t="n"/>
      <c r="BK98" s="168" t="n"/>
      <c r="BL98" s="168" t="n"/>
      <c r="BM98" s="168" t="n"/>
      <c r="BN98" s="168" t="n"/>
      <c r="BO98" s="168" t="n"/>
      <c r="BP98" s="168" t="n"/>
      <c r="BQ98" s="168" t="n"/>
      <c r="BR98" s="168" t="n"/>
      <c r="BS98" s="168" t="n"/>
      <c r="BT98" s="168" t="n"/>
      <c r="BU98" s="168" t="n"/>
      <c r="BV98" s="168" t="n"/>
      <c r="BW98" s="168" t="n"/>
      <c r="BX98" s="168" t="n"/>
      <c r="BY98" s="168" t="n"/>
      <c r="BZ98" s="168" t="n"/>
      <c r="CA98" s="168" t="n"/>
      <c r="CB98" s="168" t="n"/>
      <c r="CC98" s="168" t="n"/>
      <c r="CD98" s="168" t="n"/>
      <c r="CE98" s="168" t="n"/>
      <c r="CF98" s="168" t="n"/>
      <c r="CG98" s="168" t="n"/>
      <c r="CH98" s="168" t="n"/>
      <c r="CI98" s="168" t="n"/>
      <c r="CJ98" s="168" t="n"/>
      <c r="CK98" s="168" t="n"/>
      <c r="CL98" s="168" t="n"/>
      <c r="CM98" s="168" t="n"/>
      <c r="CN98" s="168" t="n"/>
      <c r="CO98" s="168" t="n"/>
    </row>
    <row r="99">
      <c r="E99" s="168" t="inlineStr">
        <is>
          <t>Average DSCR</t>
        </is>
      </c>
      <c r="F99" s="401">
        <f>AVERAGEIFS(J96:CO96,J95:CO95,1)</f>
        <v>2.398417170529355</v>
      </c>
      <c r="G99" s="168" t="inlineStr">
        <is>
          <t>x</t>
        </is>
      </c>
      <c r="H99" s="168" t="n"/>
      <c r="I99" s="168" t="n"/>
      <c r="J99" s="168" t="n"/>
      <c r="K99" s="168" t="n"/>
      <c r="L99" s="168" t="n"/>
      <c r="M99" s="168" t="n"/>
      <c r="N99" s="168" t="n"/>
      <c r="O99" s="168" t="n"/>
      <c r="P99" s="168" t="n"/>
      <c r="Q99" s="168" t="n"/>
      <c r="R99" s="168" t="n"/>
      <c r="S99" s="168" t="n"/>
      <c r="T99" s="168" t="n"/>
      <c r="U99" s="168" t="n"/>
      <c r="V99" s="168" t="n"/>
      <c r="W99" s="168" t="n"/>
      <c r="X99" s="168" t="n"/>
      <c r="Y99" s="168" t="n"/>
      <c r="Z99" s="168" t="n"/>
      <c r="AA99" s="168" t="n"/>
      <c r="AB99" s="168" t="n"/>
      <c r="AC99" s="168" t="n"/>
      <c r="AD99" s="168" t="n"/>
      <c r="AE99" s="168" t="n"/>
      <c r="AF99" s="168" t="n"/>
      <c r="AG99" s="168" t="n"/>
      <c r="AH99" s="168" t="n"/>
      <c r="AI99" s="168" t="n"/>
      <c r="AJ99" s="168" t="n"/>
      <c r="AK99" s="168" t="n"/>
      <c r="AL99" s="168" t="n"/>
      <c r="AM99" s="168" t="n"/>
      <c r="AN99" s="168" t="n"/>
      <c r="AO99" s="168" t="n"/>
      <c r="AP99" s="168" t="n"/>
      <c r="AQ99" s="168" t="n"/>
      <c r="AR99" s="168" t="n"/>
      <c r="AS99" s="168" t="n"/>
      <c r="AT99" s="168" t="n"/>
      <c r="AU99" s="168" t="n"/>
      <c r="AV99" s="168" t="n"/>
      <c r="AW99" s="168" t="n"/>
      <c r="AX99" s="168" t="n"/>
      <c r="AY99" s="168" t="n"/>
      <c r="AZ99" s="168" t="n"/>
      <c r="BA99" s="168" t="n"/>
      <c r="BB99" s="168" t="n"/>
      <c r="BC99" s="168" t="n"/>
      <c r="BD99" s="168" t="n"/>
      <c r="BE99" s="168" t="n"/>
      <c r="BF99" s="168" t="n"/>
      <c r="BG99" s="168" t="n"/>
      <c r="BH99" s="168" t="n"/>
      <c r="BI99" s="168" t="n"/>
      <c r="BJ99" s="168" t="n"/>
      <c r="BK99" s="168" t="n"/>
      <c r="BL99" s="168" t="n"/>
      <c r="BM99" s="168" t="n"/>
      <c r="BN99" s="168" t="n"/>
      <c r="BO99" s="168" t="n"/>
      <c r="BP99" s="168" t="n"/>
      <c r="BQ99" s="168" t="n"/>
      <c r="BR99" s="168" t="n"/>
      <c r="BS99" s="168" t="n"/>
      <c r="BT99" s="168" t="n"/>
      <c r="BU99" s="168" t="n"/>
      <c r="BV99" s="168" t="n"/>
      <c r="BW99" s="168" t="n"/>
      <c r="BX99" s="168" t="n"/>
      <c r="BY99" s="168" t="n"/>
      <c r="BZ99" s="168" t="n"/>
      <c r="CA99" s="168" t="n"/>
      <c r="CB99" s="168" t="n"/>
      <c r="CC99" s="168" t="n"/>
      <c r="CD99" s="168" t="n"/>
      <c r="CE99" s="168" t="n"/>
      <c r="CF99" s="168" t="n"/>
      <c r="CG99" s="168" t="n"/>
      <c r="CH99" s="168" t="n"/>
      <c r="CI99" s="168" t="n"/>
      <c r="CJ99" s="168" t="n"/>
      <c r="CK99" s="168" t="n"/>
      <c r="CL99" s="168" t="n"/>
      <c r="CM99" s="168" t="n"/>
      <c r="CN99" s="168" t="n"/>
      <c r="CO99" s="168" t="n"/>
    </row>
    <row r="100">
      <c r="E100" s="168" t="inlineStr">
        <is>
          <t>Whole-life cover (CFADS / debt service)</t>
        </is>
      </c>
      <c r="F100" s="401">
        <f>IF(H94=0,0,H93/H94)</f>
        <v>5.842981213555556</v>
      </c>
      <c r="G100" s="168" t="inlineStr">
        <is>
          <t>x</t>
        </is>
      </c>
      <c r="H100" s="168" t="n"/>
      <c r="I100" s="168" t="n"/>
      <c r="J100" s="168" t="n"/>
      <c r="K100" s="168" t="n"/>
      <c r="L100" s="168" t="n"/>
      <c r="M100" s="168" t="n"/>
      <c r="N100" s="168" t="n"/>
      <c r="O100" s="168" t="n"/>
      <c r="P100" s="168" t="n"/>
      <c r="Q100" s="168" t="n"/>
      <c r="R100" s="168" t="n"/>
      <c r="S100" s="168" t="n"/>
      <c r="T100" s="168" t="n"/>
      <c r="U100" s="168" t="n"/>
      <c r="V100" s="168" t="n"/>
      <c r="W100" s="168" t="n"/>
      <c r="X100" s="168" t="n"/>
      <c r="Y100" s="168" t="n"/>
      <c r="Z100" s="168" t="n"/>
      <c r="AA100" s="168" t="n"/>
      <c r="AB100" s="168" t="n"/>
      <c r="AC100" s="168" t="n"/>
      <c r="AD100" s="168" t="n"/>
      <c r="AE100" s="168" t="n"/>
      <c r="AF100" s="168" t="n"/>
      <c r="AG100" s="168" t="n"/>
      <c r="AH100" s="168" t="n"/>
      <c r="AI100" s="168" t="n"/>
      <c r="AJ100" s="168" t="n"/>
      <c r="AK100" s="168" t="n"/>
      <c r="AL100" s="168" t="n"/>
      <c r="AM100" s="168" t="n"/>
      <c r="AN100" s="168" t="n"/>
      <c r="AO100" s="168" t="n"/>
      <c r="AP100" s="168" t="n"/>
      <c r="AQ100" s="168" t="n"/>
      <c r="AR100" s="168" t="n"/>
      <c r="AS100" s="168" t="n"/>
      <c r="AT100" s="168" t="n"/>
      <c r="AU100" s="168" t="n"/>
      <c r="AV100" s="168" t="n"/>
      <c r="AW100" s="168" t="n"/>
      <c r="AX100" s="168" t="n"/>
      <c r="AY100" s="168" t="n"/>
      <c r="AZ100" s="168" t="n"/>
      <c r="BA100" s="168" t="n"/>
      <c r="BB100" s="168" t="n"/>
      <c r="BC100" s="168" t="n"/>
      <c r="BD100" s="168" t="n"/>
      <c r="BE100" s="168" t="n"/>
      <c r="BF100" s="168" t="n"/>
      <c r="BG100" s="168" t="n"/>
      <c r="BH100" s="168" t="n"/>
      <c r="BI100" s="168" t="n"/>
      <c r="BJ100" s="168" t="n"/>
      <c r="BK100" s="168" t="n"/>
      <c r="BL100" s="168" t="n"/>
      <c r="BM100" s="168" t="n"/>
      <c r="BN100" s="168" t="n"/>
      <c r="BO100" s="168" t="n"/>
      <c r="BP100" s="168" t="n"/>
      <c r="BQ100" s="168" t="n"/>
      <c r="BR100" s="168" t="n"/>
      <c r="BS100" s="168" t="n"/>
      <c r="BT100" s="168" t="n"/>
      <c r="BU100" s="168" t="n"/>
      <c r="BV100" s="168" t="n"/>
      <c r="BW100" s="168" t="n"/>
      <c r="BX100" s="168" t="n"/>
      <c r="BY100" s="168" t="n"/>
      <c r="BZ100" s="168" t="n"/>
      <c r="CA100" s="168" t="n"/>
      <c r="CB100" s="168" t="n"/>
      <c r="CC100" s="168" t="n"/>
      <c r="CD100" s="168" t="n"/>
      <c r="CE100" s="168" t="n"/>
      <c r="CF100" s="168" t="n"/>
      <c r="CG100" s="168" t="n"/>
      <c r="CH100" s="168" t="n"/>
      <c r="CI100" s="168" t="n"/>
      <c r="CJ100" s="168" t="n"/>
      <c r="CK100" s="168" t="n"/>
      <c r="CL100" s="168" t="n"/>
      <c r="CM100" s="168" t="n"/>
      <c r="CN100" s="168" t="n"/>
      <c r="CO100" s="168" t="n"/>
    </row>
    <row r="101">
      <c r="E101" s="169" t="n"/>
      <c r="F101" s="7" t="n"/>
      <c r="G101" s="169" t="n"/>
      <c r="J101" s="7" t="n"/>
      <c r="K101" s="7" t="n"/>
      <c r="L101" s="7" t="n"/>
      <c r="M101" s="7" t="n"/>
      <c r="N101" s="7" t="n"/>
      <c r="O101" s="7" t="n"/>
      <c r="P101" s="7" t="n"/>
      <c r="Q101" s="7" t="n"/>
      <c r="R101" s="7" t="n"/>
      <c r="S101" s="7" t="n"/>
      <c r="T101" s="7" t="n"/>
      <c r="U101" s="7" t="n"/>
      <c r="V101" s="7" t="n"/>
      <c r="W101" s="7" t="n"/>
      <c r="X101" s="7" t="n"/>
      <c r="Y101" s="7" t="n"/>
      <c r="Z101" s="7" t="n"/>
      <c r="AA101" s="7" t="n"/>
      <c r="AB101" s="7" t="n"/>
      <c r="AC101" s="7" t="n"/>
      <c r="AD101" s="7" t="n"/>
      <c r="AE101" s="7" t="n"/>
      <c r="AF101" s="7" t="n"/>
      <c r="AG101" s="7" t="n"/>
      <c r="AH101" s="7" t="n"/>
      <c r="AI101" s="7" t="n"/>
      <c r="AJ101" s="7" t="n"/>
      <c r="AK101" s="7" t="n"/>
      <c r="AL101" s="7" t="n"/>
      <c r="AM101" s="7" t="n"/>
      <c r="AN101" s="7" t="n"/>
      <c r="AO101" s="7" t="n"/>
      <c r="AP101" s="7" t="n"/>
      <c r="AQ101" s="7" t="n"/>
      <c r="AR101" s="7" t="n"/>
      <c r="AS101" s="7" t="n"/>
      <c r="AT101" s="7" t="n"/>
      <c r="AU101" s="7" t="n"/>
      <c r="AV101" s="7" t="n"/>
      <c r="AW101" s="7" t="n"/>
      <c r="AX101" s="7" t="n"/>
      <c r="AY101" s="7" t="n"/>
      <c r="AZ101" s="7" t="n"/>
      <c r="BA101" s="7" t="n"/>
      <c r="BB101" s="7" t="n"/>
      <c r="BC101" s="7" t="n"/>
      <c r="BD101" s="7" t="n"/>
      <c r="BE101" s="7" t="n"/>
      <c r="BF101" s="7" t="n"/>
      <c r="BG101" s="7" t="n"/>
      <c r="BH101" s="7" t="n"/>
      <c r="BI101" s="7" t="n"/>
      <c r="BJ101" s="7" t="n"/>
      <c r="BK101" s="7" t="n"/>
      <c r="BL101" s="7" t="n"/>
      <c r="BM101" s="7" t="n"/>
      <c r="BN101" s="7" t="n"/>
      <c r="BO101" s="7" t="n"/>
      <c r="BP101" s="7" t="n"/>
      <c r="BQ101" s="7" t="n"/>
      <c r="BR101" s="7" t="n"/>
      <c r="BS101" s="7" t="n"/>
      <c r="BT101" s="7" t="n"/>
      <c r="BU101" s="7" t="n"/>
      <c r="BV101" s="7" t="n"/>
      <c r="BW101" s="7" t="n"/>
      <c r="BX101" s="7" t="n"/>
      <c r="BY101" s="7" t="n"/>
      <c r="BZ101" s="7" t="n"/>
      <c r="CA101" s="7" t="n"/>
      <c r="CB101" s="7" t="n"/>
      <c r="CC101" s="7" t="n"/>
      <c r="CD101" s="7" t="n"/>
      <c r="CE101" s="7" t="n"/>
      <c r="CF101" s="7" t="n"/>
      <c r="CG101" s="7" t="n"/>
      <c r="CH101" s="7" t="n"/>
      <c r="CI101" s="7" t="n"/>
      <c r="CJ101" s="7" t="n"/>
      <c r="CK101" s="7" t="n"/>
      <c r="CL101" s="7" t="n"/>
      <c r="CM101" s="7" t="n"/>
      <c r="CN101" s="7" t="n"/>
      <c r="CO101" s="7" t="n"/>
    </row>
    <row r="102">
      <c r="E102" s="169" t="n"/>
      <c r="F102" s="7" t="n"/>
      <c r="G102" s="169" t="n"/>
      <c r="J102" s="7" t="n"/>
      <c r="K102" s="7" t="n"/>
      <c r="L102" s="7" t="n"/>
      <c r="M102" s="7" t="n"/>
      <c r="N102" s="7" t="n"/>
      <c r="O102" s="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7" t="n"/>
      <c r="AJ102" s="7" t="n"/>
      <c r="AK102" s="7" t="n"/>
      <c r="AL102" s="7" t="n"/>
      <c r="AM102" s="7" t="n"/>
      <c r="AN102" s="7" t="n"/>
      <c r="AO102" s="7" t="n"/>
      <c r="AP102" s="7" t="n"/>
      <c r="AQ102" s="7" t="n"/>
      <c r="AR102" s="7" t="n"/>
      <c r="AS102" s="7" t="n"/>
      <c r="AT102" s="7" t="n"/>
      <c r="AU102" s="7" t="n"/>
      <c r="AV102" s="7" t="n"/>
      <c r="AW102" s="7" t="n"/>
      <c r="AX102" s="7" t="n"/>
      <c r="AY102" s="7" t="n"/>
      <c r="AZ102" s="7" t="n"/>
      <c r="BA102" s="7" t="n"/>
      <c r="BB102" s="7" t="n"/>
      <c r="BC102" s="7" t="n"/>
      <c r="BD102" s="7" t="n"/>
      <c r="BE102" s="7" t="n"/>
      <c r="BF102" s="7" t="n"/>
      <c r="BG102" s="7" t="n"/>
      <c r="BH102" s="7" t="n"/>
      <c r="BI102" s="7" t="n"/>
      <c r="BJ102" s="7" t="n"/>
      <c r="BK102" s="7" t="n"/>
      <c r="BL102" s="7" t="n"/>
      <c r="BM102" s="7" t="n"/>
      <c r="BN102" s="7" t="n"/>
      <c r="BO102" s="7" t="n"/>
      <c r="BP102" s="7" t="n"/>
      <c r="BQ102" s="7" t="n"/>
      <c r="BR102" s="7" t="n"/>
      <c r="BS102" s="7" t="n"/>
      <c r="BT102" s="7" t="n"/>
      <c r="BU102" s="7" t="n"/>
      <c r="BV102" s="7" t="n"/>
      <c r="BW102" s="7" t="n"/>
      <c r="BX102" s="7" t="n"/>
      <c r="BY102" s="7" t="n"/>
      <c r="BZ102" s="7" t="n"/>
      <c r="CA102" s="7" t="n"/>
      <c r="CB102" s="7" t="n"/>
      <c r="CC102" s="7" t="n"/>
      <c r="CD102" s="7" t="n"/>
      <c r="CE102" s="7" t="n"/>
      <c r="CF102" s="7" t="n"/>
      <c r="CG102" s="7" t="n"/>
      <c r="CH102" s="7" t="n"/>
      <c r="CI102" s="7" t="n"/>
      <c r="CJ102" s="7" t="n"/>
      <c r="CK102" s="7" t="n"/>
      <c r="CL102" s="7" t="n"/>
      <c r="CM102" s="7" t="n"/>
      <c r="CN102" s="7" t="n"/>
      <c r="CO102" s="7" t="n"/>
    </row>
  </sheetData>
  <conditionalFormatting sqref="F80 F83 F86 J80:CS80 J83:CS83 J86:CS86">
    <cfRule type="cellIs" priority="40" operator="equal" dxfId="10" stopIfTrue="1">
      <formula>""</formula>
    </cfRule>
    <cfRule type="cellIs" priority="39" operator="notEqual" dxfId="10" stopIfTrue="1">
      <formula>0</formula>
    </cfRule>
  </conditionalFormatting>
  <conditionalFormatting sqref="J3:CS3">
    <cfRule type="cellIs" priority="13" operator="equal" dxfId="1" stopIfTrue="1">
      <formula>"Pre-fcst"</formula>
    </cfRule>
    <cfRule type="cellIs" priority="14" operator="equal" dxfId="0" stopIfTrue="1">
      <formula>"Forecast"</formula>
    </cfRule>
  </conditionalFormatting>
  <conditionalFormatting sqref="AJ80:CS80 AJ83:CS83 AJ86:CS86">
    <cfRule type="cellIs" priority="17" operator="notEqual" dxfId="10" stopIfTrue="1">
      <formula>0</formula>
    </cfRule>
    <cfRule type="cellIs" priority="18" operator="equal" dxfId="10" stopIfTrue="1">
      <formula>""</formula>
    </cfRule>
  </conditionalFormatting>
  <conditionalFormatting sqref="BR80:BW80 BR83:BW83 BR86:BW86">
    <cfRule type="cellIs" priority="35" operator="notEqual" dxfId="10" stopIfTrue="1">
      <formula>0</formula>
    </cfRule>
    <cfRule type="cellIs" priority="36" operator="equal" dxfId="10" stopIfTrue="1">
      <formula>""</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orizontalDpi="300" verticalDpi="300"/>
  <headerFooter alignWithMargins="0">
    <oddHeader>&amp;L&amp;"Arial,Bold"&amp;14 PROJECT AIRCO&amp;C&amp;"Arial,Bold"&amp;14 Sheet: &amp;A&amp;R&amp;"Arial,Bold"&amp;14 STRICTLY CONFIDENTIAL</oddHeader>
    <oddFooter>&amp;L&amp;12 &amp;F (Printed on &amp;D at &amp;T) &amp;R&amp;12 Page &amp;P of &amp;N</oddFooter>
    <evenHeader/>
    <evenFooter/>
    <firstHeader/>
    <firstFooter/>
  </headerFooter>
  <rowBreaks count="1" manualBreakCount="1">
    <brk id="70" min="0" max="16383" man="1"/>
  </rowBreaks>
</worksheet>
</file>

<file path=xl/worksheets/sheet18.xml><?xml version="1.0" encoding="utf-8"?>
<worksheet xmlns="http://schemas.openxmlformats.org/spreadsheetml/2006/main">
  <sheetPr>
    <tabColor rgb="00141B4D"/>
    <outlinePr summaryBelow="1" summaryRight="1"/>
    <pageSetUpPr/>
  </sheetPr>
  <dimension ref="A1:CO28"/>
  <sheetViews>
    <sheetView showGridLines="0" zoomScale="100"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1.1640625" customWidth="1" style="396" min="1" max="2"/>
    <col width="1.1640625" customWidth="1" style="396" min="3" max="3"/>
    <col width="1.1640625" customWidth="1" style="396" min="4" max="4"/>
    <col width="40.83203125" customWidth="1" style="396" min="5" max="5"/>
    <col width="12.83203125" customWidth="1" style="396" min="6" max="6"/>
    <col width="11.6640625" customWidth="1" style="396" min="7" max="8"/>
    <col width="2.6640625" customWidth="1" style="396" min="9" max="9"/>
    <col width="11.6640625" customWidth="1" style="396" min="10" max="93"/>
  </cols>
  <sheetData>
    <row r="1">
      <c r="A1" s="1">
        <f> RIGHT(CELL("filename", A1), LEN(CELL("filename", A1)) - SEARCH("]", CELL("filename", A1)))</f>
        <v/>
      </c>
      <c r="B1" s="294" t="n"/>
      <c r="C1" s="212" t="n"/>
      <c r="D1" s="244" t="n"/>
    </row>
    <row r="2">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DEBT SERVICE COVER</t>
        </is>
      </c>
    </row>
    <row r="9">
      <c r="E9" s="324" t="inlineStr">
        <is>
          <t>Senior debt service</t>
        </is>
      </c>
      <c r="F9" s="498" t="n"/>
      <c r="G9" s="324" t="inlineStr">
        <is>
          <t>$ 000s</t>
        </is>
      </c>
      <c r="H9" s="498">
        <f>SUM(J9:CO9)</f>
        <v>101237.57977661488</v>
      </c>
      <c r="I9" s="498" t="n"/>
      <c r="J9" s="498">
        <f>FinStat!J$94</f>
        <v>0.0</v>
      </c>
      <c r="K9" s="498">
        <f>FinStat!K$94</f>
        <v>0.0</v>
      </c>
      <c r="L9" s="498">
        <f>FinStat!L$94</f>
        <v>2229.3950452350464</v>
      </c>
      <c r="M9" s="498">
        <f>FinStat!M$94</f>
        <v>2317.061759939298</v>
      </c>
      <c r="N9" s="498">
        <f>FinStat!N$94</f>
        <v>2368.8461141098514</v>
      </c>
      <c r="O9" s="498">
        <f>FinStat!O$94</f>
        <v>2289.505020256596</v>
      </c>
      <c r="P9" s="498">
        <f>FinStat!P$94</f>
        <v>2346.4642410845463</v>
      </c>
      <c r="Q9" s="498">
        <f>FinStat!Q$94</f>
        <v>2273.298177895398</v>
      </c>
      <c r="R9" s="498">
        <f>FinStat!R$94</f>
        <v>2343.389916981881</v>
      </c>
      <c r="S9" s="498">
        <f>FinStat!S$94</f>
        <v>1374.289282788186</v>
      </c>
      <c r="T9" s="498">
        <f>FinStat!T$94</f>
        <v>2404.9974513780153</v>
      </c>
      <c r="U9" s="498">
        <f>FinStat!U$94</f>
        <v>2360.818836743534</v>
      </c>
      <c r="V9" s="498">
        <f>FinStat!V$94</f>
        <v>2439.4914506024197</v>
      </c>
      <c r="W9" s="498">
        <f>FinStat!W$94</f>
        <v>1911.4205077998893</v>
      </c>
      <c r="X9" s="498">
        <f>FinStat!X$94</f>
        <v>2433.56443216026</v>
      </c>
      <c r="Y9" s="498">
        <f>FinStat!Y$94</f>
        <v>2356.683327510545</v>
      </c>
      <c r="Z9" s="498">
        <f>FinStat!Z$94</f>
        <v>2434.7116194909804</v>
      </c>
      <c r="AA9" s="498">
        <f>FinStat!AA$94</f>
        <v>1681.139094523613</v>
      </c>
      <c r="AB9" s="498">
        <f>FinStat!AB$94</f>
        <v>2434.3360519352655</v>
      </c>
      <c r="AC9" s="498">
        <f>FinStat!AC$94</f>
        <v>2358.760279805552</v>
      </c>
      <c r="AD9" s="498">
        <f>FinStat!AD$94</f>
        <v>2571.4587181279203</v>
      </c>
      <c r="AE9" s="498">
        <f>FinStat!AE$94</f>
        <v>2116.485907937666</v>
      </c>
      <c r="AF9" s="498">
        <f>FinStat!AF$94</f>
        <v>2651.810419174285</v>
      </c>
      <c r="AG9" s="498">
        <f>FinStat!AG$94</f>
        <v>2578.8222781863074</v>
      </c>
      <c r="AH9" s="498">
        <f>FinStat!AH$94</f>
        <v>2672.194530467715</v>
      </c>
      <c r="AI9" s="498">
        <f>FinStat!AI$94</f>
        <v>2361.976298269234</v>
      </c>
      <c r="AJ9" s="498">
        <f>FinStat!AJ$94</f>
        <v>2680.91937419629</v>
      </c>
      <c r="AK9" s="498">
        <f>FinStat!AK$94</f>
        <v>2600.5228811740435</v>
      </c>
      <c r="AL9" s="498">
        <f>FinStat!AL$94</f>
        <v>2703.2507488549554</v>
      </c>
      <c r="AM9" s="498">
        <f>FinStat!AM$94</f>
        <v>2300.941570554902</v>
      </c>
      <c r="AN9" s="498">
        <f>FinStat!AN$94</f>
        <v>2935.6848153074325</v>
      </c>
      <c r="AO9" s="498">
        <f>FinStat!AO$94</f>
        <v>2864.9453545648053</v>
      </c>
      <c r="AP9" s="498">
        <f>FinStat!AP$94</f>
        <v>2972.9576647921504</v>
      </c>
      <c r="AQ9" s="498">
        <f>FinStat!AQ$94</f>
        <v>2437.447361158525</v>
      </c>
      <c r="AR9" s="498">
        <f>FinStat!AR$94</f>
        <v>2990.0888483793524</v>
      </c>
      <c r="AS9" s="498">
        <f>FinStat!AS$94</f>
        <v>2918.9105293838093</v>
      </c>
      <c r="AT9" s="498">
        <f>FinStat!AT$94</f>
        <v>3031.7623682088692</v>
      </c>
      <c r="AU9" s="498">
        <f>FinStat!AU$94</f>
        <v>2939.4837345703613</v>
      </c>
      <c r="AV9" s="498">
        <f>FinStat!AV$94</f>
        <v>3045.503263223409</v>
      </c>
      <c r="AW9" s="498">
        <f>FinStat!AW$94</f>
        <v>2973.9040071883633</v>
      </c>
      <c r="AX9" s="498">
        <f>FinStat!AX$94</f>
        <v>3261.5067372911362</v>
      </c>
      <c r="AY9" s="498">
        <f>FinStat!AY$94</f>
        <v>3268.829755362464</v>
      </c>
      <c r="AZ9" s="498">
        <f>FinStat!AZ$94</f>
        <v>1.4943503224962513e-13</v>
      </c>
      <c r="BA9" s="498">
        <f>FinStat!BA$94</f>
        <v>1.4943503224962523e-13</v>
      </c>
      <c r="BB9" s="498">
        <f>FinStat!BB$94</f>
        <v>1.5107717546115964e-13</v>
      </c>
      <c r="BC9" s="498">
        <f>FinStat!BC$94</f>
        <v>1.5107717546115954e-13</v>
      </c>
      <c r="BD9" s="498">
        <f>FinStat!BD$94</f>
        <v>1.4779288903809092e-13</v>
      </c>
      <c r="BE9" s="498">
        <f>FinStat!BE$94</f>
        <v>1.4943503224962513e-13</v>
      </c>
      <c r="BF9" s="498">
        <f>FinStat!BF$94</f>
        <v>1.5107717546115923e-13</v>
      </c>
      <c r="BG9" s="498">
        <f>FinStat!BG$94</f>
        <v>1.5107717546115923e-13</v>
      </c>
      <c r="BH9" s="498">
        <f>FinStat!BH$94</f>
        <v>1.4779288903809042e-13</v>
      </c>
      <c r="BI9" s="498">
        <f>FinStat!BI$94</f>
        <v>1.4943503224962493e-13</v>
      </c>
      <c r="BJ9" s="498">
        <f>FinStat!BJ$94</f>
        <v>1.5107717546115903e-13</v>
      </c>
      <c r="BK9" s="498">
        <f>FinStat!BK$94</f>
        <v>1.5107717546115923e-13</v>
      </c>
      <c r="BL9" s="498">
        <f>FinStat!BL$94</f>
        <v>1.4779288903809062e-13</v>
      </c>
      <c r="BM9" s="498">
        <f>FinStat!BM$94</f>
        <v>1.4943503224962513e-13</v>
      </c>
      <c r="BN9" s="498">
        <f>FinStat!BN$94</f>
        <v>1.5107717546115903e-13</v>
      </c>
      <c r="BO9" s="498">
        <f>FinStat!BO$94</f>
        <v>1.5107717546115903e-13</v>
      </c>
      <c r="BP9" s="498">
        <f>FinStat!BP$94</f>
        <v>1.4943503224962472e-13</v>
      </c>
      <c r="BQ9" s="498">
        <f>FinStat!BQ$94</f>
        <v>1.4943503224962472e-13</v>
      </c>
      <c r="BR9" s="498">
        <f>FinStat!BR$94</f>
        <v>1.5107717546115903e-13</v>
      </c>
      <c r="BS9" s="498">
        <f>FinStat!BS$94</f>
        <v>1.5107717546115923e-13</v>
      </c>
      <c r="BT9" s="498">
        <f>FinStat!BT$94</f>
        <v>1.4779288903809042e-13</v>
      </c>
      <c r="BU9" s="498">
        <f>FinStat!BU$94</f>
        <v>1.4943503224962493e-13</v>
      </c>
      <c r="BV9" s="498">
        <f>FinStat!BV$94</f>
        <v>1.5107717546115903e-13</v>
      </c>
      <c r="BW9" s="498">
        <f>FinStat!BW$94</f>
        <v>1.5107717546115903e-13</v>
      </c>
      <c r="BX9" s="498">
        <f>FinStat!BX$94</f>
        <v>1.4779288903809042e-13</v>
      </c>
      <c r="BY9" s="498">
        <f>FinStat!BY$94</f>
        <v>1.4943503224962493e-13</v>
      </c>
      <c r="BZ9" s="498">
        <f>FinStat!BZ$94</f>
        <v>1.5107717546115923e-13</v>
      </c>
      <c r="CA9" s="498">
        <f>FinStat!CA$94</f>
        <v>1.5107717546115883e-13</v>
      </c>
      <c r="CB9" s="498">
        <f>FinStat!CB$94</f>
        <v>1.4779288903809042e-13</v>
      </c>
      <c r="CC9" s="498">
        <f>FinStat!CC$94</f>
        <v>1.4943503224962472e-13</v>
      </c>
      <c r="CD9" s="498">
        <f>FinStat!CD$94</f>
        <v>1.5107717546115903e-13</v>
      </c>
      <c r="CE9" s="498">
        <f>FinStat!CE$94</f>
        <v>1.5107717546115903e-13</v>
      </c>
      <c r="CF9" s="498">
        <f>FinStat!CF$94</f>
        <v>1.4943503224962432e-13</v>
      </c>
      <c r="CG9" s="498">
        <f>FinStat!CG$94</f>
        <v>1.4943503224962452e-13</v>
      </c>
      <c r="CH9" s="498">
        <f>FinStat!CH$94</f>
        <v>1.5107717546115903e-13</v>
      </c>
      <c r="CI9" s="498">
        <f>FinStat!CI$94</f>
        <v>1.5107717546115883e-13</v>
      </c>
      <c r="CJ9" s="498">
        <f>FinStat!CJ$94</f>
        <v>1.4779288903809042e-13</v>
      </c>
      <c r="CK9" s="498">
        <f>FinStat!CK$94</f>
        <v>1.4943503224962452e-13</v>
      </c>
      <c r="CL9" s="498">
        <f>FinStat!CL$94</f>
        <v>1.5107717546115903e-13</v>
      </c>
      <c r="CM9" s="498">
        <f>FinStat!CM$94</f>
        <v>1.5107717546115903e-13</v>
      </c>
      <c r="CN9" s="498">
        <f>FinStat!CN$94</f>
        <v>1.477928890380898e-13</v>
      </c>
      <c r="CO9" s="498">
        <f>FinStat!CO$94</f>
        <v>1.4943503224962432e-13</v>
      </c>
    </row>
    <row r="10">
      <c r="E10" s="324" t="inlineStr">
        <is>
          <t>CFADS</t>
        </is>
      </c>
      <c r="F10" s="498" t="n"/>
      <c r="G10" s="324" t="inlineStr">
        <is>
          <t>$ 000s</t>
        </is>
      </c>
      <c r="H10" s="498">
        <f>SUM(J10:CO10)</f>
        <v>591529.2767405927</v>
      </c>
      <c r="I10" s="498" t="n"/>
      <c r="J10" s="498">
        <f>FinStat!J$39</f>
        <v>0.0</v>
      </c>
      <c r="K10" s="498">
        <f>FinStat!K$39</f>
        <v>0.0</v>
      </c>
      <c r="L10" s="498">
        <f>FinStat!L$39</f>
        <v>5498.001782667919</v>
      </c>
      <c r="M10" s="498">
        <f>FinStat!M$39</f>
        <v>5698.685260914366</v>
      </c>
      <c r="N10" s="498">
        <f>FinStat!N$39</f>
        <v>5814.807667235052</v>
      </c>
      <c r="O10" s="498">
        <f>FinStat!O$39</f>
        <v>5630.275697687297</v>
      </c>
      <c r="P10" s="498">
        <f>FinStat!P$39</f>
        <v>5742.4285992494815</v>
      </c>
      <c r="Q10" s="498">
        <f>FinStat!Q$39</f>
        <v>5576.796199801479</v>
      </c>
      <c r="R10" s="498">
        <f>FinStat!R$39</f>
        <v>5733.681888198695</v>
      </c>
      <c r="S10" s="498">
        <f>FinStat!S$39</f>
        <v>3546.921645638729</v>
      </c>
      <c r="T10" s="498">
        <f>FinStat!T$39</f>
        <v>5859.529963218596</v>
      </c>
      <c r="U10" s="498">
        <f>FinStat!U$39</f>
        <v>5753.423440593838</v>
      </c>
      <c r="V10" s="498">
        <f>FinStat!V$39</f>
        <v>5928.619829065838</v>
      </c>
      <c r="W10" s="498">
        <f>FinStat!W$39</f>
        <v>4733.343827136573</v>
      </c>
      <c r="X10" s="498">
        <f>FinStat!X$39</f>
        <v>5894.259300463952</v>
      </c>
      <c r="Y10" s="498">
        <f>FinStat!Y$39</f>
        <v>5718.622906968056</v>
      </c>
      <c r="Z10" s="498">
        <f>FinStat!Z$39</f>
        <v>5891.686497116831</v>
      </c>
      <c r="AA10" s="498">
        <f>FinStat!AA$39</f>
        <v>4188.620897315466</v>
      </c>
      <c r="AB10" s="498">
        <f>FinStat!AB$39</f>
        <v>5870.674271503657</v>
      </c>
      <c r="AC10" s="498">
        <f>FinStat!AC$39</f>
        <v>5697.273685416409</v>
      </c>
      <c r="AD10" s="498">
        <f>FinStat!AD$39</f>
        <v>6172.616534259255</v>
      </c>
      <c r="AE10" s="498">
        <f>FinStat!AE$39</f>
        <v>5140.274473581392</v>
      </c>
      <c r="AF10" s="498">
        <f>FinStat!AF$39</f>
        <v>6330.1455472987</v>
      </c>
      <c r="AG10" s="498">
        <f>FinStat!AG$39</f>
        <v>6160.673153904522</v>
      </c>
      <c r="AH10" s="498">
        <f>FinStat!AH$39</f>
        <v>6365.559413218637</v>
      </c>
      <c r="AI10" s="498">
        <f>FinStat!AI$39</f>
        <v>5657.853147505068</v>
      </c>
      <c r="AJ10" s="498">
        <f>FinStat!AJ$39</f>
        <v>6363.502236978278</v>
      </c>
      <c r="AK10" s="498">
        <f>FinStat!AK$39</f>
        <v>6172.625478694768</v>
      </c>
      <c r="AL10" s="498">
        <f>FinStat!AL$39</f>
        <v>6397.436003535895</v>
      </c>
      <c r="AM10" s="498">
        <f>FinStat!AM$39</f>
        <v>5481.7391250268665</v>
      </c>
      <c r="AN10" s="498">
        <f>FinStat!AN$39</f>
        <v>6894.806911470035</v>
      </c>
      <c r="AO10" s="498">
        <f>FinStat!AO$39</f>
        <v>6726.955158003132</v>
      </c>
      <c r="AP10" s="498">
        <f>FinStat!AP$39</f>
        <v>6961.216831839529</v>
      </c>
      <c r="AQ10" s="498">
        <f>FinStat!AQ$39</f>
        <v>5743.758111863657</v>
      </c>
      <c r="AR10" s="498">
        <f>FinStat!AR$39</f>
        <v>6971.679142438044</v>
      </c>
      <c r="AS10" s="498">
        <f>FinStat!AS$39</f>
        <v>6801.317630792549</v>
      </c>
      <c r="AT10" s="498">
        <f>FinStat!AT$39</f>
        <v>7044.900478666088</v>
      </c>
      <c r="AU10" s="498">
        <f>FinStat!AU$39</f>
        <v>6823.612225305964</v>
      </c>
      <c r="AV10" s="498">
        <f>FinStat!AV$39</f>
        <v>7044.459383760724</v>
      </c>
      <c r="AW10" s="498">
        <f>FinStat!AW$39</f>
        <v>6871.448144016408</v>
      </c>
      <c r="AX10" s="498">
        <f>FinStat!AX$39</f>
        <v>7506.466947081908</v>
      </c>
      <c r="AY10" s="498">
        <f>FinStat!AY$39</f>
        <v>7507.217953393893</v>
      </c>
      <c r="AZ10" s="498">
        <f>FinStat!AZ$39</f>
        <v>7759.8450304382095</v>
      </c>
      <c r="BA10" s="498">
        <f>FinStat!BA$39</f>
        <v>7517.18227506947</v>
      </c>
      <c r="BB10" s="498">
        <f>FinStat!BB$39</f>
        <v>7765.071855591032</v>
      </c>
      <c r="BC10" s="498">
        <f>FinStat!BC$39</f>
        <v>7521.637238564551</v>
      </c>
      <c r="BD10" s="498">
        <f>FinStat!BD$39</f>
        <v>7786.862296074629</v>
      </c>
      <c r="BE10" s="498">
        <f>FinStat!BE$39</f>
        <v>7627.988950314166</v>
      </c>
      <c r="BF10" s="498">
        <f>FinStat!BF$39</f>
        <v>7926.412925883229</v>
      </c>
      <c r="BG10" s="498">
        <f>FinStat!BG$39</f>
        <v>7703.404245475238</v>
      </c>
      <c r="BH10" s="498">
        <f>FinStat!BH$39</f>
        <v>7569.490087277265</v>
      </c>
      <c r="BI10" s="498">
        <f>FinStat!BI$39</f>
        <v>8073.785152795242</v>
      </c>
      <c r="BJ10" s="498">
        <f>FinStat!BJ$39</f>
        <v>7864.656660041153</v>
      </c>
      <c r="BK10" s="498">
        <f>FinStat!BK$39</f>
        <v>8164.350522971761</v>
      </c>
      <c r="BL10" s="498">
        <f>FinStat!BL$39</f>
        <v>7920.158988451464</v>
      </c>
      <c r="BM10" s="498">
        <f>FinStat!BM$39</f>
        <v>8283.741323993563</v>
      </c>
      <c r="BN10" s="498">
        <f>FinStat!BN$39</f>
        <v>8069.951845626139</v>
      </c>
      <c r="BO10" s="498">
        <f>FinStat!BO$39</f>
        <v>8380.168750155472</v>
      </c>
      <c r="BP10" s="498">
        <f>FinStat!BP$39</f>
        <v>8145.432186534468</v>
      </c>
      <c r="BQ10" s="498">
        <f>FinStat!BQ$39</f>
        <v>8051.368270145524</v>
      </c>
      <c r="BR10" s="498">
        <f>FinStat!BR$39</f>
        <v>8564.966728450932</v>
      </c>
      <c r="BS10" s="498">
        <f>FinStat!BS$39</f>
        <v>8326.10105657528</v>
      </c>
      <c r="BT10" s="498">
        <f>FinStat!BT$39</f>
        <v>8631.592591488294</v>
      </c>
      <c r="BU10" s="498">
        <f>FinStat!BU$39</f>
        <v>8459.408717410737</v>
      </c>
      <c r="BV10" s="498">
        <f>FinStat!BV$39</f>
        <v>8801.585533466476</v>
      </c>
      <c r="BW10" s="498">
        <f>FinStat!BW$39</f>
        <v>9017.663894454512</v>
      </c>
      <c r="BX10" s="498">
        <f>FinStat!BX$39</f>
        <v>9044.339855832266</v>
      </c>
      <c r="BY10" s="498">
        <f>FinStat!BY$39</f>
        <v>9161.799265857671</v>
      </c>
      <c r="BZ10" s="498">
        <f>FinStat!BZ$39</f>
        <v>9225.704544162636</v>
      </c>
      <c r="CA10" s="498">
        <f>FinStat!CA$39</f>
        <v>9272.462692519282</v>
      </c>
      <c r="CB10" s="498">
        <f>FinStat!CB$39</f>
        <v>9300.72548867681</v>
      </c>
      <c r="CC10" s="498">
        <f>FinStat!CC$39</f>
        <v>9422.455909144512</v>
      </c>
      <c r="CD10" s="498">
        <f>FinStat!CD$39</f>
        <v>9488.988212533062</v>
      </c>
      <c r="CE10" s="498">
        <f>FinStat!CE$39</f>
        <v>9537.823478738128</v>
      </c>
      <c r="CF10" s="498">
        <f>FinStat!CF$39</f>
        <v>9586.890103432881</v>
      </c>
      <c r="CG10" s="498">
        <f>FinStat!CG$39</f>
        <v>9674.25047865673</v>
      </c>
      <c r="CH10" s="498">
        <f>FinStat!CH$39</f>
        <v>9762.672231963468</v>
      </c>
      <c r="CI10" s="498">
        <f>FinStat!CI$39</f>
        <v>9813.521837501972</v>
      </c>
      <c r="CJ10" s="498">
        <f>FinStat!CJ$39</f>
        <v>9844.687529595085</v>
      </c>
      <c r="CK10" s="498">
        <f>FinStat!CK$39</f>
        <v>9974.953939736379</v>
      </c>
      <c r="CL10" s="498">
        <f>FinStat!CL$39</f>
        <v>10046.604537115036</v>
      </c>
      <c r="CM10" s="498">
        <f>FinStat!CM$39</f>
        <v>10709.88562449671</v>
      </c>
      <c r="CN10" s="498">
        <f>FinStat!CN$39</f>
        <v>1810.7664905536144</v>
      </c>
      <c r="CO10" s="498">
        <f>FinStat!CO$39</f>
        <v>-5.29189120061567e-13</v>
      </c>
    </row>
    <row r="11">
      <c r="E11" s="324" t="inlineStr">
        <is>
          <t>DSCR</t>
        </is>
      </c>
      <c r="F11" s="511" t="n"/>
      <c r="G11" s="324" t="inlineStr">
        <is>
          <t>x</t>
        </is>
      </c>
      <c r="H11" s="511" t="n"/>
      <c r="I11" s="511" t="n"/>
      <c r="J11" s="511">
        <f>FinStat!J$96</f>
        <v>0.0</v>
      </c>
      <c r="K11" s="511">
        <f>FinStat!K$96</f>
        <v>0.0</v>
      </c>
      <c r="L11" s="511">
        <f>FinStat!L$96</f>
        <v>2.4661406664641894</v>
      </c>
      <c r="M11" s="511">
        <f>FinStat!M$96</f>
        <v>2.4594446982128173</v>
      </c>
      <c r="N11" s="511">
        <f>FinStat!N$96</f>
        <v>2.454700468974997</v>
      </c>
      <c r="O11" s="511">
        <f>FinStat!O$96</f>
        <v>2.459167220806655</v>
      </c>
      <c r="P11" s="511">
        <f>FinStat!P$96</f>
        <v>2.4472687453337474</v>
      </c>
      <c r="Q11" s="511">
        <f>FinStat!Q$96</f>
        <v>2.4531740948142726</v>
      </c>
      <c r="R11" s="511">
        <f>FinStat!R$96</f>
        <v>2.4467468459466906</v>
      </c>
      <c r="S11" s="511">
        <f>FinStat!S$96</f>
        <v>2.5809134147089194</v>
      </c>
      <c r="T11" s="511">
        <f>FinStat!T$96</f>
        <v>2.436397576995852</v>
      </c>
      <c r="U11" s="511">
        <f>FinStat!U$96</f>
        <v>2.437045719497051</v>
      </c>
      <c r="V11" s="511">
        <f>FinStat!V$96</f>
        <v>2.4302687462183137</v>
      </c>
      <c r="W11" s="511">
        <f>FinStat!W$96</f>
        <v>2.4763487719323543</v>
      </c>
      <c r="X11" s="511">
        <f>FinStat!X$96</f>
        <v>2.4220683136922965</v>
      </c>
      <c r="Y11" s="511">
        <f>FinStat!Y$96</f>
        <v>2.4265555071452285</v>
      </c>
      <c r="Z11" s="511">
        <f>FinStat!Z$96</f>
        <v>2.4198703657349743</v>
      </c>
      <c r="AA11" s="511">
        <f>FinStat!AA$96</f>
        <v>2.491537381386281</v>
      </c>
      <c r="AB11" s="511">
        <f>FinStat!AB$96</f>
        <v>2.411612097202663</v>
      </c>
      <c r="AC11" s="511">
        <f>FinStat!AC$96</f>
        <v>2.415367824442962</v>
      </c>
      <c r="AD11" s="511">
        <f>FinStat!AD$96</f>
        <v>2.400433843539615</v>
      </c>
      <c r="AE11" s="511">
        <f>FinStat!AE$96</f>
        <v>2.4286835335417605</v>
      </c>
      <c r="AF11" s="511">
        <f>FinStat!AF$96</f>
        <v>2.3871033545715408</v>
      </c>
      <c r="AG11" s="511">
        <f>FinStat!AG$96</f>
        <v>2.3889483218817777</v>
      </c>
      <c r="AH11" s="511">
        <f>FinStat!AH$96</f>
        <v>2.382146711491274</v>
      </c>
      <c r="AI11" s="511">
        <f>FinStat!AI$96</f>
        <v>2.3953894675619423</v>
      </c>
      <c r="AJ11" s="511">
        <f>FinStat!AJ$96</f>
        <v>2.3736268603325628</v>
      </c>
      <c r="AK11" s="511">
        <f>FinStat!AK$96</f>
        <v>2.373609370400174</v>
      </c>
      <c r="AL11" s="511">
        <f>FinStat!AL$96</f>
        <v>2.3665714348717835</v>
      </c>
      <c r="AM11" s="511">
        <f>FinStat!AM$96</f>
        <v>2.382389537907681</v>
      </c>
      <c r="AN11" s="511">
        <f>FinStat!AN$96</f>
        <v>2.348619605047074</v>
      </c>
      <c r="AO11" s="511">
        <f>FinStat!AO$96</f>
        <v>2.3480221524242575</v>
      </c>
      <c r="AP11" s="511">
        <f>FinStat!AP$96</f>
        <v>2.341512263790077</v>
      </c>
      <c r="AQ11" s="511">
        <f>FinStat!AQ$96</f>
        <v>2.3564644731993862</v>
      </c>
      <c r="AR11" s="511">
        <f>FinStat!AR$96</f>
        <v>2.3315959812420757</v>
      </c>
      <c r="AS11" s="511">
        <f>FinStat!AS$96</f>
        <v>2.330087737299823</v>
      </c>
      <c r="AT11" s="511">
        <f>FinStat!AT$96</f>
        <v>2.323698107918707</v>
      </c>
      <c r="AU11" s="511">
        <f>FinStat!AU$96</f>
        <v>2.3213641718971143</v>
      </c>
      <c r="AV11" s="511">
        <f>FinStat!AV$96</f>
        <v>2.3130690644227903</v>
      </c>
      <c r="AW11" s="511">
        <f>FinStat!AW$96</f>
        <v>2.310581689054895</v>
      </c>
      <c r="AX11" s="511">
        <f>FinStat!AX$96</f>
        <v>2.301533478761552</v>
      </c>
      <c r="AY11" s="511">
        <f>FinStat!AY$96</f>
        <v>2.2966072005060587</v>
      </c>
      <c r="AZ11" s="511">
        <f>FinStat!AZ$96</f>
        <v>0.0</v>
      </c>
      <c r="BA11" s="511">
        <f>FinStat!BA$96</f>
        <v>0.0</v>
      </c>
      <c r="BB11" s="511">
        <f>FinStat!BB$96</f>
        <v>0.0</v>
      </c>
      <c r="BC11" s="511">
        <f>FinStat!BC$96</f>
        <v>0.0</v>
      </c>
      <c r="BD11" s="511">
        <f>FinStat!BD$96</f>
        <v>0.0</v>
      </c>
      <c r="BE11" s="511">
        <f>FinStat!BE$96</f>
        <v>0.0</v>
      </c>
      <c r="BF11" s="511">
        <f>FinStat!BF$96</f>
        <v>0.0</v>
      </c>
      <c r="BG11" s="511">
        <f>FinStat!BG$96</f>
        <v>0.0</v>
      </c>
      <c r="BH11" s="511">
        <f>FinStat!BH$96</f>
        <v>0.0</v>
      </c>
      <c r="BI11" s="511">
        <f>FinStat!BI$96</f>
        <v>0.0</v>
      </c>
      <c r="BJ11" s="511">
        <f>FinStat!BJ$96</f>
        <v>0.0</v>
      </c>
      <c r="BK11" s="511">
        <f>FinStat!BK$96</f>
        <v>0.0</v>
      </c>
      <c r="BL11" s="511">
        <f>FinStat!BL$96</f>
        <v>0.0</v>
      </c>
      <c r="BM11" s="511">
        <f>FinStat!BM$96</f>
        <v>0.0</v>
      </c>
      <c r="BN11" s="511">
        <f>FinStat!BN$96</f>
        <v>0.0</v>
      </c>
      <c r="BO11" s="511">
        <f>FinStat!BO$96</f>
        <v>0.0</v>
      </c>
      <c r="BP11" s="511">
        <f>FinStat!BP$96</f>
        <v>0.0</v>
      </c>
      <c r="BQ11" s="511">
        <f>FinStat!BQ$96</f>
        <v>0.0</v>
      </c>
      <c r="BR11" s="511">
        <f>FinStat!BR$96</f>
        <v>0.0</v>
      </c>
      <c r="BS11" s="511">
        <f>FinStat!BS$96</f>
        <v>0.0</v>
      </c>
      <c r="BT11" s="511">
        <f>FinStat!BT$96</f>
        <v>0.0</v>
      </c>
      <c r="BU11" s="511">
        <f>FinStat!BU$96</f>
        <v>0.0</v>
      </c>
      <c r="BV11" s="511">
        <f>FinStat!BV$96</f>
        <v>0.0</v>
      </c>
      <c r="BW11" s="511">
        <f>FinStat!BW$96</f>
        <v>0.0</v>
      </c>
      <c r="BX11" s="511">
        <f>FinStat!BX$96</f>
        <v>0.0</v>
      </c>
      <c r="BY11" s="511">
        <f>FinStat!BY$96</f>
        <v>0.0</v>
      </c>
      <c r="BZ11" s="511">
        <f>FinStat!BZ$96</f>
        <v>0.0</v>
      </c>
      <c r="CA11" s="511">
        <f>FinStat!CA$96</f>
        <v>0.0</v>
      </c>
      <c r="CB11" s="511">
        <f>FinStat!CB$96</f>
        <v>0.0</v>
      </c>
      <c r="CC11" s="511">
        <f>FinStat!CC$96</f>
        <v>0.0</v>
      </c>
      <c r="CD11" s="511">
        <f>FinStat!CD$96</f>
        <v>0.0</v>
      </c>
      <c r="CE11" s="511">
        <f>FinStat!CE$96</f>
        <v>0.0</v>
      </c>
      <c r="CF11" s="511">
        <f>FinStat!CF$96</f>
        <v>0.0</v>
      </c>
      <c r="CG11" s="511">
        <f>FinStat!CG$96</f>
        <v>0.0</v>
      </c>
      <c r="CH11" s="511">
        <f>FinStat!CH$96</f>
        <v>0.0</v>
      </c>
      <c r="CI11" s="511">
        <f>FinStat!CI$96</f>
        <v>0.0</v>
      </c>
      <c r="CJ11" s="511">
        <f>FinStat!CJ$96</f>
        <v>0.0</v>
      </c>
      <c r="CK11" s="511">
        <f>FinStat!CK$96</f>
        <v>0.0</v>
      </c>
      <c r="CL11" s="511">
        <f>FinStat!CL$96</f>
        <v>0.0</v>
      </c>
      <c r="CM11" s="511">
        <f>FinStat!CM$96</f>
        <v>0.0</v>
      </c>
      <c r="CN11" s="511">
        <f>FinStat!CN$96</f>
        <v>0.0</v>
      </c>
      <c r="CO11" s="511">
        <f>FinStat!CO$96</f>
        <v>0.0</v>
      </c>
    </row>
    <row r="13">
      <c r="A13" s="358" t="n"/>
      <c r="B13" s="358" t="n"/>
      <c r="C13" s="359" t="n"/>
      <c r="D13" s="360" t="n"/>
      <c r="E13" s="390" t="inlineStr">
        <is>
          <t>Minimum DSCR</t>
        </is>
      </c>
      <c r="F13" s="512">
        <f>FinStat!F98</f>
        <v>2.2966072005060587</v>
      </c>
      <c r="G13" s="390" t="inlineStr">
        <is>
          <t>x</t>
        </is>
      </c>
      <c r="H13" s="512" t="n"/>
      <c r="I13" s="487" t="n"/>
      <c r="J13" s="512" t="n"/>
      <c r="K13" s="512" t="n"/>
      <c r="L13" s="512" t="n"/>
      <c r="M13" s="512" t="n"/>
      <c r="N13" s="512" t="n"/>
      <c r="O13" s="512" t="n"/>
      <c r="P13" s="512" t="n"/>
      <c r="Q13" s="512" t="n"/>
      <c r="R13" s="512" t="n"/>
      <c r="S13" s="512" t="n"/>
      <c r="T13" s="512" t="n"/>
      <c r="U13" s="512" t="n"/>
      <c r="V13" s="512" t="n"/>
      <c r="W13" s="512" t="n"/>
      <c r="X13" s="512" t="n"/>
      <c r="Y13" s="512" t="n"/>
      <c r="Z13" s="512" t="n"/>
      <c r="AA13" s="512" t="n"/>
      <c r="AB13" s="512" t="n"/>
      <c r="AC13" s="512" t="n"/>
      <c r="AD13" s="512" t="n"/>
      <c r="AE13" s="512" t="n"/>
      <c r="AF13" s="512" t="n"/>
      <c r="AG13" s="512" t="n"/>
      <c r="AH13" s="512" t="n"/>
      <c r="AI13" s="512" t="n"/>
      <c r="AJ13" s="512" t="n"/>
      <c r="AK13" s="512" t="n"/>
      <c r="AL13" s="512" t="n"/>
      <c r="AM13" s="512" t="n"/>
      <c r="AN13" s="512" t="n"/>
      <c r="AO13" s="512" t="n"/>
      <c r="AP13" s="512" t="n"/>
      <c r="AQ13" s="512" t="n"/>
      <c r="AR13" s="512" t="n"/>
      <c r="AS13" s="512" t="n"/>
      <c r="AT13" s="512" t="n"/>
      <c r="AU13" s="512" t="n"/>
      <c r="AV13" s="512" t="n"/>
      <c r="AW13" s="512" t="n"/>
      <c r="AX13" s="512" t="n"/>
      <c r="AY13" s="512" t="n"/>
      <c r="AZ13" s="512" t="n"/>
      <c r="BA13" s="512" t="n"/>
      <c r="BB13" s="512" t="n"/>
      <c r="BC13" s="512" t="n"/>
      <c r="BD13" s="512" t="n"/>
      <c r="BE13" s="512" t="n"/>
      <c r="BF13" s="512" t="n"/>
      <c r="BG13" s="512" t="n"/>
      <c r="BH13" s="512" t="n"/>
      <c r="BI13" s="512" t="n"/>
      <c r="BJ13" s="512" t="n"/>
      <c r="BK13" s="512" t="n"/>
      <c r="BL13" s="512" t="n"/>
      <c r="BM13" s="512" t="n"/>
      <c r="BN13" s="512" t="n"/>
      <c r="BO13" s="512" t="n"/>
      <c r="BP13" s="512" t="n"/>
      <c r="BQ13" s="512" t="n"/>
      <c r="BR13" s="512" t="n"/>
      <c r="BS13" s="512" t="n"/>
      <c r="BT13" s="512" t="n"/>
      <c r="BU13" s="512" t="n"/>
      <c r="BV13" s="512" t="n"/>
      <c r="BW13" s="512" t="n"/>
      <c r="BX13" s="512" t="n"/>
      <c r="BY13" s="512" t="n"/>
      <c r="BZ13" s="512" t="n"/>
      <c r="CA13" s="512" t="n"/>
      <c r="CB13" s="512" t="n"/>
      <c r="CC13" s="512" t="n"/>
      <c r="CD13" s="512" t="n"/>
      <c r="CE13" s="512" t="n"/>
      <c r="CF13" s="512" t="n"/>
      <c r="CG13" s="512" t="n"/>
      <c r="CH13" s="512" t="n"/>
      <c r="CI13" s="512" t="n"/>
      <c r="CJ13" s="512" t="n"/>
      <c r="CK13" s="512" t="n"/>
      <c r="CL13" s="512" t="n"/>
      <c r="CM13" s="512" t="n"/>
      <c r="CN13" s="512" t="n"/>
      <c r="CO13" s="512" t="n"/>
    </row>
    <row r="14">
      <c r="A14" s="358" t="n"/>
      <c r="B14" s="358" t="n"/>
      <c r="C14" s="359" t="n"/>
      <c r="D14" s="360" t="n"/>
      <c r="E14" s="390" t="inlineStr">
        <is>
          <t>Average DSCR</t>
        </is>
      </c>
      <c r="F14" s="512">
        <f>FinStat!F99</f>
        <v>2.398417170529355</v>
      </c>
      <c r="G14" s="390" t="inlineStr">
        <is>
          <t>x</t>
        </is>
      </c>
      <c r="H14" s="512" t="n"/>
      <c r="I14" s="487" t="n"/>
      <c r="J14" s="512" t="n"/>
      <c r="K14" s="512" t="n"/>
      <c r="L14" s="512" t="n"/>
      <c r="M14" s="512" t="n"/>
      <c r="N14" s="512" t="n"/>
      <c r="O14" s="512" t="n"/>
      <c r="P14" s="512" t="n"/>
      <c r="Q14" s="512" t="n"/>
      <c r="R14" s="512" t="n"/>
      <c r="S14" s="512" t="n"/>
      <c r="T14" s="512" t="n"/>
      <c r="U14" s="512" t="n"/>
      <c r="V14" s="512" t="n"/>
      <c r="W14" s="512" t="n"/>
      <c r="X14" s="512" t="n"/>
      <c r="Y14" s="512" t="n"/>
      <c r="Z14" s="512" t="n"/>
      <c r="AA14" s="512" t="n"/>
      <c r="AB14" s="512" t="n"/>
      <c r="AC14" s="512" t="n"/>
      <c r="AD14" s="512" t="n"/>
      <c r="AE14" s="512" t="n"/>
      <c r="AF14" s="512" t="n"/>
      <c r="AG14" s="512" t="n"/>
      <c r="AH14" s="512" t="n"/>
      <c r="AI14" s="512" t="n"/>
      <c r="AJ14" s="512" t="n"/>
      <c r="AK14" s="512" t="n"/>
      <c r="AL14" s="512" t="n"/>
      <c r="AM14" s="512" t="n"/>
      <c r="AN14" s="512" t="n"/>
      <c r="AO14" s="512" t="n"/>
      <c r="AP14" s="512" t="n"/>
      <c r="AQ14" s="512" t="n"/>
      <c r="AR14" s="512" t="n"/>
      <c r="AS14" s="512" t="n"/>
      <c r="AT14" s="512" t="n"/>
      <c r="AU14" s="512" t="n"/>
      <c r="AV14" s="512" t="n"/>
      <c r="AW14" s="512" t="n"/>
      <c r="AX14" s="512" t="n"/>
      <c r="AY14" s="512" t="n"/>
      <c r="AZ14" s="512" t="n"/>
      <c r="BA14" s="512" t="n"/>
      <c r="BB14" s="512" t="n"/>
      <c r="BC14" s="512" t="n"/>
      <c r="BD14" s="512" t="n"/>
      <c r="BE14" s="512" t="n"/>
      <c r="BF14" s="512" t="n"/>
      <c r="BG14" s="512" t="n"/>
      <c r="BH14" s="512" t="n"/>
      <c r="BI14" s="512" t="n"/>
      <c r="BJ14" s="512" t="n"/>
      <c r="BK14" s="512" t="n"/>
      <c r="BL14" s="512" t="n"/>
      <c r="BM14" s="512" t="n"/>
      <c r="BN14" s="512" t="n"/>
      <c r="BO14" s="512" t="n"/>
      <c r="BP14" s="512" t="n"/>
      <c r="BQ14" s="512" t="n"/>
      <c r="BR14" s="512" t="n"/>
      <c r="BS14" s="512" t="n"/>
      <c r="BT14" s="512" t="n"/>
      <c r="BU14" s="512" t="n"/>
      <c r="BV14" s="512" t="n"/>
      <c r="BW14" s="512" t="n"/>
      <c r="BX14" s="512" t="n"/>
      <c r="BY14" s="512" t="n"/>
      <c r="BZ14" s="512" t="n"/>
      <c r="CA14" s="512" t="n"/>
      <c r="CB14" s="512" t="n"/>
      <c r="CC14" s="512" t="n"/>
      <c r="CD14" s="512" t="n"/>
      <c r="CE14" s="512" t="n"/>
      <c r="CF14" s="512" t="n"/>
      <c r="CG14" s="512" t="n"/>
      <c r="CH14" s="512" t="n"/>
      <c r="CI14" s="512" t="n"/>
      <c r="CJ14" s="512" t="n"/>
      <c r="CK14" s="512" t="n"/>
      <c r="CL14" s="512" t="n"/>
      <c r="CM14" s="512" t="n"/>
      <c r="CN14" s="512" t="n"/>
      <c r="CO14" s="512" t="n"/>
    </row>
    <row r="16">
      <c r="A16" s="294" t="inlineStr">
        <is>
          <t>LOAN LIFE COVER RATIO (LLCR)</t>
        </is>
      </c>
    </row>
    <row r="17">
      <c r="E17" s="324" t="inlineStr">
        <is>
          <t>Periodic discount rate (debt cost)</t>
        </is>
      </c>
      <c r="F17" s="507" t="n"/>
      <c r="G17" s="324" t="inlineStr">
        <is>
          <t>%</t>
        </is>
      </c>
      <c r="H17" s="507" t="n"/>
      <c r="I17" s="507" t="n"/>
      <c r="J17" s="507">
        <f>Sculpt!J$19</f>
        <v>0.01661111111111111</v>
      </c>
      <c r="K17" s="507">
        <f>Sculpt!K$19</f>
        <v>0.01661111111111111</v>
      </c>
      <c r="L17" s="507">
        <f>Sculpt!L$19</f>
        <v>0.01625</v>
      </c>
      <c r="M17" s="507">
        <f>Sculpt!M$19</f>
        <v>0.016430555555555556</v>
      </c>
      <c r="N17" s="507">
        <f>Sculpt!N$19</f>
        <v>0.01661111111111111</v>
      </c>
      <c r="O17" s="507">
        <f>Sculpt!O$19</f>
        <v>0.01661111111111111</v>
      </c>
      <c r="P17" s="507">
        <f>Sculpt!P$19</f>
        <v>0.01625</v>
      </c>
      <c r="Q17" s="507">
        <f>Sculpt!Q$19</f>
        <v>0.016430555555555556</v>
      </c>
      <c r="R17" s="507">
        <f>Sculpt!R$19</f>
        <v>0.01661111111111111</v>
      </c>
      <c r="S17" s="507">
        <f>Sculpt!S$19</f>
        <v>0.01661111111111111</v>
      </c>
      <c r="T17" s="507">
        <f>Sculpt!T$19</f>
        <v>0.016430555555555556</v>
      </c>
      <c r="U17" s="507">
        <f>Sculpt!U$19</f>
        <v>0.016430555555555556</v>
      </c>
      <c r="V17" s="507">
        <f>Sculpt!V$19</f>
        <v>0.01661111111111111</v>
      </c>
      <c r="W17" s="507">
        <f>Sculpt!W$19</f>
        <v>0.01661111111111111</v>
      </c>
      <c r="X17" s="507">
        <f>Sculpt!X$19</f>
        <v>0.01625</v>
      </c>
      <c r="Y17" s="507">
        <f>Sculpt!Y$19</f>
        <v>0.016430555555555556</v>
      </c>
      <c r="Z17" s="507">
        <f>Sculpt!Z$19</f>
        <v>0.01661111111111111</v>
      </c>
      <c r="AA17" s="507">
        <f>Sculpt!AA$19</f>
        <v>0.01661111111111111</v>
      </c>
      <c r="AB17" s="507">
        <f>Sculpt!AB$19</f>
        <v>0.01625</v>
      </c>
      <c r="AC17" s="507">
        <f>Sculpt!AC$19</f>
        <v>0.016430555555555556</v>
      </c>
      <c r="AD17" s="507">
        <f>Sculpt!AD$19</f>
        <v>0.01661111111111111</v>
      </c>
      <c r="AE17" s="507">
        <f>Sculpt!AE$19</f>
        <v>0.01661111111111111</v>
      </c>
      <c r="AF17" s="507">
        <f>Sculpt!AF$19</f>
        <v>0.01625</v>
      </c>
      <c r="AG17" s="507">
        <f>Sculpt!AG$19</f>
        <v>0.016430555555555556</v>
      </c>
      <c r="AH17" s="507">
        <f>Sculpt!AH$19</f>
        <v>0.01661111111111111</v>
      </c>
      <c r="AI17" s="507">
        <f>Sculpt!AI$19</f>
        <v>0.01661111111111111</v>
      </c>
      <c r="AJ17" s="507">
        <f>Sculpt!AJ$19</f>
        <v>0.016430555555555556</v>
      </c>
      <c r="AK17" s="507">
        <f>Sculpt!AK$19</f>
        <v>0.016430555555555556</v>
      </c>
      <c r="AL17" s="507">
        <f>Sculpt!AL$19</f>
        <v>0.01661111111111111</v>
      </c>
      <c r="AM17" s="507">
        <f>Sculpt!AM$19</f>
        <v>0.01661111111111111</v>
      </c>
      <c r="AN17" s="507">
        <f>Sculpt!AN$19</f>
        <v>0.01625</v>
      </c>
      <c r="AO17" s="507">
        <f>Sculpt!AO$19</f>
        <v>0.016430555555555556</v>
      </c>
      <c r="AP17" s="507">
        <f>Sculpt!AP$19</f>
        <v>0.01661111111111111</v>
      </c>
      <c r="AQ17" s="507">
        <f>Sculpt!AQ$19</f>
        <v>0.01661111111111111</v>
      </c>
      <c r="AR17" s="507">
        <f>Sculpt!AR$19</f>
        <v>0.01625</v>
      </c>
      <c r="AS17" s="507">
        <f>Sculpt!AS$19</f>
        <v>0.016430555555555556</v>
      </c>
      <c r="AT17" s="507">
        <f>Sculpt!AT$19</f>
        <v>0.01661111111111111</v>
      </c>
      <c r="AU17" s="507">
        <f>Sculpt!AU$19</f>
        <v>0.01661111111111111</v>
      </c>
      <c r="AV17" s="507">
        <f>Sculpt!AV$19</f>
        <v>0.01625</v>
      </c>
      <c r="AW17" s="507">
        <f>Sculpt!AW$19</f>
        <v>0.016430555555555556</v>
      </c>
      <c r="AX17" s="507">
        <f>Sculpt!AX$19</f>
        <v>0.01661111111111111</v>
      </c>
      <c r="AY17" s="507">
        <f>Sculpt!AY$19</f>
        <v>0.01661111111111111</v>
      </c>
      <c r="AZ17" s="507">
        <f>Sculpt!AZ$19</f>
        <v>0.016430555555555556</v>
      </c>
      <c r="BA17" s="507">
        <f>Sculpt!BA$19</f>
        <v>0.016430555555555556</v>
      </c>
      <c r="BB17" s="507">
        <f>Sculpt!BB$19</f>
        <v>0.01661111111111111</v>
      </c>
      <c r="BC17" s="507">
        <f>Sculpt!BC$19</f>
        <v>0.01661111111111111</v>
      </c>
      <c r="BD17" s="507">
        <f>Sculpt!BD$19</f>
        <v>0.01625</v>
      </c>
      <c r="BE17" s="507">
        <f>Sculpt!BE$19</f>
        <v>0.016430555555555556</v>
      </c>
      <c r="BF17" s="507">
        <f>Sculpt!BF$19</f>
        <v>0.01661111111111111</v>
      </c>
      <c r="BG17" s="507">
        <f>Sculpt!BG$19</f>
        <v>0.01661111111111111</v>
      </c>
      <c r="BH17" s="507">
        <f>Sculpt!BH$19</f>
        <v>0.01625</v>
      </c>
      <c r="BI17" s="507">
        <f>Sculpt!BI$19</f>
        <v>0.016430555555555556</v>
      </c>
      <c r="BJ17" s="507">
        <f>Sculpt!BJ$19</f>
        <v>0.01661111111111111</v>
      </c>
      <c r="BK17" s="507">
        <f>Sculpt!BK$19</f>
        <v>0.01661111111111111</v>
      </c>
      <c r="BL17" s="507">
        <f>Sculpt!BL$19</f>
        <v>0.01625</v>
      </c>
      <c r="BM17" s="507">
        <f>Sculpt!BM$19</f>
        <v>0.016430555555555556</v>
      </c>
      <c r="BN17" s="507">
        <f>Sculpt!BN$19</f>
        <v>0.01661111111111111</v>
      </c>
      <c r="BO17" s="507">
        <f>Sculpt!BO$19</f>
        <v>0.01661111111111111</v>
      </c>
      <c r="BP17" s="507">
        <f>Sculpt!BP$19</f>
        <v>0.016430555555555556</v>
      </c>
      <c r="BQ17" s="507">
        <f>Sculpt!BQ$19</f>
        <v>0.016430555555555556</v>
      </c>
      <c r="BR17" s="507">
        <f>Sculpt!BR$19</f>
        <v>0.01661111111111111</v>
      </c>
      <c r="BS17" s="507">
        <f>Sculpt!BS$19</f>
        <v>0.01661111111111111</v>
      </c>
      <c r="BT17" s="507">
        <f>Sculpt!BT$19</f>
        <v>0.01625</v>
      </c>
      <c r="BU17" s="507">
        <f>Sculpt!BU$19</f>
        <v>0.016430555555555556</v>
      </c>
      <c r="BV17" s="507">
        <f>Sculpt!BV$19</f>
        <v>0.01661111111111111</v>
      </c>
      <c r="BW17" s="507">
        <f>Sculpt!BW$19</f>
        <v>0.01661111111111111</v>
      </c>
      <c r="BX17" s="507">
        <f>Sculpt!BX$19</f>
        <v>0.01625</v>
      </c>
      <c r="BY17" s="507">
        <f>Sculpt!BY$19</f>
        <v>0.016430555555555556</v>
      </c>
      <c r="BZ17" s="507">
        <f>Sculpt!BZ$19</f>
        <v>0.01661111111111111</v>
      </c>
      <c r="CA17" s="507">
        <f>Sculpt!CA$19</f>
        <v>0.01661111111111111</v>
      </c>
      <c r="CB17" s="507">
        <f>Sculpt!CB$19</f>
        <v>0.01625</v>
      </c>
      <c r="CC17" s="507">
        <f>Sculpt!CC$19</f>
        <v>0.016430555555555556</v>
      </c>
      <c r="CD17" s="507">
        <f>Sculpt!CD$19</f>
        <v>0.01661111111111111</v>
      </c>
      <c r="CE17" s="507">
        <f>Sculpt!CE$19</f>
        <v>0.01661111111111111</v>
      </c>
      <c r="CF17" s="507">
        <f>Sculpt!CF$19</f>
        <v>0.016430555555555556</v>
      </c>
      <c r="CG17" s="507">
        <f>Sculpt!CG$19</f>
        <v>0.016430555555555556</v>
      </c>
      <c r="CH17" s="507">
        <f>Sculpt!CH$19</f>
        <v>0.01661111111111111</v>
      </c>
      <c r="CI17" s="507">
        <f>Sculpt!CI$19</f>
        <v>0.01661111111111111</v>
      </c>
      <c r="CJ17" s="507">
        <f>Sculpt!CJ$19</f>
        <v>0.01625</v>
      </c>
      <c r="CK17" s="507">
        <f>Sculpt!CK$19</f>
        <v>0.016430555555555556</v>
      </c>
      <c r="CL17" s="507">
        <f>Sculpt!CL$19</f>
        <v>0.01661111111111111</v>
      </c>
      <c r="CM17" s="507">
        <f>Sculpt!CM$19</f>
        <v>0.01661111111111111</v>
      </c>
      <c r="CN17" s="507">
        <f>Sculpt!CN$19</f>
        <v>0.01625</v>
      </c>
      <c r="CO17" s="507">
        <f>Sculpt!CO$19</f>
        <v>0.016430555555555556</v>
      </c>
    </row>
    <row r="18">
      <c r="E18" s="61" t="inlineStr">
        <is>
          <t>CFADS in loan life</t>
        </is>
      </c>
      <c r="F18" s="484" t="n"/>
      <c r="G18" s="61" t="inlineStr">
        <is>
          <t>$ 000s</t>
        </is>
      </c>
      <c r="H18" s="490" t="n"/>
      <c r="I18" s="484" t="n"/>
      <c r="J18" s="490">
        <f>FinStat!J$39*Sculpt!J$12</f>
        <v>0.0</v>
      </c>
      <c r="K18" s="490">
        <f>FinStat!K$39*Sculpt!K$12</f>
        <v>0.0</v>
      </c>
      <c r="L18" s="490">
        <f>FinStat!L$39*Sculpt!L$12</f>
        <v>5498.001782667919</v>
      </c>
      <c r="M18" s="490">
        <f>FinStat!M$39*Sculpt!M$12</f>
        <v>5698.685260914366</v>
      </c>
      <c r="N18" s="490">
        <f>FinStat!N$39*Sculpt!N$12</f>
        <v>5814.807667235052</v>
      </c>
      <c r="O18" s="490">
        <f>FinStat!O$39*Sculpt!O$12</f>
        <v>5630.275697687297</v>
      </c>
      <c r="P18" s="490">
        <f>FinStat!P$39*Sculpt!P$12</f>
        <v>5742.4285992494815</v>
      </c>
      <c r="Q18" s="490">
        <f>FinStat!Q$39*Sculpt!Q$12</f>
        <v>5576.796199801479</v>
      </c>
      <c r="R18" s="490">
        <f>FinStat!R$39*Sculpt!R$12</f>
        <v>5733.681888198695</v>
      </c>
      <c r="S18" s="490">
        <f>FinStat!S$39*Sculpt!S$12</f>
        <v>3546.921645638729</v>
      </c>
      <c r="T18" s="490">
        <f>FinStat!T$39*Sculpt!T$12</f>
        <v>5859.529963218596</v>
      </c>
      <c r="U18" s="490">
        <f>FinStat!U$39*Sculpt!U$12</f>
        <v>5753.423440593838</v>
      </c>
      <c r="V18" s="490">
        <f>FinStat!V$39*Sculpt!V$12</f>
        <v>5928.619829065838</v>
      </c>
      <c r="W18" s="490">
        <f>FinStat!W$39*Sculpt!W$12</f>
        <v>4733.343827136573</v>
      </c>
      <c r="X18" s="490">
        <f>FinStat!X$39*Sculpt!X$12</f>
        <v>5894.259300463952</v>
      </c>
      <c r="Y18" s="490">
        <f>FinStat!Y$39*Sculpt!Y$12</f>
        <v>5718.622906968056</v>
      </c>
      <c r="Z18" s="490">
        <f>FinStat!Z$39*Sculpt!Z$12</f>
        <v>5891.686497116831</v>
      </c>
      <c r="AA18" s="490">
        <f>FinStat!AA$39*Sculpt!AA$12</f>
        <v>4188.620897315466</v>
      </c>
      <c r="AB18" s="490">
        <f>FinStat!AB$39*Sculpt!AB$12</f>
        <v>5870.674271503657</v>
      </c>
      <c r="AC18" s="490">
        <f>FinStat!AC$39*Sculpt!AC$12</f>
        <v>5697.273685416409</v>
      </c>
      <c r="AD18" s="490">
        <f>FinStat!AD$39*Sculpt!AD$12</f>
        <v>6172.616534259255</v>
      </c>
      <c r="AE18" s="490">
        <f>FinStat!AE$39*Sculpt!AE$12</f>
        <v>5140.274473581392</v>
      </c>
      <c r="AF18" s="490">
        <f>FinStat!AF$39*Sculpt!AF$12</f>
        <v>6330.1455472987</v>
      </c>
      <c r="AG18" s="490">
        <f>FinStat!AG$39*Sculpt!AG$12</f>
        <v>6160.673153904522</v>
      </c>
      <c r="AH18" s="490">
        <f>FinStat!AH$39*Sculpt!AH$12</f>
        <v>6365.559413218637</v>
      </c>
      <c r="AI18" s="490">
        <f>FinStat!AI$39*Sculpt!AI$12</f>
        <v>5657.853147505068</v>
      </c>
      <c r="AJ18" s="490">
        <f>FinStat!AJ$39*Sculpt!AJ$12</f>
        <v>6363.502236978278</v>
      </c>
      <c r="AK18" s="490">
        <f>FinStat!AK$39*Sculpt!AK$12</f>
        <v>6172.625478694768</v>
      </c>
      <c r="AL18" s="490">
        <f>FinStat!AL$39*Sculpt!AL$12</f>
        <v>6397.436003535895</v>
      </c>
      <c r="AM18" s="490">
        <f>FinStat!AM$39*Sculpt!AM$12</f>
        <v>5481.7391250268665</v>
      </c>
      <c r="AN18" s="490">
        <f>FinStat!AN$39*Sculpt!AN$12</f>
        <v>6894.806911470035</v>
      </c>
      <c r="AO18" s="490">
        <f>FinStat!AO$39*Sculpt!AO$12</f>
        <v>6726.955158003132</v>
      </c>
      <c r="AP18" s="490">
        <f>FinStat!AP$39*Sculpt!AP$12</f>
        <v>6961.216831839529</v>
      </c>
      <c r="AQ18" s="490">
        <f>FinStat!AQ$39*Sculpt!AQ$12</f>
        <v>5743.758111863657</v>
      </c>
      <c r="AR18" s="490">
        <f>FinStat!AR$39*Sculpt!AR$12</f>
        <v>6971.679142438044</v>
      </c>
      <c r="AS18" s="490">
        <f>FinStat!AS$39*Sculpt!AS$12</f>
        <v>6801.317630792549</v>
      </c>
      <c r="AT18" s="490">
        <f>FinStat!AT$39*Sculpt!AT$12</f>
        <v>7044.900478666088</v>
      </c>
      <c r="AU18" s="490">
        <f>FinStat!AU$39*Sculpt!AU$12</f>
        <v>6823.612225305964</v>
      </c>
      <c r="AV18" s="490">
        <f>FinStat!AV$39*Sculpt!AV$12</f>
        <v>7044.459383760724</v>
      </c>
      <c r="AW18" s="490">
        <f>FinStat!AW$39*Sculpt!AW$12</f>
        <v>6871.448144016408</v>
      </c>
      <c r="AX18" s="490">
        <f>FinStat!AX$39*Sculpt!AX$12</f>
        <v>7506.466947081908</v>
      </c>
      <c r="AY18" s="490">
        <f>FinStat!AY$39*Sculpt!AY$12</f>
        <v>7507.217953393893</v>
      </c>
      <c r="AZ18" s="490">
        <f>FinStat!AZ$39*Sculpt!AZ$12</f>
        <v>0.0</v>
      </c>
      <c r="BA18" s="490">
        <f>FinStat!BA$39*Sculpt!BA$12</f>
        <v>0.0</v>
      </c>
      <c r="BB18" s="490">
        <f>FinStat!BB$39*Sculpt!BB$12</f>
        <v>0.0</v>
      </c>
      <c r="BC18" s="490">
        <f>FinStat!BC$39*Sculpt!BC$12</f>
        <v>0.0</v>
      </c>
      <c r="BD18" s="490">
        <f>FinStat!BD$39*Sculpt!BD$12</f>
        <v>0.0</v>
      </c>
      <c r="BE18" s="490">
        <f>FinStat!BE$39*Sculpt!BE$12</f>
        <v>0.0</v>
      </c>
      <c r="BF18" s="490">
        <f>FinStat!BF$39*Sculpt!BF$12</f>
        <v>0.0</v>
      </c>
      <c r="BG18" s="490">
        <f>FinStat!BG$39*Sculpt!BG$12</f>
        <v>0.0</v>
      </c>
      <c r="BH18" s="490">
        <f>FinStat!BH$39*Sculpt!BH$12</f>
        <v>0.0</v>
      </c>
      <c r="BI18" s="490">
        <f>FinStat!BI$39*Sculpt!BI$12</f>
        <v>0.0</v>
      </c>
      <c r="BJ18" s="490">
        <f>FinStat!BJ$39*Sculpt!BJ$12</f>
        <v>0.0</v>
      </c>
      <c r="BK18" s="490">
        <f>FinStat!BK$39*Sculpt!BK$12</f>
        <v>0.0</v>
      </c>
      <c r="BL18" s="490">
        <f>FinStat!BL$39*Sculpt!BL$12</f>
        <v>0.0</v>
      </c>
      <c r="BM18" s="490">
        <f>FinStat!BM$39*Sculpt!BM$12</f>
        <v>0.0</v>
      </c>
      <c r="BN18" s="490">
        <f>FinStat!BN$39*Sculpt!BN$12</f>
        <v>0.0</v>
      </c>
      <c r="BO18" s="490">
        <f>FinStat!BO$39*Sculpt!BO$12</f>
        <v>0.0</v>
      </c>
      <c r="BP18" s="490">
        <f>FinStat!BP$39*Sculpt!BP$12</f>
        <v>0.0</v>
      </c>
      <c r="BQ18" s="490">
        <f>FinStat!BQ$39*Sculpt!BQ$12</f>
        <v>0.0</v>
      </c>
      <c r="BR18" s="490">
        <f>FinStat!BR$39*Sculpt!BR$12</f>
        <v>0.0</v>
      </c>
      <c r="BS18" s="490">
        <f>FinStat!BS$39*Sculpt!BS$12</f>
        <v>0.0</v>
      </c>
      <c r="BT18" s="490">
        <f>FinStat!BT$39*Sculpt!BT$12</f>
        <v>0.0</v>
      </c>
      <c r="BU18" s="490">
        <f>FinStat!BU$39*Sculpt!BU$12</f>
        <v>0.0</v>
      </c>
      <c r="BV18" s="490">
        <f>FinStat!BV$39*Sculpt!BV$12</f>
        <v>0.0</v>
      </c>
      <c r="BW18" s="490">
        <f>FinStat!BW$39*Sculpt!BW$12</f>
        <v>0.0</v>
      </c>
      <c r="BX18" s="490">
        <f>FinStat!BX$39*Sculpt!BX$12</f>
        <v>0.0</v>
      </c>
      <c r="BY18" s="490">
        <f>FinStat!BY$39*Sculpt!BY$12</f>
        <v>0.0</v>
      </c>
      <c r="BZ18" s="490">
        <f>FinStat!BZ$39*Sculpt!BZ$12</f>
        <v>0.0</v>
      </c>
      <c r="CA18" s="490">
        <f>FinStat!CA$39*Sculpt!CA$12</f>
        <v>0.0</v>
      </c>
      <c r="CB18" s="490">
        <f>FinStat!CB$39*Sculpt!CB$12</f>
        <v>0.0</v>
      </c>
      <c r="CC18" s="490">
        <f>FinStat!CC$39*Sculpt!CC$12</f>
        <v>0.0</v>
      </c>
      <c r="CD18" s="490">
        <f>FinStat!CD$39*Sculpt!CD$12</f>
        <v>0.0</v>
      </c>
      <c r="CE18" s="490">
        <f>FinStat!CE$39*Sculpt!CE$12</f>
        <v>0.0</v>
      </c>
      <c r="CF18" s="490">
        <f>FinStat!CF$39*Sculpt!CF$12</f>
        <v>0.0</v>
      </c>
      <c r="CG18" s="490">
        <f>FinStat!CG$39*Sculpt!CG$12</f>
        <v>0.0</v>
      </c>
      <c r="CH18" s="490">
        <f>FinStat!CH$39*Sculpt!CH$12</f>
        <v>0.0</v>
      </c>
      <c r="CI18" s="490">
        <f>FinStat!CI$39*Sculpt!CI$12</f>
        <v>0.0</v>
      </c>
      <c r="CJ18" s="490">
        <f>FinStat!CJ$39*Sculpt!CJ$12</f>
        <v>0.0</v>
      </c>
      <c r="CK18" s="490">
        <f>FinStat!CK$39*Sculpt!CK$12</f>
        <v>0.0</v>
      </c>
      <c r="CL18" s="490">
        <f>FinStat!CL$39*Sculpt!CL$12</f>
        <v>0.0</v>
      </c>
      <c r="CM18" s="490">
        <f>FinStat!CM$39*Sculpt!CM$12</f>
        <v>0.0</v>
      </c>
      <c r="CN18" s="490">
        <f>FinStat!CN$39*Sculpt!CN$12</f>
        <v>0.0</v>
      </c>
      <c r="CO18" s="490">
        <f>FinStat!CO$39*Sculpt!CO$12</f>
        <v>-0.0</v>
      </c>
    </row>
    <row r="19">
      <c r="E19" s="61" t="inlineStr">
        <is>
          <t>PV of CFADS in loan life (END of period)</t>
        </is>
      </c>
      <c r="F19" s="484" t="n"/>
      <c r="G19" s="61" t="inlineStr">
        <is>
          <t>$ 000s</t>
        </is>
      </c>
      <c r="H19" s="490" t="n"/>
      <c r="I19" s="484" t="n"/>
      <c r="J19" s="490">
        <f>(K19+K18)/(1+K17)</f>
        <v>170330.46849065914</v>
      </c>
      <c r="K19" s="490">
        <f>(L19+L18)/(1+L17)</f>
        <v>173159.8468283651</v>
      </c>
      <c r="L19" s="490">
        <f>(M19+M18)/(1+M17)</f>
        <v>170475.69255665812</v>
      </c>
      <c r="M19" s="490">
        <f>(N19+N18)/(1+N17)</f>
        <v>167578.01763316774</v>
      </c>
      <c r="N19" s="490">
        <f>(O19+O18)/(1+O17)</f>
        <v>164546.86703661695</v>
      </c>
      <c r="O19" s="490">
        <f>(P19+P18)/(1+P17)</f>
        <v>161649.89763026012</v>
      </c>
      <c r="P19" s="490">
        <f>(Q19+Q18)/(1+Q17)</f>
        <v>158534.2798675024</v>
      </c>
      <c r="Q19" s="490">
        <f>(R19+R18)/(1+R17)</f>
        <v>155562.28996052392</v>
      </c>
      <c r="R19" s="490">
        <f>(S19+S18)/(1+S17)</f>
        <v>152412.67055555838</v>
      </c>
      <c r="S19" s="490">
        <f>(T19+T18)/(1+T17)</f>
        <v>151397.4927152592</v>
      </c>
      <c r="T19" s="490">
        <f>(U19+U18)/(1+U17)</f>
        <v>148025.50766707046</v>
      </c>
      <c r="U19" s="490">
        <f>(V19+V18)/(1+V17)</f>
        <v>144704.22555383973</v>
      </c>
      <c r="V19" s="490">
        <f>(W19+W18)/(1+W17)</f>
        <v>141179.303693696</v>
      </c>
      <c r="W19" s="490">
        <f>(X19+X18)/(1+X17)</f>
        <v>138791.10496680473</v>
      </c>
      <c r="X19" s="490">
        <f>(Y19+Y18)/(1+Y17)</f>
        <v>135152.20112205137</v>
      </c>
      <c r="Y19" s="490">
        <f>(Z19+Z18)/(1+Z17)</f>
        <v>131654.20396407478</v>
      </c>
      <c r="Z19" s="490">
        <f>(AA19+AA18)/(1+AA17)</f>
        <v>127949.44007725007</v>
      </c>
      <c r="AA19" s="490">
        <f>(AB19+AB18)/(1+AB17)</f>
        <v>125886.20154566225</v>
      </c>
      <c r="AB19" s="490">
        <f>(AC19+AC18)/(1+AC17)</f>
        <v>122061.17804927562</v>
      </c>
      <c r="AC19" s="490">
        <f>(AD19+AD18)/(1+AD17)</f>
        <v>118369.43733097438</v>
      </c>
      <c r="AD19" s="490">
        <f>(AE19+AE18)/(1+AE17)</f>
        <v>114163.06867237964</v>
      </c>
      <c r="AE19" s="490">
        <f>(AF19+AF18)/(1+AF17)</f>
        <v>110919.16961730056</v>
      </c>
      <c r="AF19" s="490">
        <f>(AG19+AG18)/(1+AG17)</f>
        <v>106391.460576283</v>
      </c>
      <c r="AG19" s="490">
        <f>(AH19+AH18)/(1+AH17)</f>
        <v>101978.85822601379</v>
      </c>
      <c r="AH19" s="490">
        <f>(AI19+AI18)/(1+AI17)</f>
        <v>97307.28095777171</v>
      </c>
      <c r="AI19" s="490">
        <f>(AJ19+AJ18)/(1+AJ17)</f>
        <v>93265.80986617629</v>
      </c>
      <c r="AJ19" s="490">
        <f>(AK19+AK18)/(1+AK17)</f>
        <v>88434.7166996381</v>
      </c>
      <c r="AK19" s="490">
        <f>(AL19+AL18)/(1+AL17)</f>
        <v>83715.12274671654</v>
      </c>
      <c r="AL19" s="490">
        <f>(AM19+AM18)/(1+AM17)</f>
        <v>78708.28794880667</v>
      </c>
      <c r="AM19" s="490">
        <f>(AN19+AN18)/(1+AN17)</f>
        <v>74533.98094026276</v>
      </c>
      <c r="AN19" s="490">
        <f>(AO19+AO18)/(1+AO17)</f>
        <v>68850.351219072</v>
      </c>
      <c r="AO19" s="490">
        <f>(AP19+AP18)/(1+AP17)</f>
        <v>63254.645581793346</v>
      </c>
      <c r="AP19" s="490">
        <f>(AQ19+AQ18)/(1+AQ17)</f>
        <v>57344.15869600694</v>
      </c>
      <c r="AQ19" s="490">
        <f>(AR19+AR18)/(1+AR17)</f>
        <v>52552.95077581584</v>
      </c>
      <c r="AR19" s="490">
        <f>(AS19+AS18)/(1+AS17)</f>
        <v>46435.257083484816</v>
      </c>
      <c r="AS19" s="490">
        <f>(AT19+AT18)/(1+AT17)</f>
        <v>40396.89652393897</v>
      </c>
      <c r="AT19" s="490">
        <f>(AU19+AU18)/(1+AU17)</f>
        <v>34023.03338197609</v>
      </c>
      <c r="AU19" s="490">
        <f>(AV19+AV18)/(1+AV17)</f>
        <v>27764.581544515175</v>
      </c>
      <c r="AV19" s="490">
        <f>(AW19+AW18)/(1+AW17)</f>
        <v>21171.296610852824</v>
      </c>
      <c r="AW19" s="490">
        <f>(AX19+AX18)/(1+AX17)</f>
        <v>14647.704631984176</v>
      </c>
      <c r="AX19" s="490">
        <f>(AY19+AY18)/(1+AY17)</f>
        <v>7384.552334066893</v>
      </c>
      <c r="AY19" s="490">
        <f>(AZ19+AZ18)/(1+AZ17)</f>
        <v>0.0</v>
      </c>
      <c r="AZ19" s="490">
        <f>(BA19+BA18)/(1+BA17)</f>
        <v>0.0</v>
      </c>
      <c r="BA19" s="490">
        <f>(BB19+BB18)/(1+BB17)</f>
        <v>0.0</v>
      </c>
      <c r="BB19" s="490">
        <f>(BC19+BC18)/(1+BC17)</f>
        <v>0.0</v>
      </c>
      <c r="BC19" s="490">
        <f>(BD19+BD18)/(1+BD17)</f>
        <v>0.0</v>
      </c>
      <c r="BD19" s="490">
        <f>(BE19+BE18)/(1+BE17)</f>
        <v>0.0</v>
      </c>
      <c r="BE19" s="490">
        <f>(BF19+BF18)/(1+BF17)</f>
        <v>0.0</v>
      </c>
      <c r="BF19" s="490">
        <f>(BG19+BG18)/(1+BG17)</f>
        <v>0.0</v>
      </c>
      <c r="BG19" s="490">
        <f>(BH19+BH18)/(1+BH17)</f>
        <v>0.0</v>
      </c>
      <c r="BH19" s="490">
        <f>(BI19+BI18)/(1+BI17)</f>
        <v>0.0</v>
      </c>
      <c r="BI19" s="490">
        <f>(BJ19+BJ18)/(1+BJ17)</f>
        <v>0.0</v>
      </c>
      <c r="BJ19" s="490">
        <f>(BK19+BK18)/(1+BK17)</f>
        <v>0.0</v>
      </c>
      <c r="BK19" s="490">
        <f>(BL19+BL18)/(1+BL17)</f>
        <v>0.0</v>
      </c>
      <c r="BL19" s="490">
        <f>(BM19+BM18)/(1+BM17)</f>
        <v>0.0</v>
      </c>
      <c r="BM19" s="490">
        <f>(BN19+BN18)/(1+BN17)</f>
        <v>0.0</v>
      </c>
      <c r="BN19" s="490">
        <f>(BO19+BO18)/(1+BO17)</f>
        <v>0.0</v>
      </c>
      <c r="BO19" s="490">
        <f>(BP19+BP18)/(1+BP17)</f>
        <v>0.0</v>
      </c>
      <c r="BP19" s="490">
        <f>(BQ19+BQ18)/(1+BQ17)</f>
        <v>0.0</v>
      </c>
      <c r="BQ19" s="490">
        <f>(BR19+BR18)/(1+BR17)</f>
        <v>0.0</v>
      </c>
      <c r="BR19" s="490">
        <f>(BS19+BS18)/(1+BS17)</f>
        <v>0.0</v>
      </c>
      <c r="BS19" s="490">
        <f>(BT19+BT18)/(1+BT17)</f>
        <v>0.0</v>
      </c>
      <c r="BT19" s="490">
        <f>(BU19+BU18)/(1+BU17)</f>
        <v>0.0</v>
      </c>
      <c r="BU19" s="490">
        <f>(BV19+BV18)/(1+BV17)</f>
        <v>0.0</v>
      </c>
      <c r="BV19" s="490">
        <f>(BW19+BW18)/(1+BW17)</f>
        <v>0.0</v>
      </c>
      <c r="BW19" s="490">
        <f>(BX19+BX18)/(1+BX17)</f>
        <v>0.0</v>
      </c>
      <c r="BX19" s="490">
        <f>(BY19+BY18)/(1+BY17)</f>
        <v>0.0</v>
      </c>
      <c r="BY19" s="490">
        <f>(BZ19+BZ18)/(1+BZ17)</f>
        <v>0.0</v>
      </c>
      <c r="BZ19" s="490">
        <f>(CA19+CA18)/(1+CA17)</f>
        <v>0.0</v>
      </c>
      <c r="CA19" s="490">
        <f>(CB19+CB18)/(1+CB17)</f>
        <v>0.0</v>
      </c>
      <c r="CB19" s="490">
        <f>(CC19+CC18)/(1+CC17)</f>
        <v>0.0</v>
      </c>
      <c r="CC19" s="490">
        <f>(CD19+CD18)/(1+CD17)</f>
        <v>0.0</v>
      </c>
      <c r="CD19" s="490">
        <f>(CE19+CE18)/(1+CE17)</f>
        <v>0.0</v>
      </c>
      <c r="CE19" s="490">
        <f>(CF19+CF18)/(1+CF17)</f>
        <v>0.0</v>
      </c>
      <c r="CF19" s="490">
        <f>(CG19+CG18)/(1+CG17)</f>
        <v>0.0</v>
      </c>
      <c r="CG19" s="490">
        <f>(CH19+CH18)/(1+CH17)</f>
        <v>0.0</v>
      </c>
      <c r="CH19" s="490">
        <f>(CI19+CI18)/(1+CI17)</f>
        <v>0.0</v>
      </c>
      <c r="CI19" s="490">
        <f>(CJ19+CJ18)/(1+CJ17)</f>
        <v>0.0</v>
      </c>
      <c r="CJ19" s="490">
        <f>(CK19+CK18)/(1+CK17)</f>
        <v>0.0</v>
      </c>
      <c r="CK19" s="490">
        <f>(CL19+CL18)/(1+CL17)</f>
        <v>0.0</v>
      </c>
      <c r="CL19" s="490">
        <f>(CM19+CM18)/(1+CM17)</f>
        <v>0.0</v>
      </c>
      <c r="CM19" s="490">
        <f>(CN19+CN18)/(1+CN17)</f>
        <v>0.0</v>
      </c>
      <c r="CN19" s="490">
        <f>(CO19+CO18)/(1+CO17)</f>
        <v>0.0</v>
      </c>
      <c r="CO19" s="490">
        <f>(CP19+CP18)/(1+CP17)</f>
        <v>0.0</v>
      </c>
    </row>
    <row r="20">
      <c r="E20" s="324" t="inlineStr">
        <is>
          <t>Senior debt balance END</t>
        </is>
      </c>
      <c r="F20" s="498" t="n"/>
      <c r="G20" s="324" t="inlineStr">
        <is>
          <t>$ 000s</t>
        </is>
      </c>
      <c r="H20" s="498" t="n"/>
      <c r="I20" s="498" t="n"/>
      <c r="J20" s="498">
        <f>Debt!J$45</f>
        <v>0.0</v>
      </c>
      <c r="K20" s="498">
        <f>Debt!K$45</f>
        <v>72154.22476191197</v>
      </c>
      <c r="L20" s="498">
        <f>Debt!L$45</f>
        <v>71097.33586905799</v>
      </c>
      <c r="M20" s="498">
        <f>Debt!M$45</f>
        <v>69948.44283596725</v>
      </c>
      <c r="N20" s="498">
        <f>Debt!N$45</f>
        <v>68741.51807785485</v>
      </c>
      <c r="O20" s="498">
        <f>Debt!O$45</f>
        <v>67593.88605233596</v>
      </c>
      <c r="P20" s="498">
        <f>Debt!P$45</f>
        <v>66345.82245960187</v>
      </c>
      <c r="Q20" s="498">
        <f>Debt!Q$45</f>
        <v>65162.623003507986</v>
      </c>
      <c r="R20" s="498">
        <f>Debt!R$45</f>
        <v>63901.65665752882</v>
      </c>
      <c r="S20" s="498">
        <f>Debt!S$45</f>
        <v>63588.84489366292</v>
      </c>
      <c r="T20" s="498">
        <f>Debt!T$45</f>
        <v>62228.64749102384</v>
      </c>
      <c r="U20" s="498">
        <f>Debt!U$45</f>
        <v>60890.279904028655</v>
      </c>
      <c r="V20" s="498">
        <f>Debt!V$45</f>
        <v>59462.24365849871</v>
      </c>
      <c r="W20" s="498">
        <f>Debt!W$45</f>
        <v>58538.5570870261</v>
      </c>
      <c r="X20" s="498">
        <f>Debt!X$45</f>
        <v>57056.24420753001</v>
      </c>
      <c r="Y20" s="498">
        <f>Debt!Y$45</f>
        <v>55637.02667026263</v>
      </c>
      <c r="Z20" s="498">
        <f>Debt!Z$45</f>
        <v>54126.50788268324</v>
      </c>
      <c r="AA20" s="498">
        <f>Debt!AA$45</f>
        <v>53344.470224655306</v>
      </c>
      <c r="AB20" s="498">
        <f>Debt!AB$45</f>
        <v>51776.98181387069</v>
      </c>
      <c r="AC20" s="498">
        <f>Debt!AC$45</f>
        <v>50268.94611025693</v>
      </c>
      <c r="AD20" s="498">
        <f>Debt!AD$45</f>
        <v>48532.51044140495</v>
      </c>
      <c r="AE20" s="498">
        <f>Debt!AE$45</f>
        <v>47222.20345691062</v>
      </c>
      <c r="AF20" s="498">
        <f>Debt!AF$45</f>
        <v>45337.75384391113</v>
      </c>
      <c r="AG20" s="498">
        <f>Debt!AG$45</f>
        <v>43503.856049021306</v>
      </c>
      <c r="AH20" s="498">
        <f>Debt!AH$45</f>
        <v>41554.30890514567</v>
      </c>
      <c r="AI20" s="498">
        <f>Debt!AI$45</f>
        <v>39882.59584924524</v>
      </c>
      <c r="AJ20" s="498">
        <f>Debt!AJ$45</f>
        <v>37856.96968184975</v>
      </c>
      <c r="AK20" s="498">
        <f>Debt!AK$45</f>
        <v>35878.45784419832</v>
      </c>
      <c r="AL20" s="498">
        <f>Debt!AL$45</f>
        <v>33771.18814508866</v>
      </c>
      <c r="AM20" s="498">
        <f>Debt!AM$45</f>
        <v>32031.223533166063</v>
      </c>
      <c r="AN20" s="498">
        <f>Debt!AN$45</f>
        <v>29616.04610027258</v>
      </c>
      <c r="AO20" s="498">
        <f>Debt!AO$45</f>
        <v>27237.708836494196</v>
      </c>
      <c r="AP20" s="498">
        <f>Debt!AP$45</f>
        <v>24717.199779597144</v>
      </c>
      <c r="AQ20" s="498">
        <f>Debt!AQ$45</f>
        <v>22690.332570333037</v>
      </c>
      <c r="AR20" s="498">
        <f>Debt!AR$45</f>
        <v>20068.961626221597</v>
      </c>
      <c r="AS20" s="498">
        <f>Debt!AS$45</f>
        <v>17479.795285779735</v>
      </c>
      <c r="AT20" s="498">
        <f>Debt!AT$45</f>
        <v>14738.39173926243</v>
      </c>
      <c r="AU20" s="498">
        <f>Debt!AU$45</f>
        <v>12043.729067472039</v>
      </c>
      <c r="AV20" s="498">
        <f>Debt!AV$45</f>
        <v>9193.93640159505</v>
      </c>
      <c r="AW20" s="498">
        <f>Debt!AW$45</f>
        <v>6371.093877227339</v>
      </c>
      <c r="AX20" s="498">
        <f>Debt!AX$45</f>
        <v>3215.418088230146</v>
      </c>
      <c r="AY20" s="498">
        <f>Debt!AY$45</f>
        <v>-5.047695594839752e-11</v>
      </c>
      <c r="AZ20" s="498">
        <f>Debt!AZ$45</f>
        <v>-5.1455755409632617e-11</v>
      </c>
      <c r="BA20" s="498">
        <f>Debt!BA$45</f>
        <v>-5.245063708979329e-11</v>
      </c>
      <c r="BB20" s="498">
        <f>Debt!BB$45</f>
        <v>-5.347297762580157e-11</v>
      </c>
      <c r="BC20" s="498">
        <f>Debt!BC$45</f>
        <v>-5.4512300374046876e-11</v>
      </c>
      <c r="BD20" s="498">
        <f>Debt!BD$45</f>
        <v>-5.554591814416323e-11</v>
      </c>
      <c r="BE20" s="498">
        <f>Debt!BE$45</f>
        <v>-5.660800347036487e-11</v>
      </c>
      <c r="BF20" s="498">
        <f>Debt!BF$45</f>
        <v>-5.7699402481250426e-11</v>
      </c>
      <c r="BG20" s="498">
        <f>Debt!BG$45</f>
        <v>-5.880893084237236e-11</v>
      </c>
      <c r="BH20" s="498">
        <f>Debt!BH$45</f>
        <v>-5.9912368857599e-11</v>
      </c>
      <c r="BI20" s="498">
        <f>Debt!BI$45</f>
        <v>-6.104619739482834e-11</v>
      </c>
      <c r="BJ20" s="498">
        <f>Debt!BJ$45</f>
        <v>-6.221131973812582e-11</v>
      </c>
      <c r="BK20" s="498">
        <f>Debt!BK$45</f>
        <v>-6.339579605812585e-11</v>
      </c>
      <c r="BL20" s="498">
        <f>Debt!BL$45</f>
        <v>-6.457377063310849e-11</v>
      </c>
      <c r="BM20" s="498">
        <f>Debt!BM$45</f>
        <v>-6.578418859117711e-11</v>
      </c>
      <c r="BN20" s="498">
        <f>Debt!BN$45</f>
        <v>-6.70280142326806e-11</v>
      </c>
      <c r="BO20" s="498">
        <f>Debt!BO$45</f>
        <v>-6.829250120011795e-11</v>
      </c>
      <c r="BP20" s="498">
        <f>Debt!BP$45</f>
        <v>-6.956401996736396e-11</v>
      </c>
      <c r="BQ20" s="498">
        <f>Debt!BQ$45</f>
        <v>-7.085643049435513e-11</v>
      </c>
      <c r="BR20" s="498">
        <f>Debt!BR$45</f>
        <v>-7.218451170969474e-11</v>
      </c>
      <c r="BS20" s="498">
        <f>Debt!BS$45</f>
        <v>-7.353465382966694e-11</v>
      </c>
      <c r="BT20" s="498">
        <f>Debt!BT$45</f>
        <v>-7.487738484343712e-11</v>
      </c>
      <c r="BU20" s="498">
        <f>Debt!BU$45</f>
        <v>-7.625709690721156e-11</v>
      </c>
      <c r="BV20" s="498">
        <f>Debt!BV$45</f>
        <v>-7.767488919240918e-11</v>
      </c>
      <c r="BW20" s="498">
        <f>Debt!BW$45</f>
        <v>-7.911623258278868e-11</v>
      </c>
      <c r="BX20" s="498">
        <f>Debt!BX$45</f>
        <v>-8.054966425129709e-11</v>
      </c>
      <c r="BY20" s="498">
        <f>Debt!BY$45</f>
        <v>-8.2022575017009e-11</v>
      </c>
      <c r="BZ20" s="498">
        <f>Debt!BZ$45</f>
        <v>-8.353613829969715e-11</v>
      </c>
      <c r="CA20" s="498">
        <f>Debt!CA$45</f>
        <v>-8.507484355024772e-11</v>
      </c>
      <c r="CB20" s="498">
        <f>Debt!CB$45</f>
        <v>-8.660510264697734e-11</v>
      </c>
      <c r="CC20" s="498">
        <f>Debt!CC$45</f>
        <v>-8.817750762966272e-11</v>
      </c>
      <c r="CD20" s="498">
        <f>Debt!CD$45</f>
        <v>-8.979331118186105e-11</v>
      </c>
      <c r="CE20" s="498">
        <f>Debt!CE$45</f>
        <v>-9.143595502639868e-11</v>
      </c>
      <c r="CF20" s="498">
        <f>Debt!CF$45</f>
        <v>-9.308773359748482e-11</v>
      </c>
      <c r="CG20" s="498">
        <f>Debt!CG$45</f>
        <v>-9.476665180814868e-11</v>
      </c>
      <c r="CH20" s="498">
        <f>Debt!CH$45</f>
        <v>-9.649190836642298e-11</v>
      </c>
      <c r="CI20" s="498">
        <f>Debt!CI$45</f>
        <v>-9.824582335308194e-11</v>
      </c>
      <c r="CJ20" s="498">
        <f>Debt!CJ$45</f>
        <v>-9.999011087160761e-11</v>
      </c>
      <c r="CK20" s="498">
        <f>Debt!CK$45</f>
        <v>-1.0178243897553934e-10</v>
      </c>
      <c r="CL20" s="498">
        <f>Debt!CL$45</f>
        <v>-1.0362423555398307e-10</v>
      </c>
      <c r="CM20" s="498">
        <f>Debt!CM$45</f>
        <v>-1.0549662642003539e-10</v>
      </c>
      <c r="CN20" s="498">
        <f>Debt!CN$45</f>
        <v>-1.0735873948839905e-10</v>
      </c>
      <c r="CO20" s="498">
        <f>Debt!CO$45</f>
        <v>-1.0927213825418723e-10</v>
      </c>
    </row>
    <row r="21">
      <c r="A21" s="358" t="n"/>
      <c r="B21" s="358" t="n"/>
      <c r="C21" s="359" t="n"/>
      <c r="D21" s="360" t="n"/>
      <c r="E21" s="390" t="inlineStr">
        <is>
          <t>LLCR</t>
        </is>
      </c>
      <c r="F21" s="512" t="n"/>
      <c r="G21" s="390" t="inlineStr">
        <is>
          <t>x</t>
        </is>
      </c>
      <c r="H21" s="512" t="n"/>
      <c r="I21" s="487" t="n"/>
      <c r="J21" s="512">
        <f>IF(J20&gt;CHK_TOL,J19/J20,0)</f>
        <v>0.0</v>
      </c>
      <c r="K21" s="512">
        <f>IF(K20&gt;CHK_TOL,K19/K20,0)</f>
        <v>2.39985735277099</v>
      </c>
      <c r="L21" s="512">
        <f>IF(L20&gt;CHK_TOL,L19/L20,0)</f>
        <v>2.3977789107404544</v>
      </c>
      <c r="M21" s="512">
        <f>IF(M20&gt;CHK_TOL,M19/M20,0)</f>
        <v>2.3957362142592213</v>
      </c>
      <c r="N21" s="512">
        <f>IF(N20&gt;CHK_TOL,N19/N20,0)</f>
        <v>2.3937042945466445</v>
      </c>
      <c r="O21" s="512">
        <f>IF(O20&gt;CHK_TOL,O19/O20,0)</f>
        <v>2.391486968290288</v>
      </c>
      <c r="P21" s="512">
        <f>IF(P20&gt;CHK_TOL,P19/P20,0)</f>
        <v>2.389514124480623</v>
      </c>
      <c r="Q21" s="512">
        <f>IF(Q20&gt;CHK_TOL,Q19/Q20,0)</f>
        <v>2.3872932486488354</v>
      </c>
      <c r="R21" s="512">
        <f>IF(R20&gt;CHK_TOL,R19/R20,0)</f>
        <v>2.3851129771547366</v>
      </c>
      <c r="S21" s="512">
        <f>IF(S20&gt;CHK_TOL,S19/S20,0)</f>
        <v>2.3808813160301177</v>
      </c>
      <c r="T21" s="512">
        <f>IF(T20&gt;CHK_TOL,T19/T20,0)</f>
        <v>2.378735737240993</v>
      </c>
      <c r="U21" s="512">
        <f>IF(U20&gt;CHK_TOL,U19/U20,0)</f>
        <v>2.376474960895454</v>
      </c>
      <c r="V21" s="512">
        <f>IF(V20&gt;CHK_TOL,V19/V20,0)</f>
        <v>2.3742680229913895</v>
      </c>
      <c r="W21" s="512">
        <f>IF(W20&gt;CHK_TOL,W19/W20,0)</f>
        <v>2.3709348482995836</v>
      </c>
      <c r="X21" s="512">
        <f>IF(X20&gt;CHK_TOL,X19/X20,0)</f>
        <v>2.36875390238558</v>
      </c>
      <c r="Y21" s="512">
        <f>IF(Y20&gt;CHK_TOL,Y19/Y20,0)</f>
        <v>2.3663055314643993</v>
      </c>
      <c r="Z21" s="512">
        <f>IF(Z20&gt;CHK_TOL,Z19/Z20,0)</f>
        <v>2.3638960849751234</v>
      </c>
      <c r="AA21" s="512">
        <f>IF(AA20&gt;CHK_TOL,AA19/AA20,0)</f>
        <v>2.3598734979559106</v>
      </c>
      <c r="AB21" s="512">
        <f>IF(AB20&gt;CHK_TOL,AB19/AB20,0)</f>
        <v>2.357440966490949</v>
      </c>
      <c r="AC21" s="512">
        <f>IF(AC20&gt;CHK_TOL,AC19/AC20,0)</f>
        <v>2.35472287545774</v>
      </c>
      <c r="AD21" s="512">
        <f>IF(AD20&gt;CHK_TOL,AD19/AD20,0)</f>
        <v>2.3523009140483846</v>
      </c>
      <c r="AE21" s="512">
        <f>IF(AE20&gt;CHK_TOL,AE19/AE20,0)</f>
        <v>2.348877466476384</v>
      </c>
      <c r="AF21" s="512">
        <f>IF(AF20&gt;CHK_TOL,AF19/AF20,0)</f>
        <v>2.346641629900053</v>
      </c>
      <c r="AG21" s="512">
        <f>IF(AG20&gt;CHK_TOL,AG19/AG20,0)</f>
        <v>2.344133773132692</v>
      </c>
      <c r="AH21" s="512">
        <f>IF(AH20&gt;CHK_TOL,AH19/AH20,0)</f>
        <v>2.341689310244362</v>
      </c>
      <c r="AI21" s="512">
        <f>IF(AI20&gt;CHK_TOL,AI19/AI20,0)</f>
        <v>2.3385090132727986</v>
      </c>
      <c r="AJ21" s="512">
        <f>IF(AJ20&gt;CHK_TOL,AJ19/AJ20,0)</f>
        <v>2.336022070515525</v>
      </c>
      <c r="AK21" s="512">
        <f>IF(AK20&gt;CHK_TOL,AK19/AK20,0)</f>
        <v>2.333297688274347</v>
      </c>
      <c r="AL21" s="512">
        <f>IF(AL20&gt;CHK_TOL,AL19/AL20,0)</f>
        <v>2.3306342557643536</v>
      </c>
      <c r="AM21" s="512">
        <f>IF(AM20&gt;CHK_TOL,AM19/AM20,0)</f>
        <v>2.3269164496038717</v>
      </c>
      <c r="AN21" s="512">
        <f>IF(AN20&gt;CHK_TOL,AN19/AN20,0)</f>
        <v>2.3247651285374764</v>
      </c>
      <c r="AO21" s="512">
        <f>IF(AO20&gt;CHK_TOL,AO19/AO20,0)</f>
        <v>2.3223188837763837</v>
      </c>
      <c r="AP21" s="512">
        <f>IF(AP20&gt;CHK_TOL,AP19/AP20,0)</f>
        <v>2.320010325091185</v>
      </c>
      <c r="AQ21" s="512">
        <f>IF(AQ20&gt;CHK_TOL,AQ19/AQ20,0)</f>
        <v>2.3160943372212768</v>
      </c>
      <c r="AR21" s="512">
        <f>IF(AR20&gt;CHK_TOL,AR19/AR20,0)</f>
        <v>2.3137847362672557</v>
      </c>
      <c r="AS21" s="512">
        <f>IF(AS20&gt;CHK_TOL,AS19/AS20,0)</f>
        <v>2.3110623358846136</v>
      </c>
      <c r="AT21" s="512">
        <f>IF(AT20&gt;CHK_TOL,AT19/AT20,0)</f>
        <v>2.3084630931162065</v>
      </c>
      <c r="AU21" s="512">
        <f>IF(AU20&gt;CHK_TOL,AU19/AU20,0)</f>
        <v>2.3053143581170676</v>
      </c>
      <c r="AV21" s="512">
        <f>IF(AV20&gt;CHK_TOL,AV19/AV20,0)</f>
        <v>2.302745601675016</v>
      </c>
      <c r="AW21" s="512">
        <f>IF(AW20&gt;CHK_TOL,AW19/AW20,0)</f>
        <v>2.2990878668952788</v>
      </c>
      <c r="AX21" s="512">
        <f>IF(AX20&gt;CHK_TOL,AX19/AX20,0)</f>
        <v>2.2966072005060942</v>
      </c>
      <c r="AY21" s="512">
        <f>IF(AY20&gt;CHK_TOL,AY19/AY20,0)</f>
        <v>0.0</v>
      </c>
      <c r="AZ21" s="512">
        <f>IF(AZ20&gt;CHK_TOL,AZ19/AZ20,0)</f>
        <v>0.0</v>
      </c>
      <c r="BA21" s="512">
        <f>IF(BA20&gt;CHK_TOL,BA19/BA20,0)</f>
        <v>0.0</v>
      </c>
      <c r="BB21" s="512">
        <f>IF(BB20&gt;CHK_TOL,BB19/BB20,0)</f>
        <v>0.0</v>
      </c>
      <c r="BC21" s="512">
        <f>IF(BC20&gt;CHK_TOL,BC19/BC20,0)</f>
        <v>0.0</v>
      </c>
      <c r="BD21" s="512">
        <f>IF(BD20&gt;CHK_TOL,BD19/BD20,0)</f>
        <v>0.0</v>
      </c>
      <c r="BE21" s="512">
        <f>IF(BE20&gt;CHK_TOL,BE19/BE20,0)</f>
        <v>0.0</v>
      </c>
      <c r="BF21" s="512">
        <f>IF(BF20&gt;CHK_TOL,BF19/BF20,0)</f>
        <v>0.0</v>
      </c>
      <c r="BG21" s="512">
        <f>IF(BG20&gt;CHK_TOL,BG19/BG20,0)</f>
        <v>0.0</v>
      </c>
      <c r="BH21" s="512">
        <f>IF(BH20&gt;CHK_TOL,BH19/BH20,0)</f>
        <v>0.0</v>
      </c>
      <c r="BI21" s="512">
        <f>IF(BI20&gt;CHK_TOL,BI19/BI20,0)</f>
        <v>0.0</v>
      </c>
      <c r="BJ21" s="512">
        <f>IF(BJ20&gt;CHK_TOL,BJ19/BJ20,0)</f>
        <v>0.0</v>
      </c>
      <c r="BK21" s="512">
        <f>IF(BK20&gt;CHK_TOL,BK19/BK20,0)</f>
        <v>0.0</v>
      </c>
      <c r="BL21" s="512">
        <f>IF(BL20&gt;CHK_TOL,BL19/BL20,0)</f>
        <v>0.0</v>
      </c>
      <c r="BM21" s="512">
        <f>IF(BM20&gt;CHK_TOL,BM19/BM20,0)</f>
        <v>0.0</v>
      </c>
      <c r="BN21" s="512">
        <f>IF(BN20&gt;CHK_TOL,BN19/BN20,0)</f>
        <v>0.0</v>
      </c>
      <c r="BO21" s="512">
        <f>IF(BO20&gt;CHK_TOL,BO19/BO20,0)</f>
        <v>0.0</v>
      </c>
      <c r="BP21" s="512">
        <f>IF(BP20&gt;CHK_TOL,BP19/BP20,0)</f>
        <v>0.0</v>
      </c>
      <c r="BQ21" s="512">
        <f>IF(BQ20&gt;CHK_TOL,BQ19/BQ20,0)</f>
        <v>0.0</v>
      </c>
      <c r="BR21" s="512">
        <f>IF(BR20&gt;CHK_TOL,BR19/BR20,0)</f>
        <v>0.0</v>
      </c>
      <c r="BS21" s="512">
        <f>IF(BS20&gt;CHK_TOL,BS19/BS20,0)</f>
        <v>0.0</v>
      </c>
      <c r="BT21" s="512">
        <f>IF(BT20&gt;CHK_TOL,BT19/BT20,0)</f>
        <v>0.0</v>
      </c>
      <c r="BU21" s="512">
        <f>IF(BU20&gt;CHK_TOL,BU19/BU20,0)</f>
        <v>0.0</v>
      </c>
      <c r="BV21" s="512">
        <f>IF(BV20&gt;CHK_TOL,BV19/BV20,0)</f>
        <v>0.0</v>
      </c>
      <c r="BW21" s="512">
        <f>IF(BW20&gt;CHK_TOL,BW19/BW20,0)</f>
        <v>0.0</v>
      </c>
      <c r="BX21" s="512">
        <f>IF(BX20&gt;CHK_TOL,BX19/BX20,0)</f>
        <v>0.0</v>
      </c>
      <c r="BY21" s="512">
        <f>IF(BY20&gt;CHK_TOL,BY19/BY20,0)</f>
        <v>0.0</v>
      </c>
      <c r="BZ21" s="512">
        <f>IF(BZ20&gt;CHK_TOL,BZ19/BZ20,0)</f>
        <v>0.0</v>
      </c>
      <c r="CA21" s="512">
        <f>IF(CA20&gt;CHK_TOL,CA19/CA20,0)</f>
        <v>0.0</v>
      </c>
      <c r="CB21" s="512">
        <f>IF(CB20&gt;CHK_TOL,CB19/CB20,0)</f>
        <v>0.0</v>
      </c>
      <c r="CC21" s="512">
        <f>IF(CC20&gt;CHK_TOL,CC19/CC20,0)</f>
        <v>0.0</v>
      </c>
      <c r="CD21" s="512">
        <f>IF(CD20&gt;CHK_TOL,CD19/CD20,0)</f>
        <v>0.0</v>
      </c>
      <c r="CE21" s="512">
        <f>IF(CE20&gt;CHK_TOL,CE19/CE20,0)</f>
        <v>0.0</v>
      </c>
      <c r="CF21" s="512">
        <f>IF(CF20&gt;CHK_TOL,CF19/CF20,0)</f>
        <v>0.0</v>
      </c>
      <c r="CG21" s="512">
        <f>IF(CG20&gt;CHK_TOL,CG19/CG20,0)</f>
        <v>0.0</v>
      </c>
      <c r="CH21" s="512">
        <f>IF(CH20&gt;CHK_TOL,CH19/CH20,0)</f>
        <v>0.0</v>
      </c>
      <c r="CI21" s="512">
        <f>IF(CI20&gt;CHK_TOL,CI19/CI20,0)</f>
        <v>0.0</v>
      </c>
      <c r="CJ21" s="512">
        <f>IF(CJ20&gt;CHK_TOL,CJ19/CJ20,0)</f>
        <v>0.0</v>
      </c>
      <c r="CK21" s="512">
        <f>IF(CK20&gt;CHK_TOL,CK19/CK20,0)</f>
        <v>0.0</v>
      </c>
      <c r="CL21" s="512">
        <f>IF(CL20&gt;CHK_TOL,CL19/CL20,0)</f>
        <v>0.0</v>
      </c>
      <c r="CM21" s="512">
        <f>IF(CM20&gt;CHK_TOL,CM19/CM20,0)</f>
        <v>0.0</v>
      </c>
      <c r="CN21" s="512">
        <f>IF(CN20&gt;CHK_TOL,CN19/CN20,0)</f>
        <v>0.0</v>
      </c>
      <c r="CO21" s="512">
        <f>IF(CO20&gt;CHK_TOL,CO19/CO20,0)</f>
        <v>0.0</v>
      </c>
    </row>
    <row r="22">
      <c r="A22" s="358" t="n"/>
      <c r="B22" s="358" t="n"/>
      <c r="C22" s="359" t="n"/>
      <c r="D22" s="360" t="n"/>
      <c r="E22" s="390" t="inlineStr">
        <is>
          <t>LLCR at COD</t>
        </is>
      </c>
      <c r="F22" s="512">
        <f>SUMPRODUCT(J21:CO21,Time!J45:CO45)</f>
        <v>2.39985735277099</v>
      </c>
      <c r="G22" s="390" t="inlineStr">
        <is>
          <t>x</t>
        </is>
      </c>
      <c r="H22" s="512" t="n"/>
      <c r="I22" s="487" t="n"/>
      <c r="J22" s="512" t="n"/>
      <c r="K22" s="512" t="n"/>
      <c r="L22" s="512" t="n"/>
      <c r="M22" s="512" t="n"/>
      <c r="N22" s="512" t="n"/>
      <c r="O22" s="512" t="n"/>
      <c r="P22" s="512" t="n"/>
      <c r="Q22" s="512" t="n"/>
      <c r="R22" s="512" t="n"/>
      <c r="S22" s="512" t="n"/>
      <c r="T22" s="512" t="n"/>
      <c r="U22" s="512" t="n"/>
      <c r="V22" s="512" t="n"/>
      <c r="W22" s="512" t="n"/>
      <c r="X22" s="512" t="n"/>
      <c r="Y22" s="512" t="n"/>
      <c r="Z22" s="512" t="n"/>
      <c r="AA22" s="512" t="n"/>
      <c r="AB22" s="512" t="n"/>
      <c r="AC22" s="512" t="n"/>
      <c r="AD22" s="512" t="n"/>
      <c r="AE22" s="512" t="n"/>
      <c r="AF22" s="512" t="n"/>
      <c r="AG22" s="512" t="n"/>
      <c r="AH22" s="512" t="n"/>
      <c r="AI22" s="512" t="n"/>
      <c r="AJ22" s="512" t="n"/>
      <c r="AK22" s="512" t="n"/>
      <c r="AL22" s="512" t="n"/>
      <c r="AM22" s="512" t="n"/>
      <c r="AN22" s="512" t="n"/>
      <c r="AO22" s="512" t="n"/>
      <c r="AP22" s="512" t="n"/>
      <c r="AQ22" s="512" t="n"/>
      <c r="AR22" s="512" t="n"/>
      <c r="AS22" s="512" t="n"/>
      <c r="AT22" s="512" t="n"/>
      <c r="AU22" s="512" t="n"/>
      <c r="AV22" s="512" t="n"/>
      <c r="AW22" s="512" t="n"/>
      <c r="AX22" s="512" t="n"/>
      <c r="AY22" s="512" t="n"/>
      <c r="AZ22" s="512" t="n"/>
      <c r="BA22" s="512" t="n"/>
      <c r="BB22" s="512" t="n"/>
      <c r="BC22" s="512" t="n"/>
      <c r="BD22" s="512" t="n"/>
      <c r="BE22" s="512" t="n"/>
      <c r="BF22" s="512" t="n"/>
      <c r="BG22" s="512" t="n"/>
      <c r="BH22" s="512" t="n"/>
      <c r="BI22" s="512" t="n"/>
      <c r="BJ22" s="512" t="n"/>
      <c r="BK22" s="512" t="n"/>
      <c r="BL22" s="512" t="n"/>
      <c r="BM22" s="512" t="n"/>
      <c r="BN22" s="512" t="n"/>
      <c r="BO22" s="512" t="n"/>
      <c r="BP22" s="512" t="n"/>
      <c r="BQ22" s="512" t="n"/>
      <c r="BR22" s="512" t="n"/>
      <c r="BS22" s="512" t="n"/>
      <c r="BT22" s="512" t="n"/>
      <c r="BU22" s="512" t="n"/>
      <c r="BV22" s="512" t="n"/>
      <c r="BW22" s="512" t="n"/>
      <c r="BX22" s="512" t="n"/>
      <c r="BY22" s="512" t="n"/>
      <c r="BZ22" s="512" t="n"/>
      <c r="CA22" s="512" t="n"/>
      <c r="CB22" s="512" t="n"/>
      <c r="CC22" s="512" t="n"/>
      <c r="CD22" s="512" t="n"/>
      <c r="CE22" s="512" t="n"/>
      <c r="CF22" s="512" t="n"/>
      <c r="CG22" s="512" t="n"/>
      <c r="CH22" s="512" t="n"/>
      <c r="CI22" s="512" t="n"/>
      <c r="CJ22" s="512" t="n"/>
      <c r="CK22" s="512" t="n"/>
      <c r="CL22" s="512" t="n"/>
      <c r="CM22" s="512" t="n"/>
      <c r="CN22" s="512" t="n"/>
      <c r="CO22" s="512" t="n"/>
    </row>
    <row r="24">
      <c r="A24" s="294" t="inlineStr">
        <is>
          <t>PROJECT LIFE COVER RATIO (PLCR)</t>
        </is>
      </c>
    </row>
    <row r="25">
      <c r="E25" s="61" t="inlineStr">
        <is>
          <t>CFADS in project life</t>
        </is>
      </c>
      <c r="F25" s="484" t="n"/>
      <c r="G25" s="61" t="inlineStr">
        <is>
          <t>$ 000s</t>
        </is>
      </c>
      <c r="H25" s="490" t="n"/>
      <c r="I25" s="484" t="n"/>
      <c r="J25" s="490">
        <f>FinStat!J$39*Time!J$69</f>
        <v>0.0</v>
      </c>
      <c r="K25" s="490">
        <f>FinStat!K$39*Time!K$69</f>
        <v>0.0</v>
      </c>
      <c r="L25" s="490">
        <f>FinStat!L$39*Time!L$69</f>
        <v>5498.001782667919</v>
      </c>
      <c r="M25" s="490">
        <f>FinStat!M$39*Time!M$69</f>
        <v>5698.685260914366</v>
      </c>
      <c r="N25" s="490">
        <f>FinStat!N$39*Time!N$69</f>
        <v>5814.807667235052</v>
      </c>
      <c r="O25" s="490">
        <f>FinStat!O$39*Time!O$69</f>
        <v>5630.275697687297</v>
      </c>
      <c r="P25" s="490">
        <f>FinStat!P$39*Time!P$69</f>
        <v>5742.4285992494815</v>
      </c>
      <c r="Q25" s="490">
        <f>FinStat!Q$39*Time!Q$69</f>
        <v>5576.796199801479</v>
      </c>
      <c r="R25" s="490">
        <f>FinStat!R$39*Time!R$69</f>
        <v>5733.681888198695</v>
      </c>
      <c r="S25" s="490">
        <f>FinStat!S$39*Time!S$69</f>
        <v>3546.921645638729</v>
      </c>
      <c r="T25" s="490">
        <f>FinStat!T$39*Time!T$69</f>
        <v>5859.529963218596</v>
      </c>
      <c r="U25" s="490">
        <f>FinStat!U$39*Time!U$69</f>
        <v>5753.423440593838</v>
      </c>
      <c r="V25" s="490">
        <f>FinStat!V$39*Time!V$69</f>
        <v>5928.619829065838</v>
      </c>
      <c r="W25" s="490">
        <f>FinStat!W$39*Time!W$69</f>
        <v>4733.343827136573</v>
      </c>
      <c r="X25" s="490">
        <f>FinStat!X$39*Time!X$69</f>
        <v>5894.259300463952</v>
      </c>
      <c r="Y25" s="490">
        <f>FinStat!Y$39*Time!Y$69</f>
        <v>5718.622906968056</v>
      </c>
      <c r="Z25" s="490">
        <f>FinStat!Z$39*Time!Z$69</f>
        <v>5891.686497116831</v>
      </c>
      <c r="AA25" s="490">
        <f>FinStat!AA$39*Time!AA$69</f>
        <v>4188.620897315466</v>
      </c>
      <c r="AB25" s="490">
        <f>FinStat!AB$39*Time!AB$69</f>
        <v>5870.674271503657</v>
      </c>
      <c r="AC25" s="490">
        <f>FinStat!AC$39*Time!AC$69</f>
        <v>5697.273685416409</v>
      </c>
      <c r="AD25" s="490">
        <f>FinStat!AD$39*Time!AD$69</f>
        <v>6172.616534259255</v>
      </c>
      <c r="AE25" s="490">
        <f>FinStat!AE$39*Time!AE$69</f>
        <v>5140.274473581392</v>
      </c>
      <c r="AF25" s="490">
        <f>FinStat!AF$39*Time!AF$69</f>
        <v>6330.1455472987</v>
      </c>
      <c r="AG25" s="490">
        <f>FinStat!AG$39*Time!AG$69</f>
        <v>6160.673153904522</v>
      </c>
      <c r="AH25" s="490">
        <f>FinStat!AH$39*Time!AH$69</f>
        <v>6365.559413218637</v>
      </c>
      <c r="AI25" s="490">
        <f>FinStat!AI$39*Time!AI$69</f>
        <v>5657.853147505068</v>
      </c>
      <c r="AJ25" s="490">
        <f>FinStat!AJ$39*Time!AJ$69</f>
        <v>6363.502236978278</v>
      </c>
      <c r="AK25" s="490">
        <f>FinStat!AK$39*Time!AK$69</f>
        <v>6172.625478694768</v>
      </c>
      <c r="AL25" s="490">
        <f>FinStat!AL$39*Time!AL$69</f>
        <v>6397.436003535895</v>
      </c>
      <c r="AM25" s="490">
        <f>FinStat!AM$39*Time!AM$69</f>
        <v>5481.7391250268665</v>
      </c>
      <c r="AN25" s="490">
        <f>FinStat!AN$39*Time!AN$69</f>
        <v>6894.806911470035</v>
      </c>
      <c r="AO25" s="490">
        <f>FinStat!AO$39*Time!AO$69</f>
        <v>6726.955158003132</v>
      </c>
      <c r="AP25" s="490">
        <f>FinStat!AP$39*Time!AP$69</f>
        <v>6961.216831839529</v>
      </c>
      <c r="AQ25" s="490">
        <f>FinStat!AQ$39*Time!AQ$69</f>
        <v>5743.758111863657</v>
      </c>
      <c r="AR25" s="490">
        <f>FinStat!AR$39*Time!AR$69</f>
        <v>6971.679142438044</v>
      </c>
      <c r="AS25" s="490">
        <f>FinStat!AS$39*Time!AS$69</f>
        <v>6801.317630792549</v>
      </c>
      <c r="AT25" s="490">
        <f>FinStat!AT$39*Time!AT$69</f>
        <v>7044.900478666088</v>
      </c>
      <c r="AU25" s="490">
        <f>FinStat!AU$39*Time!AU$69</f>
        <v>6823.612225305964</v>
      </c>
      <c r="AV25" s="490">
        <f>FinStat!AV$39*Time!AV$69</f>
        <v>7044.459383760724</v>
      </c>
      <c r="AW25" s="490">
        <f>FinStat!AW$39*Time!AW$69</f>
        <v>6871.448144016408</v>
      </c>
      <c r="AX25" s="490">
        <f>FinStat!AX$39*Time!AX$69</f>
        <v>7506.466947081908</v>
      </c>
      <c r="AY25" s="490">
        <f>FinStat!AY$39*Time!AY$69</f>
        <v>7507.217953393893</v>
      </c>
      <c r="AZ25" s="490">
        <f>FinStat!AZ$39*Time!AZ$69</f>
        <v>7759.8450304382095</v>
      </c>
      <c r="BA25" s="490">
        <f>FinStat!BA$39*Time!BA$69</f>
        <v>7517.18227506947</v>
      </c>
      <c r="BB25" s="490">
        <f>FinStat!BB$39*Time!BB$69</f>
        <v>7765.071855591032</v>
      </c>
      <c r="BC25" s="490">
        <f>FinStat!BC$39*Time!BC$69</f>
        <v>7521.637238564551</v>
      </c>
      <c r="BD25" s="490">
        <f>FinStat!BD$39*Time!BD$69</f>
        <v>7786.862296074629</v>
      </c>
      <c r="BE25" s="490">
        <f>FinStat!BE$39*Time!BE$69</f>
        <v>7627.988950314166</v>
      </c>
      <c r="BF25" s="490">
        <f>FinStat!BF$39*Time!BF$69</f>
        <v>7926.412925883229</v>
      </c>
      <c r="BG25" s="490">
        <f>FinStat!BG$39*Time!BG$69</f>
        <v>7703.404245475238</v>
      </c>
      <c r="BH25" s="490">
        <f>FinStat!BH$39*Time!BH$69</f>
        <v>7569.490087277265</v>
      </c>
      <c r="BI25" s="490">
        <f>FinStat!BI$39*Time!BI$69</f>
        <v>8073.785152795242</v>
      </c>
      <c r="BJ25" s="490">
        <f>FinStat!BJ$39*Time!BJ$69</f>
        <v>7864.656660041153</v>
      </c>
      <c r="BK25" s="490">
        <f>FinStat!BK$39*Time!BK$69</f>
        <v>8164.350522971761</v>
      </c>
      <c r="BL25" s="490">
        <f>FinStat!BL$39*Time!BL$69</f>
        <v>7920.158988451464</v>
      </c>
      <c r="BM25" s="490">
        <f>FinStat!BM$39*Time!BM$69</f>
        <v>8283.741323993563</v>
      </c>
      <c r="BN25" s="490">
        <f>FinStat!BN$39*Time!BN$69</f>
        <v>8069.951845626139</v>
      </c>
      <c r="BO25" s="490">
        <f>FinStat!BO$39*Time!BO$69</f>
        <v>8380.168750155472</v>
      </c>
      <c r="BP25" s="490">
        <f>FinStat!BP$39*Time!BP$69</f>
        <v>8145.432186534468</v>
      </c>
      <c r="BQ25" s="490">
        <f>FinStat!BQ$39*Time!BQ$69</f>
        <v>8051.368270145524</v>
      </c>
      <c r="BR25" s="490">
        <f>FinStat!BR$39*Time!BR$69</f>
        <v>8564.966728450932</v>
      </c>
      <c r="BS25" s="490">
        <f>FinStat!BS$39*Time!BS$69</f>
        <v>8326.10105657528</v>
      </c>
      <c r="BT25" s="490">
        <f>FinStat!BT$39*Time!BT$69</f>
        <v>8631.592591488294</v>
      </c>
      <c r="BU25" s="490">
        <f>FinStat!BU$39*Time!BU$69</f>
        <v>8459.408717410737</v>
      </c>
      <c r="BV25" s="490">
        <f>FinStat!BV$39*Time!BV$69</f>
        <v>8801.585533466476</v>
      </c>
      <c r="BW25" s="490">
        <f>FinStat!BW$39*Time!BW$69</f>
        <v>9017.663894454512</v>
      </c>
      <c r="BX25" s="490">
        <f>FinStat!BX$39*Time!BX$69</f>
        <v>9044.339855832266</v>
      </c>
      <c r="BY25" s="490">
        <f>FinStat!BY$39*Time!BY$69</f>
        <v>9161.799265857671</v>
      </c>
      <c r="BZ25" s="490">
        <f>FinStat!BZ$39*Time!BZ$69</f>
        <v>9225.704544162636</v>
      </c>
      <c r="CA25" s="490">
        <f>FinStat!CA$39*Time!CA$69</f>
        <v>9272.462692519282</v>
      </c>
      <c r="CB25" s="490">
        <f>FinStat!CB$39*Time!CB$69</f>
        <v>9300.72548867681</v>
      </c>
      <c r="CC25" s="490">
        <f>FinStat!CC$39*Time!CC$69</f>
        <v>9422.455909144512</v>
      </c>
      <c r="CD25" s="490">
        <f>FinStat!CD$39*Time!CD$69</f>
        <v>9488.988212533062</v>
      </c>
      <c r="CE25" s="490">
        <f>FinStat!CE$39*Time!CE$69</f>
        <v>9537.823478738128</v>
      </c>
      <c r="CF25" s="490">
        <f>FinStat!CF$39*Time!CF$69</f>
        <v>9586.890103432881</v>
      </c>
      <c r="CG25" s="490">
        <f>FinStat!CG$39*Time!CG$69</f>
        <v>9674.25047865673</v>
      </c>
      <c r="CH25" s="490">
        <f>FinStat!CH$39*Time!CH$69</f>
        <v>9762.672231963468</v>
      </c>
      <c r="CI25" s="490">
        <f>FinStat!CI$39*Time!CI$69</f>
        <v>9813.521837501972</v>
      </c>
      <c r="CJ25" s="490">
        <f>FinStat!CJ$39*Time!CJ$69</f>
        <v>9844.687529595085</v>
      </c>
      <c r="CK25" s="490">
        <f>FinStat!CK$39*Time!CK$69</f>
        <v>9974.953939736379</v>
      </c>
      <c r="CL25" s="490">
        <f>FinStat!CL$39*Time!CL$69</f>
        <v>10046.604537115036</v>
      </c>
      <c r="CM25" s="490">
        <f>FinStat!CM$39*Time!CM$69</f>
        <v>10709.88562449671</v>
      </c>
      <c r="CN25" s="490">
        <f>FinStat!CN$39*Time!CN$69</f>
        <v>0.0</v>
      </c>
      <c r="CO25" s="490">
        <f>FinStat!CO$39*Time!CO$69</f>
        <v>-0.0</v>
      </c>
    </row>
    <row r="26">
      <c r="E26" s="61" t="inlineStr">
        <is>
          <t>PV of CFADS in project life (END of period)</t>
        </is>
      </c>
      <c r="F26" s="484" t="n"/>
      <c r="G26" s="61" t="inlineStr">
        <is>
          <t>$ 000s</t>
        </is>
      </c>
      <c r="H26" s="490" t="n"/>
      <c r="I26" s="484" t="n"/>
      <c r="J26" s="490">
        <f>(K26+K25)/(1+K17)</f>
        <v>297551.8733342989</v>
      </c>
      <c r="K26" s="490">
        <f>(L26+L25)/(1+L17)</f>
        <v>302494.5405635742</v>
      </c>
      <c r="L26" s="490">
        <f>(M26+M25)/(1+M17)</f>
        <v>301912.07506506436</v>
      </c>
      <c r="M26" s="490">
        <f>(N26+N25)/(1+N17)</f>
        <v>301173.97292639955</v>
      </c>
      <c r="N26" s="490">
        <f>(O26+O25)/(1+O17)</f>
        <v>300361.99958721973</v>
      </c>
      <c r="O26" s="490">
        <f>(P26+P25)/(1+P17)</f>
        <v>299721.0704382313</v>
      </c>
      <c r="P26" s="490">
        <f>(Q26+Q25)/(1+Q17)</f>
        <v>298849.1092336031</v>
      </c>
      <c r="Q26" s="490">
        <f>(R26+R25)/(1+R17)</f>
        <v>298182.56992579263</v>
      </c>
      <c r="R26" s="490">
        <f>(S26+S25)/(1+S17)</f>
        <v>297402.03183802794</v>
      </c>
      <c r="S26" s="490">
        <f>(T26+T25)/(1+T17)</f>
        <v>298795.28838792094</v>
      </c>
      <c r="T26" s="490">
        <f>(U26+U25)/(1+U17)</f>
        <v>297845.13101029827</v>
      </c>
      <c r="U26" s="490">
        <f>(V26+V25)/(1+V17)</f>
        <v>296985.4685417209</v>
      </c>
      <c r="V26" s="490">
        <f>(W26+W25)/(1+W17)</f>
        <v>295990.1073289869</v>
      </c>
      <c r="W26" s="490">
        <f>(X26+X25)/(1+X17)</f>
        <v>296173.48806248186</v>
      </c>
      <c r="X26" s="490">
        <f>(Y26+Y25)/(1+Y17)</f>
        <v>295092.0479430333</v>
      </c>
      <c r="Y26" s="490">
        <f>(Z26+Z25)/(1+Z17)</f>
        <v>294221.9513237959</v>
      </c>
      <c r="Z26" s="490">
        <f>(AA26+AA25)/(1+AA17)</f>
        <v>293217.6183514466</v>
      </c>
      <c r="AA26" s="490">
        <f>(AB26+AB25)/(1+AB17)</f>
        <v>293899.6678923024</v>
      </c>
      <c r="AB26" s="490">
        <f>(AC26+AC25)/(1+AC17)</f>
        <v>292804.8632240487</v>
      </c>
      <c r="AC26" s="490">
        <f>(AD26+AD25)/(1+AD17)</f>
        <v>291918.5361107719</v>
      </c>
      <c r="AD26" s="490">
        <f>(AE26+AE25)/(1+AE17)</f>
        <v>290595.0108152416</v>
      </c>
      <c r="AE26" s="490">
        <f>(AF26+AF25)/(1+AF17)</f>
        <v>290281.8423546467</v>
      </c>
      <c r="AF26" s="490">
        <f>(AG26+AG25)/(1+AG17)</f>
        <v>288668.77674561105</v>
      </c>
      <c r="AG26" s="490">
        <f>(AH26+AH25)/(1+AH17)</f>
        <v>287251.09196517954</v>
      </c>
      <c r="AH26" s="490">
        <f>(AI26+AI25)/(1+AI17)</f>
        <v>285657.0923573825</v>
      </c>
      <c r="AI26" s="490">
        <f>(AJ26+AJ25)/(1+AJ17)</f>
        <v>284744.32091070287</v>
      </c>
      <c r="AJ26" s="490">
        <f>(AK26+AK25)/(1+AK17)</f>
        <v>283059.3260575768</v>
      </c>
      <c r="AK26" s="490">
        <f>(AL26+AL25)/(1+AL17)</f>
        <v>281537.52256118914</v>
      </c>
      <c r="AL26" s="490">
        <f>(AM26+AM25)/(1+AM17)</f>
        <v>279816.7376268641</v>
      </c>
      <c r="AM26" s="490">
        <f>(AN26+AN25)/(1+AN17)</f>
        <v>278983.0654213057</v>
      </c>
      <c r="AN26" s="490">
        <f>(AO26+AO25)/(1+AO17)</f>
        <v>276621.7333229319</v>
      </c>
      <c r="AO26" s="490">
        <f>(AP26+AP25)/(1+AP17)</f>
        <v>274439.8269221653</v>
      </c>
      <c r="AP26" s="490">
        <f>(AQ26+AQ25)/(1+AQ17)</f>
        <v>272037.360548644</v>
      </c>
      <c r="AQ26" s="490">
        <f>(AR26+AR25)/(1+AR17)</f>
        <v>270812.4452592273</v>
      </c>
      <c r="AR26" s="490">
        <f>(AS26+AS25)/(1+AS17)</f>
        <v>268241.46835225174</v>
      </c>
      <c r="AS26" s="490">
        <f>(AT26+AT25)/(1+AT17)</f>
        <v>265847.50706952467</v>
      </c>
      <c r="AT26" s="490">
        <f>(AU26+AU25)/(1+AU17)</f>
        <v>263218.6290694024</v>
      </c>
      <c r="AU26" s="490">
        <f>(AV26+AV25)/(1+AV17)</f>
        <v>260767.37073808265</v>
      </c>
      <c r="AV26" s="490">
        <f>(AW26+AW25)/(1+AW17)</f>
        <v>257960.38112881582</v>
      </c>
      <c r="AW26" s="490">
        <f>(AX26+AX25)/(1+AX17)</f>
        <v>255327.36535806872</v>
      </c>
      <c r="AX26" s="490">
        <f>(AY26+AY25)/(1+AY17)</f>
        <v>252062.16964665696</v>
      </c>
      <c r="AY26" s="490">
        <f>(AZ26+AZ25)/(1+AZ17)</f>
        <v>248741.9844001714</v>
      </c>
      <c r="AZ26" s="490">
        <f>(BA26+BA25)/(1+BA17)</f>
        <v>245069.10836341933</v>
      </c>
      <c r="BA26" s="490">
        <f>(BB26+BB25)/(1+BB17)</f>
        <v>241578.54768826548</v>
      </c>
      <c r="BB26" s="490">
        <f>(BC26+BC25)/(1+BC17)</f>
        <v>237826.3639303851</v>
      </c>
      <c r="BC26" s="490">
        <f>(BD26+BD25)/(1+BD17)</f>
        <v>234255.28684821972</v>
      </c>
      <c r="BD26" s="490">
        <f>(BE26+BE25)/(1+BE17)</f>
        <v>230275.07296342868</v>
      </c>
      <c r="BE26" s="490">
        <f>(BF26+BF25)/(1+BF17)</f>
        <v>226430.63139249972</v>
      </c>
      <c r="BF26" s="490">
        <f>(BG26+BG25)/(1+BG17)</f>
        <v>222265.48284363636</v>
      </c>
      <c r="BG26" s="490">
        <f>(BH26+BH25)/(1+BH17)</f>
        <v>218254.15522984153</v>
      </c>
      <c r="BH26" s="490">
        <f>(BI26+BI25)/(1+BI17)</f>
        <v>214231.29516504923</v>
      </c>
      <c r="BI26" s="490">
        <f>(BJ26+BJ25)/(1+BJ17)</f>
        <v>209677.44920920196</v>
      </c>
      <c r="BJ26" s="490">
        <f>(BK26+BK25)/(1+BK17)</f>
        <v>205295.76795546923</v>
      </c>
      <c r="BK26" s="490">
        <f>(BL26+BL25)/(1+BL17)</f>
        <v>200541.60824464666</v>
      </c>
      <c r="BL26" s="490">
        <f>(BM26+BM25)/(1+BM17)</f>
        <v>195880.25039017072</v>
      </c>
      <c r="BM26" s="490">
        <f>(BN26+BN25)/(1+BN17)</f>
        <v>190814.93040244898</v>
      </c>
      <c r="BN26" s="490">
        <f>(BO26+BO25)/(1+BO17)</f>
        <v>185914.62656739686</v>
      </c>
      <c r="BO26" s="490">
        <f>(BP26+BP25)/(1+BP17)</f>
        <v>180622.70633633313</v>
      </c>
      <c r="BP26" s="490">
        <f>(BQ26+BQ25)/(1+BQ17)</f>
        <v>175445.00556085256</v>
      </c>
      <c r="BQ26" s="490">
        <f>(BR26+BR25)/(1+BR17)</f>
        <v>170276.29620151938</v>
      </c>
      <c r="BR26" s="490">
        <f>(BS26+BS25)/(1+BS17)</f>
        <v>164539.80794886034</v>
      </c>
      <c r="BS26" s="490">
        <f>(BT26+BT25)/(1+BT17)</f>
        <v>158946.89592432446</v>
      </c>
      <c r="BT26" s="490">
        <f>(BU26+BU25)/(1+BU17)</f>
        <v>152898.19039160645</v>
      </c>
      <c r="BU26" s="490">
        <f>(BV26+BV25)/(1+BV17)</f>
        <v>146950.98388576892</v>
      </c>
      <c r="BV26" s="490">
        <f>(BW26+BW25)/(1+BW17)</f>
        <v>140590.41747351605</v>
      </c>
      <c r="BW26" s="490">
        <f>(BX26+BX25)/(1+BX17)</f>
        <v>133908.11662487162</v>
      </c>
      <c r="BX26" s="490">
        <f>(BY26+BY25)/(1+BY17)</f>
        <v>127039.78366419354</v>
      </c>
      <c r="BY26" s="490">
        <f>(BZ26+BZ25)/(1+BZ17)</f>
        <v>119965.31862159616</v>
      </c>
      <c r="BZ26" s="490">
        <f>(CA26+CA25)/(1+CA17)</f>
        <v>112732.37131453671</v>
      </c>
      <c r="CA26" s="490">
        <f>(CB26+CB25)/(1+CB17)</f>
        <v>105332.51856774223</v>
      </c>
      <c r="CB26" s="490">
        <f>(CC26+CC25)/(1+CC17)</f>
        <v>97743.44650579125</v>
      </c>
      <c r="CC26" s="490">
        <f>(CD26+CD25)/(1+CD17)</f>
        <v>89926.9697246516</v>
      </c>
      <c r="CD26" s="490">
        <f>(CE26+CE25)/(1+CE17)</f>
        <v>81931.76839810025</v>
      </c>
      <c r="CE26" s="490">
        <f>(CF26+CF25)/(1+CF17)</f>
        <v>73754.92262775279</v>
      </c>
      <c r="CF26" s="490">
        <f>(CG26+CG25)/(1+CG17)</f>
        <v>65379.8668780509</v>
      </c>
      <c r="CG26" s="490">
        <f>(CH26+CH25)/(1+CH17)</f>
        <v>56779.843934348806</v>
      </c>
      <c r="CH26" s="490">
        <f>(CI26+CI25)/(1+CI17)</f>
        <v>47960.34799885035</v>
      </c>
      <c r="CI26" s="490">
        <f>(CJ26+CJ25)/(1+CJ17)</f>
        <v>38943.500830884834</v>
      </c>
      <c r="CJ26" s="490">
        <f>(CK26+CK25)/(1+CK17)</f>
        <v>29731.645189791627</v>
      </c>
      <c r="CK26" s="490">
        <f>(CL26+CL25)/(1+CL17)</f>
        <v>20245.198698104185</v>
      </c>
      <c r="CL26" s="490">
        <f>(CM26+CM25)/(1+CM17)</f>
        <v>10534.88940602988</v>
      </c>
      <c r="CM26" s="490">
        <f>(CN26+CN25)/(1+CN17)</f>
        <v>0.0</v>
      </c>
      <c r="CN26" s="490">
        <f>(CO26+CO25)/(1+CO17)</f>
        <v>0.0</v>
      </c>
      <c r="CO26" s="490">
        <f>(CP26+CP25)/(1+CP17)</f>
        <v>0.0</v>
      </c>
    </row>
    <row r="27">
      <c r="A27" s="358" t="n"/>
      <c r="B27" s="358" t="n"/>
      <c r="C27" s="359" t="n"/>
      <c r="D27" s="360" t="n"/>
      <c r="E27" s="390" t="inlineStr">
        <is>
          <t>PLCR</t>
        </is>
      </c>
      <c r="F27" s="512" t="n"/>
      <c r="G27" s="390" t="inlineStr">
        <is>
          <t>x</t>
        </is>
      </c>
      <c r="H27" s="512" t="n"/>
      <c r="I27" s="487" t="n"/>
      <c r="J27" s="512">
        <f>IF(J20&gt;CHK_TOL,J26/J20,0)</f>
        <v>0.0</v>
      </c>
      <c r="K27" s="512">
        <f>IF(K20&gt;CHK_TOL,K26/K20,0)</f>
        <v>4.192333041644041</v>
      </c>
      <c r="L27" s="512">
        <f>IF(L20&gt;CHK_TOL,L26/L20,0)</f>
        <v>4.246461156028469</v>
      </c>
      <c r="M27" s="512">
        <f>IF(M20&gt;CHK_TOL,M26/M20,0)</f>
        <v>4.305656576697043</v>
      </c>
      <c r="N27" s="512">
        <f>IF(N20&gt;CHK_TOL,N26/N20,0)</f>
        <v>4.369440885012716</v>
      </c>
      <c r="O27" s="512">
        <f>IF(O20&gt;CHK_TOL,O26/O20,0)</f>
        <v>4.4341446829402</v>
      </c>
      <c r="P27" s="512">
        <f>IF(P20&gt;CHK_TOL,P26/P20,0)</f>
        <v>4.5044148697617405</v>
      </c>
      <c r="Q27" s="512">
        <f>IF(Q20&gt;CHK_TOL,Q26/Q20,0)</f>
        <v>4.575975554417755</v>
      </c>
      <c r="R27" s="512">
        <f>IF(R20&gt;CHK_TOL,R26/R20,0)</f>
        <v>4.6540582418998735</v>
      </c>
      <c r="S27" s="512">
        <f>IF(S20&gt;CHK_TOL,S26/S20,0)</f>
        <v>4.698863281564311</v>
      </c>
      <c r="T27" s="512">
        <f>IF(T20&gt;CHK_TOL,T26/T20,0)</f>
        <v>4.786302499234953</v>
      </c>
      <c r="U27" s="512">
        <f>IF(U20&gt;CHK_TOL,U26/U20,0)</f>
        <v>4.877387146352592</v>
      </c>
      <c r="V27" s="512">
        <f>IF(V20&gt;CHK_TOL,V26/V20,0)</f>
        <v>4.977782355958615</v>
      </c>
      <c r="W27" s="512">
        <f>IF(W20&gt;CHK_TOL,W26/W20,0)</f>
        <v>5.059460000392165</v>
      </c>
      <c r="X27" s="512">
        <f>IF(X20&gt;CHK_TOL,X26/X20,0)</f>
        <v>5.171950100145015</v>
      </c>
      <c r="Y27" s="512">
        <f>IF(Y20&gt;CHK_TOL,Y26/Y20,0)</f>
        <v>5.288240025253798</v>
      </c>
      <c r="Z27" s="512">
        <f>IF(Z20&gt;CHK_TOL,Z26/Z20,0)</f>
        <v>5.417264660542714</v>
      </c>
      <c r="AA27" s="512">
        <f>IF(AA20&gt;CHK_TOL,AA26/AA20,0)</f>
        <v>5.509468303922995</v>
      </c>
      <c r="AB27" s="512">
        <f>IF(AB20&gt;CHK_TOL,AB26/AB20,0)</f>
        <v>5.655116481617867</v>
      </c>
      <c r="AC27" s="512">
        <f>IF(AC20&gt;CHK_TOL,AC26/AC20,0)</f>
        <v>5.807134596983494</v>
      </c>
      <c r="AD27" s="512">
        <f>IF(AD20&gt;CHK_TOL,AD26/AD20,0)</f>
        <v>5.987636085013312</v>
      </c>
      <c r="AE27" s="512">
        <f>IF(AE20&gt;CHK_TOL,AE26/AE20,0)</f>
        <v>6.147147339694207</v>
      </c>
      <c r="AF27" s="512">
        <f>IF(AF20&gt;CHK_TOL,AF26/AF20,0)</f>
        <v>6.367072743379397</v>
      </c>
      <c r="AG27" s="512">
        <f>IF(AG20&gt;CHK_TOL,AG26/AG20,0)</f>
        <v>6.60288806678418</v>
      </c>
      <c r="AH27" s="512">
        <f>IF(AH20&gt;CHK_TOL,AH26/AH20,0)</f>
        <v>6.874307379517257</v>
      </c>
      <c r="AI27" s="512">
        <f>IF(AI20&gt;CHK_TOL,AI26/AI20,0)</f>
        <v>7.139563382158625</v>
      </c>
      <c r="AJ27" s="512">
        <f>IF(AJ20&gt;CHK_TOL,AJ26/AJ20,0)</f>
        <v>7.47707300495548</v>
      </c>
      <c r="AK27" s="512">
        <f>IF(AK20&gt;CHK_TOL,AK26/AK20,0)</f>
        <v>7.846979482333431</v>
      </c>
      <c r="AL27" s="512">
        <f>IF(AL20&gt;CHK_TOL,AL26/AL20,0)</f>
        <v>8.28566458558426</v>
      </c>
      <c r="AM27" s="512">
        <f>IF(AM20&gt;CHK_TOL,AM26/AM20,0)</f>
        <v>8.709722409836719</v>
      </c>
      <c r="AN27" s="512">
        <f>IF(AN20&gt;CHK_TOL,AN26/AN20,0)</f>
        <v>9.340265489402583</v>
      </c>
      <c r="AO27" s="512">
        <f>IF(AO20&gt;CHK_TOL,AO26/AO20,0)</f>
        <v>10.075730986391175</v>
      </c>
      <c r="AP27" s="512">
        <f>IF(AP20&gt;CHK_TOL,AP26/AP20,0)</f>
        <v>11.00599432680063</v>
      </c>
      <c r="AQ27" s="512">
        <f>IF(AQ20&gt;CHK_TOL,AQ26/AQ20,0)</f>
        <v>11.935146583673562</v>
      </c>
      <c r="AR27" s="512">
        <f>IF(AR20&gt;CHK_TOL,AR26/AR20,0)</f>
        <v>13.36598640966926</v>
      </c>
      <c r="AS27" s="512">
        <f>IF(AS20&gt;CHK_TOL,AS26/AS20,0)</f>
        <v>15.208845568448876</v>
      </c>
      <c r="AT27" s="512">
        <f>IF(AT20&gt;CHK_TOL,AT26/AT20,0)</f>
        <v>17.859386134255036</v>
      </c>
      <c r="AU27" s="512">
        <f>IF(AU20&gt;CHK_TOL,AU26/AU20,0)</f>
        <v>21.651713458281684</v>
      </c>
      <c r="AV27" s="512">
        <f>IF(AV20&gt;CHK_TOL,AV26/AV20,0)</f>
        <v>28.057664297532277</v>
      </c>
      <c r="AW27" s="512">
        <f>IF(AW20&gt;CHK_TOL,AW26/AW20,0)</f>
        <v>40.075906944442266</v>
      </c>
      <c r="AX27" s="512">
        <f>IF(AX20&gt;CHK_TOL,AX26/AX20,0)</f>
        <v>78.39172472448173</v>
      </c>
      <c r="AY27" s="512">
        <f>IF(AY20&gt;CHK_TOL,AY26/AY20,0)</f>
        <v>0.0</v>
      </c>
      <c r="AZ27" s="512">
        <f>IF(AZ20&gt;CHK_TOL,AZ26/AZ20,0)</f>
        <v>0.0</v>
      </c>
      <c r="BA27" s="512">
        <f>IF(BA20&gt;CHK_TOL,BA26/BA20,0)</f>
        <v>0.0</v>
      </c>
      <c r="BB27" s="512">
        <f>IF(BB20&gt;CHK_TOL,BB26/BB20,0)</f>
        <v>0.0</v>
      </c>
      <c r="BC27" s="512">
        <f>IF(BC20&gt;CHK_TOL,BC26/BC20,0)</f>
        <v>0.0</v>
      </c>
      <c r="BD27" s="512">
        <f>IF(BD20&gt;CHK_TOL,BD26/BD20,0)</f>
        <v>0.0</v>
      </c>
      <c r="BE27" s="512">
        <f>IF(BE20&gt;CHK_TOL,BE26/BE20,0)</f>
        <v>0.0</v>
      </c>
      <c r="BF27" s="512">
        <f>IF(BF20&gt;CHK_TOL,BF26/BF20,0)</f>
        <v>0.0</v>
      </c>
      <c r="BG27" s="512">
        <f>IF(BG20&gt;CHK_TOL,BG26/BG20,0)</f>
        <v>0.0</v>
      </c>
      <c r="BH27" s="512">
        <f>IF(BH20&gt;CHK_TOL,BH26/BH20,0)</f>
        <v>0.0</v>
      </c>
      <c r="BI27" s="512">
        <f>IF(BI20&gt;CHK_TOL,BI26/BI20,0)</f>
        <v>0.0</v>
      </c>
      <c r="BJ27" s="512">
        <f>IF(BJ20&gt;CHK_TOL,BJ26/BJ20,0)</f>
        <v>0.0</v>
      </c>
      <c r="BK27" s="512">
        <f>IF(BK20&gt;CHK_TOL,BK26/BK20,0)</f>
        <v>0.0</v>
      </c>
      <c r="BL27" s="512">
        <f>IF(BL20&gt;CHK_TOL,BL26/BL20,0)</f>
        <v>0.0</v>
      </c>
      <c r="BM27" s="512">
        <f>IF(BM20&gt;CHK_TOL,BM26/BM20,0)</f>
        <v>0.0</v>
      </c>
      <c r="BN27" s="512">
        <f>IF(BN20&gt;CHK_TOL,BN26/BN20,0)</f>
        <v>0.0</v>
      </c>
      <c r="BO27" s="512">
        <f>IF(BO20&gt;CHK_TOL,BO26/BO20,0)</f>
        <v>0.0</v>
      </c>
      <c r="BP27" s="512">
        <f>IF(BP20&gt;CHK_TOL,BP26/BP20,0)</f>
        <v>0.0</v>
      </c>
      <c r="BQ27" s="512">
        <f>IF(BQ20&gt;CHK_TOL,BQ26/BQ20,0)</f>
        <v>0.0</v>
      </c>
      <c r="BR27" s="512">
        <f>IF(BR20&gt;CHK_TOL,BR26/BR20,0)</f>
        <v>0.0</v>
      </c>
      <c r="BS27" s="512">
        <f>IF(BS20&gt;CHK_TOL,BS26/BS20,0)</f>
        <v>0.0</v>
      </c>
      <c r="BT27" s="512">
        <f>IF(BT20&gt;CHK_TOL,BT26/BT20,0)</f>
        <v>0.0</v>
      </c>
      <c r="BU27" s="512">
        <f>IF(BU20&gt;CHK_TOL,BU26/BU20,0)</f>
        <v>0.0</v>
      </c>
      <c r="BV27" s="512">
        <f>IF(BV20&gt;CHK_TOL,BV26/BV20,0)</f>
        <v>0.0</v>
      </c>
      <c r="BW27" s="512">
        <f>IF(BW20&gt;CHK_TOL,BW26/BW20,0)</f>
        <v>0.0</v>
      </c>
      <c r="BX27" s="512">
        <f>IF(BX20&gt;CHK_TOL,BX26/BX20,0)</f>
        <v>0.0</v>
      </c>
      <c r="BY27" s="512">
        <f>IF(BY20&gt;CHK_TOL,BY26/BY20,0)</f>
        <v>0.0</v>
      </c>
      <c r="BZ27" s="512">
        <f>IF(BZ20&gt;CHK_TOL,BZ26/BZ20,0)</f>
        <v>0.0</v>
      </c>
      <c r="CA27" s="512">
        <f>IF(CA20&gt;CHK_TOL,CA26/CA20,0)</f>
        <v>0.0</v>
      </c>
      <c r="CB27" s="512">
        <f>IF(CB20&gt;CHK_TOL,CB26/CB20,0)</f>
        <v>0.0</v>
      </c>
      <c r="CC27" s="512">
        <f>IF(CC20&gt;CHK_TOL,CC26/CC20,0)</f>
        <v>0.0</v>
      </c>
      <c r="CD27" s="512">
        <f>IF(CD20&gt;CHK_TOL,CD26/CD20,0)</f>
        <v>0.0</v>
      </c>
      <c r="CE27" s="512">
        <f>IF(CE20&gt;CHK_TOL,CE26/CE20,0)</f>
        <v>0.0</v>
      </c>
      <c r="CF27" s="512">
        <f>IF(CF20&gt;CHK_TOL,CF26/CF20,0)</f>
        <v>0.0</v>
      </c>
      <c r="CG27" s="512">
        <f>IF(CG20&gt;CHK_TOL,CG26/CG20,0)</f>
        <v>0.0</v>
      </c>
      <c r="CH27" s="512">
        <f>IF(CH20&gt;CHK_TOL,CH26/CH20,0)</f>
        <v>0.0</v>
      </c>
      <c r="CI27" s="512">
        <f>IF(CI20&gt;CHK_TOL,CI26/CI20,0)</f>
        <v>0.0</v>
      </c>
      <c r="CJ27" s="512">
        <f>IF(CJ20&gt;CHK_TOL,CJ26/CJ20,0)</f>
        <v>0.0</v>
      </c>
      <c r="CK27" s="512">
        <f>IF(CK20&gt;CHK_TOL,CK26/CK20,0)</f>
        <v>0.0</v>
      </c>
      <c r="CL27" s="512">
        <f>IF(CL20&gt;CHK_TOL,CL26/CL20,0)</f>
        <v>0.0</v>
      </c>
      <c r="CM27" s="512">
        <f>IF(CM20&gt;CHK_TOL,CM26/CM20,0)</f>
        <v>0.0</v>
      </c>
      <c r="CN27" s="512">
        <f>IF(CN20&gt;CHK_TOL,CN26/CN20,0)</f>
        <v>0.0</v>
      </c>
      <c r="CO27" s="512">
        <f>IF(CO20&gt;CHK_TOL,CO26/CO20,0)</f>
        <v>0.0</v>
      </c>
    </row>
    <row r="28">
      <c r="A28" s="358" t="n"/>
      <c r="B28" s="358" t="n"/>
      <c r="C28" s="359" t="n"/>
      <c r="D28" s="360" t="n"/>
      <c r="E28" s="390" t="inlineStr">
        <is>
          <t>PLCR at COD</t>
        </is>
      </c>
      <c r="F28" s="512">
        <f>SUMPRODUCT(J27:CO27,Time!J45:CO45)</f>
        <v>4.192333041644041</v>
      </c>
      <c r="G28" s="390" t="inlineStr">
        <is>
          <t>x</t>
        </is>
      </c>
      <c r="H28" s="512" t="n"/>
      <c r="I28" s="487" t="n"/>
      <c r="J28" s="512" t="n"/>
      <c r="K28" s="512" t="n"/>
      <c r="L28" s="512" t="n"/>
      <c r="M28" s="512" t="n"/>
      <c r="N28" s="512" t="n"/>
      <c r="O28" s="512" t="n"/>
      <c r="P28" s="512" t="n"/>
      <c r="Q28" s="512" t="n"/>
      <c r="R28" s="512" t="n"/>
      <c r="S28" s="512" t="n"/>
      <c r="T28" s="512" t="n"/>
      <c r="U28" s="512" t="n"/>
      <c r="V28" s="512" t="n"/>
      <c r="W28" s="512" t="n"/>
      <c r="X28" s="512" t="n"/>
      <c r="Y28" s="512" t="n"/>
      <c r="Z28" s="512" t="n"/>
      <c r="AA28" s="512" t="n"/>
      <c r="AB28" s="512" t="n"/>
      <c r="AC28" s="512" t="n"/>
      <c r="AD28" s="512" t="n"/>
      <c r="AE28" s="512" t="n"/>
      <c r="AF28" s="512" t="n"/>
      <c r="AG28" s="512" t="n"/>
      <c r="AH28" s="512" t="n"/>
      <c r="AI28" s="512" t="n"/>
      <c r="AJ28" s="512" t="n"/>
      <c r="AK28" s="512" t="n"/>
      <c r="AL28" s="512" t="n"/>
      <c r="AM28" s="512" t="n"/>
      <c r="AN28" s="512" t="n"/>
      <c r="AO28" s="512" t="n"/>
      <c r="AP28" s="512" t="n"/>
      <c r="AQ28" s="512" t="n"/>
      <c r="AR28" s="512" t="n"/>
      <c r="AS28" s="512" t="n"/>
      <c r="AT28" s="512" t="n"/>
      <c r="AU28" s="512" t="n"/>
      <c r="AV28" s="512" t="n"/>
      <c r="AW28" s="512" t="n"/>
      <c r="AX28" s="512" t="n"/>
      <c r="AY28" s="512" t="n"/>
      <c r="AZ28" s="512" t="n"/>
      <c r="BA28" s="512" t="n"/>
      <c r="BB28" s="512" t="n"/>
      <c r="BC28" s="512" t="n"/>
      <c r="BD28" s="512" t="n"/>
      <c r="BE28" s="512" t="n"/>
      <c r="BF28" s="512" t="n"/>
      <c r="BG28" s="512" t="n"/>
      <c r="BH28" s="512" t="n"/>
      <c r="BI28" s="512" t="n"/>
      <c r="BJ28" s="512" t="n"/>
      <c r="BK28" s="512" t="n"/>
      <c r="BL28" s="512" t="n"/>
      <c r="BM28" s="512" t="n"/>
      <c r="BN28" s="512" t="n"/>
      <c r="BO28" s="512" t="n"/>
      <c r="BP28" s="512" t="n"/>
      <c r="BQ28" s="512" t="n"/>
      <c r="BR28" s="512" t="n"/>
      <c r="BS28" s="512" t="n"/>
      <c r="BT28" s="512" t="n"/>
      <c r="BU28" s="512" t="n"/>
      <c r="BV28" s="512" t="n"/>
      <c r="BW28" s="512" t="n"/>
      <c r="BX28" s="512" t="n"/>
      <c r="BY28" s="512" t="n"/>
      <c r="BZ28" s="512" t="n"/>
      <c r="CA28" s="512" t="n"/>
      <c r="CB28" s="512" t="n"/>
      <c r="CC28" s="512" t="n"/>
      <c r="CD28" s="512" t="n"/>
      <c r="CE28" s="512" t="n"/>
      <c r="CF28" s="512" t="n"/>
      <c r="CG28" s="512" t="n"/>
      <c r="CH28" s="512" t="n"/>
      <c r="CI28" s="512" t="n"/>
      <c r="CJ28" s="512" t="n"/>
      <c r="CK28" s="512" t="n"/>
      <c r="CL28" s="512" t="n"/>
      <c r="CM28" s="512" t="n"/>
      <c r="CN28" s="512" t="n"/>
      <c r="CO28" s="512" t="n"/>
    </row>
  </sheetData>
  <pageMargins left="0.75" right="0.75" top="1" bottom="1" header="0.5" footer="0.5"/>
</worksheet>
</file>

<file path=xl/worksheets/sheet19.xml><?xml version="1.0" encoding="utf-8"?>
<worksheet xmlns="http://schemas.openxmlformats.org/spreadsheetml/2006/main">
  <sheetPr>
    <tabColor rgb="00141B4D"/>
    <outlinePr summaryBelow="0" summaryRight="0"/>
    <pageSetUpPr/>
  </sheetPr>
  <dimension ref="A1:CO51"/>
  <sheetViews>
    <sheetView showGridLines="0" defaultGridColor="0" colorId="22" zoomScale="110" zoomScaleNormal="110" workbookViewId="0">
      <pane xSplit="9" ySplit="5" topLeftCell="J38" activePane="bottomRight" state="frozen"/>
      <selection activeCell="I34" sqref="I34"/>
      <selection pane="topRight" activeCell="I34" sqref="I34"/>
      <selection pane="bottomLeft" activeCell="I34" sqref="I34"/>
      <selection pane="bottomRight" activeCell="F49" sqref="F49"/>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ustomFormat="1" s="169">
      <c r="A7" s="163" t="inlineStr">
        <is>
          <t>VALUATION</t>
        </is>
      </c>
      <c r="B7" s="163" t="n"/>
      <c r="C7" s="172" t="n"/>
      <c r="D7" s="88" t="n"/>
      <c r="E7" s="169" t="n"/>
      <c r="F7" s="169" t="n"/>
      <c r="G7" s="169" t="n"/>
      <c r="H7" s="169" t="n"/>
      <c r="I7" s="169" t="n"/>
      <c r="J7" s="169" t="n"/>
      <c r="K7" s="169" t="n"/>
      <c r="L7" s="169" t="n"/>
      <c r="M7" s="169" t="n"/>
      <c r="N7" s="169" t="n"/>
      <c r="O7" s="169" t="n"/>
      <c r="P7" s="169" t="n"/>
      <c r="Q7" s="169" t="n"/>
      <c r="R7" s="169" t="n"/>
      <c r="S7" s="169" t="n"/>
      <c r="T7" s="169" t="n"/>
      <c r="U7" s="169" t="n"/>
      <c r="V7" s="169" t="n"/>
      <c r="W7" s="169" t="n"/>
      <c r="X7" s="169" t="n"/>
      <c r="Y7" s="169" t="n"/>
      <c r="Z7" s="169" t="n"/>
      <c r="AA7" s="169" t="n"/>
      <c r="AB7" s="169" t="n"/>
      <c r="AC7" s="169" t="n"/>
      <c r="AD7" s="169" t="n"/>
      <c r="AE7" s="169" t="n"/>
      <c r="AF7" s="169" t="n"/>
      <c r="AG7" s="169" t="n"/>
    </row>
    <row r="9">
      <c r="B9" s="294" t="inlineStr">
        <is>
          <t>Shareholder discount factor</t>
        </is>
      </c>
    </row>
    <row r="10">
      <c r="E10" s="338" t="str">
        <f> InpC!E$90</f>
        <v>Shareholders valuation date</v>
      </c>
      <c r="F10" s="338">
        <f> InpC!F$90</f>
        <v>44561.0</v>
      </c>
      <c r="G10" s="338" t="str">
        <f> InpC!G$90</f>
        <v>date</v>
      </c>
    </row>
    <row r="11">
      <c r="E11" s="325" t="str">
        <f> InpC!E$91</f>
        <v>Days in shareholder discount year</v>
      </c>
      <c r="F11" s="325">
        <f> InpC!F$91</f>
        <v>365.0</v>
      </c>
      <c r="G11" s="325" t="str">
        <f> InpC!G$91</f>
        <v>days</v>
      </c>
    </row>
    <row r="12">
      <c r="E12" s="343" t="str">
        <f> Time!E$25</f>
        <v>Model period ending </v>
      </c>
      <c r="F12" s="343">
        <f> Time!F$25</f>
        <v>0.0</v>
      </c>
      <c r="G12" s="343" t="str">
        <f> Time!G$25</f>
        <v>date</v>
      </c>
      <c r="H12" s="343">
        <f> Time!H$25</f>
        <v>0.0</v>
      </c>
      <c r="I12" s="343">
        <f> Time!I$25</f>
        <v>0.0</v>
      </c>
      <c r="J12" s="343">
        <f> Time!J$25</f>
        <v>44469.0</v>
      </c>
      <c r="K12" s="340">
        <f> Time!K$25</f>
        <v>44561.0</v>
      </c>
      <c r="L12" s="340">
        <f> Time!L$25</f>
        <v>44651.0</v>
      </c>
      <c r="M12" s="340">
        <f> Time!M$25</f>
        <v>44742.0</v>
      </c>
      <c r="N12" s="340">
        <f> Time!N$25</f>
        <v>44834.0</v>
      </c>
      <c r="O12" s="340">
        <f> Time!O$25</f>
        <v>44926.0</v>
      </c>
      <c r="P12" s="340">
        <f> Time!P$25</f>
        <v>45016.0</v>
      </c>
      <c r="Q12" s="340">
        <f> Time!Q$25</f>
        <v>45107.0</v>
      </c>
      <c r="R12" s="340">
        <f> Time!R$25</f>
        <v>45199.0</v>
      </c>
      <c r="S12" s="340">
        <f> Time!S$25</f>
        <v>45291.0</v>
      </c>
      <c r="T12" s="340">
        <f> Time!T$25</f>
        <v>45382.0</v>
      </c>
      <c r="U12" s="340">
        <f> Time!U$25</f>
        <v>45473.0</v>
      </c>
      <c r="V12" s="340">
        <f> Time!V$25</f>
        <v>45565.0</v>
      </c>
      <c r="W12" s="340">
        <f> Time!W$25</f>
        <v>45657.0</v>
      </c>
      <c r="X12" s="340">
        <f> Time!X$25</f>
        <v>45747.0</v>
      </c>
      <c r="Y12" s="340">
        <f> Time!Y$25</f>
        <v>45838.0</v>
      </c>
      <c r="Z12" s="340">
        <f> Time!Z$25</f>
        <v>45930.0</v>
      </c>
      <c r="AA12" s="340">
        <f> Time!AA$25</f>
        <v>46022.0</v>
      </c>
      <c r="AB12" s="340">
        <f> Time!AB$25</f>
        <v>46112.0</v>
      </c>
      <c r="AC12" s="340">
        <f> Time!AC$25</f>
        <v>46203.0</v>
      </c>
      <c r="AD12" s="340">
        <f> Time!AD$25</f>
        <v>46295.0</v>
      </c>
      <c r="AE12" s="340">
        <f> Time!AE$25</f>
        <v>46387.0</v>
      </c>
      <c r="AF12" s="340">
        <f> Time!AF$25</f>
        <v>46477.0</v>
      </c>
      <c r="AG12" s="340">
        <f> Time!AG$25</f>
        <v>46568.0</v>
      </c>
      <c r="AH12" s="340">
        <f> Time!AH$25</f>
        <v>46660.0</v>
      </c>
      <c r="AI12" s="340">
        <f> Time!AI$25</f>
        <v>46752.0</v>
      </c>
      <c r="AJ12" s="340">
        <f> Time!AJ$25</f>
        <v>46843.0</v>
      </c>
      <c r="AK12" s="340">
        <f> Time!AK$25</f>
        <v>46934.0</v>
      </c>
      <c r="AL12" s="340">
        <f> Time!AL$25</f>
        <v>47026.0</v>
      </c>
      <c r="AM12" s="340">
        <f> Time!AM$25</f>
        <v>47118.0</v>
      </c>
      <c r="AN12" s="340">
        <f> Time!AN$25</f>
        <v>47208.0</v>
      </c>
      <c r="AO12" s="340">
        <f> Time!AO$25</f>
        <v>47299.0</v>
      </c>
      <c r="AP12" s="340">
        <f> Time!AP$25</f>
        <v>47391.0</v>
      </c>
      <c r="AQ12" s="340">
        <f> Time!AQ$25</f>
        <v>47483.0</v>
      </c>
      <c r="AR12" s="340">
        <f> Time!AR$25</f>
        <v>47573.0</v>
      </c>
      <c r="AS12" s="340">
        <f> Time!AS$25</f>
        <v>47664.0</v>
      </c>
      <c r="AT12" s="340">
        <f> Time!AT$25</f>
        <v>47756.0</v>
      </c>
      <c r="AU12" s="340">
        <f> Time!AU$25</f>
        <v>47848.0</v>
      </c>
      <c r="AV12" s="340">
        <f> Time!AV$25</f>
        <v>47938.0</v>
      </c>
      <c r="AW12" s="340">
        <f> Time!AW$25</f>
        <v>48029.0</v>
      </c>
      <c r="AX12" s="340">
        <f> Time!AX$25</f>
        <v>48121.0</v>
      </c>
      <c r="AY12" s="340">
        <f> Time!AY$25</f>
        <v>48213.0</v>
      </c>
      <c r="AZ12" s="340">
        <f> Time!AZ$25</f>
        <v>48304.0</v>
      </c>
      <c r="BA12" s="340">
        <f> Time!BA$25</f>
        <v>48395.0</v>
      </c>
      <c r="BB12" s="340">
        <f> Time!BB$25</f>
        <v>48487.0</v>
      </c>
      <c r="BC12" s="340">
        <f> Time!BC$25</f>
        <v>48579.0</v>
      </c>
      <c r="BD12" s="340">
        <f> Time!BD$25</f>
        <v>48669.0</v>
      </c>
      <c r="BE12" s="340">
        <f> Time!BE$25</f>
        <v>48760.0</v>
      </c>
      <c r="BF12" s="340">
        <f> Time!BF$25</f>
        <v>48852.0</v>
      </c>
      <c r="BG12" s="340">
        <f> Time!BG$25</f>
        <v>48944.0</v>
      </c>
      <c r="BH12" s="340">
        <f> Time!BH$25</f>
        <v>49034.0</v>
      </c>
      <c r="BI12" s="340">
        <f> Time!BI$25</f>
        <v>49125.0</v>
      </c>
      <c r="BJ12" s="340">
        <f> Time!BJ$25</f>
        <v>49217.0</v>
      </c>
      <c r="BK12" s="340">
        <f> Time!BK$25</f>
        <v>49309.0</v>
      </c>
      <c r="BL12" s="340">
        <f> Time!BL$25</f>
        <v>49399.0</v>
      </c>
      <c r="BM12" s="340">
        <f> Time!BM$25</f>
        <v>49490.0</v>
      </c>
      <c r="BN12" s="340">
        <f> Time!BN$25</f>
        <v>49582.0</v>
      </c>
      <c r="BO12" s="340">
        <f> Time!BO$25</f>
        <v>49674.0</v>
      </c>
      <c r="BP12" s="340">
        <f> Time!BP$25</f>
        <v>49765.0</v>
      </c>
      <c r="BQ12" s="340">
        <f> Time!BQ$25</f>
        <v>49856.0</v>
      </c>
      <c r="BR12" s="340">
        <f> Time!BR$25</f>
        <v>49948.0</v>
      </c>
      <c r="BS12" s="340">
        <f> Time!BS$25</f>
        <v>50040.0</v>
      </c>
      <c r="BT12" s="340">
        <f> Time!BT$25</f>
        <v>50130.0</v>
      </c>
      <c r="BU12" s="340">
        <f> Time!BU$25</f>
        <v>50221.0</v>
      </c>
      <c r="BV12" s="340">
        <f> Time!BV$25</f>
        <v>50313.0</v>
      </c>
      <c r="BW12" s="340">
        <f> Time!BW$25</f>
        <v>50405.0</v>
      </c>
      <c r="BX12" s="340">
        <f> Time!BX$25</f>
        <v>50495.0</v>
      </c>
      <c r="BY12" s="340">
        <f> Time!BY$25</f>
        <v>50586.0</v>
      </c>
      <c r="BZ12" s="340">
        <f> Time!BZ$25</f>
        <v>50678.0</v>
      </c>
      <c r="CA12" s="340">
        <f> Time!CA$25</f>
        <v>50770.0</v>
      </c>
      <c r="CB12" s="340">
        <f> Time!CB$25</f>
        <v>50860.0</v>
      </c>
      <c r="CC12" s="340">
        <f> Time!CC$25</f>
        <v>50951.0</v>
      </c>
      <c r="CD12" s="340">
        <f> Time!CD$25</f>
        <v>51043.0</v>
      </c>
      <c r="CE12" s="340">
        <f> Time!CE$25</f>
        <v>51135.0</v>
      </c>
      <c r="CF12" s="340">
        <f> Time!CF$25</f>
        <v>51226.0</v>
      </c>
      <c r="CG12" s="340">
        <f> Time!CG$25</f>
        <v>51317.0</v>
      </c>
      <c r="CH12" s="340">
        <f> Time!CH$25</f>
        <v>51409.0</v>
      </c>
      <c r="CI12" s="340">
        <f> Time!CI$25</f>
        <v>51501.0</v>
      </c>
      <c r="CJ12" s="340">
        <f> Time!CJ$25</f>
        <v>51591.0</v>
      </c>
      <c r="CK12" s="340">
        <f> Time!CK$25</f>
        <v>51682.0</v>
      </c>
      <c r="CL12" s="340">
        <f> Time!CL$25</f>
        <v>51774.0</v>
      </c>
      <c r="CM12" s="340">
        <f> Time!CM$25</f>
        <v>51866.0</v>
      </c>
      <c r="CN12" s="340">
        <f> Time!CN$25</f>
        <v>51956.0</v>
      </c>
      <c r="CO12" s="340">
        <f> Time!CO$25</f>
        <v>52047.0</v>
      </c>
    </row>
    <row r="13">
      <c r="E13" s="61" t="inlineStr">
        <is>
          <t>Years from shareholder valuation date</t>
        </is>
      </c>
      <c r="G13" s="61" t="inlineStr">
        <is>
          <t>years</t>
        </is>
      </c>
      <c r="J13" s="277">
        <f>( J12 - $F10) /$F11</f>
        <v>-0.25205479452054796</v>
      </c>
      <c r="K13" s="277">
        <f>( K12 - $F10) /$F11</f>
        <v>0.0</v>
      </c>
      <c r="L13" s="277">
        <f>( L12 - $F10) /$F11</f>
        <v>0.2465753424657534</v>
      </c>
      <c r="M13" s="277">
        <f>( M12 - $F10) /$F11</f>
        <v>0.4958904109589041</v>
      </c>
      <c r="N13" s="277">
        <f>( N12 - $F10) /$F11</f>
        <v>0.7479452054794521</v>
      </c>
      <c r="O13" s="277">
        <f>( O12 - $F10) /$F11</f>
        <v>1.0</v>
      </c>
      <c r="P13" s="277">
        <f>( P12 - $F10) /$F11</f>
        <v>1.2465753424657535</v>
      </c>
      <c r="Q13" s="277">
        <f>( Q12 - $F10) /$F11</f>
        <v>1.4958904109589042</v>
      </c>
      <c r="R13" s="277">
        <f>( R12 - $F10) /$F11</f>
        <v>1.747945205479452</v>
      </c>
      <c r="S13" s="277">
        <f>( S12 - $F10) /$F11</f>
        <v>2.0</v>
      </c>
      <c r="T13" s="277">
        <f>( T12 - $F10) /$F11</f>
        <v>2.249315068493151</v>
      </c>
      <c r="U13" s="277">
        <f>( U12 - $F10) /$F11</f>
        <v>2.4986301369863013</v>
      </c>
      <c r="V13" s="277">
        <f>( V12 - $F10) /$F11</f>
        <v>2.750684931506849</v>
      </c>
      <c r="W13" s="277">
        <f>( W12 - $F10) /$F11</f>
        <v>3.0027397260273974</v>
      </c>
      <c r="X13" s="277">
        <f>( X12 - $F10) /$F11</f>
        <v>3.249315068493151</v>
      </c>
      <c r="Y13" s="277">
        <f>( Y12 - $F10) /$F11</f>
        <v>3.4986301369863013</v>
      </c>
      <c r="Z13" s="277">
        <f>( Z12 - $F10) /$F11</f>
        <v>3.750684931506849</v>
      </c>
      <c r="AA13" s="277">
        <f>( AA12 - $F10) /$F11</f>
        <v>4.002739726027397</v>
      </c>
      <c r="AB13" s="277">
        <f>( AB12 - $F10) /$F11</f>
        <v>4.249315068493151</v>
      </c>
      <c r="AC13" s="277">
        <f>( AC12 - $F10) /$F11</f>
        <v>4.498630136986302</v>
      </c>
      <c r="AD13" s="277">
        <f>( AD12 - $F10) /$F11</f>
        <v>4.750684931506849</v>
      </c>
      <c r="AE13" s="277">
        <f>( AE12 - $F10) /$F11</f>
        <v>5.002739726027397</v>
      </c>
      <c r="AF13" s="277">
        <f>( AF12 - $F10) /$F11</f>
        <v>5.249315068493151</v>
      </c>
      <c r="AG13" s="277">
        <f>( AG12 - $F10) /$F11</f>
        <v>5.498630136986302</v>
      </c>
      <c r="AH13" s="277">
        <f>( AH12 - $F10) /$F11</f>
        <v>5.750684931506849</v>
      </c>
      <c r="AI13" s="277">
        <f>( AI12 - $F10) /$F11</f>
        <v>6.002739726027397</v>
      </c>
      <c r="AJ13" s="277">
        <f>( AJ12 - $F10) /$F11</f>
        <v>6.252054794520548</v>
      </c>
      <c r="AK13" s="277">
        <f>( AK12 - $F10) /$F11</f>
        <v>6.501369863013698</v>
      </c>
      <c r="AL13" s="277">
        <f>( AL12 - $F10) /$F11</f>
        <v>6.7534246575342465</v>
      </c>
      <c r="AM13" s="277">
        <f>( AM12 - $F10) /$F11</f>
        <v>7.005479452054795</v>
      </c>
      <c r="AN13" s="277">
        <f>( AN12 - $F10) /$F11</f>
        <v>7.252054794520548</v>
      </c>
      <c r="AO13" s="277">
        <f>( AO12 - $F10) /$F11</f>
        <v>7.501369863013698</v>
      </c>
      <c r="AP13" s="277">
        <f>( AP12 - $F10) /$F11</f>
        <v>7.7534246575342465</v>
      </c>
      <c r="AQ13" s="277">
        <f>( AQ12 - $F10) /$F11</f>
        <v>8.005479452054795</v>
      </c>
      <c r="AR13" s="277">
        <f>( AR12 - $F10) /$F11</f>
        <v>8.252054794520548</v>
      </c>
      <c r="AS13" s="277">
        <f>( AS12 - $F10) /$F11</f>
        <v>8.501369863013698</v>
      </c>
      <c r="AT13" s="277">
        <f>( AT12 - $F10) /$F11</f>
        <v>8.753424657534246</v>
      </c>
      <c r="AU13" s="277">
        <f>( AU12 - $F10) /$F11</f>
        <v>9.005479452054795</v>
      </c>
      <c r="AV13" s="277">
        <f>( AV12 - $F10) /$F11</f>
        <v>9.252054794520548</v>
      </c>
      <c r="AW13" s="277">
        <f>( AW12 - $F10) /$F11</f>
        <v>9.501369863013698</v>
      </c>
      <c r="AX13" s="277">
        <f>( AX12 - $F10) /$F11</f>
        <v>9.753424657534246</v>
      </c>
      <c r="AY13" s="277">
        <f>( AY12 - $F10) /$F11</f>
        <v>10.005479452054795</v>
      </c>
      <c r="AZ13" s="277">
        <f>( AZ12 - $F10) /$F11</f>
        <v>10.254794520547945</v>
      </c>
      <c r="BA13" s="277">
        <f>( BA12 - $F10) /$F11</f>
        <v>10.504109589041096</v>
      </c>
      <c r="BB13" s="277">
        <f>( BB12 - $F10) /$F11</f>
        <v>10.756164383561643</v>
      </c>
      <c r="BC13" s="277">
        <f>( BC12 - $F10) /$F11</f>
        <v>11.008219178082191</v>
      </c>
      <c r="BD13" s="277">
        <f>( BD12 - $F10) /$F11</f>
        <v>11.254794520547945</v>
      </c>
      <c r="BE13" s="277">
        <f>( BE12 - $F10) /$F11</f>
        <v>11.504109589041096</v>
      </c>
      <c r="BF13" s="277">
        <f>( BF12 - $F10) /$F11</f>
        <v>11.756164383561643</v>
      </c>
      <c r="BG13" s="277">
        <f>( BG12 - $F10) /$F11</f>
        <v>12.008219178082191</v>
      </c>
      <c r="BH13" s="277">
        <f>( BH12 - $F10) /$F11</f>
        <v>12.254794520547945</v>
      </c>
      <c r="BI13" s="277">
        <f>( BI12 - $F10) /$F11</f>
        <v>12.504109589041096</v>
      </c>
      <c r="BJ13" s="277">
        <f>( BJ12 - $F10) /$F11</f>
        <v>12.756164383561643</v>
      </c>
      <c r="BK13" s="277">
        <f>( BK12 - $F10) /$F11</f>
        <v>13.008219178082191</v>
      </c>
      <c r="BL13" s="277">
        <f>( BL12 - $F10) /$F11</f>
        <v>13.254794520547945</v>
      </c>
      <c r="BM13" s="277">
        <f>( BM12 - $F10) /$F11</f>
        <v>13.504109589041096</v>
      </c>
      <c r="BN13" s="277">
        <f>( BN12 - $F10) /$F11</f>
        <v>13.756164383561643</v>
      </c>
      <c r="BO13" s="277">
        <f>( BO12 - $F10) /$F11</f>
        <v>14.008219178082191</v>
      </c>
      <c r="BP13" s="277">
        <f>( BP12 - $F10) /$F11</f>
        <v>14.257534246575343</v>
      </c>
      <c r="BQ13" s="277">
        <f>( BQ12 - $F10) /$F11</f>
        <v>14.506849315068493</v>
      </c>
      <c r="BR13" s="277">
        <f>( BR12 - $F10) /$F11</f>
        <v>14.758904109589041</v>
      </c>
      <c r="BS13" s="277">
        <f>( BS12 - $F10) /$F11</f>
        <v>15.01095890410959</v>
      </c>
      <c r="BT13" s="277">
        <f>( BT12 - $F10) /$F11</f>
        <v>15.257534246575343</v>
      </c>
      <c r="BU13" s="277">
        <f>( BU12 - $F10) /$F11</f>
        <v>15.506849315068493</v>
      </c>
      <c r="BV13" s="277">
        <f>( BV12 - $F10) /$F11</f>
        <v>15.758904109589041</v>
      </c>
      <c r="BW13" s="277">
        <f>( BW12 - $F10) /$F11</f>
        <v>16.01095890410959</v>
      </c>
      <c r="BX13" s="277">
        <f>( BX12 - $F10) /$F11</f>
        <v>16.257534246575343</v>
      </c>
      <c r="BY13" s="277">
        <f>( BY12 - $F10) /$F11</f>
        <v>16.506849315068493</v>
      </c>
      <c r="BZ13" s="277">
        <f>( BZ12 - $F10) /$F11</f>
        <v>16.75890410958904</v>
      </c>
      <c r="CA13" s="277">
        <f>( CA12 - $F10) /$F11</f>
        <v>17.01095890410959</v>
      </c>
      <c r="CB13" s="277">
        <f>( CB12 - $F10) /$F11</f>
        <v>17.257534246575343</v>
      </c>
      <c r="CC13" s="277">
        <f>( CC12 - $F10) /$F11</f>
        <v>17.506849315068493</v>
      </c>
      <c r="CD13" s="277">
        <f>( CD12 - $F10) /$F11</f>
        <v>17.75890410958904</v>
      </c>
      <c r="CE13" s="277">
        <f>( CE12 - $F10) /$F11</f>
        <v>18.01095890410959</v>
      </c>
      <c r="CF13" s="277">
        <f>( CF12 - $F10) /$F11</f>
        <v>18.26027397260274</v>
      </c>
      <c r="CG13" s="277">
        <f>( CG12 - $F10) /$F11</f>
        <v>18.50958904109589</v>
      </c>
      <c r="CH13" s="277">
        <f>( CH12 - $F10) /$F11</f>
        <v>18.76164383561644</v>
      </c>
      <c r="CI13" s="277">
        <f>( CI12 - $F10) /$F11</f>
        <v>19.013698630136986</v>
      </c>
      <c r="CJ13" s="277">
        <f>( CJ12 - $F10) /$F11</f>
        <v>19.26027397260274</v>
      </c>
      <c r="CK13" s="277">
        <f>( CK12 - $F10) /$F11</f>
        <v>19.50958904109589</v>
      </c>
      <c r="CL13" s="277">
        <f>( CL12 - $F10) /$F11</f>
        <v>19.76164383561644</v>
      </c>
      <c r="CM13" s="277">
        <f>( CM12 - $F10) /$F11</f>
        <v>20.013698630136986</v>
      </c>
      <c r="CN13" s="277">
        <f>( CN12 - $F10) /$F11</f>
        <v>20.26027397260274</v>
      </c>
      <c r="CO13" s="277">
        <f>( CO12 - $F10) /$F11</f>
        <v>20.50958904109589</v>
      </c>
    </row>
    <row r="15">
      <c r="E15" s="336" t="str">
        <f> InpC!E$93</f>
        <v>Shareholder required rate of return per annum</v>
      </c>
      <c r="F15" s="336">
        <f> InpC!F$93</f>
        <v>0.2525</v>
      </c>
      <c r="G15" s="336" t="str">
        <f> InpC!G$93</f>
        <v>% p.a</v>
      </c>
    </row>
    <row r="16">
      <c r="E16" s="277" t="str">
        <f> E$13</f>
        <v>Years from shareholder valuation date</v>
      </c>
      <c r="F16" s="277">
        <f> F$13</f>
        <v>0.0</v>
      </c>
      <c r="G16" s="277" t="str">
        <f> G$13</f>
        <v>years</v>
      </c>
      <c r="H16" s="277">
        <f> H$13</f>
        <v>0.0</v>
      </c>
      <c r="I16" s="277">
        <f> I$13</f>
        <v>0.0</v>
      </c>
      <c r="J16" s="277">
        <f> J$13</f>
        <v>-0.25205479452054796</v>
      </c>
      <c r="K16" s="277">
        <f> K$13</f>
        <v>0.0</v>
      </c>
      <c r="L16" s="277">
        <f> L$13</f>
        <v>0.2465753424657534</v>
      </c>
      <c r="M16" s="277">
        <f> M$13</f>
        <v>0.4958904109589041</v>
      </c>
      <c r="N16" s="277">
        <f> N$13</f>
        <v>0.7479452054794521</v>
      </c>
      <c r="O16" s="277">
        <f> O$13</f>
        <v>1.0</v>
      </c>
      <c r="P16" s="277">
        <f> P$13</f>
        <v>1.2465753424657535</v>
      </c>
      <c r="Q16" s="277">
        <f> Q$13</f>
        <v>1.4958904109589042</v>
      </c>
      <c r="R16" s="277">
        <f> R$13</f>
        <v>1.747945205479452</v>
      </c>
      <c r="S16" s="277">
        <f> S$13</f>
        <v>2.0</v>
      </c>
      <c r="T16" s="277">
        <f> T$13</f>
        <v>2.249315068493151</v>
      </c>
      <c r="U16" s="277">
        <f> U$13</f>
        <v>2.4986301369863013</v>
      </c>
      <c r="V16" s="277">
        <f> V$13</f>
        <v>2.750684931506849</v>
      </c>
      <c r="W16" s="277">
        <f> W$13</f>
        <v>3.0027397260273974</v>
      </c>
      <c r="X16" s="277">
        <f> X$13</f>
        <v>3.249315068493151</v>
      </c>
      <c r="Y16" s="277">
        <f> Y$13</f>
        <v>3.4986301369863013</v>
      </c>
      <c r="Z16" s="277">
        <f> Z$13</f>
        <v>3.750684931506849</v>
      </c>
      <c r="AA16" s="277">
        <f> AA$13</f>
        <v>4.002739726027397</v>
      </c>
      <c r="AB16" s="277">
        <f> AB$13</f>
        <v>4.249315068493151</v>
      </c>
      <c r="AC16" s="277">
        <f> AC$13</f>
        <v>4.498630136986302</v>
      </c>
      <c r="AD16" s="277">
        <f> AD$13</f>
        <v>4.750684931506849</v>
      </c>
      <c r="AE16" s="277">
        <f> AE$13</f>
        <v>5.002739726027397</v>
      </c>
      <c r="AF16" s="277">
        <f> AF$13</f>
        <v>5.249315068493151</v>
      </c>
      <c r="AG16" s="277">
        <f> AG$13</f>
        <v>5.498630136986302</v>
      </c>
      <c r="AH16" s="277">
        <f> AH$13</f>
        <v>5.750684931506849</v>
      </c>
      <c r="AI16" s="277">
        <f> AI$13</f>
        <v>6.002739726027397</v>
      </c>
      <c r="AJ16" s="277">
        <f> AJ$13</f>
        <v>6.252054794520548</v>
      </c>
      <c r="AK16" s="277">
        <f> AK$13</f>
        <v>6.501369863013698</v>
      </c>
      <c r="AL16" s="277">
        <f> AL$13</f>
        <v>6.7534246575342465</v>
      </c>
      <c r="AM16" s="277">
        <f> AM$13</f>
        <v>7.005479452054795</v>
      </c>
      <c r="AN16" s="277">
        <f> AN$13</f>
        <v>7.252054794520548</v>
      </c>
      <c r="AO16" s="277">
        <f> AO$13</f>
        <v>7.501369863013698</v>
      </c>
      <c r="AP16" s="277">
        <f> AP$13</f>
        <v>7.7534246575342465</v>
      </c>
      <c r="AQ16" s="277">
        <f> AQ$13</f>
        <v>8.005479452054795</v>
      </c>
      <c r="AR16" s="277">
        <f> AR$13</f>
        <v>8.252054794520548</v>
      </c>
      <c r="AS16" s="277">
        <f> AS$13</f>
        <v>8.501369863013698</v>
      </c>
      <c r="AT16" s="277">
        <f> AT$13</f>
        <v>8.753424657534246</v>
      </c>
      <c r="AU16" s="277">
        <f> AU$13</f>
        <v>9.005479452054795</v>
      </c>
      <c r="AV16" s="277">
        <f> AV$13</f>
        <v>9.252054794520548</v>
      </c>
      <c r="AW16" s="277">
        <f> AW$13</f>
        <v>9.501369863013698</v>
      </c>
      <c r="AX16" s="277">
        <f> AX$13</f>
        <v>9.753424657534246</v>
      </c>
      <c r="AY16" s="277">
        <f> AY$13</f>
        <v>10.005479452054795</v>
      </c>
      <c r="AZ16" s="277">
        <f> AZ$13</f>
        <v>10.254794520547945</v>
      </c>
      <c r="BA16" s="277">
        <f> BA$13</f>
        <v>10.504109589041096</v>
      </c>
      <c r="BB16" s="277">
        <f> BB$13</f>
        <v>10.756164383561643</v>
      </c>
      <c r="BC16" s="277">
        <f> BC$13</f>
        <v>11.008219178082191</v>
      </c>
      <c r="BD16" s="277">
        <f> BD$13</f>
        <v>11.254794520547945</v>
      </c>
      <c r="BE16" s="277">
        <f> BE$13</f>
        <v>11.504109589041096</v>
      </c>
      <c r="BF16" s="277">
        <f> BF$13</f>
        <v>11.756164383561643</v>
      </c>
      <c r="BG16" s="277">
        <f> BG$13</f>
        <v>12.008219178082191</v>
      </c>
      <c r="BH16" s="277">
        <f> BH$13</f>
        <v>12.254794520547945</v>
      </c>
      <c r="BI16" s="277">
        <f> BI$13</f>
        <v>12.504109589041096</v>
      </c>
      <c r="BJ16" s="277">
        <f> BJ$13</f>
        <v>12.756164383561643</v>
      </c>
      <c r="BK16" s="277">
        <f> BK$13</f>
        <v>13.008219178082191</v>
      </c>
      <c r="BL16" s="277">
        <f> BL$13</f>
        <v>13.254794520547945</v>
      </c>
      <c r="BM16" s="277">
        <f> BM$13</f>
        <v>13.504109589041096</v>
      </c>
      <c r="BN16" s="277">
        <f> BN$13</f>
        <v>13.756164383561643</v>
      </c>
      <c r="BO16" s="277">
        <f> BO$13</f>
        <v>14.008219178082191</v>
      </c>
      <c r="BP16" s="277">
        <f> BP$13</f>
        <v>14.257534246575343</v>
      </c>
      <c r="BQ16" s="277">
        <f> BQ$13</f>
        <v>14.506849315068493</v>
      </c>
      <c r="BR16" s="277">
        <f> BR$13</f>
        <v>14.758904109589041</v>
      </c>
      <c r="BS16" s="277">
        <f> BS$13</f>
        <v>15.01095890410959</v>
      </c>
      <c r="BT16" s="277">
        <f> BT$13</f>
        <v>15.257534246575343</v>
      </c>
      <c r="BU16" s="277">
        <f> BU$13</f>
        <v>15.506849315068493</v>
      </c>
      <c r="BV16" s="277">
        <f> BV$13</f>
        <v>15.758904109589041</v>
      </c>
      <c r="BW16" s="277">
        <f> BW$13</f>
        <v>16.01095890410959</v>
      </c>
      <c r="BX16" s="277">
        <f> BX$13</f>
        <v>16.257534246575343</v>
      </c>
      <c r="BY16" s="277">
        <f> BY$13</f>
        <v>16.506849315068493</v>
      </c>
      <c r="BZ16" s="277">
        <f> BZ$13</f>
        <v>16.75890410958904</v>
      </c>
      <c r="CA16" s="277">
        <f> CA$13</f>
        <v>17.01095890410959</v>
      </c>
      <c r="CB16" s="277">
        <f> CB$13</f>
        <v>17.257534246575343</v>
      </c>
      <c r="CC16" s="277">
        <f> CC$13</f>
        <v>17.506849315068493</v>
      </c>
      <c r="CD16" s="277">
        <f> CD$13</f>
        <v>17.75890410958904</v>
      </c>
      <c r="CE16" s="277">
        <f> CE$13</f>
        <v>18.01095890410959</v>
      </c>
      <c r="CF16" s="277">
        <f> CF$13</f>
        <v>18.26027397260274</v>
      </c>
      <c r="CG16" s="277">
        <f> CG$13</f>
        <v>18.50958904109589</v>
      </c>
      <c r="CH16" s="277">
        <f> CH$13</f>
        <v>18.76164383561644</v>
      </c>
      <c r="CI16" s="277">
        <f> CI$13</f>
        <v>19.013698630136986</v>
      </c>
      <c r="CJ16" s="277">
        <f> CJ$13</f>
        <v>19.26027397260274</v>
      </c>
      <c r="CK16" s="277">
        <f> CK$13</f>
        <v>19.50958904109589</v>
      </c>
      <c r="CL16" s="277">
        <f> CL$13</f>
        <v>19.76164383561644</v>
      </c>
      <c r="CM16" s="277">
        <f> CM$13</f>
        <v>20.013698630136986</v>
      </c>
      <c r="CN16" s="277">
        <f> CN$13</f>
        <v>20.26027397260274</v>
      </c>
      <c r="CO16" s="277">
        <f> CO$13</f>
        <v>20.50958904109589</v>
      </c>
    </row>
    <row r="17">
      <c r="E17" s="61" t="inlineStr">
        <is>
          <t>Shareholder discount factor</t>
        </is>
      </c>
      <c r="G17" s="61" t="inlineStr">
        <is>
          <t>factor</t>
        </is>
      </c>
      <c r="J17" s="277">
        <f> 1 /(1 + $F15) ^ J16</f>
        <v>1.0583890713430273</v>
      </c>
      <c r="K17" s="277">
        <f> 1 /(1 + $F15) ^ K16</f>
        <v>1.0</v>
      </c>
      <c r="L17" s="277">
        <f> 1 /(1 + $F15) ^ L16</f>
        <v>0.9459984430320407</v>
      </c>
      <c r="M17" s="277">
        <f> 1 /(1 + $F15) ^ M16</f>
        <v>0.8943612186334177</v>
      </c>
      <c r="N17" s="277">
        <f> 1 /(1 + $F15) ^ N16</f>
        <v>0.8450212146451316</v>
      </c>
      <c r="O17" s="277">
        <f> 1 /(1 + $F15) ^ O16</f>
        <v>0.7984031936127745</v>
      </c>
      <c r="P17" s="277">
        <f> 1 /(1 + $F15) ^ P16</f>
        <v>0.7552881780694938</v>
      </c>
      <c r="Q17" s="277">
        <f> 1 /(1 + $F15) ^ Q16</f>
        <v>0.7140608532003334</v>
      </c>
      <c r="R17" s="277">
        <f> 1 /(1 + $F15) ^ R16</f>
        <v>0.6746676364432189</v>
      </c>
      <c r="S17" s="277">
        <f> 1 /(1 + $F15) ^ S16</f>
        <v>0.6374476595710775</v>
      </c>
      <c r="T17" s="277">
        <f> 1 /(1 + $F15) ^ T16</f>
        <v>0.6026526468708989</v>
      </c>
      <c r="U17" s="277">
        <f> 1 /(1 + $F15) ^ U16</f>
        <v>0.56975691623824</v>
      </c>
      <c r="V17" s="277">
        <f> 1 /(1 + $F15) ^ V16</f>
        <v>0.5383246404039823</v>
      </c>
      <c r="W17" s="277">
        <f> 1 /(1 + $F15) ^ W16</f>
        <v>0.508626416295931</v>
      </c>
      <c r="X17" s="277">
        <f> 1 /(1 + $F15) ^ X16</f>
        <v>0.48115979790091734</v>
      </c>
      <c r="Y17" s="277">
        <f> 1 /(1 + $F15) ^ Y16</f>
        <v>0.45489574150757683</v>
      </c>
      <c r="Z17" s="277">
        <f> 1 /(1 + $F15) ^ Z16</f>
        <v>0.42980011209898794</v>
      </c>
      <c r="AA17" s="277">
        <f> 1 /(1 + $F15) ^ AA16</f>
        <v>0.4060889551264918</v>
      </c>
      <c r="AB17" s="277">
        <f> 1 /(1 + $F15) ^ AB16</f>
        <v>0.3841595192821695</v>
      </c>
      <c r="AC17" s="277">
        <f> 1 /(1 + $F15) ^ AC16</f>
        <v>0.36319021278050045</v>
      </c>
      <c r="AD17" s="277">
        <f> 1 /(1 + $F15) ^ AD16</f>
        <v>0.34315378211496045</v>
      </c>
      <c r="AE17" s="277">
        <f> 1 /(1 + $F15) ^ AE16</f>
        <v>0.3242227186638657</v>
      </c>
      <c r="AF17" s="277">
        <f> 1 /(1 + $F15) ^ AF16</f>
        <v>0.3067141870516324</v>
      </c>
      <c r="AG17" s="277">
        <f> 1 /(1 + $F15) ^ AG16</f>
        <v>0.28997222577285464</v>
      </c>
      <c r="AH17" s="277">
        <f> 1 /(1 + $F15) ^ AH16</f>
        <v>0.27397507554088657</v>
      </c>
      <c r="AI17" s="277">
        <f> 1 /(1 + $F15) ^ AI16</f>
        <v>0.2588604540230465</v>
      </c>
      <c r="AJ17" s="277">
        <f> 1 /(1 + $F15) ^ AJ16</f>
        <v>0.244730583672018</v>
      </c>
      <c r="AK17" s="277">
        <f> 1 /(1 + $F15) ^ AK16</f>
        <v>0.231371990791279</v>
      </c>
      <c r="AL17" s="277">
        <f> 1 /(1 + $F15) ^ AL16</f>
        <v>0.21860769074049763</v>
      </c>
      <c r="AM17" s="277">
        <f> 1 /(1 + $F15) ^ AM16</f>
        <v>0.20654756994334666</v>
      </c>
      <c r="AN17" s="277">
        <f> 1 /(1 + $F15) ^ AN16</f>
        <v>0.1953936795784575</v>
      </c>
      <c r="AO17" s="277">
        <f> 1 /(1 + $F15) ^ AO16</f>
        <v>0.1847281363603026</v>
      </c>
      <c r="AP17" s="277">
        <f> 1 /(1 + $F15) ^ AP16</f>
        <v>0.17453707843552707</v>
      </c>
      <c r="AQ17" s="277">
        <f> 1 /(1 + $F15) ^ AQ16</f>
        <v>0.1649082394757259</v>
      </c>
      <c r="AR17" s="277">
        <f> 1 /(1 + $F15) ^ AR16</f>
        <v>0.15600293778719163</v>
      </c>
      <c r="AS17" s="277">
        <f> 1 /(1 + $F15) ^ AS16</f>
        <v>0.1474875340202017</v>
      </c>
      <c r="AT17" s="277">
        <f> 1 /(1 + $F15) ^ AT16</f>
        <v>0.13935096082676812</v>
      </c>
      <c r="AU17" s="277">
        <f> 1 /(1 + $F15) ^ AU16</f>
        <v>0.13166326505047976</v>
      </c>
      <c r="AV17" s="277">
        <f> 1 /(1 + $F15) ^ AV16</f>
        <v>0.12455324374226877</v>
      </c>
      <c r="AW17" s="277">
        <f> 1 /(1 + $F15) ^ AW16</f>
        <v>0.11775451817980176</v>
      </c>
      <c r="AX17" s="277">
        <f> 1 /(1 + $F15) ^ AX16</f>
        <v>0.1112582521571003</v>
      </c>
      <c r="AY17" s="277">
        <f> 1 /(1 + $F15) ^ AY16</f>
        <v>0.10512037129778823</v>
      </c>
      <c r="AZ17" s="277">
        <f> 1 /(1 + $F15) ^ AZ16</f>
        <v>0.0993823870108663</v>
      </c>
      <c r="BA17" s="277">
        <f> 1 /(1 + $F15) ^ BA16</f>
        <v>0.09395760998596675</v>
      </c>
      <c r="BB17" s="277">
        <f> 1 /(1 + $F15) ^ BB16</f>
        <v>0.08877416871542397</v>
      </c>
      <c r="BC17" s="277">
        <f> 1 /(1 + $F15) ^ BC16</f>
        <v>0.08387668686220964</v>
      </c>
      <c r="BD17" s="277">
        <f> 1 /(1 + $F15) ^ BD16</f>
        <v>0.07934721517833636</v>
      </c>
      <c r="BE17" s="277">
        <f> 1 /(1 + $F15) ^ BE16</f>
        <v>0.07501605587701937</v>
      </c>
      <c r="BF17" s="277">
        <f> 1 /(1 + $F15) ^ BF16</f>
        <v>0.07087757981271375</v>
      </c>
      <c r="BG17" s="277">
        <f> 1 /(1 + $F15) ^ BG16</f>
        <v>0.06696741466044683</v>
      </c>
      <c r="BH17" s="277">
        <f> 1 /(1 + $F15) ^ BH16</f>
        <v>0.06335107000266377</v>
      </c>
      <c r="BI17" s="277">
        <f> 1 /(1 + $F15) ^ BI16</f>
        <v>0.05989305858444661</v>
      </c>
      <c r="BJ17" s="277">
        <f> 1 /(1 + $F15) ^ BJ16</f>
        <v>0.05658888607801497</v>
      </c>
      <c r="BK17" s="277">
        <f> 1 /(1 + $F15) ^ BK16</f>
        <v>0.05346699773289169</v>
      </c>
      <c r="BL17" s="277">
        <f> 1 /(1 + $F15) ^ BL16</f>
        <v>0.05057969660891319</v>
      </c>
      <c r="BM17" s="277">
        <f> 1 /(1 + $F15) ^ BM16</f>
        <v>0.047818809249059166</v>
      </c>
      <c r="BN17" s="277">
        <f> 1 /(1 + $F15) ^ BN16</f>
        <v>0.04518074736767662</v>
      </c>
      <c r="BO17" s="277">
        <f> 1 /(1 + $F15) ^ BO16</f>
        <v>0.04268822174282769</v>
      </c>
      <c r="BP17" s="277">
        <f> 1 /(1 + $F15) ^ BP16</f>
        <v>0.040358089699219314</v>
      </c>
      <c r="BQ17" s="277">
        <f> 1 /(1 + $F15) ^ BQ16</f>
        <v>0.03815514766538368</v>
      </c>
      <c r="BR17" s="277">
        <f> 1 /(1 + $F15) ^ BR16</f>
        <v>0.03605020941586941</v>
      </c>
      <c r="BS17" s="277">
        <f> 1 /(1 + $F15) ^ BS16</f>
        <v>0.03406139612734665</v>
      </c>
      <c r="BT17" s="277">
        <f> 1 /(1 + $F15) ^ BT16</f>
        <v>0.03222202770396752</v>
      </c>
      <c r="BU17" s="277">
        <f> 1 /(1 + $F15) ^ BU16</f>
        <v>0.030463191748809328</v>
      </c>
      <c r="BV17" s="277">
        <f> 1 /(1 + $F15) ^ BV16</f>
        <v>0.02878260232803945</v>
      </c>
      <c r="BW17" s="277">
        <f> 1 /(1 + $F15) ^ BW16</f>
        <v>0.027194727446983355</v>
      </c>
      <c r="BX17" s="277">
        <f> 1 /(1 + $F15) ^ BX16</f>
        <v>0.02572616982352696</v>
      </c>
      <c r="BY17" s="277">
        <f> 1 /(1 + $F15) ^ BY16</f>
        <v>0.02432190957988769</v>
      </c>
      <c r="BZ17" s="277">
        <f> 1 /(1 + $F15) ^ BZ16</f>
        <v>0.022980121619193182</v>
      </c>
      <c r="CA17" s="277">
        <f> 1 /(1 + $F15) ^ CA16</f>
        <v>0.021712357243100486</v>
      </c>
      <c r="CB17" s="277">
        <f> 1 /(1 + $F15) ^ CB16</f>
        <v>0.020539856146528514</v>
      </c>
      <c r="CC17" s="277">
        <f> 1 /(1 + $F15) ^ CC16</f>
        <v>0.019418690283343466</v>
      </c>
      <c r="CD17" s="277">
        <f> 1 /(1 + $F15) ^ CD16</f>
        <v>0.0183474024903738</v>
      </c>
      <c r="CE17" s="277">
        <f> 1 /(1 + $F15) ^ CE16</f>
        <v>0.017335215363752883</v>
      </c>
      <c r="CF17" s="277">
        <f> 1 /(1 + $F15) ^ CF16</f>
        <v>0.016388974476857207</v>
      </c>
      <c r="CG17" s="277">
        <f> 1 /(1 + $F15) ^ CG16</f>
        <v>0.015494384048132666</v>
      </c>
      <c r="CH17" s="277">
        <f> 1 /(1 + $F15) ^ CH16</f>
        <v>0.01463959187378162</v>
      </c>
      <c r="CI17" s="277">
        <f> 1 /(1 + $F15) ^ CI16</f>
        <v>0.013831956763503739</v>
      </c>
      <c r="CJ17" s="277">
        <f> 1 /(1 + $F15) ^ CJ16</f>
        <v>0.013085009562361045</v>
      </c>
      <c r="CK17" s="277">
        <f> 1 /(1 + $F15) ^ CK16</f>
        <v>0.012370765707091948</v>
      </c>
      <c r="CL17" s="277">
        <f> 1 /(1 + $F15) ^ CL16</f>
        <v>0.011688296905214867</v>
      </c>
      <c r="CM17" s="277">
        <f> 1 /(1 + $F15) ^ CM16</f>
        <v>0.011043478453895202</v>
      </c>
      <c r="CN17" s="277">
        <f> 1 /(1 + $F15) ^ CN16</f>
        <v>0.01044711342304275</v>
      </c>
      <c r="CO17" s="277">
        <f> 1 /(1 + $F15) ^ CO16</f>
        <v>0.009876858847977604</v>
      </c>
    </row>
    <row r="19">
      <c r="B19" s="294" t="inlineStr">
        <is>
          <t>Shareholder cashflow</t>
        </is>
      </c>
    </row>
    <row r="21">
      <c r="E21" s="325" t="str">
        <f> Equity!E$39</f>
        <v>Dividend declared and paid POS</v>
      </c>
      <c r="F21" s="325">
        <f> Equity!F$39</f>
        <v>0.0</v>
      </c>
      <c r="G21" s="325" t="str">
        <f> Equity!G$39</f>
        <v>$ 000s</v>
      </c>
      <c r="H21" s="325">
        <f> Equity!H$39</f>
        <v>442553.82286558725</v>
      </c>
      <c r="I21" s="325">
        <f> Equity!I$39</f>
        <v>0.0</v>
      </c>
      <c r="J21" s="325">
        <f> Equity!J$39</f>
        <v>0.0</v>
      </c>
      <c r="K21" s="325">
        <f> Equity!K$39</f>
        <v>0.0</v>
      </c>
      <c r="L21" s="325">
        <f> Equity!L$39</f>
        <v>0.0</v>
      </c>
      <c r="M21" s="325">
        <f> Equity!M$39</f>
        <v>1542.3934940537397</v>
      </c>
      <c r="N21" s="325">
        <f> Equity!N$39</f>
        <v>3013.9184138551927</v>
      </c>
      <c r="O21" s="325">
        <f> Equity!O$39</f>
        <v>1652.558514571199</v>
      </c>
      <c r="P21" s="325">
        <f> Equity!P$39</f>
        <v>1877.2766631413442</v>
      </c>
      <c r="Q21" s="325">
        <f> Equity!Q$39</f>
        <v>1605.6788192310419</v>
      </c>
      <c r="R21" s="325">
        <f> Equity!R$39</f>
        <v>1983.6957441078443</v>
      </c>
      <c r="S21" s="325">
        <f> Equity!S$39</f>
        <v>1717.6411136706224</v>
      </c>
      <c r="T21" s="325">
        <f> Equity!T$39</f>
        <v>2256.3332814023483</v>
      </c>
      <c r="U21" s="325">
        <f> Equity!U$39</f>
        <v>1965.571379355562</v>
      </c>
      <c r="V21" s="325">
        <f> Equity!V$39</f>
        <v>2366.353713238842</v>
      </c>
      <c r="W21" s="325">
        <f> Equity!W$39</f>
        <v>2070.4845041891194</v>
      </c>
      <c r="X21" s="325">
        <f> Equity!X$39</f>
        <v>2460.9132086081445</v>
      </c>
      <c r="Y21" s="325">
        <f> Equity!Y$39</f>
        <v>2138.5867346714954</v>
      </c>
      <c r="Z21" s="325">
        <f> Equity!Z$39</f>
        <v>2543.247175784429</v>
      </c>
      <c r="AA21" s="325">
        <f> Equity!AA$39</f>
        <v>2227.4008568537993</v>
      </c>
      <c r="AB21" s="325">
        <f> Equity!AB$39</f>
        <v>2609.1588256288996</v>
      </c>
      <c r="AC21" s="325">
        <f> Equity!AC$39</f>
        <v>2278.612895688263</v>
      </c>
      <c r="AD21" s="325">
        <f> Equity!AD$39</f>
        <v>3170.982245342971</v>
      </c>
      <c r="AE21" s="325">
        <f> Equity!AE$39</f>
        <v>2825.462487362219</v>
      </c>
      <c r="AF21" s="325">
        <f> Equity!AF$39</f>
        <v>3270.814594244614</v>
      </c>
      <c r="AG21" s="325">
        <f> Equity!AG$39</f>
        <v>2911.906669534241</v>
      </c>
      <c r="AH21" s="325">
        <f> Equity!AH$39</f>
        <v>3376.9518156107697</v>
      </c>
      <c r="AI21" s="325">
        <f> Equity!AI$39</f>
        <v>3022.938751121577</v>
      </c>
      <c r="AJ21" s="325">
        <f> Equity!AJ$39</f>
        <v>3493.0275470452298</v>
      </c>
      <c r="AK21" s="325">
        <f> Equity!AK$39</f>
        <v>3134.0346191567533</v>
      </c>
      <c r="AL21" s="325">
        <f> Equity!AL$39</f>
        <v>3615.2940559842855</v>
      </c>
      <c r="AM21" s="325">
        <f> Equity!AM$39</f>
        <v>3731.0718909450707</v>
      </c>
      <c r="AN21" s="325">
        <f> Equity!AN$39</f>
        <v>4305.901460958602</v>
      </c>
      <c r="AO21" s="325">
        <f> Equity!AO$39</f>
        <v>3908.4060180680067</v>
      </c>
      <c r="AP21" s="325">
        <f> Equity!AP$39</f>
        <v>4440.958633417434</v>
      </c>
      <c r="AQ21" s="325">
        <f> Equity!AQ$39</f>
        <v>4046.2789835152316</v>
      </c>
      <c r="AR21" s="325">
        <f> Equity!AR$39</f>
        <v>4602.220994617373</v>
      </c>
      <c r="AS21" s="325">
        <f> Equity!AS$39</f>
        <v>4195.744627353248</v>
      </c>
      <c r="AT21" s="325">
        <f> Equity!AT$39</f>
        <v>4732.7085651994585</v>
      </c>
      <c r="AU21" s="325">
        <f> Equity!AU$39</f>
        <v>3395.28320582229</v>
      </c>
      <c r="AV21" s="325">
        <f> Equity!AV$39</f>
        <v>3338.4064387893923</v>
      </c>
      <c r="AW21" s="325">
        <f> Equity!AW$39</f>
        <v>3153.1327786661905</v>
      </c>
      <c r="AX21" s="325">
        <f> Equity!AX$39</f>
        <v>7052.041934786595</v>
      </c>
      <c r="AY21" s="325">
        <f> Equity!AY$39</f>
        <v>7052.792941098581</v>
      </c>
      <c r="AZ21" s="325">
        <f> Equity!AZ$39</f>
        <v>9.094947017729282e-13</v>
      </c>
      <c r="BA21" s="325">
        <f> Equity!BA$39</f>
        <v>0.0</v>
      </c>
      <c r="BB21" s="325">
        <f> Equity!BB$39</f>
        <v>4463.805875534848</v>
      </c>
      <c r="BC21" s="325">
        <f> Equity!BC$39</f>
        <v>7521.637238564551</v>
      </c>
      <c r="BD21" s="325">
        <f> Equity!BD$39</f>
        <v>7786.862296074629</v>
      </c>
      <c r="BE21" s="325">
        <f> Equity!BE$39</f>
        <v>7627.988950314166</v>
      </c>
      <c r="BF21" s="325">
        <f> Equity!BF$39</f>
        <v>7926.412925883229</v>
      </c>
      <c r="BG21" s="325">
        <f> Equity!BG$39</f>
        <v>7703.404245475238</v>
      </c>
      <c r="BH21" s="325">
        <f> Equity!BH$39</f>
        <v>7569.490087277265</v>
      </c>
      <c r="BI21" s="325">
        <f> Equity!BI$39</f>
        <v>8073.785152795242</v>
      </c>
      <c r="BJ21" s="325">
        <f> Equity!BJ$39</f>
        <v>7864.656660041153</v>
      </c>
      <c r="BK21" s="325">
        <f> Equity!BK$39</f>
        <v>8164.350522971761</v>
      </c>
      <c r="BL21" s="325">
        <f> Equity!BL$39</f>
        <v>7920.158988451464</v>
      </c>
      <c r="BM21" s="325">
        <f> Equity!BM$39</f>
        <v>7620.27242300577</v>
      </c>
      <c r="BN21" s="325">
        <f> Equity!BN$39</f>
        <v>6608.591626340138</v>
      </c>
      <c r="BO21" s="325">
        <f> Equity!BO$39</f>
        <v>7263.244034060712</v>
      </c>
      <c r="BP21" s="325">
        <f> Equity!BP$39</f>
        <v>6724.544147981963</v>
      </c>
      <c r="BQ21" s="325">
        <f> Equity!BQ$39</f>
        <v>6783.166224349965</v>
      </c>
      <c r="BR21" s="325">
        <f> Equity!BR$39</f>
        <v>7452.493753972138</v>
      </c>
      <c r="BS21" s="325">
        <f> Equity!BS$39</f>
        <v>6901.718014504093</v>
      </c>
      <c r="BT21" s="325">
        <f> Equity!BT$39</f>
        <v>8760.135590997805</v>
      </c>
      <c r="BU21" s="325">
        <f> Equity!BU$39</f>
        <v>8201.159265343336</v>
      </c>
      <c r="BV21" s="325">
        <f> Equity!BV$39</f>
        <v>8890.566620854173</v>
      </c>
      <c r="BW21" s="325">
        <f> Equity!BW$39</f>
        <v>8956.508591625765</v>
      </c>
      <c r="BX21" s="325">
        <f> Equity!BX$39</f>
        <v>9022.939658727733</v>
      </c>
      <c r="BY21" s="325">
        <f> Equity!BY$39</f>
        <v>9089.863449822671</v>
      </c>
      <c r="BZ21" s="325">
        <f> Equity!BZ$39</f>
        <v>9157.283619479796</v>
      </c>
      <c r="CA21" s="325">
        <f> Equity!CA$39</f>
        <v>9225.203849374539</v>
      </c>
      <c r="CB21" s="325">
        <f> Equity!CB$39</f>
        <v>9293.627848489565</v>
      </c>
      <c r="CC21" s="325">
        <f> Equity!CC$39</f>
        <v>9362.559353317347</v>
      </c>
      <c r="CD21" s="325">
        <f> Equity!CD$39</f>
        <v>9432.002128064189</v>
      </c>
      <c r="CE21" s="325">
        <f> Equity!CE$39</f>
        <v>9501.959964855767</v>
      </c>
      <c r="CF21" s="325">
        <f> Equity!CF$39</f>
        <v>9572.436683944248</v>
      </c>
      <c r="CG21" s="325">
        <f> Equity!CG$39</f>
        <v>9643.436133916866</v>
      </c>
      <c r="CH21" s="325">
        <f> Equity!CH$39</f>
        <v>9714.96219190611</v>
      </c>
      <c r="CI21" s="325">
        <f> Equity!CI$39</f>
        <v>9787.018763801438</v>
      </c>
      <c r="CJ21" s="325">
        <f> Equity!CJ$39</f>
        <v>9859.609784462573</v>
      </c>
      <c r="CK21" s="325">
        <f> Equity!CK$39</f>
        <v>9932.73921793437</v>
      </c>
      <c r="CL21" s="325">
        <f> Equity!CL$39</f>
        <v>10006.411057663292</v>
      </c>
      <c r="CM21" s="325">
        <f> Equity!CM$39</f>
        <v>8269.862836161752</v>
      </c>
      <c r="CN21" s="325">
        <f> Equity!CN$39</f>
        <v>1810.7664905536142</v>
      </c>
      <c r="CO21" s="325">
        <f> Equity!CO$39</f>
        <v>0.0</v>
      </c>
    </row>
    <row r="22" s="396">
      <c r="E22" s="325" t="str">
        <f> Equity!E$10</f>
        <v>Share capital redemption POS</v>
      </c>
      <c r="F22" s="325">
        <f> Equity!F$10</f>
        <v>0.0</v>
      </c>
      <c r="G22" s="325" t="str">
        <f> Equity!G$10</f>
        <v>$ 000s</v>
      </c>
      <c r="H22" s="325">
        <f> Equity!H$10</f>
        <v>11565.429793305917</v>
      </c>
      <c r="I22" s="325">
        <f> Equity!I$10</f>
        <v>0.0</v>
      </c>
      <c r="J22" s="325">
        <f> Equity!J$10</f>
        <v>0.0</v>
      </c>
      <c r="K22" s="325">
        <f> Equity!K$10</f>
        <v>0.0</v>
      </c>
      <c r="L22" s="325">
        <f> Equity!L$10</f>
        <v>0.0</v>
      </c>
      <c r="M22" s="325">
        <f> Equity!M$10</f>
        <v>0.0</v>
      </c>
      <c r="N22" s="325">
        <f> Equity!N$10</f>
        <v>0.0</v>
      </c>
      <c r="O22" s="325">
        <f> Equity!O$10</f>
        <v>0.0</v>
      </c>
      <c r="P22" s="325">
        <f> Equity!P$10</f>
        <v>0.0</v>
      </c>
      <c r="Q22" s="325">
        <f> Equity!Q$10</f>
        <v>0.0</v>
      </c>
      <c r="R22" s="325">
        <f> Equity!R$10</f>
        <v>0.0</v>
      </c>
      <c r="S22" s="325">
        <f> Equity!S$10</f>
        <v>0.0</v>
      </c>
      <c r="T22" s="325">
        <f> Equity!T$10</f>
        <v>0.0</v>
      </c>
      <c r="U22" s="325">
        <f> Equity!U$10</f>
        <v>0.0</v>
      </c>
      <c r="V22" s="325">
        <f> Equity!V$10</f>
        <v>0.0</v>
      </c>
      <c r="W22" s="325">
        <f> Equity!W$10</f>
        <v>0.0</v>
      </c>
      <c r="X22" s="325">
        <f> Equity!X$10</f>
        <v>0.0</v>
      </c>
      <c r="Y22" s="325">
        <f> Equity!Y$10</f>
        <v>0.0</v>
      </c>
      <c r="Z22" s="325">
        <f> Equity!Z$10</f>
        <v>0.0</v>
      </c>
      <c r="AA22" s="325">
        <f> Equity!AA$10</f>
        <v>0.0</v>
      </c>
      <c r="AB22" s="325">
        <f> Equity!AB$10</f>
        <v>0.0</v>
      </c>
      <c r="AC22" s="325">
        <f> Equity!AC$10</f>
        <v>0.0</v>
      </c>
      <c r="AD22" s="325">
        <f> Equity!AD$10</f>
        <v>0.0</v>
      </c>
      <c r="AE22" s="325">
        <f> Equity!AE$10</f>
        <v>0.0</v>
      </c>
      <c r="AF22" s="325">
        <f> Equity!AF$10</f>
        <v>0.0</v>
      </c>
      <c r="AG22" s="325">
        <f> Equity!AG$10</f>
        <v>0.0</v>
      </c>
      <c r="AH22" s="325">
        <f> Equity!AH$10</f>
        <v>0.0</v>
      </c>
      <c r="AI22" s="325">
        <f> Equity!AI$10</f>
        <v>0.0</v>
      </c>
      <c r="AJ22" s="325">
        <f> Equity!AJ$10</f>
        <v>0.0</v>
      </c>
      <c r="AK22" s="325">
        <f> Equity!AK$10</f>
        <v>0.0</v>
      </c>
      <c r="AL22" s="325">
        <f> Equity!AL$10</f>
        <v>0.0</v>
      </c>
      <c r="AM22" s="325">
        <f> Equity!AM$10</f>
        <v>0.0</v>
      </c>
      <c r="AN22" s="325">
        <f> Equity!AN$10</f>
        <v>0.0</v>
      </c>
      <c r="AO22" s="325">
        <f> Equity!AO$10</f>
        <v>0.0</v>
      </c>
      <c r="AP22" s="325">
        <f> Equity!AP$10</f>
        <v>0.0</v>
      </c>
      <c r="AQ22" s="325">
        <f> Equity!AQ$10</f>
        <v>0.0</v>
      </c>
      <c r="AR22" s="325">
        <f> Equity!AR$10</f>
        <v>0.0</v>
      </c>
      <c r="AS22" s="325">
        <f> Equity!AS$10</f>
        <v>0.0</v>
      </c>
      <c r="AT22" s="325">
        <f> Equity!AT$10</f>
        <v>0.0</v>
      </c>
      <c r="AU22" s="325">
        <f> Equity!AU$10</f>
        <v>0.0</v>
      </c>
      <c r="AV22" s="325">
        <f> Equity!AV$10</f>
        <v>0.0</v>
      </c>
      <c r="AW22" s="325">
        <f> Equity!AW$10</f>
        <v>0.0</v>
      </c>
      <c r="AX22" s="325">
        <f> Equity!AX$10</f>
        <v>0.0</v>
      </c>
      <c r="AY22" s="325">
        <f> Equity!AY$10</f>
        <v>0.0</v>
      </c>
      <c r="AZ22" s="325">
        <f> Equity!AZ$10</f>
        <v>0.0</v>
      </c>
      <c r="BA22" s="325">
        <f> Equity!BA$10</f>
        <v>0.0</v>
      </c>
      <c r="BB22" s="325">
        <f> Equity!BB$10</f>
        <v>0.0</v>
      </c>
      <c r="BC22" s="325">
        <f> Equity!BC$10</f>
        <v>0.0</v>
      </c>
      <c r="BD22" s="325">
        <f> Equity!BD$10</f>
        <v>0.0</v>
      </c>
      <c r="BE22" s="325">
        <f> Equity!BE$10</f>
        <v>0.0</v>
      </c>
      <c r="BF22" s="325">
        <f> Equity!BF$10</f>
        <v>0.0</v>
      </c>
      <c r="BG22" s="325">
        <f> Equity!BG$10</f>
        <v>0.0</v>
      </c>
      <c r="BH22" s="325">
        <f> Equity!BH$10</f>
        <v>0.0</v>
      </c>
      <c r="BI22" s="325">
        <f> Equity!BI$10</f>
        <v>0.0</v>
      </c>
      <c r="BJ22" s="325">
        <f> Equity!BJ$10</f>
        <v>0.0</v>
      </c>
      <c r="BK22" s="325">
        <f> Equity!BK$10</f>
        <v>0.0</v>
      </c>
      <c r="BL22" s="325">
        <f> Equity!BL$10</f>
        <v>0.0</v>
      </c>
      <c r="BM22" s="325">
        <f> Equity!BM$10</f>
        <v>0.0</v>
      </c>
      <c r="BN22" s="325">
        <f> Equity!BN$10</f>
        <v>0.0</v>
      </c>
      <c r="BO22" s="325">
        <f> Equity!BO$10</f>
        <v>0.0</v>
      </c>
      <c r="BP22" s="325">
        <f> Equity!BP$10</f>
        <v>0.0</v>
      </c>
      <c r="BQ22" s="325">
        <f> Equity!BQ$10</f>
        <v>0.0</v>
      </c>
      <c r="BR22" s="325">
        <f> Equity!BR$10</f>
        <v>0.0</v>
      </c>
      <c r="BS22" s="325">
        <f> Equity!BS$10</f>
        <v>0.0</v>
      </c>
      <c r="BT22" s="325">
        <f> Equity!BT$10</f>
        <v>0.0</v>
      </c>
      <c r="BU22" s="325">
        <f> Equity!BU$10</f>
        <v>0.0</v>
      </c>
      <c r="BV22" s="325">
        <f> Equity!BV$10</f>
        <v>0.0</v>
      </c>
      <c r="BW22" s="325">
        <f> Equity!BW$10</f>
        <v>0.0</v>
      </c>
      <c r="BX22" s="325">
        <f> Equity!BX$10</f>
        <v>0.0</v>
      </c>
      <c r="BY22" s="325">
        <f> Equity!BY$10</f>
        <v>0.0</v>
      </c>
      <c r="BZ22" s="325">
        <f> Equity!BZ$10</f>
        <v>0.0</v>
      </c>
      <c r="CA22" s="325">
        <f> Equity!CA$10</f>
        <v>0.0</v>
      </c>
      <c r="CB22" s="325">
        <f> Equity!CB$10</f>
        <v>0.0</v>
      </c>
      <c r="CC22" s="325">
        <f> Equity!CC$10</f>
        <v>0.0</v>
      </c>
      <c r="CD22" s="325">
        <f> Equity!CD$10</f>
        <v>0.0</v>
      </c>
      <c r="CE22" s="325">
        <f> Equity!CE$10</f>
        <v>0.0</v>
      </c>
      <c r="CF22" s="325">
        <f> Equity!CF$10</f>
        <v>0.0</v>
      </c>
      <c r="CG22" s="325">
        <f> Equity!CG$10</f>
        <v>0.0</v>
      </c>
      <c r="CH22" s="325">
        <f> Equity!CH$10</f>
        <v>0.0</v>
      </c>
      <c r="CI22" s="325">
        <f> Equity!CI$10</f>
        <v>0.0</v>
      </c>
      <c r="CJ22" s="325">
        <f> Equity!CJ$10</f>
        <v>0.0</v>
      </c>
      <c r="CK22" s="325">
        <f> Equity!CK$10</f>
        <v>0.0</v>
      </c>
      <c r="CL22" s="325">
        <f> Equity!CL$10</f>
        <v>0.0</v>
      </c>
      <c r="CM22" s="325">
        <f> Equity!CM$10</f>
        <v>11565.429793305917</v>
      </c>
      <c r="CN22" s="325">
        <f> Equity!CN$10</f>
        <v>0.0</v>
      </c>
      <c r="CO22" s="325">
        <f> Equity!CO$10</f>
        <v>0.0</v>
      </c>
    </row>
    <row r="23" customFormat="1" s="260">
      <c r="E23" s="325" t="inlineStr">
        <is>
          <t>Shareholder loan interest received</t>
        </is>
      </c>
      <c r="F23" s="325">
        <f>SHL!F$21</f>
        <v>0.0</v>
      </c>
      <c r="G23" s="325" t="str">
        <f>SHL!G$21</f>
        <v>$ 000s</v>
      </c>
      <c r="H23" s="325">
        <f> SUM(J23:CO23)</f>
        <v>18390.59599787667</v>
      </c>
      <c r="I23" s="325" t="n"/>
      <c r="J23" s="325">
        <f>SHL!J$21</f>
        <v>0.0</v>
      </c>
      <c r="K23" s="325">
        <f>SHL!K$21</f>
        <v>0.0</v>
      </c>
      <c r="L23" s="325">
        <f>SHL!L$21</f>
        <v>0.0</v>
      </c>
      <c r="M23" s="325">
        <f>SHL!M$21</f>
        <v>449.4856099877539</v>
      </c>
      <c r="N23" s="325">
        <f>SHL!N$21</f>
        <v>454.4250122953116</v>
      </c>
      <c r="O23" s="325">
        <f>SHL!O$21</f>
        <v>454.4250122953116</v>
      </c>
      <c r="P23" s="325">
        <f>SHL!P$21</f>
        <v>444.5462076801962</v>
      </c>
      <c r="Q23" s="325">
        <f>SHL!Q$21</f>
        <v>449.4856099877539</v>
      </c>
      <c r="R23" s="325">
        <f>SHL!R$21</f>
        <v>454.4250122953116</v>
      </c>
      <c r="S23" s="325">
        <f>SHL!S$21</f>
        <v>454.4250122953116</v>
      </c>
      <c r="T23" s="325">
        <f>SHL!T$21</f>
        <v>449.4856099877539</v>
      </c>
      <c r="U23" s="325">
        <f>SHL!U$21</f>
        <v>449.4856099877539</v>
      </c>
      <c r="V23" s="325">
        <f>SHL!V$21</f>
        <v>454.4250122953116</v>
      </c>
      <c r="W23" s="325">
        <f>SHL!W$21</f>
        <v>454.4250122953116</v>
      </c>
      <c r="X23" s="325">
        <f>SHL!X$21</f>
        <v>444.5462076801962</v>
      </c>
      <c r="Y23" s="325">
        <f>SHL!Y$21</f>
        <v>449.4856099877539</v>
      </c>
      <c r="Z23" s="325">
        <f>SHL!Z$21</f>
        <v>454.4250122953116</v>
      </c>
      <c r="AA23" s="325">
        <f>SHL!AA$21</f>
        <v>454.4250122953116</v>
      </c>
      <c r="AB23" s="325">
        <f>SHL!AB$21</f>
        <v>444.5462076801962</v>
      </c>
      <c r="AC23" s="325">
        <f>SHL!AC$21</f>
        <v>449.4856099877539</v>
      </c>
      <c r="AD23" s="325">
        <f>SHL!AD$21</f>
        <v>454.4250122953116</v>
      </c>
      <c r="AE23" s="325">
        <f>SHL!AE$21</f>
        <v>454.4250122953116</v>
      </c>
      <c r="AF23" s="325">
        <f>SHL!AF$21</f>
        <v>444.5462076801962</v>
      </c>
      <c r="AG23" s="325">
        <f>SHL!AG$21</f>
        <v>449.4856099877539</v>
      </c>
      <c r="AH23" s="325">
        <f>SHL!AH$21</f>
        <v>454.4250122953116</v>
      </c>
      <c r="AI23" s="325">
        <f>SHL!AI$21</f>
        <v>454.4250122953116</v>
      </c>
      <c r="AJ23" s="325">
        <f>SHL!AJ$21</f>
        <v>449.4856099877539</v>
      </c>
      <c r="AK23" s="325">
        <f>SHL!AK$21</f>
        <v>449.4856099877539</v>
      </c>
      <c r="AL23" s="325">
        <f>SHL!AL$21</f>
        <v>454.4250122953116</v>
      </c>
      <c r="AM23" s="325">
        <f>SHL!AM$21</f>
        <v>454.4250122953116</v>
      </c>
      <c r="AN23" s="325">
        <f>SHL!AN$21</f>
        <v>444.5462076801962</v>
      </c>
      <c r="AO23" s="325">
        <f>SHL!AO$21</f>
        <v>449.4856099877539</v>
      </c>
      <c r="AP23" s="325">
        <f>SHL!AP$21</f>
        <v>454.4250122953116</v>
      </c>
      <c r="AQ23" s="325">
        <f>SHL!AQ$21</f>
        <v>454.4250122953116</v>
      </c>
      <c r="AR23" s="325">
        <f>SHL!AR$21</f>
        <v>444.5462076801962</v>
      </c>
      <c r="AS23" s="325">
        <f>SHL!AS$21</f>
        <v>449.4856099877539</v>
      </c>
      <c r="AT23" s="325">
        <f>SHL!AT$21</f>
        <v>454.4250122953116</v>
      </c>
      <c r="AU23" s="325">
        <f>SHL!AU$21</f>
        <v>454.4250122953116</v>
      </c>
      <c r="AV23" s="325">
        <f>SHL!AV$21</f>
        <v>444.5462076801962</v>
      </c>
      <c r="AW23" s="325">
        <f>SHL!AW$21</f>
        <v>449.4856099877539</v>
      </c>
      <c r="AX23" s="325">
        <f>SHL!AX$21</f>
        <v>454.4250122953116</v>
      </c>
      <c r="AY23" s="325">
        <f>SHL!AY$21</f>
        <v>454.4250122953116</v>
      </c>
      <c r="AZ23" s="325">
        <f>SHL!AZ$21</f>
        <v>449.4856099877539</v>
      </c>
      <c r="BA23" s="325">
        <f>SHL!BA$21</f>
        <v>264.69596908192295</v>
      </c>
      <c r="BB23" s="325">
        <f>SHL!BB$21</f>
        <v>82.26339928634043</v>
      </c>
      <c r="BC23" s="325">
        <f>SHL!BC$21</f>
        <v>0.0</v>
      </c>
      <c r="BD23" s="325">
        <f>SHL!BD$21</f>
        <v>0.0</v>
      </c>
      <c r="BE23" s="325">
        <f>SHL!BE$21</f>
        <v>0.0</v>
      </c>
      <c r="BF23" s="325">
        <f>SHL!BF$21</f>
        <v>0.0</v>
      </c>
      <c r="BG23" s="325">
        <f>SHL!BG$21</f>
        <v>0.0</v>
      </c>
      <c r="BH23" s="325">
        <f>SHL!BH$21</f>
        <v>0.0</v>
      </c>
      <c r="BI23" s="325">
        <f>SHL!BI$21</f>
        <v>0.0</v>
      </c>
      <c r="BJ23" s="325">
        <f>SHL!BJ$21</f>
        <v>0.0</v>
      </c>
      <c r="BK23" s="325">
        <f>SHL!BK$21</f>
        <v>0.0</v>
      </c>
      <c r="BL23" s="325">
        <f>SHL!BL$21</f>
        <v>0.0</v>
      </c>
      <c r="BM23" s="325">
        <f>SHL!BM$21</f>
        <v>0.0</v>
      </c>
      <c r="BN23" s="325">
        <f>SHL!BN$21</f>
        <v>0.0</v>
      </c>
      <c r="BO23" s="325">
        <f>SHL!BO$21</f>
        <v>0.0</v>
      </c>
      <c r="BP23" s="325">
        <f>SHL!BP$21</f>
        <v>0.0</v>
      </c>
      <c r="BQ23" s="325">
        <f>SHL!BQ$21</f>
        <v>0.0</v>
      </c>
      <c r="BR23" s="325">
        <f>SHL!BR$21</f>
        <v>0.0</v>
      </c>
      <c r="BS23" s="325">
        <f>SHL!BS$21</f>
        <v>0.0</v>
      </c>
      <c r="BT23" s="325">
        <f>SHL!BT$21</f>
        <v>0.0</v>
      </c>
      <c r="BU23" s="325">
        <f>SHL!BU$21</f>
        <v>0.0</v>
      </c>
      <c r="BV23" s="325">
        <f>SHL!BV$21</f>
        <v>0.0</v>
      </c>
      <c r="BW23" s="325">
        <f>SHL!BW$21</f>
        <v>0.0</v>
      </c>
      <c r="BX23" s="325">
        <f>SHL!BX$21</f>
        <v>0.0</v>
      </c>
      <c r="BY23" s="325">
        <f>SHL!BY$21</f>
        <v>0.0</v>
      </c>
      <c r="BZ23" s="325">
        <f>SHL!BZ$21</f>
        <v>0.0</v>
      </c>
      <c r="CA23" s="325">
        <f>SHL!CA$21</f>
        <v>0.0</v>
      </c>
      <c r="CB23" s="325">
        <f>SHL!CB$21</f>
        <v>0.0</v>
      </c>
      <c r="CC23" s="325">
        <f>SHL!CC$21</f>
        <v>0.0</v>
      </c>
      <c r="CD23" s="325">
        <f>SHL!CD$21</f>
        <v>0.0</v>
      </c>
      <c r="CE23" s="325">
        <f>SHL!CE$21</f>
        <v>0.0</v>
      </c>
      <c r="CF23" s="325">
        <f>SHL!CF$21</f>
        <v>0.0</v>
      </c>
      <c r="CG23" s="325">
        <f>SHL!CG$21</f>
        <v>0.0</v>
      </c>
      <c r="CH23" s="325">
        <f>SHL!CH$21</f>
        <v>0.0</v>
      </c>
      <c r="CI23" s="325">
        <f>SHL!CI$21</f>
        <v>0.0</v>
      </c>
      <c r="CJ23" s="325">
        <f>SHL!CJ$21</f>
        <v>0.0</v>
      </c>
      <c r="CK23" s="325">
        <f>SHL!CK$21</f>
        <v>0.0</v>
      </c>
      <c r="CL23" s="325">
        <f>SHL!CL$21</f>
        <v>0.0</v>
      </c>
      <c r="CM23" s="325">
        <f>SHL!CM$21</f>
        <v>0.0</v>
      </c>
      <c r="CN23" s="325">
        <f>SHL!CN$21</f>
        <v>0.0</v>
      </c>
      <c r="CO23" s="325">
        <f>SHL!CO$21</f>
        <v>0.0</v>
      </c>
    </row>
    <row r="24">
      <c r="E24" s="325" t="inlineStr">
        <is>
          <t>Shareholder loan principal received</t>
        </is>
      </c>
      <c r="F24" s="325">
        <f>SHL!F$23</f>
        <v>0.0</v>
      </c>
      <c r="G24" s="325" t="str">
        <f>SHL!G$23</f>
        <v>$ 000s</v>
      </c>
      <c r="H24" s="325">
        <f> SUM(J24:CO24)</f>
        <v>17781.848307207845</v>
      </c>
      <c r="I24" s="325" t="n"/>
      <c r="J24" s="325">
        <f>SHL!J$23</f>
        <v>0.0</v>
      </c>
      <c r="K24" s="325">
        <f>SHL!K$23</f>
        <v>0.0</v>
      </c>
      <c r="L24" s="325">
        <f>SHL!L$23</f>
        <v>0.0</v>
      </c>
      <c r="M24" s="325">
        <f>SHL!M$23</f>
        <v>0.0</v>
      </c>
      <c r="N24" s="325">
        <f>SHL!N$23</f>
        <v>0.0</v>
      </c>
      <c r="O24" s="325">
        <f>SHL!O$23</f>
        <v>0.0</v>
      </c>
      <c r="P24" s="325">
        <f>SHL!P$23</f>
        <v>0.0</v>
      </c>
      <c r="Q24" s="325">
        <f>SHL!Q$23</f>
        <v>0.0</v>
      </c>
      <c r="R24" s="325">
        <f>SHL!R$23</f>
        <v>0.0</v>
      </c>
      <c r="S24" s="325">
        <f>SHL!S$23</f>
        <v>0.0</v>
      </c>
      <c r="T24" s="325">
        <f>SHL!T$23</f>
        <v>0.0</v>
      </c>
      <c r="U24" s="325">
        <f>SHL!U$23</f>
        <v>0.0</v>
      </c>
      <c r="V24" s="325">
        <f>SHL!V$23</f>
        <v>0.0</v>
      </c>
      <c r="W24" s="325">
        <f>SHL!W$23</f>
        <v>0.0</v>
      </c>
      <c r="X24" s="325">
        <f>SHL!X$23</f>
        <v>0.0</v>
      </c>
      <c r="Y24" s="325">
        <f>SHL!Y$23</f>
        <v>0.0</v>
      </c>
      <c r="Z24" s="325">
        <f>SHL!Z$23</f>
        <v>0.0</v>
      </c>
      <c r="AA24" s="325">
        <f>SHL!AA$23</f>
        <v>0.0</v>
      </c>
      <c r="AB24" s="325">
        <f>SHL!AB$23</f>
        <v>0.0</v>
      </c>
      <c r="AC24" s="325">
        <f>SHL!AC$23</f>
        <v>0.0</v>
      </c>
      <c r="AD24" s="325">
        <f>SHL!AD$23</f>
        <v>0.0</v>
      </c>
      <c r="AE24" s="325">
        <f>SHL!AE$23</f>
        <v>0.0</v>
      </c>
      <c r="AF24" s="325">
        <f>SHL!AF$23</f>
        <v>0.0</v>
      </c>
      <c r="AG24" s="325">
        <f>SHL!AG$23</f>
        <v>0.0</v>
      </c>
      <c r="AH24" s="325">
        <f>SHL!AH$23</f>
        <v>0.0</v>
      </c>
      <c r="AI24" s="325">
        <f>SHL!AI$23</f>
        <v>0.0</v>
      </c>
      <c r="AJ24" s="325">
        <f>SHL!AJ$23</f>
        <v>0.0</v>
      </c>
      <c r="AK24" s="325">
        <f>SHL!AK$23</f>
        <v>0.0</v>
      </c>
      <c r="AL24" s="325">
        <f>SHL!AL$23</f>
        <v>0.0</v>
      </c>
      <c r="AM24" s="325">
        <f>SHL!AM$23</f>
        <v>0.0</v>
      </c>
      <c r="AN24" s="325">
        <f>SHL!AN$23</f>
        <v>0.0</v>
      </c>
      <c r="AO24" s="325">
        <f>SHL!AO$23</f>
        <v>0.0</v>
      </c>
      <c r="AP24" s="325">
        <f>SHL!AP$23</f>
        <v>0.0</v>
      </c>
      <c r="AQ24" s="325">
        <f>SHL!AQ$23</f>
        <v>0.0</v>
      </c>
      <c r="AR24" s="325">
        <f>SHL!AR$23</f>
        <v>0.0</v>
      </c>
      <c r="AS24" s="325">
        <f>SHL!AS$23</f>
        <v>0.0</v>
      </c>
      <c r="AT24" s="325">
        <f>SHL!AT$23</f>
        <v>0.0</v>
      </c>
      <c r="AU24" s="325">
        <f>SHL!AU$23</f>
        <v>0.0</v>
      </c>
      <c r="AV24" s="325">
        <f>SHL!AV$23</f>
        <v>0.0</v>
      </c>
      <c r="AW24" s="325">
        <f>SHL!AW$23</f>
        <v>0.0</v>
      </c>
      <c r="AX24" s="325">
        <f>SHL!AX$23</f>
        <v>0.0</v>
      </c>
      <c r="AY24" s="325">
        <f>SHL!AY$23</f>
        <v>0.0</v>
      </c>
      <c r="AZ24" s="325">
        <f>SHL!AZ$23</f>
        <v>7310.359420450455</v>
      </c>
      <c r="BA24" s="325">
        <f>SHL!BA$23</f>
        <v>7252.486305987547</v>
      </c>
      <c r="BB24" s="325">
        <f>SHL!BB$23</f>
        <v>3219.002580769843</v>
      </c>
      <c r="BC24" s="325">
        <f>SHL!BC$23</f>
        <v>0.0</v>
      </c>
      <c r="BD24" s="325">
        <f>SHL!BD$23</f>
        <v>0.0</v>
      </c>
      <c r="BE24" s="325">
        <f>SHL!BE$23</f>
        <v>0.0</v>
      </c>
      <c r="BF24" s="325">
        <f>SHL!BF$23</f>
        <v>0.0</v>
      </c>
      <c r="BG24" s="325">
        <f>SHL!BG$23</f>
        <v>0.0</v>
      </c>
      <c r="BH24" s="325">
        <f>SHL!BH$23</f>
        <v>0.0</v>
      </c>
      <c r="BI24" s="325">
        <f>SHL!BI$23</f>
        <v>0.0</v>
      </c>
      <c r="BJ24" s="325">
        <f>SHL!BJ$23</f>
        <v>0.0</v>
      </c>
      <c r="BK24" s="325">
        <f>SHL!BK$23</f>
        <v>0.0</v>
      </c>
      <c r="BL24" s="325">
        <f>SHL!BL$23</f>
        <v>0.0</v>
      </c>
      <c r="BM24" s="325">
        <f>SHL!BM$23</f>
        <v>0.0</v>
      </c>
      <c r="BN24" s="325">
        <f>SHL!BN$23</f>
        <v>0.0</v>
      </c>
      <c r="BO24" s="325">
        <f>SHL!BO$23</f>
        <v>0.0</v>
      </c>
      <c r="BP24" s="325">
        <f>SHL!BP$23</f>
        <v>0.0</v>
      </c>
      <c r="BQ24" s="325">
        <f>SHL!BQ$23</f>
        <v>0.0</v>
      </c>
      <c r="BR24" s="325">
        <f>SHL!BR$23</f>
        <v>0.0</v>
      </c>
      <c r="BS24" s="325">
        <f>SHL!BS$23</f>
        <v>0.0</v>
      </c>
      <c r="BT24" s="325">
        <f>SHL!BT$23</f>
        <v>0.0</v>
      </c>
      <c r="BU24" s="325">
        <f>SHL!BU$23</f>
        <v>0.0</v>
      </c>
      <c r="BV24" s="325">
        <f>SHL!BV$23</f>
        <v>0.0</v>
      </c>
      <c r="BW24" s="325">
        <f>SHL!BW$23</f>
        <v>0.0</v>
      </c>
      <c r="BX24" s="325">
        <f>SHL!BX$23</f>
        <v>0.0</v>
      </c>
      <c r="BY24" s="325">
        <f>SHL!BY$23</f>
        <v>0.0</v>
      </c>
      <c r="BZ24" s="325">
        <f>SHL!BZ$23</f>
        <v>0.0</v>
      </c>
      <c r="CA24" s="325">
        <f>SHL!CA$23</f>
        <v>0.0</v>
      </c>
      <c r="CB24" s="325">
        <f>SHL!CB$23</f>
        <v>0.0</v>
      </c>
      <c r="CC24" s="325">
        <f>SHL!CC$23</f>
        <v>0.0</v>
      </c>
      <c r="CD24" s="325">
        <f>SHL!CD$23</f>
        <v>0.0</v>
      </c>
      <c r="CE24" s="325">
        <f>SHL!CE$23</f>
        <v>0.0</v>
      </c>
      <c r="CF24" s="325">
        <f>SHL!CF$23</f>
        <v>0.0</v>
      </c>
      <c r="CG24" s="325">
        <f>SHL!CG$23</f>
        <v>0.0</v>
      </c>
      <c r="CH24" s="325">
        <f>SHL!CH$23</f>
        <v>0.0</v>
      </c>
      <c r="CI24" s="325">
        <f>SHL!CI$23</f>
        <v>0.0</v>
      </c>
      <c r="CJ24" s="325">
        <f>SHL!CJ$23</f>
        <v>0.0</v>
      </c>
      <c r="CK24" s="325">
        <f>SHL!CK$23</f>
        <v>0.0</v>
      </c>
      <c r="CL24" s="325">
        <f>SHL!CL$23</f>
        <v>0.0</v>
      </c>
      <c r="CM24" s="325">
        <f>SHL!CM$23</f>
        <v>0.0</v>
      </c>
      <c r="CN24" s="325">
        <f>SHL!CN$23</f>
        <v>0.0</v>
      </c>
      <c r="CO24" s="325">
        <f>SHL!CO$23</f>
        <v>0.0</v>
      </c>
    </row>
    <row r="25" s="396">
      <c r="A25" s="263" t="n"/>
      <c r="B25" s="263" t="n"/>
      <c r="C25" s="264" t="n"/>
      <c r="D25" s="335" t="n"/>
      <c r="E25" s="260" t="inlineStr">
        <is>
          <t xml:space="preserve">Shareholder cash inflow </t>
        </is>
      </c>
      <c r="G25" s="260" t="str">
        <f>SMU</f>
        <v>$ 000s</v>
      </c>
      <c r="H25" s="260">
        <f> SUM(J25:CO25)</f>
        <v>490291.6969639777</v>
      </c>
      <c r="J25" s="260">
        <f>SUM(J21:J24)</f>
        <v>0.0</v>
      </c>
      <c r="K25" s="260">
        <f>SUM(K21:K24)</f>
        <v>0.0</v>
      </c>
      <c r="L25" s="260">
        <f>SUM(L21:L24)</f>
        <v>0.0</v>
      </c>
      <c r="M25" s="260">
        <f>SUM(M21:M24)</f>
        <v>1991.8791040414935</v>
      </c>
      <c r="N25" s="260">
        <f>SUM(N21:N24)</f>
        <v>3468.3434261505045</v>
      </c>
      <c r="O25" s="260">
        <f>SUM(O21:O24)</f>
        <v>2106.9835268665106</v>
      </c>
      <c r="P25" s="260">
        <f>SUM(P21:P24)</f>
        <v>2321.82287082154</v>
      </c>
      <c r="Q25" s="260">
        <f>SUM(Q21:Q24)</f>
        <v>2055.1644292187957</v>
      </c>
      <c r="R25" s="260">
        <f>SUM(R21:R24)</f>
        <v>2438.120756403156</v>
      </c>
      <c r="S25" s="260">
        <f>SUM(S21:S24)</f>
        <v>2172.066125965934</v>
      </c>
      <c r="T25" s="260">
        <f>SUM(T21:T24)</f>
        <v>2705.818891390102</v>
      </c>
      <c r="U25" s="260">
        <f>SUM(U21:U24)</f>
        <v>2415.0569893433158</v>
      </c>
      <c r="V25" s="260">
        <f>SUM(V21:V24)</f>
        <v>2820.7787255341536</v>
      </c>
      <c r="W25" s="260">
        <f>SUM(W21:W24)</f>
        <v>2524.909516484431</v>
      </c>
      <c r="X25" s="260">
        <f>SUM(X21:X24)</f>
        <v>2905.4594162883404</v>
      </c>
      <c r="Y25" s="260">
        <f>SUM(Y21:Y24)</f>
        <v>2588.072344659249</v>
      </c>
      <c r="Z25" s="260">
        <f>SUM(Z21:Z24)</f>
        <v>2997.672188079741</v>
      </c>
      <c r="AA25" s="260">
        <f>SUM(AA21:AA24)</f>
        <v>2681.825869149111</v>
      </c>
      <c r="AB25" s="260">
        <f>SUM(AB21:AB24)</f>
        <v>3053.7050333090956</v>
      </c>
      <c r="AC25" s="260">
        <f>SUM(AC21:AC24)</f>
        <v>2728.098505676017</v>
      </c>
      <c r="AD25" s="260">
        <f>SUM(AD21:AD24)</f>
        <v>3625.4072576382828</v>
      </c>
      <c r="AE25" s="260">
        <f>SUM(AE21:AE24)</f>
        <v>3279.8874996575305</v>
      </c>
      <c r="AF25" s="260">
        <f>SUM(AF21:AF24)</f>
        <v>3715.3608019248104</v>
      </c>
      <c r="AG25" s="260">
        <f>SUM(AG21:AG24)</f>
        <v>3361.3922795219946</v>
      </c>
      <c r="AH25" s="260">
        <f>SUM(AH21:AH24)</f>
        <v>3831.3768279060814</v>
      </c>
      <c r="AI25" s="260">
        <f>SUM(AI21:AI24)</f>
        <v>3477.3637634168886</v>
      </c>
      <c r="AJ25" s="260">
        <f>SUM(AJ21:AJ24)</f>
        <v>3942.5131570329836</v>
      </c>
      <c r="AK25" s="260">
        <f>SUM(AK21:AK24)</f>
        <v>3583.520229144507</v>
      </c>
      <c r="AL25" s="260">
        <f>SUM(AL21:AL24)</f>
        <v>4069.719068279597</v>
      </c>
      <c r="AM25" s="260">
        <f>SUM(AM21:AM24)</f>
        <v>4185.496903240382</v>
      </c>
      <c r="AN25" s="260">
        <f>SUM(AN21:AN24)</f>
        <v>4750.447668638798</v>
      </c>
      <c r="AO25" s="260">
        <f>SUM(AO21:AO24)</f>
        <v>4357.8916280557605</v>
      </c>
      <c r="AP25" s="260">
        <f>SUM(AP21:AP24)</f>
        <v>4895.383645712745</v>
      </c>
      <c r="AQ25" s="260">
        <f>SUM(AQ21:AQ24)</f>
        <v>4500.703995810543</v>
      </c>
      <c r="AR25" s="260">
        <f>SUM(AR21:AR24)</f>
        <v>5046.767202297569</v>
      </c>
      <c r="AS25" s="260">
        <f>SUM(AS21:AS24)</f>
        <v>4645.230237341002</v>
      </c>
      <c r="AT25" s="260">
        <f>SUM(AT21:AT24)</f>
        <v>5187.13357749477</v>
      </c>
      <c r="AU25" s="260">
        <f>SUM(AU21:AU24)</f>
        <v>3849.7082181176015</v>
      </c>
      <c r="AV25" s="260">
        <f>SUM(AV21:AV24)</f>
        <v>3782.952646469588</v>
      </c>
      <c r="AW25" s="260">
        <f>SUM(AW21:AW24)</f>
        <v>3602.6183886539443</v>
      </c>
      <c r="AX25" s="260">
        <f>SUM(AX21:AX24)</f>
        <v>7506.466947081907</v>
      </c>
      <c r="AY25" s="260">
        <f>SUM(AY21:AY24)</f>
        <v>7507.2179533938925</v>
      </c>
      <c r="AZ25" s="260">
        <f>SUM(AZ21:AZ24)</f>
        <v>7759.84503043821</v>
      </c>
      <c r="BA25" s="260">
        <f>SUM(BA21:BA24)</f>
        <v>7517.18227506947</v>
      </c>
      <c r="BB25" s="260">
        <f>SUM(BB21:BB24)</f>
        <v>7765.071855591032</v>
      </c>
      <c r="BC25" s="260">
        <f>SUM(BC21:BC24)</f>
        <v>7521.637238564551</v>
      </c>
      <c r="BD25" s="260">
        <f>SUM(BD21:BD24)</f>
        <v>7786.862296074629</v>
      </c>
      <c r="BE25" s="260">
        <f>SUM(BE21:BE24)</f>
        <v>7627.988950314166</v>
      </c>
      <c r="BF25" s="260">
        <f>SUM(BF21:BF24)</f>
        <v>7926.412925883229</v>
      </c>
      <c r="BG25" s="260">
        <f>SUM(BG21:BG24)</f>
        <v>7703.404245475238</v>
      </c>
      <c r="BH25" s="260">
        <f>SUM(BH21:BH24)</f>
        <v>7569.490087277265</v>
      </c>
      <c r="BI25" s="260">
        <f>SUM(BI21:BI24)</f>
        <v>8073.785152795242</v>
      </c>
      <c r="BJ25" s="260">
        <f>SUM(BJ21:BJ24)</f>
        <v>7864.656660041153</v>
      </c>
      <c r="BK25" s="260">
        <f>SUM(BK21:BK24)</f>
        <v>8164.350522971761</v>
      </c>
      <c r="BL25" s="260">
        <f>SUM(BL21:BL24)</f>
        <v>7920.158988451464</v>
      </c>
      <c r="BM25" s="260">
        <f>SUM(BM21:BM24)</f>
        <v>7620.27242300577</v>
      </c>
      <c r="BN25" s="260">
        <f>SUM(BN21:BN24)</f>
        <v>6608.591626340138</v>
      </c>
      <c r="BO25" s="260">
        <f>SUM(BO21:BO24)</f>
        <v>7263.244034060712</v>
      </c>
      <c r="BP25" s="260">
        <f>SUM(BP21:BP24)</f>
        <v>6724.544147981963</v>
      </c>
      <c r="BQ25" s="260">
        <f>SUM(BQ21:BQ24)</f>
        <v>6783.166224349965</v>
      </c>
      <c r="BR25" s="260">
        <f>SUM(BR21:BR24)</f>
        <v>7452.493753972138</v>
      </c>
      <c r="BS25" s="260">
        <f>SUM(BS21:BS24)</f>
        <v>6901.718014504093</v>
      </c>
      <c r="BT25" s="260">
        <f>SUM(BT21:BT24)</f>
        <v>8760.135590997805</v>
      </c>
      <c r="BU25" s="260">
        <f>SUM(BU21:BU24)</f>
        <v>8201.159265343336</v>
      </c>
      <c r="BV25" s="260">
        <f>SUM(BV21:BV24)</f>
        <v>8890.566620854173</v>
      </c>
      <c r="BW25" s="260">
        <f>SUM(BW21:BW24)</f>
        <v>8956.508591625765</v>
      </c>
      <c r="BX25" s="260">
        <f>SUM(BX21:BX24)</f>
        <v>9022.939658727733</v>
      </c>
      <c r="BY25" s="260">
        <f>SUM(BY21:BY24)</f>
        <v>9089.863449822671</v>
      </c>
      <c r="BZ25" s="260">
        <f>SUM(BZ21:BZ24)</f>
        <v>9157.283619479796</v>
      </c>
      <c r="CA25" s="260">
        <f>SUM(CA21:CA24)</f>
        <v>9225.203849374539</v>
      </c>
      <c r="CB25" s="260">
        <f>SUM(CB21:CB24)</f>
        <v>9293.627848489565</v>
      </c>
      <c r="CC25" s="260">
        <f>SUM(CC21:CC24)</f>
        <v>9362.559353317347</v>
      </c>
      <c r="CD25" s="260">
        <f>SUM(CD21:CD24)</f>
        <v>9432.002128064189</v>
      </c>
      <c r="CE25" s="260">
        <f>SUM(CE21:CE24)</f>
        <v>9501.959964855767</v>
      </c>
      <c r="CF25" s="260">
        <f>SUM(CF21:CF24)</f>
        <v>9572.436683944248</v>
      </c>
      <c r="CG25" s="260">
        <f>SUM(CG21:CG24)</f>
        <v>9643.436133916866</v>
      </c>
      <c r="CH25" s="260">
        <f>SUM(CH21:CH24)</f>
        <v>9714.96219190611</v>
      </c>
      <c r="CI25" s="260">
        <f>SUM(CI21:CI24)</f>
        <v>9787.018763801438</v>
      </c>
      <c r="CJ25" s="260">
        <f>SUM(CJ21:CJ24)</f>
        <v>9859.609784462573</v>
      </c>
      <c r="CK25" s="260">
        <f>SUM(CK21:CK24)</f>
        <v>9932.73921793437</v>
      </c>
      <c r="CL25" s="260">
        <f>SUM(CL21:CL24)</f>
        <v>10006.411057663292</v>
      </c>
      <c r="CM25" s="260">
        <f>SUM(CM21:CM24)</f>
        <v>19835.29262946767</v>
      </c>
      <c r="CN25" s="260">
        <f>SUM(CN21:CN24)</f>
        <v>1810.7664905536142</v>
      </c>
      <c r="CO25" s="260">
        <f>SUM(CO21:CO24)</f>
        <v>0.0</v>
      </c>
    </row>
    <row r="26" customFormat="1" s="100">
      <c r="E26" s="325" t="str">
        <f>Equity!E$22</f>
        <v>Share capital - additional injection</v>
      </c>
      <c r="F26" s="325">
        <f>Equity!F$22</f>
        <v>0.0</v>
      </c>
      <c r="G26" s="325" t="str">
        <f>Equity!G$22</f>
        <v>$ 000s</v>
      </c>
      <c r="H26" s="325">
        <f> SUM(J26:CO26)</f>
        <v>0.0</v>
      </c>
      <c r="I26" s="325" t="n"/>
      <c r="J26" s="325">
        <f>Equity!J$22</f>
        <v>0.0</v>
      </c>
      <c r="K26" s="325">
        <f>Equity!K$22</f>
        <v>0.0</v>
      </c>
      <c r="L26" s="325">
        <f>Equity!L$22</f>
        <v>0.0</v>
      </c>
      <c r="M26" s="325">
        <f>Equity!M$22</f>
        <v>0.0</v>
      </c>
      <c r="N26" s="325">
        <f>Equity!N$22</f>
        <v>0.0</v>
      </c>
      <c r="O26" s="325">
        <f>Equity!O$22</f>
        <v>0.0</v>
      </c>
      <c r="P26" s="325">
        <f>Equity!P$22</f>
        <v>0.0</v>
      </c>
      <c r="Q26" s="325">
        <f>Equity!Q$22</f>
        <v>0.0</v>
      </c>
      <c r="R26" s="325">
        <f>Equity!R$22</f>
        <v>0.0</v>
      </c>
      <c r="S26" s="325">
        <f>Equity!S$22</f>
        <v>0.0</v>
      </c>
      <c r="T26" s="325">
        <f>Equity!T$22</f>
        <v>0.0</v>
      </c>
      <c r="U26" s="325">
        <f>Equity!U$22</f>
        <v>0.0</v>
      </c>
      <c r="V26" s="325">
        <f>Equity!V$22</f>
        <v>0.0</v>
      </c>
      <c r="W26" s="325">
        <f>Equity!W$22</f>
        <v>0.0</v>
      </c>
      <c r="X26" s="325">
        <f>Equity!X$22</f>
        <v>0.0</v>
      </c>
      <c r="Y26" s="325">
        <f>Equity!Y$22</f>
        <v>0.0</v>
      </c>
      <c r="Z26" s="325">
        <f>Equity!Z$22</f>
        <v>0.0</v>
      </c>
      <c r="AA26" s="325">
        <f>Equity!AA$22</f>
        <v>0.0</v>
      </c>
      <c r="AB26" s="325">
        <f>Equity!AB$22</f>
        <v>0.0</v>
      </c>
      <c r="AC26" s="325">
        <f>Equity!AC$22</f>
        <v>0.0</v>
      </c>
      <c r="AD26" s="325">
        <f>Equity!AD$22</f>
        <v>0.0</v>
      </c>
      <c r="AE26" s="325">
        <f>Equity!AE$22</f>
        <v>0.0</v>
      </c>
      <c r="AF26" s="325">
        <f>Equity!AF$22</f>
        <v>0.0</v>
      </c>
      <c r="AG26" s="325">
        <f>Equity!AG$22</f>
        <v>0.0</v>
      </c>
      <c r="AH26" s="325">
        <f>Equity!AH$22</f>
        <v>0.0</v>
      </c>
      <c r="AI26" s="325">
        <f>Equity!AI$22</f>
        <v>0.0</v>
      </c>
      <c r="AJ26" s="325">
        <f>Equity!AJ$22</f>
        <v>0.0</v>
      </c>
      <c r="AK26" s="325">
        <f>Equity!AK$22</f>
        <v>0.0</v>
      </c>
      <c r="AL26" s="325">
        <f>Equity!AL$22</f>
        <v>0.0</v>
      </c>
      <c r="AM26" s="325">
        <f>Equity!AM$22</f>
        <v>0.0</v>
      </c>
      <c r="AN26" s="325">
        <f>Equity!AN$22</f>
        <v>0.0</v>
      </c>
      <c r="AO26" s="325">
        <f>Equity!AO$22</f>
        <v>0.0</v>
      </c>
      <c r="AP26" s="325">
        <f>Equity!AP$22</f>
        <v>0.0</v>
      </c>
      <c r="AQ26" s="325">
        <f>Equity!AQ$22</f>
        <v>0.0</v>
      </c>
      <c r="AR26" s="325">
        <f>Equity!AR$22</f>
        <v>0.0</v>
      </c>
      <c r="AS26" s="325">
        <f>Equity!AS$22</f>
        <v>0.0</v>
      </c>
      <c r="AT26" s="325">
        <f>Equity!AT$22</f>
        <v>0.0</v>
      </c>
      <c r="AU26" s="325">
        <f>Equity!AU$22</f>
        <v>0.0</v>
      </c>
      <c r="AV26" s="325">
        <f>Equity!AV$22</f>
        <v>0.0</v>
      </c>
      <c r="AW26" s="325">
        <f>Equity!AW$22</f>
        <v>0.0</v>
      </c>
      <c r="AX26" s="325">
        <f>Equity!AX$22</f>
        <v>0.0</v>
      </c>
      <c r="AY26" s="325">
        <f>Equity!AY$22</f>
        <v>0.0</v>
      </c>
      <c r="AZ26" s="325">
        <f>Equity!AZ$22</f>
        <v>0.0</v>
      </c>
      <c r="BA26" s="325">
        <f>Equity!BA$22</f>
        <v>0.0</v>
      </c>
      <c r="BB26" s="325">
        <f>Equity!BB$22</f>
        <v>0.0</v>
      </c>
      <c r="BC26" s="325">
        <f>Equity!BC$22</f>
        <v>0.0</v>
      </c>
      <c r="BD26" s="325">
        <f>Equity!BD$22</f>
        <v>0.0</v>
      </c>
      <c r="BE26" s="325">
        <f>Equity!BE$22</f>
        <v>0.0</v>
      </c>
      <c r="BF26" s="325">
        <f>Equity!BF$22</f>
        <v>0.0</v>
      </c>
      <c r="BG26" s="325">
        <f>Equity!BG$22</f>
        <v>0.0</v>
      </c>
      <c r="BH26" s="325">
        <f>Equity!BH$22</f>
        <v>0.0</v>
      </c>
      <c r="BI26" s="325">
        <f>Equity!BI$22</f>
        <v>0.0</v>
      </c>
      <c r="BJ26" s="325">
        <f>Equity!BJ$22</f>
        <v>0.0</v>
      </c>
      <c r="BK26" s="325">
        <f>Equity!BK$22</f>
        <v>0.0</v>
      </c>
      <c r="BL26" s="325">
        <f>Equity!BL$22</f>
        <v>0.0</v>
      </c>
      <c r="BM26" s="325">
        <f>Equity!BM$22</f>
        <v>0.0</v>
      </c>
      <c r="BN26" s="325">
        <f>Equity!BN$22</f>
        <v>0.0</v>
      </c>
      <c r="BO26" s="325">
        <f>Equity!BO$22</f>
        <v>0.0</v>
      </c>
      <c r="BP26" s="325">
        <f>Equity!BP$22</f>
        <v>0.0</v>
      </c>
      <c r="BQ26" s="325">
        <f>Equity!BQ$22</f>
        <v>0.0</v>
      </c>
      <c r="BR26" s="325">
        <f>Equity!BR$22</f>
        <v>0.0</v>
      </c>
      <c r="BS26" s="325">
        <f>Equity!BS$22</f>
        <v>0.0</v>
      </c>
      <c r="BT26" s="325">
        <f>Equity!BT$22</f>
        <v>0.0</v>
      </c>
      <c r="BU26" s="325">
        <f>Equity!BU$22</f>
        <v>0.0</v>
      </c>
      <c r="BV26" s="325">
        <f>Equity!BV$22</f>
        <v>0.0</v>
      </c>
      <c r="BW26" s="325">
        <f>Equity!BW$22</f>
        <v>0.0</v>
      </c>
      <c r="BX26" s="325">
        <f>Equity!BX$22</f>
        <v>0.0</v>
      </c>
      <c r="BY26" s="325">
        <f>Equity!BY$22</f>
        <v>0.0</v>
      </c>
      <c r="BZ26" s="325">
        <f>Equity!BZ$22</f>
        <v>0.0</v>
      </c>
      <c r="CA26" s="325">
        <f>Equity!CA$22</f>
        <v>0.0</v>
      </c>
      <c r="CB26" s="325">
        <f>Equity!CB$22</f>
        <v>0.0</v>
      </c>
      <c r="CC26" s="325">
        <f>Equity!CC$22</f>
        <v>0.0</v>
      </c>
      <c r="CD26" s="325">
        <f>Equity!CD$22</f>
        <v>0.0</v>
      </c>
      <c r="CE26" s="325">
        <f>Equity!CE$22</f>
        <v>0.0</v>
      </c>
      <c r="CF26" s="325">
        <f>Equity!CF$22</f>
        <v>0.0</v>
      </c>
      <c r="CG26" s="325">
        <f>Equity!CG$22</f>
        <v>0.0</v>
      </c>
      <c r="CH26" s="325">
        <f>Equity!CH$22</f>
        <v>0.0</v>
      </c>
      <c r="CI26" s="325">
        <f>Equity!CI$22</f>
        <v>0.0</v>
      </c>
      <c r="CJ26" s="325">
        <f>Equity!CJ$22</f>
        <v>0.0</v>
      </c>
      <c r="CK26" s="325">
        <f>Equity!CK$22</f>
        <v>0.0</v>
      </c>
      <c r="CL26" s="325">
        <f>Equity!CL$22</f>
        <v>0.0</v>
      </c>
      <c r="CM26" s="325">
        <f>Equity!CM$22</f>
        <v>0.0</v>
      </c>
      <c r="CN26" s="325">
        <f>Equity!CN$22</f>
        <v>0.0</v>
      </c>
      <c r="CO26" s="325">
        <f>Equity!CO$22</f>
        <v>0.0</v>
      </c>
    </row>
    <row r="27" customFormat="1" s="260">
      <c r="E27" s="325" t="str">
        <f>SHL!E$12</f>
        <v>Sponsor funding at COD</v>
      </c>
      <c r="F27" s="325">
        <f>SHL!F$12</f>
        <v>28913.57448326479</v>
      </c>
      <c r="G27" s="325" t="str">
        <f>SHL!G$12</f>
        <v>$ 000s</v>
      </c>
    </row>
    <row r="28" s="396">
      <c r="A28" s="294" t="n"/>
      <c r="B28" s="294" t="n"/>
      <c r="C28" s="212" t="n"/>
      <c r="D28" s="244" t="n"/>
      <c r="E28" s="325" t="str">
        <f> Time!E$45</f>
        <v>Acquisition / initial balance date flag</v>
      </c>
      <c r="F28" s="325">
        <f> Time!F$45</f>
        <v>0.0</v>
      </c>
      <c r="G28" s="325" t="str">
        <f> Time!G$45</f>
        <v>flag</v>
      </c>
      <c r="H28" s="325">
        <f> Time!H$45</f>
        <v>1.0</v>
      </c>
      <c r="I28" s="325">
        <f> Time!I$45</f>
        <v>0.0</v>
      </c>
      <c r="J28" s="325">
        <f> Time!J$45</f>
        <v>0.0</v>
      </c>
      <c r="K28" s="325">
        <f> Time!K$45</f>
        <v>1.0</v>
      </c>
      <c r="L28" s="325">
        <f> Time!L$45</f>
        <v>0.0</v>
      </c>
      <c r="M28" s="325">
        <f> Time!M$45</f>
        <v>0.0</v>
      </c>
      <c r="N28" s="325">
        <f> Time!N$45</f>
        <v>0.0</v>
      </c>
      <c r="O28" s="325">
        <f> Time!O$45</f>
        <v>0.0</v>
      </c>
      <c r="P28" s="325">
        <f> Time!P$45</f>
        <v>0.0</v>
      </c>
      <c r="Q28" s="325">
        <f> Time!Q$45</f>
        <v>0.0</v>
      </c>
      <c r="R28" s="325">
        <f> Time!R$45</f>
        <v>0.0</v>
      </c>
      <c r="S28" s="325">
        <f> Time!S$45</f>
        <v>0.0</v>
      </c>
      <c r="T28" s="325">
        <f> Time!T$45</f>
        <v>0.0</v>
      </c>
      <c r="U28" s="325">
        <f> Time!U$45</f>
        <v>0.0</v>
      </c>
      <c r="V28" s="325">
        <f> Time!V$45</f>
        <v>0.0</v>
      </c>
      <c r="W28" s="325">
        <f> Time!W$45</f>
        <v>0.0</v>
      </c>
      <c r="X28" s="325">
        <f> Time!X$45</f>
        <v>0.0</v>
      </c>
      <c r="Y28" s="325">
        <f> Time!Y$45</f>
        <v>0.0</v>
      </c>
      <c r="Z28" s="325">
        <f> Time!Z$45</f>
        <v>0.0</v>
      </c>
      <c r="AA28" s="325">
        <f> Time!AA$45</f>
        <v>0.0</v>
      </c>
      <c r="AB28" s="325">
        <f> Time!AB$45</f>
        <v>0.0</v>
      </c>
      <c r="AC28" s="325">
        <f> Time!AC$45</f>
        <v>0.0</v>
      </c>
      <c r="AD28" s="325">
        <f> Time!AD$45</f>
        <v>0.0</v>
      </c>
      <c r="AE28" s="325">
        <f> Time!AE$45</f>
        <v>0.0</v>
      </c>
      <c r="AF28" s="325">
        <f> Time!AF$45</f>
        <v>0.0</v>
      </c>
      <c r="AG28" s="325">
        <f> Time!AG$45</f>
        <v>0.0</v>
      </c>
      <c r="AH28" s="325">
        <f> Time!AH$45</f>
        <v>0.0</v>
      </c>
      <c r="AI28" s="325">
        <f> Time!AI$45</f>
        <v>0.0</v>
      </c>
      <c r="AJ28" s="325">
        <f> Time!AJ$45</f>
        <v>0.0</v>
      </c>
      <c r="AK28" s="325">
        <f> Time!AK$45</f>
        <v>0.0</v>
      </c>
      <c r="AL28" s="325">
        <f> Time!AL$45</f>
        <v>0.0</v>
      </c>
      <c r="AM28" s="325">
        <f> Time!AM$45</f>
        <v>0.0</v>
      </c>
      <c r="AN28" s="325">
        <f> Time!AN$45</f>
        <v>0.0</v>
      </c>
      <c r="AO28" s="325">
        <f> Time!AO$45</f>
        <v>0.0</v>
      </c>
      <c r="AP28" s="325">
        <f> Time!AP$45</f>
        <v>0.0</v>
      </c>
      <c r="AQ28" s="325">
        <f> Time!AQ$45</f>
        <v>0.0</v>
      </c>
      <c r="AR28" s="325">
        <f> Time!AR$45</f>
        <v>0.0</v>
      </c>
      <c r="AS28" s="325">
        <f> Time!AS$45</f>
        <v>0.0</v>
      </c>
      <c r="AT28" s="325">
        <f> Time!AT$45</f>
        <v>0.0</v>
      </c>
      <c r="AU28" s="325">
        <f> Time!AU$45</f>
        <v>0.0</v>
      </c>
      <c r="AV28" s="325">
        <f> Time!AV$45</f>
        <v>0.0</v>
      </c>
      <c r="AW28" s="325">
        <f> Time!AW$45</f>
        <v>0.0</v>
      </c>
      <c r="AX28" s="325">
        <f> Time!AX$45</f>
        <v>0.0</v>
      </c>
      <c r="AY28" s="325">
        <f> Time!AY$45</f>
        <v>0.0</v>
      </c>
      <c r="AZ28" s="325">
        <f> Time!AZ$45</f>
        <v>0.0</v>
      </c>
      <c r="BA28" s="325">
        <f> Time!BA$45</f>
        <v>0.0</v>
      </c>
      <c r="BB28" s="325">
        <f> Time!BB$45</f>
        <v>0.0</v>
      </c>
      <c r="BC28" s="325">
        <f> Time!BC$45</f>
        <v>0.0</v>
      </c>
      <c r="BD28" s="325">
        <f> Time!BD$45</f>
        <v>0.0</v>
      </c>
      <c r="BE28" s="325">
        <f> Time!BE$45</f>
        <v>0.0</v>
      </c>
      <c r="BF28" s="325">
        <f> Time!BF$45</f>
        <v>0.0</v>
      </c>
      <c r="BG28" s="325">
        <f> Time!BG$45</f>
        <v>0.0</v>
      </c>
      <c r="BH28" s="325">
        <f> Time!BH$45</f>
        <v>0.0</v>
      </c>
      <c r="BI28" s="325">
        <f> Time!BI$45</f>
        <v>0.0</v>
      </c>
      <c r="BJ28" s="325">
        <f> Time!BJ$45</f>
        <v>0.0</v>
      </c>
      <c r="BK28" s="325">
        <f> Time!BK$45</f>
        <v>0.0</v>
      </c>
      <c r="BL28" s="325">
        <f> Time!BL$45</f>
        <v>0.0</v>
      </c>
      <c r="BM28" s="325">
        <f> Time!BM$45</f>
        <v>0.0</v>
      </c>
      <c r="BN28" s="325">
        <f> Time!BN$45</f>
        <v>0.0</v>
      </c>
      <c r="BO28" s="325">
        <f> Time!BO$45</f>
        <v>0.0</v>
      </c>
      <c r="BP28" s="325">
        <f> Time!BP$45</f>
        <v>0.0</v>
      </c>
      <c r="BQ28" s="325">
        <f> Time!BQ$45</f>
        <v>0.0</v>
      </c>
      <c r="BR28" s="325">
        <f> Time!BR$45</f>
        <v>0.0</v>
      </c>
      <c r="BS28" s="325">
        <f> Time!BS$45</f>
        <v>0.0</v>
      </c>
      <c r="BT28" s="325">
        <f> Time!BT$45</f>
        <v>0.0</v>
      </c>
      <c r="BU28" s="325">
        <f> Time!BU$45</f>
        <v>0.0</v>
      </c>
      <c r="BV28" s="325">
        <f> Time!BV$45</f>
        <v>0.0</v>
      </c>
      <c r="BW28" s="325">
        <f> Time!BW$45</f>
        <v>0.0</v>
      </c>
      <c r="BX28" s="325">
        <f> Time!BX$45</f>
        <v>0.0</v>
      </c>
      <c r="BY28" s="325">
        <f> Time!BY$45</f>
        <v>0.0</v>
      </c>
      <c r="BZ28" s="325">
        <f> Time!BZ$45</f>
        <v>0.0</v>
      </c>
      <c r="CA28" s="325">
        <f> Time!CA$45</f>
        <v>0.0</v>
      </c>
      <c r="CB28" s="325">
        <f> Time!CB$45</f>
        <v>0.0</v>
      </c>
      <c r="CC28" s="325">
        <f> Time!CC$45</f>
        <v>0.0</v>
      </c>
      <c r="CD28" s="325">
        <f> Time!CD$45</f>
        <v>0.0</v>
      </c>
      <c r="CE28" s="325">
        <f> Time!CE$45</f>
        <v>0.0</v>
      </c>
      <c r="CF28" s="325">
        <f> Time!CF$45</f>
        <v>0.0</v>
      </c>
      <c r="CG28" s="325">
        <f> Time!CG$45</f>
        <v>0.0</v>
      </c>
      <c r="CH28" s="325">
        <f> Time!CH$45</f>
        <v>0.0</v>
      </c>
      <c r="CI28" s="325">
        <f> Time!CI$45</f>
        <v>0.0</v>
      </c>
      <c r="CJ28" s="325">
        <f> Time!CJ$45</f>
        <v>0.0</v>
      </c>
      <c r="CK28" s="325">
        <f> Time!CK$45</f>
        <v>0.0</v>
      </c>
      <c r="CL28" s="325">
        <f> Time!CL$45</f>
        <v>0.0</v>
      </c>
      <c r="CM28" s="325">
        <f> Time!CM$45</f>
        <v>0.0</v>
      </c>
      <c r="CN28" s="325">
        <f> Time!CN$45</f>
        <v>0.0</v>
      </c>
      <c r="CO28" s="325">
        <f> Time!CO$45</f>
        <v>0.0</v>
      </c>
    </row>
    <row r="29" s="396">
      <c r="A29" s="263" t="n"/>
      <c r="B29" s="263" t="n"/>
      <c r="C29" s="264" t="n"/>
      <c r="D29" s="335" t="n"/>
      <c r="E29" s="260" t="inlineStr">
        <is>
          <t>Shareholder cash outflow</t>
        </is>
      </c>
      <c r="G29" s="260" t="str">
        <f>SMU</f>
        <v>$ 000s</v>
      </c>
      <c r="J29" s="260">
        <f>IF(J28=1,$F27,0)+J26</f>
        <v>0.0</v>
      </c>
      <c r="K29" s="260">
        <f>IF(K28=1,$F27,0)+K26</f>
        <v>28913.57448326479</v>
      </c>
      <c r="L29" s="260">
        <f>IF(L28=1,$F27,0)+L26</f>
        <v>0.0</v>
      </c>
      <c r="M29" s="260">
        <f>IF(M28=1,$F27,0)+M26</f>
        <v>0.0</v>
      </c>
      <c r="N29" s="260">
        <f>IF(N28=1,$F27,0)+N26</f>
        <v>0.0</v>
      </c>
      <c r="O29" s="260">
        <f>IF(O28=1,$F27,0)+O26</f>
        <v>0.0</v>
      </c>
      <c r="P29" s="260">
        <f>IF(P28=1,$F27,0)+P26</f>
        <v>0.0</v>
      </c>
      <c r="Q29" s="260">
        <f>IF(Q28=1,$F27,0)+Q26</f>
        <v>0.0</v>
      </c>
      <c r="R29" s="260">
        <f>IF(R28=1,$F27,0)+R26</f>
        <v>0.0</v>
      </c>
      <c r="S29" s="260">
        <f>IF(S28=1,$F27,0)+S26</f>
        <v>0.0</v>
      </c>
      <c r="T29" s="260">
        <f>IF(T28=1,$F27,0)+T26</f>
        <v>0.0</v>
      </c>
      <c r="U29" s="260">
        <f>IF(U28=1,$F27,0)+U26</f>
        <v>0.0</v>
      </c>
      <c r="V29" s="260">
        <f>IF(V28=1,$F27,0)+V26</f>
        <v>0.0</v>
      </c>
      <c r="W29" s="260">
        <f>IF(W28=1,$F27,0)+W26</f>
        <v>0.0</v>
      </c>
      <c r="X29" s="260">
        <f>IF(X28=1,$F27,0)+X26</f>
        <v>0.0</v>
      </c>
      <c r="Y29" s="260">
        <f>IF(Y28=1,$F27,0)+Y26</f>
        <v>0.0</v>
      </c>
      <c r="Z29" s="260">
        <f>IF(Z28=1,$F27,0)+Z26</f>
        <v>0.0</v>
      </c>
      <c r="AA29" s="260">
        <f>IF(AA28=1,$F27,0)+AA26</f>
        <v>0.0</v>
      </c>
      <c r="AB29" s="260">
        <f>IF(AB28=1,$F27,0)+AB26</f>
        <v>0.0</v>
      </c>
      <c r="AC29" s="260">
        <f>IF(AC28=1,$F27,0)+AC26</f>
        <v>0.0</v>
      </c>
      <c r="AD29" s="260">
        <f>IF(AD28=1,$F27,0)+AD26</f>
        <v>0.0</v>
      </c>
      <c r="AE29" s="260">
        <f>IF(AE28=1,$F27,0)+AE26</f>
        <v>0.0</v>
      </c>
      <c r="AF29" s="260">
        <f>IF(AF28=1,$F27,0)+AF26</f>
        <v>0.0</v>
      </c>
      <c r="AG29" s="260">
        <f>IF(AG28=1,$F27,0)+AG26</f>
        <v>0.0</v>
      </c>
      <c r="AH29" s="260">
        <f>IF(AH28=1,$F27,0)+AH26</f>
        <v>0.0</v>
      </c>
      <c r="AI29" s="260">
        <f>IF(AI28=1,$F27,0)+AI26</f>
        <v>0.0</v>
      </c>
      <c r="AJ29" s="260">
        <f>IF(AJ28=1,$F27,0)+AJ26</f>
        <v>0.0</v>
      </c>
      <c r="AK29" s="260">
        <f>IF(AK28=1,$F27,0)+AK26</f>
        <v>0.0</v>
      </c>
      <c r="AL29" s="260">
        <f>IF(AL28=1,$F27,0)+AL26</f>
        <v>0.0</v>
      </c>
      <c r="AM29" s="260">
        <f>IF(AM28=1,$F27,0)+AM26</f>
        <v>0.0</v>
      </c>
      <c r="AN29" s="260">
        <f>IF(AN28=1,$F27,0)+AN26</f>
        <v>0.0</v>
      </c>
      <c r="AO29" s="260">
        <f>IF(AO28=1,$F27,0)+AO26</f>
        <v>0.0</v>
      </c>
      <c r="AP29" s="260">
        <f>IF(AP28=1,$F27,0)+AP26</f>
        <v>0.0</v>
      </c>
      <c r="AQ29" s="260">
        <f>IF(AQ28=1,$F27,0)+AQ26</f>
        <v>0.0</v>
      </c>
      <c r="AR29" s="260">
        <f>IF(AR28=1,$F27,0)+AR26</f>
        <v>0.0</v>
      </c>
      <c r="AS29" s="260">
        <f>IF(AS28=1,$F27,0)+AS26</f>
        <v>0.0</v>
      </c>
      <c r="AT29" s="260">
        <f>IF(AT28=1,$F27,0)+AT26</f>
        <v>0.0</v>
      </c>
      <c r="AU29" s="260">
        <f>IF(AU28=1,$F27,0)+AU26</f>
        <v>0.0</v>
      </c>
      <c r="AV29" s="260">
        <f>IF(AV28=1,$F27,0)+AV26</f>
        <v>0.0</v>
      </c>
      <c r="AW29" s="260">
        <f>IF(AW28=1,$F27,0)+AW26</f>
        <v>0.0</v>
      </c>
      <c r="AX29" s="260">
        <f>IF(AX28=1,$F27,0)+AX26</f>
        <v>0.0</v>
      </c>
      <c r="AY29" s="260">
        <f>IF(AY28=1,$F27,0)+AY26</f>
        <v>0.0</v>
      </c>
      <c r="AZ29" s="260">
        <f>IF(AZ28=1,$F27,0)+AZ26</f>
        <v>0.0</v>
      </c>
      <c r="BA29" s="260">
        <f>IF(BA28=1,$F27,0)+BA26</f>
        <v>0.0</v>
      </c>
      <c r="BB29" s="260">
        <f>IF(BB28=1,$F27,0)+BB26</f>
        <v>0.0</v>
      </c>
      <c r="BC29" s="260">
        <f>IF(BC28=1,$F27,0)+BC26</f>
        <v>0.0</v>
      </c>
      <c r="BD29" s="260">
        <f>IF(BD28=1,$F27,0)+BD26</f>
        <v>0.0</v>
      </c>
      <c r="BE29" s="260">
        <f>IF(BE28=1,$F27,0)+BE26</f>
        <v>0.0</v>
      </c>
      <c r="BF29" s="260">
        <f>IF(BF28=1,$F27,0)+BF26</f>
        <v>0.0</v>
      </c>
      <c r="BG29" s="260">
        <f>IF(BG28=1,$F27,0)+BG26</f>
        <v>0.0</v>
      </c>
      <c r="BH29" s="260">
        <f>IF(BH28=1,$F27,0)+BH26</f>
        <v>0.0</v>
      </c>
      <c r="BI29" s="260">
        <f>IF(BI28=1,$F27,0)+BI26</f>
        <v>0.0</v>
      </c>
      <c r="BJ29" s="260">
        <f>IF(BJ28=1,$F27,0)+BJ26</f>
        <v>0.0</v>
      </c>
      <c r="BK29" s="260">
        <f>IF(BK28=1,$F27,0)+BK26</f>
        <v>0.0</v>
      </c>
      <c r="BL29" s="260">
        <f>IF(BL28=1,$F27,0)+BL26</f>
        <v>0.0</v>
      </c>
      <c r="BM29" s="260">
        <f>IF(BM28=1,$F27,0)+BM26</f>
        <v>0.0</v>
      </c>
      <c r="BN29" s="260">
        <f>IF(BN28=1,$F27,0)+BN26</f>
        <v>0.0</v>
      </c>
      <c r="BO29" s="260">
        <f>IF(BO28=1,$F27,0)+BO26</f>
        <v>0.0</v>
      </c>
      <c r="BP29" s="260">
        <f>IF(BP28=1,$F27,0)+BP26</f>
        <v>0.0</v>
      </c>
      <c r="BQ29" s="260">
        <f>IF(BQ28=1,$F27,0)+BQ26</f>
        <v>0.0</v>
      </c>
      <c r="BR29" s="260">
        <f>IF(BR28=1,$F27,0)+BR26</f>
        <v>0.0</v>
      </c>
      <c r="BS29" s="260">
        <f>IF(BS28=1,$F27,0)+BS26</f>
        <v>0.0</v>
      </c>
      <c r="BT29" s="260">
        <f>IF(BT28=1,$F27,0)+BT26</f>
        <v>0.0</v>
      </c>
      <c r="BU29" s="260">
        <f>IF(BU28=1,$F27,0)+BU26</f>
        <v>0.0</v>
      </c>
      <c r="BV29" s="260">
        <f>IF(BV28=1,$F27,0)+BV26</f>
        <v>0.0</v>
      </c>
      <c r="BW29" s="260">
        <f>IF(BW28=1,$F27,0)+BW26</f>
        <v>0.0</v>
      </c>
      <c r="BX29" s="260">
        <f>IF(BX28=1,$F27,0)+BX26</f>
        <v>0.0</v>
      </c>
      <c r="BY29" s="260">
        <f>IF(BY28=1,$F27,0)+BY26</f>
        <v>0.0</v>
      </c>
      <c r="BZ29" s="260">
        <f>IF(BZ28=1,$F27,0)+BZ26</f>
        <v>0.0</v>
      </c>
      <c r="CA29" s="260">
        <f>IF(CA28=1,$F27,0)+CA26</f>
        <v>0.0</v>
      </c>
      <c r="CB29" s="260">
        <f>IF(CB28=1,$F27,0)+CB26</f>
        <v>0.0</v>
      </c>
      <c r="CC29" s="260">
        <f>IF(CC28=1,$F27,0)+CC26</f>
        <v>0.0</v>
      </c>
      <c r="CD29" s="260">
        <f>IF(CD28=1,$F27,0)+CD26</f>
        <v>0.0</v>
      </c>
      <c r="CE29" s="260">
        <f>IF(CE28=1,$F27,0)+CE26</f>
        <v>0.0</v>
      </c>
      <c r="CF29" s="260">
        <f>IF(CF28=1,$F27,0)+CF26</f>
        <v>0.0</v>
      </c>
      <c r="CG29" s="260">
        <f>IF(CG28=1,$F27,0)+CG26</f>
        <v>0.0</v>
      </c>
      <c r="CH29" s="260">
        <f>IF(CH28=1,$F27,0)+CH26</f>
        <v>0.0</v>
      </c>
      <c r="CI29" s="260">
        <f>IF(CI28=1,$F27,0)+CI26</f>
        <v>0.0</v>
      </c>
      <c r="CJ29" s="260">
        <f>IF(CJ28=1,$F27,0)+CJ26</f>
        <v>0.0</v>
      </c>
      <c r="CK29" s="260">
        <f>IF(CK28=1,$F27,0)+CK26</f>
        <v>0.0</v>
      </c>
      <c r="CL29" s="260">
        <f>IF(CL28=1,$F27,0)+CL26</f>
        <v>0.0</v>
      </c>
      <c r="CM29" s="260">
        <f>IF(CM28=1,$F27,0)+CM26</f>
        <v>0.0</v>
      </c>
      <c r="CN29" s="260">
        <f>IF(CN28=1,$F27,0)+CN26</f>
        <v>0.0</v>
      </c>
      <c r="CO29" s="260">
        <f>IF(CO28=1,$F27,0)+CO26</f>
        <v>0.0</v>
      </c>
    </row>
    <row r="31" customFormat="1" s="260">
      <c r="E31" s="61" t="str">
        <f> E$25</f>
        <v>Shareholder cash inflow </v>
      </c>
      <c r="F31" s="61">
        <f> F$25</f>
        <v>0.0</v>
      </c>
      <c r="G31" s="61" t="str">
        <f> G$25</f>
        <v>$ 000s</v>
      </c>
      <c r="H31" s="61">
        <f> H$25</f>
        <v>490291.6969639777</v>
      </c>
      <c r="I31" s="61">
        <f> I$25</f>
        <v>0.0</v>
      </c>
      <c r="J31" s="61">
        <f> J$25</f>
        <v>0.0</v>
      </c>
      <c r="K31" s="61">
        <f> K$25</f>
        <v>0.0</v>
      </c>
      <c r="L31" s="61">
        <f> L$25</f>
        <v>0.0</v>
      </c>
      <c r="M31" s="61">
        <f> M$25</f>
        <v>1991.8791040414935</v>
      </c>
      <c r="N31" s="61">
        <f> N$25</f>
        <v>3468.3434261505045</v>
      </c>
      <c r="O31" s="61">
        <f> O$25</f>
        <v>2106.9835268665106</v>
      </c>
      <c r="P31" s="61">
        <f> P$25</f>
        <v>2321.82287082154</v>
      </c>
      <c r="Q31" s="61">
        <f> Q$25</f>
        <v>2055.1644292187957</v>
      </c>
      <c r="R31" s="61">
        <f> R$25</f>
        <v>2438.120756403156</v>
      </c>
      <c r="S31" s="61">
        <f> S$25</f>
        <v>2172.066125965934</v>
      </c>
      <c r="T31" s="61">
        <f> T$25</f>
        <v>2705.818891390102</v>
      </c>
      <c r="U31" s="61">
        <f> U$25</f>
        <v>2415.0569893433158</v>
      </c>
      <c r="V31" s="61">
        <f> V$25</f>
        <v>2820.7787255341536</v>
      </c>
      <c r="W31" s="61">
        <f> W$25</f>
        <v>2524.909516484431</v>
      </c>
      <c r="X31" s="61">
        <f> X$25</f>
        <v>2905.4594162883404</v>
      </c>
      <c r="Y31" s="61">
        <f> Y$25</f>
        <v>2588.072344659249</v>
      </c>
      <c r="Z31" s="61">
        <f> Z$25</f>
        <v>2997.672188079741</v>
      </c>
      <c r="AA31" s="61">
        <f> AA$25</f>
        <v>2681.825869149111</v>
      </c>
      <c r="AB31" s="61">
        <f> AB$25</f>
        <v>3053.7050333090956</v>
      </c>
      <c r="AC31" s="61">
        <f> AC$25</f>
        <v>2728.098505676017</v>
      </c>
      <c r="AD31" s="61">
        <f> AD$25</f>
        <v>3625.4072576382828</v>
      </c>
      <c r="AE31" s="61">
        <f> AE$25</f>
        <v>3279.8874996575305</v>
      </c>
      <c r="AF31" s="61">
        <f> AF$25</f>
        <v>3715.3608019248104</v>
      </c>
      <c r="AG31" s="61">
        <f> AG$25</f>
        <v>3361.3922795219946</v>
      </c>
      <c r="AH31" s="61">
        <f> AH$25</f>
        <v>3831.3768279060814</v>
      </c>
      <c r="AI31" s="61">
        <f> AI$25</f>
        <v>3477.3637634168886</v>
      </c>
      <c r="AJ31" s="61">
        <f> AJ$25</f>
        <v>3942.5131570329836</v>
      </c>
      <c r="AK31" s="61">
        <f> AK$25</f>
        <v>3583.520229144507</v>
      </c>
      <c r="AL31" s="61">
        <f> AL$25</f>
        <v>4069.719068279597</v>
      </c>
      <c r="AM31" s="61">
        <f> AM$25</f>
        <v>4185.496903240382</v>
      </c>
      <c r="AN31" s="61">
        <f> AN$25</f>
        <v>4750.447668638798</v>
      </c>
      <c r="AO31" s="61">
        <f> AO$25</f>
        <v>4357.8916280557605</v>
      </c>
      <c r="AP31" s="61">
        <f> AP$25</f>
        <v>4895.383645712745</v>
      </c>
      <c r="AQ31" s="61">
        <f> AQ$25</f>
        <v>4500.703995810543</v>
      </c>
      <c r="AR31" s="61">
        <f> AR$25</f>
        <v>5046.767202297569</v>
      </c>
      <c r="AS31" s="61">
        <f> AS$25</f>
        <v>4645.230237341002</v>
      </c>
      <c r="AT31" s="61">
        <f> AT$25</f>
        <v>5187.13357749477</v>
      </c>
      <c r="AU31" s="61">
        <f> AU$25</f>
        <v>3849.7082181176015</v>
      </c>
      <c r="AV31" s="61">
        <f> AV$25</f>
        <v>3782.952646469588</v>
      </c>
      <c r="AW31" s="61">
        <f> AW$25</f>
        <v>3602.6183886539443</v>
      </c>
      <c r="AX31" s="61">
        <f> AX$25</f>
        <v>7506.466947081907</v>
      </c>
      <c r="AY31" s="61">
        <f> AY$25</f>
        <v>7507.2179533938925</v>
      </c>
      <c r="AZ31" s="61">
        <f> AZ$25</f>
        <v>7759.84503043821</v>
      </c>
      <c r="BA31" s="61">
        <f> BA$25</f>
        <v>7517.18227506947</v>
      </c>
      <c r="BB31" s="61">
        <f> BB$25</f>
        <v>7765.071855591032</v>
      </c>
      <c r="BC31" s="61">
        <f> BC$25</f>
        <v>7521.637238564551</v>
      </c>
      <c r="BD31" s="61">
        <f> BD$25</f>
        <v>7786.862296074629</v>
      </c>
      <c r="BE31" s="61">
        <f> BE$25</f>
        <v>7627.988950314166</v>
      </c>
      <c r="BF31" s="61">
        <f> BF$25</f>
        <v>7926.412925883229</v>
      </c>
      <c r="BG31" s="61">
        <f> BG$25</f>
        <v>7703.404245475238</v>
      </c>
      <c r="BH31" s="61">
        <f> BH$25</f>
        <v>7569.490087277265</v>
      </c>
      <c r="BI31" s="61">
        <f> BI$25</f>
        <v>8073.785152795242</v>
      </c>
      <c r="BJ31" s="61">
        <f> BJ$25</f>
        <v>7864.656660041153</v>
      </c>
      <c r="BK31" s="61">
        <f> BK$25</f>
        <v>8164.350522971761</v>
      </c>
      <c r="BL31" s="61">
        <f> BL$25</f>
        <v>7920.158988451464</v>
      </c>
      <c r="BM31" s="61">
        <f> BM$25</f>
        <v>7620.27242300577</v>
      </c>
      <c r="BN31" s="61">
        <f> BN$25</f>
        <v>6608.591626340138</v>
      </c>
      <c r="BO31" s="61">
        <f> BO$25</f>
        <v>7263.244034060712</v>
      </c>
      <c r="BP31" s="61">
        <f> BP$25</f>
        <v>6724.544147981963</v>
      </c>
      <c r="BQ31" s="61">
        <f> BQ$25</f>
        <v>6783.166224349965</v>
      </c>
      <c r="BR31" s="61">
        <f> BR$25</f>
        <v>7452.493753972138</v>
      </c>
      <c r="BS31" s="61">
        <f> BS$25</f>
        <v>6901.718014504093</v>
      </c>
      <c r="BT31" s="61">
        <f> BT$25</f>
        <v>8760.135590997805</v>
      </c>
      <c r="BU31" s="61">
        <f> BU$25</f>
        <v>8201.159265343336</v>
      </c>
      <c r="BV31" s="61">
        <f> BV$25</f>
        <v>8890.566620854173</v>
      </c>
      <c r="BW31" s="61">
        <f> BW$25</f>
        <v>8956.508591625765</v>
      </c>
      <c r="BX31" s="61">
        <f> BX$25</f>
        <v>9022.939658727733</v>
      </c>
      <c r="BY31" s="61">
        <f> BY$25</f>
        <v>9089.863449822671</v>
      </c>
      <c r="BZ31" s="61">
        <f> BZ$25</f>
        <v>9157.283619479796</v>
      </c>
      <c r="CA31" s="61">
        <f> CA$25</f>
        <v>9225.203849374539</v>
      </c>
      <c r="CB31" s="61">
        <f> CB$25</f>
        <v>9293.627848489565</v>
      </c>
      <c r="CC31" s="61">
        <f> CC$25</f>
        <v>9362.559353317347</v>
      </c>
      <c r="CD31" s="61">
        <f> CD$25</f>
        <v>9432.002128064189</v>
      </c>
      <c r="CE31" s="61">
        <f> CE$25</f>
        <v>9501.959964855767</v>
      </c>
      <c r="CF31" s="61">
        <f> CF$25</f>
        <v>9572.436683944248</v>
      </c>
      <c r="CG31" s="61">
        <f> CG$25</f>
        <v>9643.436133916866</v>
      </c>
      <c r="CH31" s="61">
        <f> CH$25</f>
        <v>9714.96219190611</v>
      </c>
      <c r="CI31" s="61">
        <f> CI$25</f>
        <v>9787.018763801438</v>
      </c>
      <c r="CJ31" s="61">
        <f> CJ$25</f>
        <v>9859.609784462573</v>
      </c>
      <c r="CK31" s="61">
        <f> CK$25</f>
        <v>9932.73921793437</v>
      </c>
      <c r="CL31" s="61">
        <f> CL$25</f>
        <v>10006.411057663292</v>
      </c>
      <c r="CM31" s="61">
        <f> CM$25</f>
        <v>19835.29262946767</v>
      </c>
      <c r="CN31" s="61">
        <f> CN$25</f>
        <v>1810.7664905536142</v>
      </c>
      <c r="CO31" s="61">
        <f> CO$25</f>
        <v>0.0</v>
      </c>
    </row>
    <row r="32">
      <c r="D32" s="244" t="inlineStr">
        <is>
          <t>less</t>
        </is>
      </c>
      <c r="E32" s="61" t="str">
        <f> E$29</f>
        <v>Shareholder cash outflow</v>
      </c>
      <c r="F32" s="61">
        <f> F$29</f>
        <v>0.0</v>
      </c>
      <c r="G32" s="61" t="str">
        <f> G$29</f>
        <v>$ 000s</v>
      </c>
      <c r="H32" s="61">
        <f> H$29</f>
        <v>0.0</v>
      </c>
      <c r="I32" s="61">
        <f> I$29</f>
        <v>0.0</v>
      </c>
      <c r="J32" s="61">
        <f> J$29</f>
        <v>0.0</v>
      </c>
      <c r="K32" s="61">
        <f> K$29</f>
        <v>28913.57448326479</v>
      </c>
      <c r="L32" s="61">
        <f> L$29</f>
        <v>0.0</v>
      </c>
      <c r="M32" s="61">
        <f> M$29</f>
        <v>0.0</v>
      </c>
      <c r="N32" s="61">
        <f> N$29</f>
        <v>0.0</v>
      </c>
      <c r="O32" s="61">
        <f> O$29</f>
        <v>0.0</v>
      </c>
      <c r="P32" s="61">
        <f> P$29</f>
        <v>0.0</v>
      </c>
      <c r="Q32" s="61">
        <f> Q$29</f>
        <v>0.0</v>
      </c>
      <c r="R32" s="61">
        <f> R$29</f>
        <v>0.0</v>
      </c>
      <c r="S32" s="61">
        <f> S$29</f>
        <v>0.0</v>
      </c>
      <c r="T32" s="61">
        <f> T$29</f>
        <v>0.0</v>
      </c>
      <c r="U32" s="61">
        <f> U$29</f>
        <v>0.0</v>
      </c>
      <c r="V32" s="61">
        <f> V$29</f>
        <v>0.0</v>
      </c>
      <c r="W32" s="61">
        <f> W$29</f>
        <v>0.0</v>
      </c>
      <c r="X32" s="61">
        <f> X$29</f>
        <v>0.0</v>
      </c>
      <c r="Y32" s="61">
        <f> Y$29</f>
        <v>0.0</v>
      </c>
      <c r="Z32" s="61">
        <f> Z$29</f>
        <v>0.0</v>
      </c>
      <c r="AA32" s="61">
        <f> AA$29</f>
        <v>0.0</v>
      </c>
      <c r="AB32" s="61">
        <f> AB$29</f>
        <v>0.0</v>
      </c>
      <c r="AC32" s="61">
        <f> AC$29</f>
        <v>0.0</v>
      </c>
      <c r="AD32" s="61">
        <f> AD$29</f>
        <v>0.0</v>
      </c>
      <c r="AE32" s="61">
        <f> AE$29</f>
        <v>0.0</v>
      </c>
      <c r="AF32" s="61">
        <f> AF$29</f>
        <v>0.0</v>
      </c>
      <c r="AG32" s="61">
        <f> AG$29</f>
        <v>0.0</v>
      </c>
      <c r="AH32" s="61">
        <f> AH$29</f>
        <v>0.0</v>
      </c>
      <c r="AI32" s="61">
        <f> AI$29</f>
        <v>0.0</v>
      </c>
      <c r="AJ32" s="61">
        <f> AJ$29</f>
        <v>0.0</v>
      </c>
      <c r="AK32" s="61">
        <f> AK$29</f>
        <v>0.0</v>
      </c>
      <c r="AL32" s="61">
        <f> AL$29</f>
        <v>0.0</v>
      </c>
      <c r="AM32" s="61">
        <f> AM$29</f>
        <v>0.0</v>
      </c>
      <c r="AN32" s="61">
        <f> AN$29</f>
        <v>0.0</v>
      </c>
      <c r="AO32" s="61">
        <f> AO$29</f>
        <v>0.0</v>
      </c>
      <c r="AP32" s="61">
        <f> AP$29</f>
        <v>0.0</v>
      </c>
      <c r="AQ32" s="61">
        <f> AQ$29</f>
        <v>0.0</v>
      </c>
      <c r="AR32" s="61">
        <f> AR$29</f>
        <v>0.0</v>
      </c>
      <c r="AS32" s="61">
        <f> AS$29</f>
        <v>0.0</v>
      </c>
      <c r="AT32" s="61">
        <f> AT$29</f>
        <v>0.0</v>
      </c>
      <c r="AU32" s="61">
        <f> AU$29</f>
        <v>0.0</v>
      </c>
      <c r="AV32" s="61">
        <f> AV$29</f>
        <v>0.0</v>
      </c>
      <c r="AW32" s="61">
        <f> AW$29</f>
        <v>0.0</v>
      </c>
      <c r="AX32" s="61">
        <f> AX$29</f>
        <v>0.0</v>
      </c>
      <c r="AY32" s="61">
        <f> AY$29</f>
        <v>0.0</v>
      </c>
      <c r="AZ32" s="61">
        <f> AZ$29</f>
        <v>0.0</v>
      </c>
      <c r="BA32" s="61">
        <f> BA$29</f>
        <v>0.0</v>
      </c>
      <c r="BB32" s="61">
        <f> BB$29</f>
        <v>0.0</v>
      </c>
      <c r="BC32" s="61">
        <f> BC$29</f>
        <v>0.0</v>
      </c>
      <c r="BD32" s="61">
        <f> BD$29</f>
        <v>0.0</v>
      </c>
      <c r="BE32" s="61">
        <f> BE$29</f>
        <v>0.0</v>
      </c>
      <c r="BF32" s="61">
        <f> BF$29</f>
        <v>0.0</v>
      </c>
      <c r="BG32" s="61">
        <f> BG$29</f>
        <v>0.0</v>
      </c>
      <c r="BH32" s="61">
        <f> BH$29</f>
        <v>0.0</v>
      </c>
      <c r="BI32" s="61">
        <f> BI$29</f>
        <v>0.0</v>
      </c>
      <c r="BJ32" s="61">
        <f> BJ$29</f>
        <v>0.0</v>
      </c>
      <c r="BK32" s="61">
        <f> BK$29</f>
        <v>0.0</v>
      </c>
      <c r="BL32" s="61">
        <f> BL$29</f>
        <v>0.0</v>
      </c>
      <c r="BM32" s="61">
        <f> BM$29</f>
        <v>0.0</v>
      </c>
      <c r="BN32" s="61">
        <f> BN$29</f>
        <v>0.0</v>
      </c>
      <c r="BO32" s="61">
        <f> BO$29</f>
        <v>0.0</v>
      </c>
      <c r="BP32" s="61">
        <f> BP$29</f>
        <v>0.0</v>
      </c>
      <c r="BQ32" s="61">
        <f> BQ$29</f>
        <v>0.0</v>
      </c>
      <c r="BR32" s="61">
        <f> BR$29</f>
        <v>0.0</v>
      </c>
      <c r="BS32" s="61">
        <f> BS$29</f>
        <v>0.0</v>
      </c>
      <c r="BT32" s="61">
        <f> BT$29</f>
        <v>0.0</v>
      </c>
      <c r="BU32" s="61">
        <f> BU$29</f>
        <v>0.0</v>
      </c>
      <c r="BV32" s="61">
        <f> BV$29</f>
        <v>0.0</v>
      </c>
      <c r="BW32" s="61">
        <f> BW$29</f>
        <v>0.0</v>
      </c>
      <c r="BX32" s="61">
        <f> BX$29</f>
        <v>0.0</v>
      </c>
      <c r="BY32" s="61">
        <f> BY$29</f>
        <v>0.0</v>
      </c>
      <c r="BZ32" s="61">
        <f> BZ$29</f>
        <v>0.0</v>
      </c>
      <c r="CA32" s="61">
        <f> CA$29</f>
        <v>0.0</v>
      </c>
      <c r="CB32" s="61">
        <f> CB$29</f>
        <v>0.0</v>
      </c>
      <c r="CC32" s="61">
        <f> CC$29</f>
        <v>0.0</v>
      </c>
      <c r="CD32" s="61">
        <f> CD$29</f>
        <v>0.0</v>
      </c>
      <c r="CE32" s="61">
        <f> CE$29</f>
        <v>0.0</v>
      </c>
      <c r="CF32" s="61">
        <f> CF$29</f>
        <v>0.0</v>
      </c>
      <c r="CG32" s="61">
        <f> CG$29</f>
        <v>0.0</v>
      </c>
      <c r="CH32" s="61">
        <f> CH$29</f>
        <v>0.0</v>
      </c>
      <c r="CI32" s="61">
        <f> CI$29</f>
        <v>0.0</v>
      </c>
      <c r="CJ32" s="61">
        <f> CJ$29</f>
        <v>0.0</v>
      </c>
      <c r="CK32" s="61">
        <f> CK$29</f>
        <v>0.0</v>
      </c>
      <c r="CL32" s="61">
        <f> CL$29</f>
        <v>0.0</v>
      </c>
      <c r="CM32" s="61">
        <f> CM$29</f>
        <v>0.0</v>
      </c>
      <c r="CN32" s="61">
        <f> CN$29</f>
        <v>0.0</v>
      </c>
      <c r="CO32" s="61">
        <f> CO$29</f>
        <v>0.0</v>
      </c>
    </row>
    <row r="33" s="396">
      <c r="A33" s="263" t="n"/>
      <c r="B33" s="263" t="n"/>
      <c r="C33" s="264" t="n"/>
      <c r="D33" s="335" t="n"/>
      <c r="E33" s="260" t="inlineStr">
        <is>
          <t>Shareholder cashflows</t>
        </is>
      </c>
      <c r="G33" s="260" t="str">
        <f>SMU</f>
        <v>$ 000s</v>
      </c>
      <c r="H33" s="260">
        <f> SUM(J33:CO33)</f>
        <v>461378.1224807129</v>
      </c>
      <c r="J33" s="260">
        <f> J31 - J32</f>
        <v>0.0</v>
      </c>
      <c r="K33" s="260">
        <f> K31 - K32</f>
        <v>-28913.57448326479</v>
      </c>
      <c r="L33" s="260">
        <f> L31 - L32</f>
        <v>0.0</v>
      </c>
      <c r="M33" s="260">
        <f> M31 - M32</f>
        <v>1991.8791040414935</v>
      </c>
      <c r="N33" s="260">
        <f> N31 - N32</f>
        <v>3468.3434261505045</v>
      </c>
      <c r="O33" s="260">
        <f> O31 - O32</f>
        <v>2106.9835268665106</v>
      </c>
      <c r="P33" s="260">
        <f> P31 - P32</f>
        <v>2321.82287082154</v>
      </c>
      <c r="Q33" s="260">
        <f> Q31 - Q32</f>
        <v>2055.1644292187957</v>
      </c>
      <c r="R33" s="260">
        <f> R31 - R32</f>
        <v>2438.120756403156</v>
      </c>
      <c r="S33" s="260">
        <f> S31 - S32</f>
        <v>2172.066125965934</v>
      </c>
      <c r="T33" s="260">
        <f> T31 - T32</f>
        <v>2705.818891390102</v>
      </c>
      <c r="U33" s="260">
        <f> U31 - U32</f>
        <v>2415.0569893433158</v>
      </c>
      <c r="V33" s="260">
        <f> V31 - V32</f>
        <v>2820.7787255341536</v>
      </c>
      <c r="W33" s="260">
        <f> W31 - W32</f>
        <v>2524.909516484431</v>
      </c>
      <c r="X33" s="260">
        <f> X31 - X32</f>
        <v>2905.4594162883404</v>
      </c>
      <c r="Y33" s="260">
        <f> Y31 - Y32</f>
        <v>2588.072344659249</v>
      </c>
      <c r="Z33" s="260">
        <f> Z31 - Z32</f>
        <v>2997.672188079741</v>
      </c>
      <c r="AA33" s="260">
        <f> AA31 - AA32</f>
        <v>2681.825869149111</v>
      </c>
      <c r="AB33" s="260">
        <f> AB31 - AB32</f>
        <v>3053.7050333090956</v>
      </c>
      <c r="AC33" s="260">
        <f> AC31 - AC32</f>
        <v>2728.098505676017</v>
      </c>
      <c r="AD33" s="260">
        <f> AD31 - AD32</f>
        <v>3625.4072576382828</v>
      </c>
      <c r="AE33" s="260">
        <f> AE31 - AE32</f>
        <v>3279.8874996575305</v>
      </c>
      <c r="AF33" s="260">
        <f> AF31 - AF32</f>
        <v>3715.3608019248104</v>
      </c>
      <c r="AG33" s="260">
        <f> AG31 - AG32</f>
        <v>3361.3922795219946</v>
      </c>
      <c r="AH33" s="260">
        <f> AH31 - AH32</f>
        <v>3831.3768279060814</v>
      </c>
      <c r="AI33" s="260">
        <f> AI31 - AI32</f>
        <v>3477.3637634168886</v>
      </c>
      <c r="AJ33" s="260">
        <f> AJ31 - AJ32</f>
        <v>3942.5131570329836</v>
      </c>
      <c r="AK33" s="260">
        <f> AK31 - AK32</f>
        <v>3583.520229144507</v>
      </c>
      <c r="AL33" s="260">
        <f> AL31 - AL32</f>
        <v>4069.719068279597</v>
      </c>
      <c r="AM33" s="260">
        <f> AM31 - AM32</f>
        <v>4185.496903240382</v>
      </c>
      <c r="AN33" s="260">
        <f> AN31 - AN32</f>
        <v>4750.447668638798</v>
      </c>
      <c r="AO33" s="260">
        <f> AO31 - AO32</f>
        <v>4357.8916280557605</v>
      </c>
      <c r="AP33" s="260">
        <f> AP31 - AP32</f>
        <v>4895.383645712745</v>
      </c>
      <c r="AQ33" s="260">
        <f> AQ31 - AQ32</f>
        <v>4500.703995810543</v>
      </c>
      <c r="AR33" s="260">
        <f> AR31 - AR32</f>
        <v>5046.767202297569</v>
      </c>
      <c r="AS33" s="260">
        <f> AS31 - AS32</f>
        <v>4645.230237341002</v>
      </c>
      <c r="AT33" s="260">
        <f> AT31 - AT32</f>
        <v>5187.13357749477</v>
      </c>
      <c r="AU33" s="260">
        <f> AU31 - AU32</f>
        <v>3849.7082181176015</v>
      </c>
      <c r="AV33" s="260">
        <f> AV31 - AV32</f>
        <v>3782.952646469588</v>
      </c>
      <c r="AW33" s="260">
        <f> AW31 - AW32</f>
        <v>3602.6183886539443</v>
      </c>
      <c r="AX33" s="260">
        <f> AX31 - AX32</f>
        <v>7506.466947081907</v>
      </c>
      <c r="AY33" s="260">
        <f> AY31 - AY32</f>
        <v>7507.2179533938925</v>
      </c>
      <c r="AZ33" s="260">
        <f> AZ31 - AZ32</f>
        <v>7759.84503043821</v>
      </c>
      <c r="BA33" s="260">
        <f> BA31 - BA32</f>
        <v>7517.18227506947</v>
      </c>
      <c r="BB33" s="260">
        <f> BB31 - BB32</f>
        <v>7765.071855591032</v>
      </c>
      <c r="BC33" s="260">
        <f> BC31 - BC32</f>
        <v>7521.637238564551</v>
      </c>
      <c r="BD33" s="260">
        <f> BD31 - BD32</f>
        <v>7786.862296074629</v>
      </c>
      <c r="BE33" s="260">
        <f> BE31 - BE32</f>
        <v>7627.988950314166</v>
      </c>
      <c r="BF33" s="260">
        <f> BF31 - BF32</f>
        <v>7926.412925883229</v>
      </c>
      <c r="BG33" s="260">
        <f> BG31 - BG32</f>
        <v>7703.404245475238</v>
      </c>
      <c r="BH33" s="260">
        <f> BH31 - BH32</f>
        <v>7569.490087277265</v>
      </c>
      <c r="BI33" s="260">
        <f> BI31 - BI32</f>
        <v>8073.785152795242</v>
      </c>
      <c r="BJ33" s="260">
        <f> BJ31 - BJ32</f>
        <v>7864.656660041153</v>
      </c>
      <c r="BK33" s="260">
        <f> BK31 - BK32</f>
        <v>8164.350522971761</v>
      </c>
      <c r="BL33" s="260">
        <f> BL31 - BL32</f>
        <v>7920.158988451464</v>
      </c>
      <c r="BM33" s="260">
        <f> BM31 - BM32</f>
        <v>7620.27242300577</v>
      </c>
      <c r="BN33" s="260">
        <f> BN31 - BN32</f>
        <v>6608.591626340138</v>
      </c>
      <c r="BO33" s="260">
        <f> BO31 - BO32</f>
        <v>7263.244034060712</v>
      </c>
      <c r="BP33" s="260">
        <f> BP31 - BP32</f>
        <v>6724.544147981963</v>
      </c>
      <c r="BQ33" s="260">
        <f> BQ31 - BQ32</f>
        <v>6783.166224349965</v>
      </c>
      <c r="BR33" s="260">
        <f> BR31 - BR32</f>
        <v>7452.493753972138</v>
      </c>
      <c r="BS33" s="260">
        <f> BS31 - BS32</f>
        <v>6901.718014504093</v>
      </c>
      <c r="BT33" s="260">
        <f> BT31 - BT32</f>
        <v>8760.135590997805</v>
      </c>
      <c r="BU33" s="260">
        <f> BU31 - BU32</f>
        <v>8201.159265343336</v>
      </c>
      <c r="BV33" s="260">
        <f> BV31 - BV32</f>
        <v>8890.566620854173</v>
      </c>
      <c r="BW33" s="260">
        <f> BW31 - BW32</f>
        <v>8956.508591625765</v>
      </c>
      <c r="BX33" s="260">
        <f> BX31 - BX32</f>
        <v>9022.939658727733</v>
      </c>
      <c r="BY33" s="260">
        <f> BY31 - BY32</f>
        <v>9089.863449822671</v>
      </c>
      <c r="BZ33" s="260">
        <f> BZ31 - BZ32</f>
        <v>9157.283619479796</v>
      </c>
      <c r="CA33" s="260">
        <f> CA31 - CA32</f>
        <v>9225.203849374539</v>
      </c>
      <c r="CB33" s="260">
        <f> CB31 - CB32</f>
        <v>9293.627848489565</v>
      </c>
      <c r="CC33" s="260">
        <f> CC31 - CC32</f>
        <v>9362.559353317347</v>
      </c>
      <c r="CD33" s="260">
        <f> CD31 - CD32</f>
        <v>9432.002128064189</v>
      </c>
      <c r="CE33" s="260">
        <f> CE31 - CE32</f>
        <v>9501.959964855767</v>
      </c>
      <c r="CF33" s="260">
        <f> CF31 - CF32</f>
        <v>9572.436683944248</v>
      </c>
      <c r="CG33" s="260">
        <f> CG31 - CG32</f>
        <v>9643.436133916866</v>
      </c>
      <c r="CH33" s="260">
        <f> CH31 - CH32</f>
        <v>9714.96219190611</v>
      </c>
      <c r="CI33" s="260">
        <f> CI31 - CI32</f>
        <v>9787.018763801438</v>
      </c>
      <c r="CJ33" s="260">
        <f> CJ31 - CJ32</f>
        <v>9859.609784462573</v>
      </c>
      <c r="CK33" s="260">
        <f> CK31 - CK32</f>
        <v>9932.73921793437</v>
      </c>
      <c r="CL33" s="260">
        <f> CL31 - CL32</f>
        <v>10006.411057663292</v>
      </c>
      <c r="CM33" s="260">
        <f> CM31 - CM32</f>
        <v>19835.29262946767</v>
      </c>
      <c r="CN33" s="260">
        <f> CN31 - CN32</f>
        <v>1810.7664905536142</v>
      </c>
      <c r="CO33" s="260">
        <f> CO31 - CO32</f>
        <v>0.0</v>
      </c>
    </row>
    <row r="35" customFormat="1" s="277">
      <c r="B35" s="294" t="inlineStr">
        <is>
          <t>NPV of shareholder cashflow</t>
        </is>
      </c>
    </row>
    <row r="36">
      <c r="E36" s="61" t="str">
        <f> E$33</f>
        <v>Shareholder cashflows</v>
      </c>
      <c r="F36" s="61">
        <f> F$33</f>
        <v>0.0</v>
      </c>
      <c r="G36" s="61" t="str">
        <f> G$33</f>
        <v>$ 000s</v>
      </c>
      <c r="H36" s="61">
        <f> H$33</f>
        <v>461378.1224807129</v>
      </c>
      <c r="I36" s="61">
        <f> I$33</f>
        <v>0.0</v>
      </c>
      <c r="J36" s="61">
        <f> J$33</f>
        <v>0.0</v>
      </c>
      <c r="K36" s="61">
        <f> K$33</f>
        <v>-28913.57448326479</v>
      </c>
      <c r="L36" s="61">
        <f> L$33</f>
        <v>0.0</v>
      </c>
      <c r="M36" s="61">
        <f> M$33</f>
        <v>1991.8791040414935</v>
      </c>
      <c r="N36" s="61">
        <f> N$33</f>
        <v>3468.3434261505045</v>
      </c>
      <c r="O36" s="61">
        <f> O$33</f>
        <v>2106.9835268665106</v>
      </c>
      <c r="P36" s="61">
        <f> P$33</f>
        <v>2321.82287082154</v>
      </c>
      <c r="Q36" s="61">
        <f> Q$33</f>
        <v>2055.1644292187957</v>
      </c>
      <c r="R36" s="61">
        <f> R$33</f>
        <v>2438.120756403156</v>
      </c>
      <c r="S36" s="61">
        <f> S$33</f>
        <v>2172.066125965934</v>
      </c>
      <c r="T36" s="61">
        <f> T$33</f>
        <v>2705.818891390102</v>
      </c>
      <c r="U36" s="61">
        <f> U$33</f>
        <v>2415.0569893433158</v>
      </c>
      <c r="V36" s="61">
        <f> V$33</f>
        <v>2820.7787255341536</v>
      </c>
      <c r="W36" s="61">
        <f> W$33</f>
        <v>2524.909516484431</v>
      </c>
      <c r="X36" s="61">
        <f> X$33</f>
        <v>2905.4594162883404</v>
      </c>
      <c r="Y36" s="61">
        <f> Y$33</f>
        <v>2588.072344659249</v>
      </c>
      <c r="Z36" s="61">
        <f> Z$33</f>
        <v>2997.672188079741</v>
      </c>
      <c r="AA36" s="61">
        <f> AA$33</f>
        <v>2681.825869149111</v>
      </c>
      <c r="AB36" s="61">
        <f> AB$33</f>
        <v>3053.7050333090956</v>
      </c>
      <c r="AC36" s="61">
        <f> AC$33</f>
        <v>2728.098505676017</v>
      </c>
      <c r="AD36" s="61">
        <f> AD$33</f>
        <v>3625.4072576382828</v>
      </c>
      <c r="AE36" s="61">
        <f> AE$33</f>
        <v>3279.8874996575305</v>
      </c>
      <c r="AF36" s="61">
        <f> AF$33</f>
        <v>3715.3608019248104</v>
      </c>
      <c r="AG36" s="61">
        <f> AG$33</f>
        <v>3361.3922795219946</v>
      </c>
      <c r="AH36" s="61">
        <f> AH$33</f>
        <v>3831.3768279060814</v>
      </c>
      <c r="AI36" s="61">
        <f> AI$33</f>
        <v>3477.3637634168886</v>
      </c>
      <c r="AJ36" s="61">
        <f> AJ$33</f>
        <v>3942.5131570329836</v>
      </c>
      <c r="AK36" s="61">
        <f> AK$33</f>
        <v>3583.520229144507</v>
      </c>
      <c r="AL36" s="61">
        <f> AL$33</f>
        <v>4069.719068279597</v>
      </c>
      <c r="AM36" s="61">
        <f> AM$33</f>
        <v>4185.496903240382</v>
      </c>
      <c r="AN36" s="61">
        <f> AN$33</f>
        <v>4750.447668638798</v>
      </c>
      <c r="AO36" s="61">
        <f> AO$33</f>
        <v>4357.8916280557605</v>
      </c>
      <c r="AP36" s="61">
        <f> AP$33</f>
        <v>4895.383645712745</v>
      </c>
      <c r="AQ36" s="61">
        <f> AQ$33</f>
        <v>4500.703995810543</v>
      </c>
      <c r="AR36" s="61">
        <f> AR$33</f>
        <v>5046.767202297569</v>
      </c>
      <c r="AS36" s="61">
        <f> AS$33</f>
        <v>4645.230237341002</v>
      </c>
      <c r="AT36" s="61">
        <f> AT$33</f>
        <v>5187.13357749477</v>
      </c>
      <c r="AU36" s="61">
        <f> AU$33</f>
        <v>3849.7082181176015</v>
      </c>
      <c r="AV36" s="61">
        <f> AV$33</f>
        <v>3782.952646469588</v>
      </c>
      <c r="AW36" s="61">
        <f> AW$33</f>
        <v>3602.6183886539443</v>
      </c>
      <c r="AX36" s="61">
        <f> AX$33</f>
        <v>7506.466947081907</v>
      </c>
      <c r="AY36" s="61">
        <f> AY$33</f>
        <v>7507.2179533938925</v>
      </c>
      <c r="AZ36" s="61">
        <f> AZ$33</f>
        <v>7759.84503043821</v>
      </c>
      <c r="BA36" s="61">
        <f> BA$33</f>
        <v>7517.18227506947</v>
      </c>
      <c r="BB36" s="61">
        <f> BB$33</f>
        <v>7765.071855591032</v>
      </c>
      <c r="BC36" s="61">
        <f> BC$33</f>
        <v>7521.637238564551</v>
      </c>
      <c r="BD36" s="61">
        <f> BD$33</f>
        <v>7786.862296074629</v>
      </c>
      <c r="BE36" s="61">
        <f> BE$33</f>
        <v>7627.988950314166</v>
      </c>
      <c r="BF36" s="61">
        <f> BF$33</f>
        <v>7926.412925883229</v>
      </c>
      <c r="BG36" s="61">
        <f> BG$33</f>
        <v>7703.404245475238</v>
      </c>
      <c r="BH36" s="61">
        <f> BH$33</f>
        <v>7569.490087277265</v>
      </c>
      <c r="BI36" s="61">
        <f> BI$33</f>
        <v>8073.785152795242</v>
      </c>
      <c r="BJ36" s="61">
        <f> BJ$33</f>
        <v>7864.656660041153</v>
      </c>
      <c r="BK36" s="61">
        <f> BK$33</f>
        <v>8164.350522971761</v>
      </c>
      <c r="BL36" s="61">
        <f> BL$33</f>
        <v>7920.158988451464</v>
      </c>
      <c r="BM36" s="61">
        <f> BM$33</f>
        <v>7620.27242300577</v>
      </c>
      <c r="BN36" s="61">
        <f> BN$33</f>
        <v>6608.591626340138</v>
      </c>
      <c r="BO36" s="61">
        <f> BO$33</f>
        <v>7263.244034060712</v>
      </c>
      <c r="BP36" s="61">
        <f> BP$33</f>
        <v>6724.544147981963</v>
      </c>
      <c r="BQ36" s="61">
        <f> BQ$33</f>
        <v>6783.166224349965</v>
      </c>
      <c r="BR36" s="61">
        <f> BR$33</f>
        <v>7452.493753972138</v>
      </c>
      <c r="BS36" s="61">
        <f> BS$33</f>
        <v>6901.718014504093</v>
      </c>
      <c r="BT36" s="61">
        <f> BT$33</f>
        <v>8760.135590997805</v>
      </c>
      <c r="BU36" s="61">
        <f> BU$33</f>
        <v>8201.159265343336</v>
      </c>
      <c r="BV36" s="61">
        <f> BV$33</f>
        <v>8890.566620854173</v>
      </c>
      <c r="BW36" s="61">
        <f> BW$33</f>
        <v>8956.508591625765</v>
      </c>
      <c r="BX36" s="61">
        <f> BX$33</f>
        <v>9022.939658727733</v>
      </c>
      <c r="BY36" s="61">
        <f> BY$33</f>
        <v>9089.863449822671</v>
      </c>
      <c r="BZ36" s="61">
        <f> BZ$33</f>
        <v>9157.283619479796</v>
      </c>
      <c r="CA36" s="61">
        <f> CA$33</f>
        <v>9225.203849374539</v>
      </c>
      <c r="CB36" s="61">
        <f> CB$33</f>
        <v>9293.627848489565</v>
      </c>
      <c r="CC36" s="61">
        <f> CC$33</f>
        <v>9362.559353317347</v>
      </c>
      <c r="CD36" s="61">
        <f> CD$33</f>
        <v>9432.002128064189</v>
      </c>
      <c r="CE36" s="61">
        <f> CE$33</f>
        <v>9501.959964855767</v>
      </c>
      <c r="CF36" s="61">
        <f> CF$33</f>
        <v>9572.436683944248</v>
      </c>
      <c r="CG36" s="61">
        <f> CG$33</f>
        <v>9643.436133916866</v>
      </c>
      <c r="CH36" s="61">
        <f> CH$33</f>
        <v>9714.96219190611</v>
      </c>
      <c r="CI36" s="61">
        <f> CI$33</f>
        <v>9787.018763801438</v>
      </c>
      <c r="CJ36" s="61">
        <f> CJ$33</f>
        <v>9859.609784462573</v>
      </c>
      <c r="CK36" s="61">
        <f> CK$33</f>
        <v>9932.73921793437</v>
      </c>
      <c r="CL36" s="61">
        <f> CL$33</f>
        <v>10006.411057663292</v>
      </c>
      <c r="CM36" s="61">
        <f> CM$33</f>
        <v>19835.29262946767</v>
      </c>
      <c r="CN36" s="61">
        <f> CN$33</f>
        <v>1810.7664905536142</v>
      </c>
      <c r="CO36" s="61">
        <f> CO$33</f>
        <v>0.0</v>
      </c>
    </row>
    <row r="37" s="396">
      <c r="A37" s="391" t="n"/>
      <c r="B37" s="391" t="n"/>
      <c r="C37" s="392" t="n"/>
      <c r="D37" s="277" t="n"/>
      <c r="E37" s="277" t="str">
        <f> E$17</f>
        <v>Shareholder discount factor</v>
      </c>
      <c r="F37" s="277">
        <f> F$17</f>
        <v>0.0</v>
      </c>
      <c r="G37" s="277" t="str">
        <f> G$17</f>
        <v>factor</v>
      </c>
      <c r="H37" s="277">
        <f> H$17</f>
        <v>0.0</v>
      </c>
      <c r="I37" s="277">
        <f> I$17</f>
        <v>0.0</v>
      </c>
      <c r="J37" s="277">
        <f> J$17</f>
        <v>1.0583890713430273</v>
      </c>
      <c r="K37" s="277">
        <f> K$17</f>
        <v>1.0</v>
      </c>
      <c r="L37" s="277">
        <f> L$17</f>
        <v>0.9459984430320407</v>
      </c>
      <c r="M37" s="277">
        <f> M$17</f>
        <v>0.8943612186334177</v>
      </c>
      <c r="N37" s="277">
        <f> N$17</f>
        <v>0.8450212146451316</v>
      </c>
      <c r="O37" s="277">
        <f> O$17</f>
        <v>0.7984031936127745</v>
      </c>
      <c r="P37" s="277">
        <f> P$17</f>
        <v>0.7552881780694938</v>
      </c>
      <c r="Q37" s="277">
        <f> Q$17</f>
        <v>0.7140608532003334</v>
      </c>
      <c r="R37" s="277">
        <f> R$17</f>
        <v>0.6746676364432189</v>
      </c>
      <c r="S37" s="277">
        <f> S$17</f>
        <v>0.6374476595710775</v>
      </c>
      <c r="T37" s="277">
        <f> T$17</f>
        <v>0.6026526468708989</v>
      </c>
      <c r="U37" s="277">
        <f> U$17</f>
        <v>0.56975691623824</v>
      </c>
      <c r="V37" s="277">
        <f> V$17</f>
        <v>0.5383246404039823</v>
      </c>
      <c r="W37" s="277">
        <f> W$17</f>
        <v>0.508626416295931</v>
      </c>
      <c r="X37" s="277">
        <f> X$17</f>
        <v>0.48115979790091734</v>
      </c>
      <c r="Y37" s="277">
        <f> Y$17</f>
        <v>0.45489574150757683</v>
      </c>
      <c r="Z37" s="277">
        <f> Z$17</f>
        <v>0.42980011209898794</v>
      </c>
      <c r="AA37" s="277">
        <f> AA$17</f>
        <v>0.4060889551264918</v>
      </c>
      <c r="AB37" s="277">
        <f> AB$17</f>
        <v>0.3841595192821695</v>
      </c>
      <c r="AC37" s="277">
        <f> AC$17</f>
        <v>0.36319021278050045</v>
      </c>
      <c r="AD37" s="277">
        <f> AD$17</f>
        <v>0.34315378211496045</v>
      </c>
      <c r="AE37" s="277">
        <f> AE$17</f>
        <v>0.3242227186638657</v>
      </c>
      <c r="AF37" s="277">
        <f> AF$17</f>
        <v>0.3067141870516324</v>
      </c>
      <c r="AG37" s="277">
        <f> AG$17</f>
        <v>0.28997222577285464</v>
      </c>
      <c r="AH37" s="277">
        <f> AH$17</f>
        <v>0.27397507554088657</v>
      </c>
      <c r="AI37" s="277">
        <f> AI$17</f>
        <v>0.2588604540230465</v>
      </c>
      <c r="AJ37" s="277">
        <f> AJ$17</f>
        <v>0.244730583672018</v>
      </c>
      <c r="AK37" s="277">
        <f> AK$17</f>
        <v>0.231371990791279</v>
      </c>
      <c r="AL37" s="277">
        <f> AL$17</f>
        <v>0.21860769074049763</v>
      </c>
      <c r="AM37" s="277">
        <f> AM$17</f>
        <v>0.20654756994334666</v>
      </c>
      <c r="AN37" s="277">
        <f> AN$17</f>
        <v>0.1953936795784575</v>
      </c>
      <c r="AO37" s="277">
        <f> AO$17</f>
        <v>0.1847281363603026</v>
      </c>
      <c r="AP37" s="277">
        <f> AP$17</f>
        <v>0.17453707843552707</v>
      </c>
      <c r="AQ37" s="277">
        <f> AQ$17</f>
        <v>0.1649082394757259</v>
      </c>
      <c r="AR37" s="277">
        <f> AR$17</f>
        <v>0.15600293778719163</v>
      </c>
      <c r="AS37" s="277">
        <f> AS$17</f>
        <v>0.1474875340202017</v>
      </c>
      <c r="AT37" s="277">
        <f> AT$17</f>
        <v>0.13935096082676812</v>
      </c>
      <c r="AU37" s="277">
        <f> AU$17</f>
        <v>0.13166326505047976</v>
      </c>
      <c r="AV37" s="277">
        <f> AV$17</f>
        <v>0.12455324374226877</v>
      </c>
      <c r="AW37" s="277">
        <f> AW$17</f>
        <v>0.11775451817980176</v>
      </c>
      <c r="AX37" s="277">
        <f> AX$17</f>
        <v>0.1112582521571003</v>
      </c>
      <c r="AY37" s="277">
        <f> AY$17</f>
        <v>0.10512037129778823</v>
      </c>
      <c r="AZ37" s="277">
        <f> AZ$17</f>
        <v>0.0993823870108663</v>
      </c>
      <c r="BA37" s="277">
        <f> BA$17</f>
        <v>0.09395760998596675</v>
      </c>
      <c r="BB37" s="277">
        <f> BB$17</f>
        <v>0.08877416871542397</v>
      </c>
      <c r="BC37" s="277">
        <f> BC$17</f>
        <v>0.08387668686220964</v>
      </c>
      <c r="BD37" s="277">
        <f> BD$17</f>
        <v>0.07934721517833636</v>
      </c>
      <c r="BE37" s="277">
        <f> BE$17</f>
        <v>0.07501605587701937</v>
      </c>
      <c r="BF37" s="277">
        <f> BF$17</f>
        <v>0.07087757981271375</v>
      </c>
      <c r="BG37" s="277">
        <f> BG$17</f>
        <v>0.06696741466044683</v>
      </c>
      <c r="BH37" s="277">
        <f> BH$17</f>
        <v>0.06335107000266377</v>
      </c>
      <c r="BI37" s="277">
        <f> BI$17</f>
        <v>0.05989305858444661</v>
      </c>
      <c r="BJ37" s="277">
        <f> BJ$17</f>
        <v>0.05658888607801497</v>
      </c>
      <c r="BK37" s="277">
        <f> BK$17</f>
        <v>0.05346699773289169</v>
      </c>
      <c r="BL37" s="277">
        <f> BL$17</f>
        <v>0.05057969660891319</v>
      </c>
      <c r="BM37" s="277">
        <f> BM$17</f>
        <v>0.047818809249059166</v>
      </c>
      <c r="BN37" s="277">
        <f> BN$17</f>
        <v>0.04518074736767662</v>
      </c>
      <c r="BO37" s="277">
        <f> BO$17</f>
        <v>0.04268822174282769</v>
      </c>
      <c r="BP37" s="277">
        <f> BP$17</f>
        <v>0.040358089699219314</v>
      </c>
      <c r="BQ37" s="277">
        <f> BQ$17</f>
        <v>0.03815514766538368</v>
      </c>
      <c r="BR37" s="277">
        <f> BR$17</f>
        <v>0.03605020941586941</v>
      </c>
      <c r="BS37" s="277">
        <f> BS$17</f>
        <v>0.03406139612734665</v>
      </c>
      <c r="BT37" s="277">
        <f> BT$17</f>
        <v>0.03222202770396752</v>
      </c>
      <c r="BU37" s="277">
        <f> BU$17</f>
        <v>0.030463191748809328</v>
      </c>
      <c r="BV37" s="277">
        <f> BV$17</f>
        <v>0.02878260232803945</v>
      </c>
      <c r="BW37" s="277">
        <f> BW$17</f>
        <v>0.027194727446983355</v>
      </c>
      <c r="BX37" s="277">
        <f> BX$17</f>
        <v>0.02572616982352696</v>
      </c>
      <c r="BY37" s="277">
        <f> BY$17</f>
        <v>0.02432190957988769</v>
      </c>
      <c r="BZ37" s="277">
        <f> BZ$17</f>
        <v>0.022980121619193182</v>
      </c>
      <c r="CA37" s="277">
        <f> CA$17</f>
        <v>0.021712357243100486</v>
      </c>
      <c r="CB37" s="277">
        <f> CB$17</f>
        <v>0.020539856146528514</v>
      </c>
      <c r="CC37" s="277">
        <f> CC$17</f>
        <v>0.019418690283343466</v>
      </c>
      <c r="CD37" s="277">
        <f> CD$17</f>
        <v>0.0183474024903738</v>
      </c>
      <c r="CE37" s="277">
        <f> CE$17</f>
        <v>0.017335215363752883</v>
      </c>
      <c r="CF37" s="277">
        <f> CF$17</f>
        <v>0.016388974476857207</v>
      </c>
      <c r="CG37" s="277">
        <f> CG$17</f>
        <v>0.015494384048132666</v>
      </c>
      <c r="CH37" s="277">
        <f> CH$17</f>
        <v>0.01463959187378162</v>
      </c>
      <c r="CI37" s="277">
        <f> CI$17</f>
        <v>0.013831956763503739</v>
      </c>
      <c r="CJ37" s="277">
        <f> CJ$17</f>
        <v>0.013085009562361045</v>
      </c>
      <c r="CK37" s="277">
        <f> CK$17</f>
        <v>0.012370765707091948</v>
      </c>
      <c r="CL37" s="277">
        <f> CL$17</f>
        <v>0.011688296905214867</v>
      </c>
      <c r="CM37" s="277">
        <f> CM$17</f>
        <v>0.011043478453895202</v>
      </c>
      <c r="CN37" s="277">
        <f> CN$17</f>
        <v>0.01044711342304275</v>
      </c>
      <c r="CO37" s="277">
        <f> CO$17</f>
        <v>0.009876858847977604</v>
      </c>
    </row>
    <row r="38">
      <c r="E38" s="61" t="inlineStr">
        <is>
          <t>PV of shareholder cashflow</t>
        </is>
      </c>
      <c r="G38" s="61" t="str">
        <f>SMU</f>
        <v>$ 000s</v>
      </c>
      <c r="J38" s="61">
        <f> J36 * J37</f>
        <v>0.0</v>
      </c>
      <c r="K38" s="61">
        <f> K36 * K37</f>
        <v>-28913.57448326479</v>
      </c>
      <c r="L38" s="61">
        <f> L36 * L37</f>
        <v>0.0</v>
      </c>
      <c r="M38" s="61">
        <f> M36 * M37</f>
        <v>1781.4594228609903</v>
      </c>
      <c r="N38" s="61">
        <f> N36 * N37</f>
        <v>2930.8237747721564</v>
      </c>
      <c r="O38" s="61">
        <f> O36 * O37</f>
        <v>1682.222376739729</v>
      </c>
      <c r="P38" s="61">
        <f> P36 * P37</f>
        <v>1753.6453659028828</v>
      </c>
      <c r="Q38" s="61">
        <f> Q36 * Q37</f>
        <v>1467.5124657949495</v>
      </c>
      <c r="R38" s="61">
        <f> R36 * R37</f>
        <v>1644.9211680856704</v>
      </c>
      <c r="S38" s="61">
        <f> S36 * S37</f>
        <v>1384.578468430602</v>
      </c>
      <c r="T38" s="61">
        <f> T36 * T37</f>
        <v>1630.6689168495266</v>
      </c>
      <c r="U38" s="61">
        <f> U36 * U37</f>
        <v>1375.9954227878557</v>
      </c>
      <c r="V38" s="61">
        <f> V36 * V37</f>
        <v>1518.4946930823767</v>
      </c>
      <c r="W38" s="61">
        <f> W36 * W37</f>
        <v>1284.2356788409681</v>
      </c>
      <c r="X38" s="61">
        <f> X36 * X37</f>
        <v>1397.990265550615</v>
      </c>
      <c r="Y38" s="61">
        <f> Y36 * Y37</f>
        <v>1177.3030882990222</v>
      </c>
      <c r="Z38" s="61">
        <f> Z36 * Z37</f>
        <v>1288.399842472691</v>
      </c>
      <c r="AA38" s="61">
        <f> AA36 * AA37</f>
        <v>1089.0598650339582</v>
      </c>
      <c r="AB38" s="61">
        <f> AB36 * AB37</f>
        <v>1173.1098576255636</v>
      </c>
      <c r="AC38" s="61">
        <f> AC36 * AC37</f>
        <v>990.8186767626379</v>
      </c>
      <c r="AD38" s="61">
        <f> AD36 * AD37</f>
        <v>1244.0722121656036</v>
      </c>
      <c r="AE38" s="61">
        <f> AE36 * AE37</f>
        <v>1063.4140420505935</v>
      </c>
      <c r="AF38" s="61">
        <f> AF36 * AF37</f>
        <v>1139.5538679658691</v>
      </c>
      <c r="AG38" s="61">
        <f> AG36 * AG37</f>
        <v>974.7104009886823</v>
      </c>
      <c r="AH38" s="61">
        <f> AH36 * AH37</f>
        <v>1049.7017558511711</v>
      </c>
      <c r="AI38" s="61">
        <f> AI36 * AI37</f>
        <v>900.1519626013855</v>
      </c>
      <c r="AJ38" s="61">
        <f> AJ36 * AJ37</f>
        <v>964.8535460552924</v>
      </c>
      <c r="AK38" s="61">
        <f> AK36 * AK37</f>
        <v>829.1262094579848</v>
      </c>
      <c r="AL38" s="61">
        <f> AL36 * AL37</f>
        <v>889.6718874791724</v>
      </c>
      <c r="AM38" s="61">
        <f> AM36 * AM37</f>
        <v>864.5042143697037</v>
      </c>
      <c r="AN38" s="61">
        <f> AN36 * AN37</f>
        <v>928.2074496202397</v>
      </c>
      <c r="AO38" s="61">
        <f> AO36 * AO37</f>
        <v>805.0251989109057</v>
      </c>
      <c r="AP38" s="61">
        <f> AP36 * AP37</f>
        <v>854.4259593437619</v>
      </c>
      <c r="AQ38" s="61">
        <f> AQ36 * AQ37</f>
        <v>742.2031723504815</v>
      </c>
      <c r="AR38" s="61">
        <f> AR36 * AR37</f>
        <v>787.3105098864669</v>
      </c>
      <c r="AS38" s="61">
        <f> AS36 * AS37</f>
        <v>685.1135526615006</v>
      </c>
      <c r="AT38" s="61">
        <f> AT36 * AT37</f>
        <v>722.8320479606873</v>
      </c>
      <c r="AU38" s="61">
        <f> AU36 * AU37</f>
        <v>506.86515348902793</v>
      </c>
      <c r="AV38" s="61">
        <f> AV36 * AV37</f>
        <v>471.1790230411873</v>
      </c>
      <c r="AW38" s="61">
        <f> AW36 * AW37</f>
        <v>424.224592541639</v>
      </c>
      <c r="AX38" s="61">
        <f> AX36 * AX37</f>
        <v>835.1563924073778</v>
      </c>
      <c r="AY38" s="61">
        <f> AY36 * AY37</f>
        <v>789.1615386741878</v>
      </c>
      <c r="AZ38" s="61">
        <f> AZ36 * AZ37</f>
        <v>771.1919219593577</v>
      </c>
      <c r="BA38" s="61">
        <f> BA36 * BA37</f>
        <v>706.2964803943995</v>
      </c>
      <c r="BB38" s="61">
        <f> BB36 * BB37</f>
        <v>689.3377989956285</v>
      </c>
      <c r="BC38" s="61">
        <f> BC36 * BC37</f>
        <v>630.8900113502141</v>
      </c>
      <c r="BD38" s="61">
        <f> BD36 * BD37</f>
        <v>617.8658381707079</v>
      </c>
      <c r="BE38" s="61">
        <f> BE36 * BE37</f>
        <v>572.2216453260538</v>
      </c>
      <c r="BF38" s="61">
        <f> BF36 * BF37</f>
        <v>561.8049647828145</v>
      </c>
      <c r="BG38" s="61">
        <f> BG36 * BG37</f>
        <v>515.8770664037868</v>
      </c>
      <c r="BH38" s="61">
        <f> BH36 * BH37</f>
        <v>479.53529640357146</v>
      </c>
      <c r="BI38" s="61">
        <f> BI36 * BI37</f>
        <v>483.56368715460064</v>
      </c>
      <c r="BJ38" s="61">
        <f> BJ36 * BJ37</f>
        <v>445.0521597777705</v>
      </c>
      <c r="BK38" s="61">
        <f> BK36 * BK37</f>
        <v>436.5233109022642</v>
      </c>
      <c r="BL38" s="61">
        <f> BL36 * BL37</f>
        <v>400.59923873023183</v>
      </c>
      <c r="BM38" s="61">
        <f> BM36 * BM37</f>
        <v>364.39235342157883</v>
      </c>
      <c r="BN38" s="61">
        <f> BN36 * BN37</f>
        <v>298.58110872581693</v>
      </c>
      <c r="BO38" s="61">
        <f> BO36 * BO37</f>
        <v>310.05497189825394</v>
      </c>
      <c r="BP38" s="61">
        <f> BP36 * BP37</f>
        <v>271.3897559106164</v>
      </c>
      <c r="BQ38" s="61">
        <f> BQ36 * BQ37</f>
        <v>258.812708928916</v>
      </c>
      <c r="BR38" s="61">
        <f> BR36 * BR37</f>
        <v>268.6639605011543</v>
      </c>
      <c r="BS38" s="61">
        <f> BS36 * BS37</f>
        <v>235.0821512512683</v>
      </c>
      <c r="BT38" s="61">
        <f> BT36 * BT37</f>
        <v>282.2693317036431</v>
      </c>
      <c r="BU38" s="61">
        <f> BU36 * BU37</f>
        <v>249.8334872626783</v>
      </c>
      <c r="BV38" s="61">
        <f> BV36 * BV37</f>
        <v>255.89364351898718</v>
      </c>
      <c r="BW38" s="61">
        <f> BW36 * BW37</f>
        <v>243.56981002582742</v>
      </c>
      <c r="BX38" s="61">
        <f> BX36 * BX37</f>
        <v>232.12567796786604</v>
      </c>
      <c r="BY38" s="61">
        <f> BY36 * BY37</f>
        <v>221.08283692011298</v>
      </c>
      <c r="BZ38" s="61">
        <f> BZ36 * BZ37</f>
        <v>210.43549127709127</v>
      </c>
      <c r="CA38" s="61">
        <f> CA36 * CA37</f>
        <v>200.30092161804575</v>
      </c>
      <c r="CB38" s="61">
        <f> CB36 * CB37</f>
        <v>190.88977908734697</v>
      </c>
      <c r="CC38" s="61">
        <f> CC36 * CC37</f>
        <v>181.80864034149005</v>
      </c>
      <c r="CD38" s="61">
        <f> CD36 * CD37</f>
        <v>173.05273933365586</v>
      </c>
      <c r="CE38" s="61">
        <f> CE36 * CE37</f>
        <v>164.7185223685325</v>
      </c>
      <c r="CF38" s="61">
        <f> CF36 * CF37</f>
        <v>156.8824204944939</v>
      </c>
      <c r="CG38" s="61">
        <f> CG36 * CG37</f>
        <v>149.41910300254764</v>
      </c>
      <c r="CH38" s="61">
        <f> CH36 * CH37</f>
        <v>142.22308155872437</v>
      </c>
      <c r="CI38" s="61">
        <f> CI36 * CI37</f>
        <v>135.3736203845013</v>
      </c>
      <c r="CJ38" s="61">
        <f> CJ36 * CJ37</f>
        <v>129.01308831084128</v>
      </c>
      <c r="CK38" s="61">
        <f> CK36 * CK37</f>
        <v>122.8755896947098</v>
      </c>
      <c r="CL38" s="61">
        <f> CL36 * CL37</f>
        <v>116.95790339759368</v>
      </c>
      <c r="CM38" s="61">
        <f> CM36 * CM37</f>
        <v>219.0506267802325</v>
      </c>
      <c r="CN38" s="61">
        <f> CN36 * CN37</f>
        <v>18.917282909458674</v>
      </c>
      <c r="CO38" s="61">
        <f> CO36 * CO37</f>
        <v>0.0</v>
      </c>
    </row>
    <row r="40">
      <c r="E40" s="61" t="str">
        <f> E$38</f>
        <v>PV of shareholder cashflow</v>
      </c>
      <c r="F40" s="61">
        <f> F$38</f>
        <v>0.0</v>
      </c>
      <c r="G40" s="61" t="str">
        <f> G$38</f>
        <v>$ 000s</v>
      </c>
      <c r="H40" s="61">
        <f> H$38</f>
        <v>0.0</v>
      </c>
      <c r="I40" s="61">
        <f> I$38</f>
        <v>0.0</v>
      </c>
      <c r="J40" s="61">
        <f> J$38</f>
        <v>0.0</v>
      </c>
      <c r="K40" s="61">
        <f> K$38</f>
        <v>-28913.57448326479</v>
      </c>
      <c r="L40" s="61">
        <f> L$38</f>
        <v>0.0</v>
      </c>
      <c r="M40" s="61">
        <f> M$38</f>
        <v>1781.4594228609903</v>
      </c>
      <c r="N40" s="61">
        <f> N$38</f>
        <v>2930.8237747721564</v>
      </c>
      <c r="O40" s="61">
        <f> O$38</f>
        <v>1682.222376739729</v>
      </c>
      <c r="P40" s="61">
        <f> P$38</f>
        <v>1753.6453659028828</v>
      </c>
      <c r="Q40" s="61">
        <f> Q$38</f>
        <v>1467.5124657949495</v>
      </c>
      <c r="R40" s="61">
        <f> R$38</f>
        <v>1644.9211680856704</v>
      </c>
      <c r="S40" s="61">
        <f> S$38</f>
        <v>1384.578468430602</v>
      </c>
      <c r="T40" s="61">
        <f> T$38</f>
        <v>1630.6689168495266</v>
      </c>
      <c r="U40" s="61">
        <f> U$38</f>
        <v>1375.9954227878557</v>
      </c>
      <c r="V40" s="61">
        <f> V$38</f>
        <v>1518.4946930823767</v>
      </c>
      <c r="W40" s="61">
        <f> W$38</f>
        <v>1284.2356788409681</v>
      </c>
      <c r="X40" s="61">
        <f> X$38</f>
        <v>1397.990265550615</v>
      </c>
      <c r="Y40" s="61">
        <f> Y$38</f>
        <v>1177.3030882990222</v>
      </c>
      <c r="Z40" s="61">
        <f> Z$38</f>
        <v>1288.399842472691</v>
      </c>
      <c r="AA40" s="61">
        <f> AA$38</f>
        <v>1089.0598650339582</v>
      </c>
      <c r="AB40" s="61">
        <f> AB$38</f>
        <v>1173.1098576255636</v>
      </c>
      <c r="AC40" s="61">
        <f> AC$38</f>
        <v>990.8186767626379</v>
      </c>
      <c r="AD40" s="61">
        <f> AD$38</f>
        <v>1244.0722121656036</v>
      </c>
      <c r="AE40" s="61">
        <f> AE$38</f>
        <v>1063.4140420505935</v>
      </c>
      <c r="AF40" s="61">
        <f> AF$38</f>
        <v>1139.5538679658691</v>
      </c>
      <c r="AG40" s="61">
        <f> AG$38</f>
        <v>974.7104009886823</v>
      </c>
      <c r="AH40" s="61">
        <f> AH$38</f>
        <v>1049.7017558511711</v>
      </c>
      <c r="AI40" s="61">
        <f> AI$38</f>
        <v>900.1519626013855</v>
      </c>
      <c r="AJ40" s="61">
        <f> AJ$38</f>
        <v>964.8535460552924</v>
      </c>
      <c r="AK40" s="61">
        <f> AK$38</f>
        <v>829.1262094579848</v>
      </c>
      <c r="AL40" s="61">
        <f> AL$38</f>
        <v>889.6718874791724</v>
      </c>
      <c r="AM40" s="61">
        <f> AM$38</f>
        <v>864.5042143697037</v>
      </c>
      <c r="AN40" s="61">
        <f> AN$38</f>
        <v>928.2074496202397</v>
      </c>
      <c r="AO40" s="61">
        <f> AO$38</f>
        <v>805.0251989109057</v>
      </c>
      <c r="AP40" s="61">
        <f> AP$38</f>
        <v>854.4259593437619</v>
      </c>
      <c r="AQ40" s="61">
        <f> AQ$38</f>
        <v>742.2031723504815</v>
      </c>
      <c r="AR40" s="61">
        <f> AR$38</f>
        <v>787.3105098864669</v>
      </c>
      <c r="AS40" s="61">
        <f> AS$38</f>
        <v>685.1135526615006</v>
      </c>
      <c r="AT40" s="61">
        <f> AT$38</f>
        <v>722.8320479606873</v>
      </c>
      <c r="AU40" s="61">
        <f> AU$38</f>
        <v>506.86515348902793</v>
      </c>
      <c r="AV40" s="61">
        <f> AV$38</f>
        <v>471.1790230411873</v>
      </c>
      <c r="AW40" s="61">
        <f> AW$38</f>
        <v>424.224592541639</v>
      </c>
      <c r="AX40" s="61">
        <f> AX$38</f>
        <v>835.1563924073778</v>
      </c>
      <c r="AY40" s="61">
        <f> AY$38</f>
        <v>789.1615386741878</v>
      </c>
      <c r="AZ40" s="61">
        <f> AZ$38</f>
        <v>771.1919219593577</v>
      </c>
      <c r="BA40" s="61">
        <f> BA$38</f>
        <v>706.2964803943995</v>
      </c>
      <c r="BB40" s="61">
        <f> BB$38</f>
        <v>689.3377989956285</v>
      </c>
      <c r="BC40" s="61">
        <f> BC$38</f>
        <v>630.8900113502141</v>
      </c>
      <c r="BD40" s="61">
        <f> BD$38</f>
        <v>617.8658381707079</v>
      </c>
      <c r="BE40" s="61">
        <f> BE$38</f>
        <v>572.2216453260538</v>
      </c>
      <c r="BF40" s="61">
        <f> BF$38</f>
        <v>561.8049647828145</v>
      </c>
      <c r="BG40" s="61">
        <f> BG$38</f>
        <v>515.8770664037868</v>
      </c>
      <c r="BH40" s="61">
        <f> BH$38</f>
        <v>479.53529640357146</v>
      </c>
      <c r="BI40" s="61">
        <f> BI$38</f>
        <v>483.56368715460064</v>
      </c>
      <c r="BJ40" s="61">
        <f> BJ$38</f>
        <v>445.0521597777705</v>
      </c>
      <c r="BK40" s="61">
        <f> BK$38</f>
        <v>436.5233109022642</v>
      </c>
      <c r="BL40" s="61">
        <f> BL$38</f>
        <v>400.59923873023183</v>
      </c>
      <c r="BM40" s="61">
        <f> BM$38</f>
        <v>364.39235342157883</v>
      </c>
      <c r="BN40" s="61">
        <f> BN$38</f>
        <v>298.58110872581693</v>
      </c>
      <c r="BO40" s="61">
        <f> BO$38</f>
        <v>310.05497189825394</v>
      </c>
      <c r="BP40" s="61">
        <f> BP$38</f>
        <v>271.3897559106164</v>
      </c>
      <c r="BQ40" s="61">
        <f> BQ$38</f>
        <v>258.812708928916</v>
      </c>
      <c r="BR40" s="61">
        <f> BR$38</f>
        <v>268.6639605011543</v>
      </c>
      <c r="BS40" s="61">
        <f> BS$38</f>
        <v>235.0821512512683</v>
      </c>
      <c r="BT40" s="61">
        <f> BT$38</f>
        <v>282.2693317036431</v>
      </c>
      <c r="BU40" s="61">
        <f> BU$38</f>
        <v>249.8334872626783</v>
      </c>
      <c r="BV40" s="61">
        <f> BV$38</f>
        <v>255.89364351898718</v>
      </c>
      <c r="BW40" s="61">
        <f> BW$38</f>
        <v>243.56981002582742</v>
      </c>
      <c r="BX40" s="61">
        <f> BX$38</f>
        <v>232.12567796786604</v>
      </c>
      <c r="BY40" s="61">
        <f> BY$38</f>
        <v>221.08283692011298</v>
      </c>
      <c r="BZ40" s="61">
        <f> BZ$38</f>
        <v>210.43549127709127</v>
      </c>
      <c r="CA40" s="61">
        <f> CA$38</f>
        <v>200.30092161804575</v>
      </c>
      <c r="CB40" s="61">
        <f> CB$38</f>
        <v>190.88977908734697</v>
      </c>
      <c r="CC40" s="61">
        <f> CC$38</f>
        <v>181.80864034149005</v>
      </c>
      <c r="CD40" s="61">
        <f> CD$38</f>
        <v>173.05273933365586</v>
      </c>
      <c r="CE40" s="61">
        <f> CE$38</f>
        <v>164.7185223685325</v>
      </c>
      <c r="CF40" s="61">
        <f> CF$38</f>
        <v>156.8824204944939</v>
      </c>
      <c r="CG40" s="61">
        <f> CG$38</f>
        <v>149.41910300254764</v>
      </c>
      <c r="CH40" s="61">
        <f> CH$38</f>
        <v>142.22308155872437</v>
      </c>
      <c r="CI40" s="61">
        <f> CI$38</f>
        <v>135.3736203845013</v>
      </c>
      <c r="CJ40" s="61">
        <f> CJ$38</f>
        <v>129.01308831084128</v>
      </c>
      <c r="CK40" s="61">
        <f> CK$38</f>
        <v>122.8755896947098</v>
      </c>
      <c r="CL40" s="61">
        <f> CL$38</f>
        <v>116.95790339759368</v>
      </c>
      <c r="CM40" s="61">
        <f> CM$38</f>
        <v>219.0506267802325</v>
      </c>
      <c r="CN40" s="61">
        <f> CN$38</f>
        <v>18.917282909458674</v>
      </c>
      <c r="CO40" s="61">
        <f> CO$38</f>
        <v>0.0</v>
      </c>
    </row>
    <row r="41">
      <c r="E41" s="260" t="inlineStr">
        <is>
          <t>NPV of shareholder cashflow</t>
        </is>
      </c>
      <c r="F41" s="260">
        <f>SUM(J40:CO40)</f>
        <v>28243.559585447718</v>
      </c>
      <c r="G41" s="260" t="str">
        <f>SMU</f>
        <v>$ 000s</v>
      </c>
    </row>
    <row r="44">
      <c r="A44" s="294" t="inlineStr">
        <is>
          <t>Shareholder internal rate of return</t>
        </is>
      </c>
    </row>
    <row r="45">
      <c r="E45" s="61" t="str">
        <f> E$33</f>
        <v>Shareholder cashflows</v>
      </c>
      <c r="F45" s="61">
        <f> F$33</f>
        <v>0.0</v>
      </c>
      <c r="G45" s="61" t="str">
        <f> G$33</f>
        <v>$ 000s</v>
      </c>
      <c r="H45" s="61">
        <f> H$33</f>
        <v>461378.1224807129</v>
      </c>
      <c r="I45" s="61">
        <f> I$33</f>
        <v>0.0</v>
      </c>
      <c r="J45" s="61">
        <f> J$33</f>
        <v>0.0</v>
      </c>
      <c r="K45" s="61">
        <f> K$33</f>
        <v>-28913.57448326479</v>
      </c>
      <c r="L45" s="61">
        <f> L$33</f>
        <v>0.0</v>
      </c>
      <c r="M45" s="61">
        <f> M$33</f>
        <v>1991.8791040414935</v>
      </c>
      <c r="N45" s="61">
        <f> N$33</f>
        <v>3468.3434261505045</v>
      </c>
      <c r="O45" s="61">
        <f> O$33</f>
        <v>2106.9835268665106</v>
      </c>
      <c r="P45" s="61">
        <f> P$33</f>
        <v>2321.82287082154</v>
      </c>
      <c r="Q45" s="61">
        <f> Q$33</f>
        <v>2055.1644292187957</v>
      </c>
      <c r="R45" s="61">
        <f> R$33</f>
        <v>2438.120756403156</v>
      </c>
      <c r="S45" s="61">
        <f> S$33</f>
        <v>2172.066125965934</v>
      </c>
      <c r="T45" s="61">
        <f> T$33</f>
        <v>2705.818891390102</v>
      </c>
      <c r="U45" s="61">
        <f> U$33</f>
        <v>2415.0569893433158</v>
      </c>
      <c r="V45" s="61">
        <f> V$33</f>
        <v>2820.7787255341536</v>
      </c>
      <c r="W45" s="61">
        <f> W$33</f>
        <v>2524.909516484431</v>
      </c>
      <c r="X45" s="61">
        <f> X$33</f>
        <v>2905.4594162883404</v>
      </c>
      <c r="Y45" s="61">
        <f> Y$33</f>
        <v>2588.072344659249</v>
      </c>
      <c r="Z45" s="61">
        <f> Z$33</f>
        <v>2997.672188079741</v>
      </c>
      <c r="AA45" s="61">
        <f> AA$33</f>
        <v>2681.825869149111</v>
      </c>
      <c r="AB45" s="61">
        <f> AB$33</f>
        <v>3053.7050333090956</v>
      </c>
      <c r="AC45" s="61">
        <f> AC$33</f>
        <v>2728.098505676017</v>
      </c>
      <c r="AD45" s="61">
        <f> AD$33</f>
        <v>3625.4072576382828</v>
      </c>
      <c r="AE45" s="61">
        <f> AE$33</f>
        <v>3279.8874996575305</v>
      </c>
      <c r="AF45" s="61">
        <f> AF$33</f>
        <v>3715.3608019248104</v>
      </c>
      <c r="AG45" s="61">
        <f> AG$33</f>
        <v>3361.3922795219946</v>
      </c>
      <c r="AH45" s="61">
        <f> AH$33</f>
        <v>3831.3768279060814</v>
      </c>
      <c r="AI45" s="61">
        <f> AI$33</f>
        <v>3477.3637634168886</v>
      </c>
      <c r="AJ45" s="61">
        <f> AJ$33</f>
        <v>3942.5131570329836</v>
      </c>
      <c r="AK45" s="61">
        <f> AK$33</f>
        <v>3583.520229144507</v>
      </c>
      <c r="AL45" s="61">
        <f> AL$33</f>
        <v>4069.719068279597</v>
      </c>
      <c r="AM45" s="61">
        <f> AM$33</f>
        <v>4185.496903240382</v>
      </c>
      <c r="AN45" s="61">
        <f> AN$33</f>
        <v>4750.447668638798</v>
      </c>
      <c r="AO45" s="61">
        <f> AO$33</f>
        <v>4357.8916280557605</v>
      </c>
      <c r="AP45" s="61">
        <f> AP$33</f>
        <v>4895.383645712745</v>
      </c>
      <c r="AQ45" s="61">
        <f> AQ$33</f>
        <v>4500.703995810543</v>
      </c>
      <c r="AR45" s="61">
        <f> AR$33</f>
        <v>5046.767202297569</v>
      </c>
      <c r="AS45" s="61">
        <f> AS$33</f>
        <v>4645.230237341002</v>
      </c>
      <c r="AT45" s="61">
        <f> AT$33</f>
        <v>5187.13357749477</v>
      </c>
      <c r="AU45" s="61">
        <f> AU$33</f>
        <v>3849.7082181176015</v>
      </c>
      <c r="AV45" s="61">
        <f> AV$33</f>
        <v>3782.952646469588</v>
      </c>
      <c r="AW45" s="61">
        <f> AW$33</f>
        <v>3602.6183886539443</v>
      </c>
      <c r="AX45" s="61">
        <f> AX$33</f>
        <v>7506.466947081907</v>
      </c>
      <c r="AY45" s="61">
        <f> AY$33</f>
        <v>7507.2179533938925</v>
      </c>
      <c r="AZ45" s="61">
        <f> AZ$33</f>
        <v>7759.84503043821</v>
      </c>
      <c r="BA45" s="61">
        <f> BA$33</f>
        <v>7517.18227506947</v>
      </c>
      <c r="BB45" s="61">
        <f> BB$33</f>
        <v>7765.071855591032</v>
      </c>
      <c r="BC45" s="61">
        <f> BC$33</f>
        <v>7521.637238564551</v>
      </c>
      <c r="BD45" s="61">
        <f> BD$33</f>
        <v>7786.862296074629</v>
      </c>
      <c r="BE45" s="61">
        <f> BE$33</f>
        <v>7627.988950314166</v>
      </c>
      <c r="BF45" s="61">
        <f> BF$33</f>
        <v>7926.412925883229</v>
      </c>
      <c r="BG45" s="61">
        <f> BG$33</f>
        <v>7703.404245475238</v>
      </c>
      <c r="BH45" s="61">
        <f> BH$33</f>
        <v>7569.490087277265</v>
      </c>
      <c r="BI45" s="61">
        <f> BI$33</f>
        <v>8073.785152795242</v>
      </c>
      <c r="BJ45" s="61">
        <f> BJ$33</f>
        <v>7864.656660041153</v>
      </c>
      <c r="BK45" s="61">
        <f> BK$33</f>
        <v>8164.350522971761</v>
      </c>
      <c r="BL45" s="61">
        <f> BL$33</f>
        <v>7920.158988451464</v>
      </c>
      <c r="BM45" s="61">
        <f> BM$33</f>
        <v>7620.27242300577</v>
      </c>
      <c r="BN45" s="61">
        <f> BN$33</f>
        <v>6608.591626340138</v>
      </c>
      <c r="BO45" s="61">
        <f> BO$33</f>
        <v>7263.244034060712</v>
      </c>
      <c r="BP45" s="61">
        <f> BP$33</f>
        <v>6724.544147981963</v>
      </c>
      <c r="BQ45" s="61">
        <f> BQ$33</f>
        <v>6783.166224349965</v>
      </c>
      <c r="BR45" s="61">
        <f> BR$33</f>
        <v>7452.493753972138</v>
      </c>
      <c r="BS45" s="61">
        <f> BS$33</f>
        <v>6901.718014504093</v>
      </c>
      <c r="BT45" s="61">
        <f> BT$33</f>
        <v>8760.135590997805</v>
      </c>
      <c r="BU45" s="61">
        <f> BU$33</f>
        <v>8201.159265343336</v>
      </c>
      <c r="BV45" s="61">
        <f> BV$33</f>
        <v>8890.566620854173</v>
      </c>
      <c r="BW45" s="61">
        <f> BW$33</f>
        <v>8956.508591625765</v>
      </c>
      <c r="BX45" s="61">
        <f> BX$33</f>
        <v>9022.939658727733</v>
      </c>
      <c r="BY45" s="61">
        <f> BY$33</f>
        <v>9089.863449822671</v>
      </c>
      <c r="BZ45" s="61">
        <f> BZ$33</f>
        <v>9157.283619479796</v>
      </c>
      <c r="CA45" s="61">
        <f> CA$33</f>
        <v>9225.203849374539</v>
      </c>
      <c r="CB45" s="61">
        <f> CB$33</f>
        <v>9293.627848489565</v>
      </c>
      <c r="CC45" s="61">
        <f> CC$33</f>
        <v>9362.559353317347</v>
      </c>
      <c r="CD45" s="61">
        <f> CD$33</f>
        <v>9432.002128064189</v>
      </c>
      <c r="CE45" s="61">
        <f> CE$33</f>
        <v>9501.959964855767</v>
      </c>
      <c r="CF45" s="61">
        <f> CF$33</f>
        <v>9572.436683944248</v>
      </c>
      <c r="CG45" s="61">
        <f> CG$33</f>
        <v>9643.436133916866</v>
      </c>
      <c r="CH45" s="61">
        <f> CH$33</f>
        <v>9714.96219190611</v>
      </c>
      <c r="CI45" s="61">
        <f> CI$33</f>
        <v>9787.018763801438</v>
      </c>
      <c r="CJ45" s="61">
        <f> CJ$33</f>
        <v>9859.609784462573</v>
      </c>
      <c r="CK45" s="61">
        <f> CK$33</f>
        <v>9932.73921793437</v>
      </c>
      <c r="CL45" s="61">
        <f> CL$33</f>
        <v>10006.411057663292</v>
      </c>
      <c r="CM45" s="61">
        <f> CM$33</f>
        <v>19835.29262946767</v>
      </c>
      <c r="CN45" s="61">
        <f> CN$33</f>
        <v>1810.7664905536142</v>
      </c>
      <c r="CO45" s="61">
        <f> CO$33</f>
        <v>0.0</v>
      </c>
    </row>
    <row r="46">
      <c r="E46" s="325" t="str">
        <f> Time!E$14</f>
        <v>First model column flag</v>
      </c>
      <c r="F46" s="325">
        <f> Time!F$14</f>
        <v>0.0</v>
      </c>
      <c r="G46" s="325" t="str">
        <f> Time!G$14</f>
        <v>flag</v>
      </c>
      <c r="H46" s="325">
        <f> Time!H$14</f>
        <v>1.0</v>
      </c>
      <c r="I46" s="325">
        <f> Time!I$14</f>
        <v>0.0</v>
      </c>
      <c r="J46" s="325">
        <f> Time!J$14</f>
        <v>1.0</v>
      </c>
      <c r="K46" s="325">
        <f> Time!K$14</f>
        <v>0.0</v>
      </c>
      <c r="L46" s="325">
        <f> Time!L$14</f>
        <v>0.0</v>
      </c>
      <c r="M46" s="325">
        <f> Time!M$14</f>
        <v>0.0</v>
      </c>
      <c r="N46" s="325">
        <f> Time!N$14</f>
        <v>0.0</v>
      </c>
      <c r="O46" s="325">
        <f> Time!O$14</f>
        <v>0.0</v>
      </c>
      <c r="P46" s="325">
        <f> Time!P$14</f>
        <v>0.0</v>
      </c>
      <c r="Q46" s="325">
        <f> Time!Q$14</f>
        <v>0.0</v>
      </c>
      <c r="R46" s="325">
        <f> Time!R$14</f>
        <v>0.0</v>
      </c>
      <c r="S46" s="325">
        <f> Time!S$14</f>
        <v>0.0</v>
      </c>
      <c r="T46" s="325">
        <f> Time!T$14</f>
        <v>0.0</v>
      </c>
      <c r="U46" s="325">
        <f> Time!U$14</f>
        <v>0.0</v>
      </c>
      <c r="V46" s="325">
        <f> Time!V$14</f>
        <v>0.0</v>
      </c>
      <c r="W46" s="325">
        <f> Time!W$14</f>
        <v>0.0</v>
      </c>
      <c r="X46" s="325">
        <f> Time!X$14</f>
        <v>0.0</v>
      </c>
      <c r="Y46" s="325">
        <f> Time!Y$14</f>
        <v>0.0</v>
      </c>
      <c r="Z46" s="325">
        <f> Time!Z$14</f>
        <v>0.0</v>
      </c>
      <c r="AA46" s="325">
        <f> Time!AA$14</f>
        <v>0.0</v>
      </c>
      <c r="AB46" s="325">
        <f> Time!AB$14</f>
        <v>0.0</v>
      </c>
      <c r="AC46" s="325">
        <f> Time!AC$14</f>
        <v>0.0</v>
      </c>
      <c r="AD46" s="325">
        <f> Time!AD$14</f>
        <v>0.0</v>
      </c>
      <c r="AE46" s="325">
        <f> Time!AE$14</f>
        <v>0.0</v>
      </c>
      <c r="AF46" s="325">
        <f> Time!AF$14</f>
        <v>0.0</v>
      </c>
      <c r="AG46" s="325">
        <f> Time!AG$14</f>
        <v>0.0</v>
      </c>
      <c r="AH46" s="325">
        <f> Time!AH$14</f>
        <v>0.0</v>
      </c>
      <c r="AI46" s="325">
        <f> Time!AI$14</f>
        <v>0.0</v>
      </c>
      <c r="AJ46" s="325">
        <f> Time!AJ$14</f>
        <v>0.0</v>
      </c>
      <c r="AK46" s="325">
        <f> Time!AK$14</f>
        <v>0.0</v>
      </c>
      <c r="AL46" s="325">
        <f> Time!AL$14</f>
        <v>0.0</v>
      </c>
      <c r="AM46" s="325">
        <f> Time!AM$14</f>
        <v>0.0</v>
      </c>
      <c r="AN46" s="325">
        <f> Time!AN$14</f>
        <v>0.0</v>
      </c>
      <c r="AO46" s="325">
        <f> Time!AO$14</f>
        <v>0.0</v>
      </c>
      <c r="AP46" s="325">
        <f> Time!AP$14</f>
        <v>0.0</v>
      </c>
      <c r="AQ46" s="325">
        <f> Time!AQ$14</f>
        <v>0.0</v>
      </c>
      <c r="AR46" s="325">
        <f> Time!AR$14</f>
        <v>0.0</v>
      </c>
      <c r="AS46" s="325">
        <f> Time!AS$14</f>
        <v>0.0</v>
      </c>
      <c r="AT46" s="325">
        <f> Time!AT$14</f>
        <v>0.0</v>
      </c>
      <c r="AU46" s="325">
        <f> Time!AU$14</f>
        <v>0.0</v>
      </c>
      <c r="AV46" s="325">
        <f> Time!AV$14</f>
        <v>0.0</v>
      </c>
      <c r="AW46" s="325">
        <f> Time!AW$14</f>
        <v>0.0</v>
      </c>
      <c r="AX46" s="325">
        <f> Time!AX$14</f>
        <v>0.0</v>
      </c>
      <c r="AY46" s="325">
        <f> Time!AY$14</f>
        <v>0.0</v>
      </c>
      <c r="AZ46" s="325">
        <f> Time!AZ$14</f>
        <v>0.0</v>
      </c>
      <c r="BA46" s="325">
        <f> Time!BA$14</f>
        <v>0.0</v>
      </c>
      <c r="BB46" s="325">
        <f> Time!BB$14</f>
        <v>0.0</v>
      </c>
      <c r="BC46" s="325">
        <f> Time!BC$14</f>
        <v>0.0</v>
      </c>
      <c r="BD46" s="325">
        <f> Time!BD$14</f>
        <v>0.0</v>
      </c>
      <c r="BE46" s="325">
        <f> Time!BE$14</f>
        <v>0.0</v>
      </c>
      <c r="BF46" s="325">
        <f> Time!BF$14</f>
        <v>0.0</v>
      </c>
      <c r="BG46" s="325">
        <f> Time!BG$14</f>
        <v>0.0</v>
      </c>
      <c r="BH46" s="325">
        <f> Time!BH$14</f>
        <v>0.0</v>
      </c>
      <c r="BI46" s="325">
        <f> Time!BI$14</f>
        <v>0.0</v>
      </c>
      <c r="BJ46" s="325">
        <f> Time!BJ$14</f>
        <v>0.0</v>
      </c>
      <c r="BK46" s="325">
        <f> Time!BK$14</f>
        <v>0.0</v>
      </c>
      <c r="BL46" s="325">
        <f> Time!BL$14</f>
        <v>0.0</v>
      </c>
      <c r="BM46" s="325">
        <f> Time!BM$14</f>
        <v>0.0</v>
      </c>
      <c r="BN46" s="325">
        <f> Time!BN$14</f>
        <v>0.0</v>
      </c>
      <c r="BO46" s="325">
        <f> Time!BO$14</f>
        <v>0.0</v>
      </c>
      <c r="BP46" s="325">
        <f> Time!BP$14</f>
        <v>0.0</v>
      </c>
      <c r="BQ46" s="325">
        <f> Time!BQ$14</f>
        <v>0.0</v>
      </c>
      <c r="BR46" s="325">
        <f> Time!BR$14</f>
        <v>0.0</v>
      </c>
      <c r="BS46" s="325">
        <f> Time!BS$14</f>
        <v>0.0</v>
      </c>
      <c r="BT46" s="325">
        <f> Time!BT$14</f>
        <v>0.0</v>
      </c>
      <c r="BU46" s="325">
        <f> Time!BU$14</f>
        <v>0.0</v>
      </c>
      <c r="BV46" s="325">
        <f> Time!BV$14</f>
        <v>0.0</v>
      </c>
      <c r="BW46" s="325">
        <f> Time!BW$14</f>
        <v>0.0</v>
      </c>
      <c r="BX46" s="325">
        <f> Time!BX$14</f>
        <v>0.0</v>
      </c>
      <c r="BY46" s="325">
        <f> Time!BY$14</f>
        <v>0.0</v>
      </c>
      <c r="BZ46" s="325">
        <f> Time!BZ$14</f>
        <v>0.0</v>
      </c>
      <c r="CA46" s="325">
        <f> Time!CA$14</f>
        <v>0.0</v>
      </c>
      <c r="CB46" s="325">
        <f> Time!CB$14</f>
        <v>0.0</v>
      </c>
      <c r="CC46" s="325">
        <f> Time!CC$14</f>
        <v>0.0</v>
      </c>
      <c r="CD46" s="325">
        <f> Time!CD$14</f>
        <v>0.0</v>
      </c>
      <c r="CE46" s="325">
        <f> Time!CE$14</f>
        <v>0.0</v>
      </c>
      <c r="CF46" s="325">
        <f> Time!CF$14</f>
        <v>0.0</v>
      </c>
      <c r="CG46" s="325">
        <f> Time!CG$14</f>
        <v>0.0</v>
      </c>
      <c r="CH46" s="325">
        <f> Time!CH$14</f>
        <v>0.0</v>
      </c>
      <c r="CI46" s="325">
        <f> Time!CI$14</f>
        <v>0.0</v>
      </c>
      <c r="CJ46" s="325">
        <f> Time!CJ$14</f>
        <v>0.0</v>
      </c>
      <c r="CK46" s="325">
        <f> Time!CK$14</f>
        <v>0.0</v>
      </c>
      <c r="CL46" s="325">
        <f> Time!CL$14</f>
        <v>0.0</v>
      </c>
      <c r="CM46" s="325">
        <f> Time!CM$14</f>
        <v>0.0</v>
      </c>
      <c r="CN46" s="325">
        <f> Time!CN$14</f>
        <v>0.0</v>
      </c>
      <c r="CO46" s="325">
        <f> Time!CO$14</f>
        <v>0.0</v>
      </c>
    </row>
    <row r="47">
      <c r="E47" s="61" t="inlineStr">
        <is>
          <t>Shareholder cashflow for XIRR</t>
        </is>
      </c>
      <c r="G47" s="61" t="str">
        <f>SMU</f>
        <v>$ 000s</v>
      </c>
      <c r="J47" s="61">
        <f> IF(AND(J45 = 0, J46 = 1), -1 *0.001, J45)</f>
        <v>-0.001</v>
      </c>
      <c r="K47" s="61">
        <f> IF(AND(K45 = 0, K46 = 1), -1 *0.001, K45)</f>
        <v>-28913.57448326479</v>
      </c>
      <c r="L47" s="61">
        <f> IF(AND(L45 = 0, L46 = 1), -1 *0.001, L45)</f>
        <v>0.0</v>
      </c>
      <c r="M47" s="61">
        <f> IF(AND(M45 = 0, M46 = 1), -1 *0.001, M45)</f>
        <v>1991.8791040414935</v>
      </c>
      <c r="N47" s="61">
        <f> IF(AND(N45 = 0, N46 = 1), -1 *0.001, N45)</f>
        <v>3468.3434261505045</v>
      </c>
      <c r="O47" s="61">
        <f> IF(AND(O45 = 0, O46 = 1), -1 *0.001, O45)</f>
        <v>2106.9835268665106</v>
      </c>
      <c r="P47" s="61">
        <f> IF(AND(P45 = 0, P46 = 1), -1 *0.001, P45)</f>
        <v>2321.82287082154</v>
      </c>
      <c r="Q47" s="61">
        <f> IF(AND(Q45 = 0, Q46 = 1), -1 *0.001, Q45)</f>
        <v>2055.1644292187957</v>
      </c>
      <c r="R47" s="61">
        <f> IF(AND(R45 = 0, R46 = 1), -1 *0.001, R45)</f>
        <v>2438.120756403156</v>
      </c>
      <c r="S47" s="61">
        <f> IF(AND(S45 = 0, S46 = 1), -1 *0.001, S45)</f>
        <v>2172.066125965934</v>
      </c>
      <c r="T47" s="61">
        <f> IF(AND(T45 = 0, T46 = 1), -1 *0.001, T45)</f>
        <v>2705.818891390102</v>
      </c>
      <c r="U47" s="61">
        <f> IF(AND(U45 = 0, U46 = 1), -1 *0.001, U45)</f>
        <v>2415.0569893433158</v>
      </c>
      <c r="V47" s="61">
        <f> IF(AND(V45 = 0, V46 = 1), -1 *0.001, V45)</f>
        <v>2820.7787255341536</v>
      </c>
      <c r="W47" s="61">
        <f> IF(AND(W45 = 0, W46 = 1), -1 *0.001, W45)</f>
        <v>2524.909516484431</v>
      </c>
      <c r="X47" s="61">
        <f> IF(AND(X45 = 0, X46 = 1), -1 *0.001, X45)</f>
        <v>2905.4594162883404</v>
      </c>
      <c r="Y47" s="61">
        <f> IF(AND(Y45 = 0, Y46 = 1), -1 *0.001, Y45)</f>
        <v>2588.072344659249</v>
      </c>
      <c r="Z47" s="61">
        <f> IF(AND(Z45 = 0, Z46 = 1), -1 *0.001, Z45)</f>
        <v>2997.672188079741</v>
      </c>
      <c r="AA47" s="61">
        <f> IF(AND(AA45 = 0, AA46 = 1), -1 *0.001, AA45)</f>
        <v>2681.825869149111</v>
      </c>
      <c r="AB47" s="61">
        <f> IF(AND(AB45 = 0, AB46 = 1), -1 *0.001, AB45)</f>
        <v>3053.7050333090956</v>
      </c>
      <c r="AC47" s="61">
        <f> IF(AND(AC45 = 0, AC46 = 1), -1 *0.001, AC45)</f>
        <v>2728.098505676017</v>
      </c>
      <c r="AD47" s="61">
        <f> IF(AND(AD45 = 0, AD46 = 1), -1 *0.001, AD45)</f>
        <v>3625.4072576382828</v>
      </c>
      <c r="AE47" s="61">
        <f> IF(AND(AE45 = 0, AE46 = 1), -1 *0.001, AE45)</f>
        <v>3279.8874996575305</v>
      </c>
      <c r="AF47" s="61">
        <f> IF(AND(AF45 = 0, AF46 = 1), -1 *0.001, AF45)</f>
        <v>3715.3608019248104</v>
      </c>
      <c r="AG47" s="61">
        <f> IF(AND(AG45 = 0, AG46 = 1), -1 *0.001, AG45)</f>
        <v>3361.3922795219946</v>
      </c>
      <c r="AH47" s="61">
        <f> IF(AND(AH45 = 0, AH46 = 1), -1 *0.001, AH45)</f>
        <v>3831.3768279060814</v>
      </c>
      <c r="AI47" s="61">
        <f> IF(AND(AI45 = 0, AI46 = 1), -1 *0.001, AI45)</f>
        <v>3477.3637634168886</v>
      </c>
      <c r="AJ47" s="61">
        <f> IF(AND(AJ45 = 0, AJ46 = 1), -1 *0.001, AJ45)</f>
        <v>3942.5131570329836</v>
      </c>
      <c r="AK47" s="61">
        <f> IF(AND(AK45 = 0, AK46 = 1), -1 *0.001, AK45)</f>
        <v>3583.520229144507</v>
      </c>
      <c r="AL47" s="61">
        <f> IF(AND(AL45 = 0, AL46 = 1), -1 *0.001, AL45)</f>
        <v>4069.719068279597</v>
      </c>
      <c r="AM47" s="61">
        <f> IF(AND(AM45 = 0, AM46 = 1), -1 *0.001, AM45)</f>
        <v>4185.496903240382</v>
      </c>
      <c r="AN47" s="61">
        <f> IF(AND(AN45 = 0, AN46 = 1), -1 *0.001, AN45)</f>
        <v>4750.447668638798</v>
      </c>
      <c r="AO47" s="61">
        <f> IF(AND(AO45 = 0, AO46 = 1), -1 *0.001, AO45)</f>
        <v>4357.8916280557605</v>
      </c>
      <c r="AP47" s="61">
        <f> IF(AND(AP45 = 0, AP46 = 1), -1 *0.001, AP45)</f>
        <v>4895.383645712745</v>
      </c>
      <c r="AQ47" s="61">
        <f> IF(AND(AQ45 = 0, AQ46 = 1), -1 *0.001, AQ45)</f>
        <v>4500.703995810543</v>
      </c>
      <c r="AR47" s="61">
        <f> IF(AND(AR45 = 0, AR46 = 1), -1 *0.001, AR45)</f>
        <v>5046.767202297569</v>
      </c>
      <c r="AS47" s="61">
        <f> IF(AND(AS45 = 0, AS46 = 1), -1 *0.001, AS45)</f>
        <v>4645.230237341002</v>
      </c>
      <c r="AT47" s="61">
        <f> IF(AND(AT45 = 0, AT46 = 1), -1 *0.001, AT45)</f>
        <v>5187.13357749477</v>
      </c>
      <c r="AU47" s="61">
        <f> IF(AND(AU45 = 0, AU46 = 1), -1 *0.001, AU45)</f>
        <v>3849.7082181176015</v>
      </c>
      <c r="AV47" s="61">
        <f> IF(AND(AV45 = 0, AV46 = 1), -1 *0.001, AV45)</f>
        <v>3782.952646469588</v>
      </c>
      <c r="AW47" s="61">
        <f> IF(AND(AW45 = 0, AW46 = 1), -1 *0.001, AW45)</f>
        <v>3602.6183886539443</v>
      </c>
      <c r="AX47" s="61">
        <f> IF(AND(AX45 = 0, AX46 = 1), -1 *0.001, AX45)</f>
        <v>7506.466947081907</v>
      </c>
      <c r="AY47" s="61">
        <f> IF(AND(AY45 = 0, AY46 = 1), -1 *0.001, AY45)</f>
        <v>7507.2179533938925</v>
      </c>
      <c r="AZ47" s="61">
        <f> IF(AND(AZ45 = 0, AZ46 = 1), -1 *0.001, AZ45)</f>
        <v>7759.84503043821</v>
      </c>
      <c r="BA47" s="61">
        <f> IF(AND(BA45 = 0, BA46 = 1), -1 *0.001, BA45)</f>
        <v>7517.18227506947</v>
      </c>
      <c r="BB47" s="61">
        <f> IF(AND(BB45 = 0, BB46 = 1), -1 *0.001, BB45)</f>
        <v>7765.071855591032</v>
      </c>
      <c r="BC47" s="61">
        <f> IF(AND(BC45 = 0, BC46 = 1), -1 *0.001, BC45)</f>
        <v>7521.637238564551</v>
      </c>
      <c r="BD47" s="61">
        <f> IF(AND(BD45 = 0, BD46 = 1), -1 *0.001, BD45)</f>
        <v>7786.862296074629</v>
      </c>
      <c r="BE47" s="61">
        <f> IF(AND(BE45 = 0, BE46 = 1), -1 *0.001, BE45)</f>
        <v>7627.988950314166</v>
      </c>
      <c r="BF47" s="61">
        <f> IF(AND(BF45 = 0, BF46 = 1), -1 *0.001, BF45)</f>
        <v>7926.412925883229</v>
      </c>
      <c r="BG47" s="61">
        <f> IF(AND(BG45 = 0, BG46 = 1), -1 *0.001, BG45)</f>
        <v>7703.404245475238</v>
      </c>
      <c r="BH47" s="61">
        <f> IF(AND(BH45 = 0, BH46 = 1), -1 *0.001, BH45)</f>
        <v>7569.490087277265</v>
      </c>
      <c r="BI47" s="61">
        <f> IF(AND(BI45 = 0, BI46 = 1), -1 *0.001, BI45)</f>
        <v>8073.785152795242</v>
      </c>
      <c r="BJ47" s="61">
        <f> IF(AND(BJ45 = 0, BJ46 = 1), -1 *0.001, BJ45)</f>
        <v>7864.656660041153</v>
      </c>
      <c r="BK47" s="61">
        <f> IF(AND(BK45 = 0, BK46 = 1), -1 *0.001, BK45)</f>
        <v>8164.350522971761</v>
      </c>
      <c r="BL47" s="61">
        <f> IF(AND(BL45 = 0, BL46 = 1), -1 *0.001, BL45)</f>
        <v>7920.158988451464</v>
      </c>
      <c r="BM47" s="61">
        <f> IF(AND(BM45 = 0, BM46 = 1), -1 *0.001, BM45)</f>
        <v>7620.27242300577</v>
      </c>
      <c r="BN47" s="61">
        <f> IF(AND(BN45 = 0, BN46 = 1), -1 *0.001, BN45)</f>
        <v>6608.591626340138</v>
      </c>
      <c r="BO47" s="61">
        <f> IF(AND(BO45 = 0, BO46 = 1), -1 *0.001, BO45)</f>
        <v>7263.244034060712</v>
      </c>
      <c r="BP47" s="61">
        <f> IF(AND(BP45 = 0, BP46 = 1), -1 *0.001, BP45)</f>
        <v>6724.544147981963</v>
      </c>
      <c r="BQ47" s="61">
        <f> IF(AND(BQ45 = 0, BQ46 = 1), -1 *0.001, BQ45)</f>
        <v>6783.166224349965</v>
      </c>
      <c r="BR47" s="61">
        <f> IF(AND(BR45 = 0, BR46 = 1), -1 *0.001, BR45)</f>
        <v>7452.493753972138</v>
      </c>
      <c r="BS47" s="61">
        <f> IF(AND(BS45 = 0, BS46 = 1), -1 *0.001, BS45)</f>
        <v>6901.718014504093</v>
      </c>
      <c r="BT47" s="61">
        <f> IF(AND(BT45 = 0, BT46 = 1), -1 *0.001, BT45)</f>
        <v>8760.135590997805</v>
      </c>
      <c r="BU47" s="61">
        <f> IF(AND(BU45 = 0, BU46 = 1), -1 *0.001, BU45)</f>
        <v>8201.159265343336</v>
      </c>
      <c r="BV47" s="61">
        <f> IF(AND(BV45 = 0, BV46 = 1), -1 *0.001, BV45)</f>
        <v>8890.566620854173</v>
      </c>
      <c r="BW47" s="61">
        <f> IF(AND(BW45 = 0, BW46 = 1), -1 *0.001, BW45)</f>
        <v>8956.508591625765</v>
      </c>
      <c r="BX47" s="61">
        <f> IF(AND(BX45 = 0, BX46 = 1), -1 *0.001, BX45)</f>
        <v>9022.939658727733</v>
      </c>
      <c r="BY47" s="61">
        <f> IF(AND(BY45 = 0, BY46 = 1), -1 *0.001, BY45)</f>
        <v>9089.863449822671</v>
      </c>
      <c r="BZ47" s="61">
        <f> IF(AND(BZ45 = 0, BZ46 = 1), -1 *0.001, BZ45)</f>
        <v>9157.283619479796</v>
      </c>
      <c r="CA47" s="61">
        <f> IF(AND(CA45 = 0, CA46 = 1), -1 *0.001, CA45)</f>
        <v>9225.203849374539</v>
      </c>
      <c r="CB47" s="61">
        <f> IF(AND(CB45 = 0, CB46 = 1), -1 *0.001, CB45)</f>
        <v>9293.627848489565</v>
      </c>
      <c r="CC47" s="61">
        <f> IF(AND(CC45 = 0, CC46 = 1), -1 *0.001, CC45)</f>
        <v>9362.559353317347</v>
      </c>
      <c r="CD47" s="61">
        <f> IF(AND(CD45 = 0, CD46 = 1), -1 *0.001, CD45)</f>
        <v>9432.002128064189</v>
      </c>
      <c r="CE47" s="61">
        <f> IF(AND(CE45 = 0, CE46 = 1), -1 *0.001, CE45)</f>
        <v>9501.959964855767</v>
      </c>
      <c r="CF47" s="61">
        <f> IF(AND(CF45 = 0, CF46 = 1), -1 *0.001, CF45)</f>
        <v>9572.436683944248</v>
      </c>
      <c r="CG47" s="61">
        <f> IF(AND(CG45 = 0, CG46 = 1), -1 *0.001, CG45)</f>
        <v>9643.436133916866</v>
      </c>
      <c r="CH47" s="61">
        <f> IF(AND(CH45 = 0, CH46 = 1), -1 *0.001, CH45)</f>
        <v>9714.96219190611</v>
      </c>
      <c r="CI47" s="61">
        <f> IF(AND(CI45 = 0, CI46 = 1), -1 *0.001, CI45)</f>
        <v>9787.018763801438</v>
      </c>
      <c r="CJ47" s="61">
        <f> IF(AND(CJ45 = 0, CJ46 = 1), -1 *0.001, CJ45)</f>
        <v>9859.609784462573</v>
      </c>
      <c r="CK47" s="61">
        <f> IF(AND(CK45 = 0, CK46 = 1), -1 *0.001, CK45)</f>
        <v>9932.73921793437</v>
      </c>
      <c r="CL47" s="61">
        <f> IF(AND(CL45 = 0, CL46 = 1), -1 *0.001, CL45)</f>
        <v>10006.411057663292</v>
      </c>
      <c r="CM47" s="61">
        <f> IF(AND(CM45 = 0, CM46 = 1), -1 *0.001, CM45)</f>
        <v>19835.29262946767</v>
      </c>
      <c r="CN47" s="61">
        <f> IF(AND(CN45 = 0, CN46 = 1), -1 *0.001, CN45)</f>
        <v>1810.7664905536142</v>
      </c>
      <c r="CO47" s="61">
        <f> IF(AND(CO45 = 0, CO46 = 1), -1 *0.001, CO45)</f>
        <v>0.0</v>
      </c>
    </row>
    <row r="49">
      <c r="E49" s="61" t="str">
        <f> E$47</f>
        <v>Shareholder cashflow for XIRR</v>
      </c>
      <c r="F49" s="61">
        <f> F$47</f>
        <v>0.0</v>
      </c>
      <c r="G49" s="61" t="str">
        <f> G$47</f>
        <v>$ 000s</v>
      </c>
      <c r="H49" s="61">
        <f> H$47</f>
        <v>0.0</v>
      </c>
      <c r="I49" s="61">
        <f> I$47</f>
        <v>0.0</v>
      </c>
      <c r="J49" s="61">
        <f> J$47</f>
        <v>-0.001</v>
      </c>
      <c r="K49" s="61">
        <f> K$47</f>
        <v>-28913.57448326479</v>
      </c>
      <c r="L49" s="61">
        <f> L$47</f>
        <v>0.0</v>
      </c>
      <c r="M49" s="61">
        <f> M$47</f>
        <v>1991.8791040414935</v>
      </c>
      <c r="N49" s="61">
        <f> N$47</f>
        <v>3468.3434261505045</v>
      </c>
      <c r="O49" s="61">
        <f> O$47</f>
        <v>2106.9835268665106</v>
      </c>
      <c r="P49" s="61">
        <f> P$47</f>
        <v>2321.82287082154</v>
      </c>
      <c r="Q49" s="61">
        <f> Q$47</f>
        <v>2055.1644292187957</v>
      </c>
      <c r="R49" s="61">
        <f> R$47</f>
        <v>2438.120756403156</v>
      </c>
      <c r="S49" s="61">
        <f> S$47</f>
        <v>2172.066125965934</v>
      </c>
      <c r="T49" s="61">
        <f> T$47</f>
        <v>2705.818891390102</v>
      </c>
      <c r="U49" s="61">
        <f> U$47</f>
        <v>2415.0569893433158</v>
      </c>
      <c r="V49" s="61">
        <f> V$47</f>
        <v>2820.7787255341536</v>
      </c>
      <c r="W49" s="61">
        <f> W$47</f>
        <v>2524.909516484431</v>
      </c>
      <c r="X49" s="61">
        <f> X$47</f>
        <v>2905.4594162883404</v>
      </c>
      <c r="Y49" s="61">
        <f> Y$47</f>
        <v>2588.072344659249</v>
      </c>
      <c r="Z49" s="61">
        <f> Z$47</f>
        <v>2997.672188079741</v>
      </c>
      <c r="AA49" s="61">
        <f> AA$47</f>
        <v>2681.825869149111</v>
      </c>
      <c r="AB49" s="61">
        <f> AB$47</f>
        <v>3053.7050333090956</v>
      </c>
      <c r="AC49" s="61">
        <f> AC$47</f>
        <v>2728.098505676017</v>
      </c>
      <c r="AD49" s="61">
        <f> AD$47</f>
        <v>3625.4072576382828</v>
      </c>
      <c r="AE49" s="61">
        <f> AE$47</f>
        <v>3279.8874996575305</v>
      </c>
      <c r="AF49" s="61">
        <f> AF$47</f>
        <v>3715.3608019248104</v>
      </c>
      <c r="AG49" s="61">
        <f> AG$47</f>
        <v>3361.3922795219946</v>
      </c>
      <c r="AH49" s="61">
        <f> AH$47</f>
        <v>3831.3768279060814</v>
      </c>
      <c r="AI49" s="61">
        <f> AI$47</f>
        <v>3477.3637634168886</v>
      </c>
      <c r="AJ49" s="61">
        <f> AJ$47</f>
        <v>3942.5131570329836</v>
      </c>
      <c r="AK49" s="61">
        <f> AK$47</f>
        <v>3583.520229144507</v>
      </c>
      <c r="AL49" s="61">
        <f> AL$47</f>
        <v>4069.719068279597</v>
      </c>
      <c r="AM49" s="61">
        <f> AM$47</f>
        <v>4185.496903240382</v>
      </c>
      <c r="AN49" s="61">
        <f> AN$47</f>
        <v>4750.447668638798</v>
      </c>
      <c r="AO49" s="61">
        <f> AO$47</f>
        <v>4357.8916280557605</v>
      </c>
      <c r="AP49" s="61">
        <f> AP$47</f>
        <v>4895.383645712745</v>
      </c>
      <c r="AQ49" s="61">
        <f> AQ$47</f>
        <v>4500.703995810543</v>
      </c>
      <c r="AR49" s="61">
        <f> AR$47</f>
        <v>5046.767202297569</v>
      </c>
      <c r="AS49" s="61">
        <f> AS$47</f>
        <v>4645.230237341002</v>
      </c>
      <c r="AT49" s="61">
        <f> AT$47</f>
        <v>5187.13357749477</v>
      </c>
      <c r="AU49" s="61">
        <f> AU$47</f>
        <v>3849.7082181176015</v>
      </c>
      <c r="AV49" s="61">
        <f> AV$47</f>
        <v>3782.952646469588</v>
      </c>
      <c r="AW49" s="61">
        <f> AW$47</f>
        <v>3602.6183886539443</v>
      </c>
      <c r="AX49" s="61">
        <f> AX$47</f>
        <v>7506.466947081907</v>
      </c>
      <c r="AY49" s="61">
        <f> AY$47</f>
        <v>7507.2179533938925</v>
      </c>
      <c r="AZ49" s="61">
        <f> AZ$47</f>
        <v>7759.84503043821</v>
      </c>
      <c r="BA49" s="61">
        <f> BA$47</f>
        <v>7517.18227506947</v>
      </c>
      <c r="BB49" s="61">
        <f> BB$47</f>
        <v>7765.071855591032</v>
      </c>
      <c r="BC49" s="61">
        <f> BC$47</f>
        <v>7521.637238564551</v>
      </c>
      <c r="BD49" s="61">
        <f> BD$47</f>
        <v>7786.862296074629</v>
      </c>
      <c r="BE49" s="61">
        <f> BE$47</f>
        <v>7627.988950314166</v>
      </c>
      <c r="BF49" s="61">
        <f> BF$47</f>
        <v>7926.412925883229</v>
      </c>
      <c r="BG49" s="61">
        <f> BG$47</f>
        <v>7703.404245475238</v>
      </c>
      <c r="BH49" s="61">
        <f> BH$47</f>
        <v>7569.490087277265</v>
      </c>
      <c r="BI49" s="61">
        <f> BI$47</f>
        <v>8073.785152795242</v>
      </c>
      <c r="BJ49" s="61">
        <f> BJ$47</f>
        <v>7864.656660041153</v>
      </c>
      <c r="BK49" s="61">
        <f> BK$47</f>
        <v>8164.350522971761</v>
      </c>
      <c r="BL49" s="61">
        <f> BL$47</f>
        <v>7920.158988451464</v>
      </c>
      <c r="BM49" s="61">
        <f> BM$47</f>
        <v>7620.27242300577</v>
      </c>
      <c r="BN49" s="61">
        <f> BN$47</f>
        <v>6608.591626340138</v>
      </c>
      <c r="BO49" s="61">
        <f> BO$47</f>
        <v>7263.244034060712</v>
      </c>
      <c r="BP49" s="61">
        <f> BP$47</f>
        <v>6724.544147981963</v>
      </c>
      <c r="BQ49" s="61">
        <f> BQ$47</f>
        <v>6783.166224349965</v>
      </c>
      <c r="BR49" s="61">
        <f> BR$47</f>
        <v>7452.493753972138</v>
      </c>
      <c r="BS49" s="61">
        <f> BS$47</f>
        <v>6901.718014504093</v>
      </c>
      <c r="BT49" s="61">
        <f> BT$47</f>
        <v>8760.135590997805</v>
      </c>
      <c r="BU49" s="61">
        <f> BU$47</f>
        <v>8201.159265343336</v>
      </c>
      <c r="BV49" s="61">
        <f> BV$47</f>
        <v>8890.566620854173</v>
      </c>
      <c r="BW49" s="61">
        <f> BW$47</f>
        <v>8956.508591625765</v>
      </c>
      <c r="BX49" s="61">
        <f> BX$47</f>
        <v>9022.939658727733</v>
      </c>
      <c r="BY49" s="61">
        <f> BY$47</f>
        <v>9089.863449822671</v>
      </c>
      <c r="BZ49" s="61">
        <f> BZ$47</f>
        <v>9157.283619479796</v>
      </c>
      <c r="CA49" s="61">
        <f> CA$47</f>
        <v>9225.203849374539</v>
      </c>
      <c r="CB49" s="61">
        <f> CB$47</f>
        <v>9293.627848489565</v>
      </c>
      <c r="CC49" s="61">
        <f> CC$47</f>
        <v>9362.559353317347</v>
      </c>
      <c r="CD49" s="61">
        <f> CD$47</f>
        <v>9432.002128064189</v>
      </c>
      <c r="CE49" s="61">
        <f> CE$47</f>
        <v>9501.959964855767</v>
      </c>
      <c r="CF49" s="61">
        <f> CF$47</f>
        <v>9572.436683944248</v>
      </c>
      <c r="CG49" s="61">
        <f> CG$47</f>
        <v>9643.436133916866</v>
      </c>
      <c r="CH49" s="61">
        <f> CH$47</f>
        <v>9714.96219190611</v>
      </c>
      <c r="CI49" s="61">
        <f> CI$47</f>
        <v>9787.018763801438</v>
      </c>
      <c r="CJ49" s="61">
        <f> CJ$47</f>
        <v>9859.609784462573</v>
      </c>
      <c r="CK49" s="61">
        <f> CK$47</f>
        <v>9932.73921793437</v>
      </c>
      <c r="CL49" s="61">
        <f> CL$47</f>
        <v>10006.411057663292</v>
      </c>
      <c r="CM49" s="61">
        <f> CM$47</f>
        <v>19835.29262946767</v>
      </c>
      <c r="CN49" s="61">
        <f> CN$47</f>
        <v>1810.7664905536142</v>
      </c>
      <c r="CO49" s="61">
        <f> CO$47</f>
        <v>0.0</v>
      </c>
    </row>
    <row r="50">
      <c r="E50" s="343" t="str">
        <f> Time!E$25</f>
        <v>Model period ending </v>
      </c>
      <c r="F50" s="343">
        <f> Time!F$25</f>
        <v>0.0</v>
      </c>
      <c r="G50" s="343" t="str">
        <f> Time!G$25</f>
        <v>date</v>
      </c>
      <c r="H50" s="343">
        <f> Time!H$25</f>
        <v>0.0</v>
      </c>
      <c r="I50" s="343">
        <f> Time!I$25</f>
        <v>0.0</v>
      </c>
      <c r="J50" s="343">
        <f> Time!J$25</f>
        <v>44469.0</v>
      </c>
      <c r="K50" s="340">
        <f> Time!K$25</f>
        <v>44561.0</v>
      </c>
      <c r="L50" s="340">
        <f> Time!L$25</f>
        <v>44651.0</v>
      </c>
      <c r="M50" s="340">
        <f> Time!M$25</f>
        <v>44742.0</v>
      </c>
      <c r="N50" s="340">
        <f> Time!N$25</f>
        <v>44834.0</v>
      </c>
      <c r="O50" s="340">
        <f> Time!O$25</f>
        <v>44926.0</v>
      </c>
      <c r="P50" s="340">
        <f> Time!P$25</f>
        <v>45016.0</v>
      </c>
      <c r="Q50" s="340">
        <f> Time!Q$25</f>
        <v>45107.0</v>
      </c>
      <c r="R50" s="340">
        <f> Time!R$25</f>
        <v>45199.0</v>
      </c>
      <c r="S50" s="340">
        <f> Time!S$25</f>
        <v>45291.0</v>
      </c>
      <c r="T50" s="340">
        <f> Time!T$25</f>
        <v>45382.0</v>
      </c>
      <c r="U50" s="340">
        <f> Time!U$25</f>
        <v>45473.0</v>
      </c>
      <c r="V50" s="340">
        <f> Time!V$25</f>
        <v>45565.0</v>
      </c>
      <c r="W50" s="340">
        <f> Time!W$25</f>
        <v>45657.0</v>
      </c>
      <c r="X50" s="340">
        <f> Time!X$25</f>
        <v>45747.0</v>
      </c>
      <c r="Y50" s="340">
        <f> Time!Y$25</f>
        <v>45838.0</v>
      </c>
      <c r="Z50" s="340">
        <f> Time!Z$25</f>
        <v>45930.0</v>
      </c>
      <c r="AA50" s="340">
        <f> Time!AA$25</f>
        <v>46022.0</v>
      </c>
      <c r="AB50" s="340">
        <f> Time!AB$25</f>
        <v>46112.0</v>
      </c>
      <c r="AC50" s="340">
        <f> Time!AC$25</f>
        <v>46203.0</v>
      </c>
      <c r="AD50" s="340">
        <f> Time!AD$25</f>
        <v>46295.0</v>
      </c>
      <c r="AE50" s="340">
        <f> Time!AE$25</f>
        <v>46387.0</v>
      </c>
      <c r="AF50" s="340">
        <f> Time!AF$25</f>
        <v>46477.0</v>
      </c>
      <c r="AG50" s="340">
        <f> Time!AG$25</f>
        <v>46568.0</v>
      </c>
      <c r="AH50" s="340">
        <f> Time!AH$25</f>
        <v>46660.0</v>
      </c>
      <c r="AI50" s="340">
        <f> Time!AI$25</f>
        <v>46752.0</v>
      </c>
      <c r="AJ50" s="340">
        <f> Time!AJ$25</f>
        <v>46843.0</v>
      </c>
      <c r="AK50" s="340">
        <f> Time!AK$25</f>
        <v>46934.0</v>
      </c>
      <c r="AL50" s="340">
        <f> Time!AL$25</f>
        <v>47026.0</v>
      </c>
      <c r="AM50" s="340">
        <f> Time!AM$25</f>
        <v>47118.0</v>
      </c>
      <c r="AN50" s="340">
        <f> Time!AN$25</f>
        <v>47208.0</v>
      </c>
      <c r="AO50" s="340">
        <f> Time!AO$25</f>
        <v>47299.0</v>
      </c>
      <c r="AP50" s="340">
        <f> Time!AP$25</f>
        <v>47391.0</v>
      </c>
      <c r="AQ50" s="340">
        <f> Time!AQ$25</f>
        <v>47483.0</v>
      </c>
      <c r="AR50" s="340">
        <f> Time!AR$25</f>
        <v>47573.0</v>
      </c>
      <c r="AS50" s="340">
        <f> Time!AS$25</f>
        <v>47664.0</v>
      </c>
      <c r="AT50" s="340">
        <f> Time!AT$25</f>
        <v>47756.0</v>
      </c>
      <c r="AU50" s="340">
        <f> Time!AU$25</f>
        <v>47848.0</v>
      </c>
      <c r="AV50" s="340">
        <f> Time!AV$25</f>
        <v>47938.0</v>
      </c>
      <c r="AW50" s="340">
        <f> Time!AW$25</f>
        <v>48029.0</v>
      </c>
      <c r="AX50" s="340">
        <f> Time!AX$25</f>
        <v>48121.0</v>
      </c>
      <c r="AY50" s="340">
        <f> Time!AY$25</f>
        <v>48213.0</v>
      </c>
      <c r="AZ50" s="340">
        <f> Time!AZ$25</f>
        <v>48304.0</v>
      </c>
      <c r="BA50" s="340">
        <f> Time!BA$25</f>
        <v>48395.0</v>
      </c>
      <c r="BB50" s="340">
        <f> Time!BB$25</f>
        <v>48487.0</v>
      </c>
      <c r="BC50" s="340">
        <f> Time!BC$25</f>
        <v>48579.0</v>
      </c>
      <c r="BD50" s="340">
        <f> Time!BD$25</f>
        <v>48669.0</v>
      </c>
      <c r="BE50" s="340">
        <f> Time!BE$25</f>
        <v>48760.0</v>
      </c>
      <c r="BF50" s="340">
        <f> Time!BF$25</f>
        <v>48852.0</v>
      </c>
      <c r="BG50" s="340">
        <f> Time!BG$25</f>
        <v>48944.0</v>
      </c>
      <c r="BH50" s="340">
        <f> Time!BH$25</f>
        <v>49034.0</v>
      </c>
      <c r="BI50" s="340">
        <f> Time!BI$25</f>
        <v>49125.0</v>
      </c>
      <c r="BJ50" s="340">
        <f> Time!BJ$25</f>
        <v>49217.0</v>
      </c>
      <c r="BK50" s="340">
        <f> Time!BK$25</f>
        <v>49309.0</v>
      </c>
      <c r="BL50" s="340">
        <f> Time!BL$25</f>
        <v>49399.0</v>
      </c>
      <c r="BM50" s="340">
        <f> Time!BM$25</f>
        <v>49490.0</v>
      </c>
      <c r="BN50" s="340">
        <f> Time!BN$25</f>
        <v>49582.0</v>
      </c>
      <c r="BO50" s="340">
        <f> Time!BO$25</f>
        <v>49674.0</v>
      </c>
      <c r="BP50" s="340">
        <f> Time!BP$25</f>
        <v>49765.0</v>
      </c>
      <c r="BQ50" s="340">
        <f> Time!BQ$25</f>
        <v>49856.0</v>
      </c>
      <c r="BR50" s="340">
        <f> Time!BR$25</f>
        <v>49948.0</v>
      </c>
      <c r="BS50" s="340">
        <f> Time!BS$25</f>
        <v>50040.0</v>
      </c>
      <c r="BT50" s="340">
        <f> Time!BT$25</f>
        <v>50130.0</v>
      </c>
      <c r="BU50" s="340">
        <f> Time!BU$25</f>
        <v>50221.0</v>
      </c>
      <c r="BV50" s="340">
        <f> Time!BV$25</f>
        <v>50313.0</v>
      </c>
      <c r="BW50" s="340">
        <f> Time!BW$25</f>
        <v>50405.0</v>
      </c>
      <c r="BX50" s="340">
        <f> Time!BX$25</f>
        <v>50495.0</v>
      </c>
      <c r="BY50" s="340">
        <f> Time!BY$25</f>
        <v>50586.0</v>
      </c>
      <c r="BZ50" s="340">
        <f> Time!BZ$25</f>
        <v>50678.0</v>
      </c>
      <c r="CA50" s="340">
        <f> Time!CA$25</f>
        <v>50770.0</v>
      </c>
      <c r="CB50" s="340">
        <f> Time!CB$25</f>
        <v>50860.0</v>
      </c>
      <c r="CC50" s="340">
        <f> Time!CC$25</f>
        <v>50951.0</v>
      </c>
      <c r="CD50" s="340">
        <f> Time!CD$25</f>
        <v>51043.0</v>
      </c>
      <c r="CE50" s="340">
        <f> Time!CE$25</f>
        <v>51135.0</v>
      </c>
      <c r="CF50" s="340">
        <f> Time!CF$25</f>
        <v>51226.0</v>
      </c>
      <c r="CG50" s="340">
        <f> Time!CG$25</f>
        <v>51317.0</v>
      </c>
      <c r="CH50" s="340">
        <f> Time!CH$25</f>
        <v>51409.0</v>
      </c>
      <c r="CI50" s="340">
        <f> Time!CI$25</f>
        <v>51501.0</v>
      </c>
      <c r="CJ50" s="340">
        <f> Time!CJ$25</f>
        <v>51591.0</v>
      </c>
      <c r="CK50" s="340">
        <f> Time!CK$25</f>
        <v>51682.0</v>
      </c>
      <c r="CL50" s="340">
        <f> Time!CL$25</f>
        <v>51774.0</v>
      </c>
      <c r="CM50" s="340">
        <f> Time!CM$25</f>
        <v>51866.0</v>
      </c>
      <c r="CN50" s="340">
        <f> Time!CN$25</f>
        <v>51956.0</v>
      </c>
      <c r="CO50" s="340">
        <f> Time!CO$25</f>
        <v>52047.0</v>
      </c>
    </row>
    <row r="51">
      <c r="E51" s="260" t="inlineStr">
        <is>
          <t>Shareholder internal rate of return</t>
        </is>
      </c>
      <c r="F51" s="389">
        <f>XIRR(J49:CO49,J50:CO50)</f>
        <v>0.4303359863473701</v>
      </c>
      <c r="G51" s="260" t="inlineStr">
        <is>
          <t>%p.a</t>
        </is>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20.xml><?xml version="1.0" encoding="utf-8"?>
<worksheet xmlns="http://schemas.openxmlformats.org/spreadsheetml/2006/main">
  <sheetPr>
    <tabColor rgb="00141B4D"/>
    <outlinePr summaryBelow="0" summaryRight="0"/>
    <pageSetUpPr/>
  </sheetPr>
  <dimension ref="A1:O79"/>
  <sheetViews>
    <sheetView showGridLines="0" defaultGridColor="0" colorId="22" zoomScale="85" zoomScaleNormal="100" workbookViewId="0">
      <pane xSplit="9" ySplit="5" topLeftCell="J15" activePane="bottomRight" state="frozen"/>
      <selection activeCell="F2" sqref="F2:G4"/>
      <selection pane="topRight" activeCell="F2" sqref="F2:G4"/>
      <selection pane="bottomLeft" activeCell="F2" sqref="F2:G4"/>
      <selection pane="bottomRight" activeCell="P72" sqref="P72"/>
    </sheetView>
  </sheetViews>
  <sheetFormatPr baseColWidth="10" defaultColWidth="0" defaultRowHeight="13" outlineLevelRow="1"/>
  <cols>
    <col width="1.1640625" customWidth="1" style="294" min="1" max="2"/>
    <col width="1.1640625" customWidth="1" style="212" min="3" max="3"/>
    <col width="1.1640625" customWidth="1" style="61" min="4" max="4"/>
    <col width="40.83203125" customWidth="1" style="61" min="5" max="5"/>
    <col width="12.83203125" customWidth="1" style="61" min="6" max="6"/>
    <col width="11.6640625" customWidth="1" style="61" min="7" max="7"/>
    <col width="12.83203125" customWidth="1" style="61" min="8" max="8"/>
    <col width="2.6640625" customWidth="1" style="61" min="9" max="9"/>
    <col width="4.6640625" customWidth="1" style="61" min="10" max="10"/>
    <col width="11.6640625" customWidth="1" style="61" min="11" max="11"/>
    <col width="11.6640625" customWidth="1" style="402" min="12" max="12"/>
    <col width="2.6640625" customWidth="1" style="213" min="13" max="13"/>
    <col width="15.6640625" customWidth="1" style="61" min="14" max="14"/>
    <col width="2.6640625" customWidth="1" style="213" min="15" max="15"/>
    <col width="9.1640625" customWidth="1" style="61" min="16" max="20"/>
    <col hidden="1" width="13" customWidth="1" style="61" min="21" max="22"/>
    <col hidden="1" width="9.1640625" customWidth="1" style="61" min="23" max="93"/>
  </cols>
  <sheetData>
    <row r="1" ht="25" customFormat="1" customHeight="1" s="200">
      <c r="A1" s="195">
        <f> RIGHT(CELL("filename", $A$1), LEN(CELL("filename", $A$1)) - SEARCH("]", CELL("filename", $A$1)))</f>
        <v/>
      </c>
      <c r="B1" s="1" t="n"/>
      <c r="C1" s="196" t="n"/>
      <c r="F1" s="198" t="n"/>
      <c r="H1" s="199" t="n"/>
      <c r="I1" s="200" t="n"/>
      <c r="J1" s="201" t="n"/>
      <c r="L1" s="403" t="n"/>
      <c r="M1" s="203" t="inlineStr">
        <is>
          <t>do not del col</t>
        </is>
      </c>
      <c r="N1" s="204" t="n"/>
      <c r="O1" s="203" t="inlineStr">
        <is>
          <t>do not del col</t>
        </is>
      </c>
    </row>
    <row r="2" ht="15" customFormat="1" customHeight="1" s="152">
      <c r="B2" s="294" t="n"/>
      <c r="C2" s="212" t="n"/>
      <c r="D2" s="61" t="n"/>
      <c r="E2" s="205" t="n"/>
      <c r="F2" s="0" t="n"/>
      <c r="G2" s="0" t="n"/>
      <c r="H2" s="206">
        <f>TODAY()</f>
        <v>46305.0</v>
      </c>
      <c r="I2" s="61" t="n"/>
      <c r="J2" s="8">
        <f> SUM(J6:J75)</f>
        <v>56.0</v>
      </c>
      <c r="K2" s="61" t="n"/>
      <c r="L2" s="402" t="n"/>
      <c r="M2" s="203" t="n"/>
      <c r="N2" s="205" t="n"/>
      <c r="O2" s="203" t="n"/>
    </row>
    <row r="3" ht="15" customFormat="1" customHeight="1" s="152">
      <c r="B3" s="294" t="n"/>
      <c r="C3" s="212" t="n"/>
      <c r="D3" s="61" t="n"/>
      <c r="E3" s="205" t="n"/>
      <c r="F3" s="0" t="n"/>
      <c r="G3" s="0" t="n"/>
      <c r="H3" s="208" t="n"/>
      <c r="I3" s="61" t="n"/>
      <c r="J3" s="61" t="n"/>
      <c r="K3" s="61" t="n"/>
      <c r="L3" s="402" t="n"/>
      <c r="M3" s="203" t="n"/>
      <c r="N3" s="205" t="n"/>
      <c r="O3" s="203" t="n"/>
    </row>
    <row r="4" ht="15" customFormat="1" customHeight="1" s="152">
      <c r="B4" s="294" t="n"/>
      <c r="C4" s="212" t="n"/>
      <c r="D4" s="61" t="n"/>
      <c r="E4" s="205" t="n"/>
      <c r="F4" s="0" t="n"/>
      <c r="G4" s="0" t="n"/>
      <c r="H4" s="209" t="n"/>
      <c r="I4" s="61" t="n"/>
      <c r="J4" s="61" t="n"/>
      <c r="K4" s="61" t="n"/>
      <c r="L4" s="402" t="n"/>
      <c r="M4" s="203" t="n"/>
      <c r="N4" s="205" t="n"/>
      <c r="O4" s="203" t="n"/>
    </row>
    <row r="5">
      <c r="E5" s="61" t="inlineStr">
        <is>
          <t>Comparison column label</t>
        </is>
      </c>
      <c r="H5" s="211" t="inlineStr">
        <is>
          <t>Base</t>
        </is>
      </c>
      <c r="J5" s="61">
        <f> MATCH($H$5, M5:O5, 0)</f>
        <v>1.0</v>
      </c>
      <c r="K5" s="212" t="inlineStr">
        <is>
          <t>Difference</t>
        </is>
      </c>
      <c r="L5" s="212" t="inlineStr">
        <is>
          <t>Diff Pct</t>
        </is>
      </c>
      <c r="M5" s="213" t="inlineStr">
        <is>
          <t>Base</t>
        </is>
      </c>
      <c r="N5" s="211" t="inlineStr">
        <is>
          <t>Downside</t>
        </is>
      </c>
      <c r="O5" s="213" t="inlineStr">
        <is>
          <t>Upside</t>
        </is>
      </c>
    </row>
    <row r="6" customFormat="1" s="213">
      <c r="A6" s="214" t="n"/>
      <c r="B6" s="214" t="n"/>
      <c r="C6" s="215" t="n"/>
      <c r="E6" s="214" t="inlineStr">
        <is>
          <t>[do not delete row]</t>
        </is>
      </c>
      <c r="F6" s="216" t="n"/>
      <c r="J6" s="217" t="inlineStr">
        <is>
          <t>range start</t>
        </is>
      </c>
      <c r="L6" s="404" t="n"/>
    </row>
    <row r="7" customFormat="1" s="297">
      <c r="A7" s="303" t="inlineStr">
        <is>
          <t>KEY OUTPUTS</t>
        </is>
      </c>
      <c r="B7" s="303" t="n"/>
      <c r="C7" s="302" t="n"/>
      <c r="F7" s="301" t="n"/>
      <c r="K7" s="298" t="n"/>
      <c r="L7" s="405" t="n"/>
      <c r="N7" s="299" t="n"/>
      <c r="O7" s="298" t="n"/>
    </row>
    <row r="8" outlineLevel="1" customFormat="1" s="61">
      <c r="A8" s="61" t="n"/>
      <c r="B8" s="294" t="n"/>
      <c r="C8" s="212" t="n"/>
      <c r="D8" s="61" t="n"/>
      <c r="E8" s="61" t="inlineStr">
        <is>
          <t>Sponsor NPV at required return (blended)</t>
        </is>
      </c>
      <c r="G8" s="61" t="inlineStr">
        <is>
          <t>$ 000s</t>
        </is>
      </c>
      <c r="H8" s="490">
        <f>Val!F41</f>
        <v>28243.559585447718</v>
      </c>
      <c r="I8" s="61" t="n"/>
      <c r="J8" s="226">
        <f> IF(ABS(K8) &gt; CHK_TOL, 1, 0)</f>
        <v>1.0</v>
      </c>
      <c r="K8" s="490">
        <f> H8 - INDEX(M8:O8, $J$5)</f>
        <v>28243.559585447718</v>
      </c>
      <c r="L8" s="513">
        <f> IF(ABS(K8) &gt; CHK_TOL, IF(INDEX(M8:O8, $J$5) = 0, 0, H8 / INDEX(M8:O8, $J$5) - 1), 0)</f>
        <v>0.0</v>
      </c>
      <c r="M8" s="514" t="n">
        <v>28243.55958544772</v>
      </c>
      <c r="N8" s="515" t="n">
        <v>-7230.724550240018</v>
      </c>
      <c r="O8" s="516" t="n">
        <v>53023.72041746605</v>
      </c>
    </row>
    <row r="9" outlineLevel="1" customFormat="1" s="271">
      <c r="B9" s="387" t="n"/>
      <c r="C9" s="271" t="n"/>
      <c r="D9" s="271" t="n"/>
      <c r="E9" s="307" t="inlineStr">
        <is>
          <t>Sponsor IRR (XIRR, blended)</t>
        </is>
      </c>
      <c r="F9" s="271" t="n"/>
      <c r="G9" s="307" t="inlineStr">
        <is>
          <t>% p.a.</t>
        </is>
      </c>
      <c r="H9" s="411">
        <f>Val!F51</f>
        <v>0.4303359863473701</v>
      </c>
      <c r="I9" s="271" t="n"/>
      <c r="J9" s="272">
        <f> IF(ABS(K9) &gt; CHK_TOL, 1, 0)</f>
        <v>1.0</v>
      </c>
      <c r="K9" s="412">
        <f> H9 - INDEX(M9:O9, $J$5)</f>
        <v>0.4303359863473701</v>
      </c>
      <c r="L9" s="517">
        <f> IF(ABS(K9) &gt; CHK_TOL, IF(INDEX(M9:O9, $J$5) = 0, 0, H9 / INDEX(M9:O9, $J$5) - 1), 0)</f>
        <v>0.0</v>
      </c>
      <c r="M9" s="414" t="n">
        <v>0.4303359863473701</v>
      </c>
      <c r="N9" s="415" t="n">
        <v>0.2234108790303499</v>
      </c>
      <c r="O9" s="416" t="n">
        <v>0.6690296825377111</v>
      </c>
    </row>
    <row r="10" outlineLevel="1" customFormat="1" s="61">
      <c r="B10" s="294" t="n"/>
      <c r="C10" s="61" t="n"/>
      <c r="D10" s="61" t="n"/>
      <c r="E10" s="325" t="inlineStr">
        <is>
          <t>Total CFADS (20 years)</t>
        </is>
      </c>
      <c r="F10" s="61" t="n"/>
      <c r="G10" s="325" t="inlineStr">
        <is>
          <t>$ 000s</t>
        </is>
      </c>
      <c r="H10" s="498">
        <f>FinStat!H39</f>
        <v>591529.2767405927</v>
      </c>
      <c r="I10" s="61" t="n"/>
      <c r="J10" s="226">
        <f> IF(ABS(K10) &gt; CHK_TOL, 1, 0)</f>
        <v>1.0</v>
      </c>
      <c r="K10" s="490">
        <f> H10 - INDEX(M10:O10, $J$5)</f>
        <v>591529.2767405927</v>
      </c>
      <c r="L10" s="513">
        <f> IF(ABS(K10) &gt; CHK_TOL, IF(INDEX(M10:O10, $J$5) = 0, 0, H10 / INDEX(M10:O10, $J$5) - 1), 0)</f>
        <v>0.0</v>
      </c>
      <c r="M10" s="514" t="n">
        <v>591529.2767405927</v>
      </c>
      <c r="N10" s="515" t="n">
        <v>449171.5872374453</v>
      </c>
      <c r="O10" s="516" t="n">
        <v>727308.4558300669</v>
      </c>
    </row>
    <row r="11" outlineLevel="1" customFormat="1" s="277">
      <c r="B11" s="391" t="n"/>
      <c r="C11" s="277" t="n"/>
      <c r="D11" s="277" t="n"/>
      <c r="E11" s="306" t="inlineStr">
        <is>
          <t>Minimum DSCR</t>
        </is>
      </c>
      <c r="F11" s="277" t="n"/>
      <c r="G11" s="306" t="inlineStr">
        <is>
          <t>x</t>
        </is>
      </c>
      <c r="H11" s="418">
        <f>Ratios!F13</f>
        <v>2.2966072005060587</v>
      </c>
      <c r="I11" s="277" t="n"/>
      <c r="J11" s="279">
        <f> IF(ABS(K11) &gt; CHK_TOL, 1, 0)</f>
        <v>1.0</v>
      </c>
      <c r="K11" s="419">
        <f> H11 - INDEX(M11:O11, $J$5)</f>
        <v>2.2966072005060587</v>
      </c>
      <c r="L11" s="518">
        <f> IF(ABS(K11) &gt; CHK_TOL, IF(INDEX(M11:O11, $J$5) = 0, 0, H11 / INDEX(M11:O11, $J$5) - 1), 0)</f>
        <v>0.0</v>
      </c>
      <c r="M11" s="421" t="n">
        <v>2.296607200506059</v>
      </c>
      <c r="N11" s="422" t="n">
        <v>2.3424558939528</v>
      </c>
      <c r="O11" s="423" t="n">
        <v>2.682011561236592</v>
      </c>
    </row>
    <row r="12" outlineLevel="1" customFormat="1" s="61">
      <c r="B12" s="294" t="n"/>
      <c r="C12" s="61" t="n"/>
      <c r="D12" s="61" t="n"/>
      <c r="E12" s="61" t="inlineStr">
        <is>
          <t>Senior debt at financial close</t>
        </is>
      </c>
      <c r="F12" s="61" t="n"/>
      <c r="G12" s="61" t="inlineStr">
        <is>
          <t>$ 000s</t>
        </is>
      </c>
      <c r="H12" s="490">
        <f>Debt!F11</f>
        <v>72154.22476191197</v>
      </c>
      <c r="I12" s="61" t="n"/>
      <c r="J12" s="226">
        <f> IF(ABS(K12) &gt; CHK_TOL, 1, 0)</f>
        <v>1.0</v>
      </c>
      <c r="K12" s="490">
        <f> H12 - INDEX(M12:O12, $J$5)</f>
        <v>72154.22476191197</v>
      </c>
      <c r="L12" s="513">
        <f> IF(ABS(K12) &gt; CHK_TOL, IF(INDEX(M12:O12, $J$5) = 0, 0, H12 / INDEX(M12:O12, $J$5) - 1), 0)</f>
        <v>0.0</v>
      </c>
      <c r="M12" s="514" t="n">
        <v>72154.22476191197</v>
      </c>
      <c r="N12" s="515" t="n">
        <v>53910.52105918301</v>
      </c>
      <c r="O12" s="516" t="n">
        <v>76052.23819257086</v>
      </c>
    </row>
    <row r="13" customFormat="1" s="297">
      <c r="A13" s="303" t="inlineStr">
        <is>
          <t>PROFIT &amp; LOSS</t>
        </is>
      </c>
      <c r="B13" s="303" t="n"/>
      <c r="C13" s="302" t="n"/>
      <c r="F13" s="301" t="n"/>
      <c r="K13" s="298" t="n"/>
      <c r="L13" s="405" t="n"/>
      <c r="N13" s="299" t="n"/>
      <c r="O13" s="298" t="n"/>
    </row>
    <row r="14" outlineLevel="1" customFormat="1" s="61">
      <c r="A14" s="294" t="n"/>
      <c r="B14" s="294" t="n"/>
      <c r="C14" s="61" t="n"/>
      <c r="D14" s="61" t="n"/>
      <c r="E14" s="61" t="inlineStr">
        <is>
          <t>Operating revenue</t>
        </is>
      </c>
      <c r="F14" s="61" t="n"/>
      <c r="G14" s="61" t="inlineStr">
        <is>
          <t>$ 000s</t>
        </is>
      </c>
      <c r="H14" s="490">
        <f>FinStat!H9</f>
        <v>1941568.6331634293</v>
      </c>
      <c r="I14" s="61" t="n"/>
      <c r="J14" s="226">
        <f> IF(ABS(K14) &gt; CHK_TOL, 1, 0)</f>
        <v>1.0</v>
      </c>
      <c r="K14" s="490">
        <f> H14 - INDEX(M14:O14, $J$5)</f>
        <v>1941568.6331634293</v>
      </c>
      <c r="L14" s="513">
        <f> IF(ABS(K14) &gt; CHK_TOL, IF(INDEX(M14:O14, $J$5) = 0, 0, H14 / INDEX(M14:O14, $J$5) - 1), 0)</f>
        <v>0.0</v>
      </c>
      <c r="M14" s="514" t="n">
        <v>1941568.633163429</v>
      </c>
      <c r="N14" s="515" t="n">
        <v>1747411.769847087</v>
      </c>
      <c r="O14" s="516" t="n">
        <v>2135725.496479772</v>
      </c>
    </row>
    <row r="15" outlineLevel="1" customFormat="1" s="61">
      <c r="A15" s="294" t="n"/>
      <c r="B15" s="294" t="n"/>
      <c r="C15" s="212" t="n"/>
      <c r="D15" s="61" t="n"/>
      <c r="E15" s="308" t="inlineStr">
        <is>
          <t>Operating cost</t>
        </is>
      </c>
      <c r="F15" s="308" t="n"/>
      <c r="G15" s="308" t="inlineStr">
        <is>
          <t>$ 000s</t>
        </is>
      </c>
      <c r="H15" s="519">
        <f>FinStat!H10</f>
        <v>-1152373.432337585</v>
      </c>
      <c r="I15" s="61" t="n"/>
      <c r="J15" s="226">
        <f> IF(ABS(K15) &gt; CHK_TOL, 1, 0)</f>
        <v>1.0</v>
      </c>
      <c r="K15" s="490">
        <f> H15 - INDEX(M15:O15, $J$5)</f>
        <v>-1152373.432337585</v>
      </c>
      <c r="L15" s="513">
        <f> IF(ABS(K15) &gt; CHK_TOL, IF(INDEX(M15:O15, $J$5) = 0, 0, H15 / INDEX(M15:O15, $J$5) - 1), 0)</f>
        <v>0.0</v>
      </c>
      <c r="M15" s="514" t="n">
        <v>-1152373.432337585</v>
      </c>
      <c r="N15" s="515" t="n">
        <v>-1162860.872371655</v>
      </c>
      <c r="O15" s="516" t="n">
        <v>-1152373.432337585</v>
      </c>
    </row>
    <row r="16" outlineLevel="1" customFormat="1" s="61">
      <c r="A16" s="294" t="n"/>
      <c r="B16" s="294" t="n"/>
      <c r="C16" s="212" t="n"/>
      <c r="D16" s="61" t="n"/>
      <c r="E16" s="308" t="inlineStr">
        <is>
          <t>EBITDA</t>
        </is>
      </c>
      <c r="F16" s="308" t="n"/>
      <c r="G16" s="308" t="inlineStr">
        <is>
          <t>$ 000s</t>
        </is>
      </c>
      <c r="H16" s="519">
        <f>FinStat!H11</f>
        <v>789195.2008258444</v>
      </c>
      <c r="I16" s="61" t="n"/>
      <c r="J16" s="226">
        <f> IF(ABS(K16) &gt; CHK_TOL, 1, 0)</f>
        <v>1.0</v>
      </c>
      <c r="K16" s="490">
        <f> H16 - INDEX(M16:O16, $J$5)</f>
        <v>789195.2008258444</v>
      </c>
      <c r="L16" s="513">
        <f> IF(ABS(K16) &gt; CHK_TOL, IF(INDEX(M16:O16, $J$5) = 0, 0, H16 / INDEX(M16:O16, $J$5) - 1), 0)</f>
        <v>0.0</v>
      </c>
      <c r="M16" s="514" t="n">
        <v>789195.2008258444</v>
      </c>
      <c r="N16" s="515" t="n">
        <v>584550.8974754317</v>
      </c>
      <c r="O16" s="516" t="n">
        <v>983352.0641421876</v>
      </c>
    </row>
    <row r="17" outlineLevel="1" customFormat="1" s="260">
      <c r="A17" s="263" t="n"/>
      <c r="B17" s="263" t="n"/>
      <c r="C17" s="264" t="n"/>
      <c r="D17" s="260" t="n"/>
      <c r="E17" s="305" t="inlineStr">
        <is>
          <t>EBITDA margin</t>
        </is>
      </c>
      <c r="F17" s="305" t="n"/>
      <c r="G17" s="305" t="inlineStr">
        <is>
          <t>%</t>
        </is>
      </c>
      <c r="H17" s="520">
        <f>IF(H14=0,0,H16/H14)</f>
        <v>0.40647298650472935</v>
      </c>
      <c r="I17" s="260" t="n"/>
      <c r="J17" s="265">
        <f> IF(ABS(K17) &gt; CHK_TOL, 1, 0)</f>
        <v>1.0</v>
      </c>
      <c r="K17" s="521">
        <f> H17 - INDEX(M17:O17, $J$5)</f>
        <v>0.40647298650472935</v>
      </c>
      <c r="L17" s="522">
        <f> IF(ABS(K17) &gt; CHK_TOL, IF(INDEX(M17:O17, $J$5) = 0, 0, H17 / INDEX(M17:O17, $J$5) - 1), 0)</f>
        <v>0.0</v>
      </c>
      <c r="M17" s="523" t="n">
        <v>0.4064729865047293</v>
      </c>
      <c r="N17" s="524" t="n">
        <v>0.3345238412389684</v>
      </c>
      <c r="O17" s="525" t="n">
        <v>0.4604299877315723</v>
      </c>
    </row>
    <row r="18" outlineLevel="1" customFormat="1" s="61">
      <c r="A18" s="294" t="n"/>
      <c r="B18" s="294" t="n"/>
      <c r="C18" s="212" t="n"/>
      <c r="D18" s="61" t="n"/>
      <c r="E18" s="308" t="inlineStr">
        <is>
          <t>Accounting depreciation</t>
        </is>
      </c>
      <c r="F18" s="308" t="n"/>
      <c r="G18" s="308" t="inlineStr">
        <is>
          <t>$ 000s</t>
        </is>
      </c>
      <c r="H18" s="519">
        <f>FinStat!H13</f>
        <v>-109067.79924517678</v>
      </c>
      <c r="I18" s="61" t="n"/>
      <c r="J18" s="226">
        <f> IF(ABS(K18) &gt; CHK_TOL, 1, 0)</f>
        <v>1.0</v>
      </c>
      <c r="K18" s="490">
        <f> H18 - INDEX(M18:O18, $J$5)</f>
        <v>-109067.79924517678</v>
      </c>
      <c r="L18" s="513">
        <f> IF(ABS(K18) &gt; CHK_TOL, IF(INDEX(M18:O18, $J$5) = 0, 0, H18 / INDEX(M18:O18, $J$5) - 1), 0)</f>
        <v>0.0</v>
      </c>
      <c r="M18" s="514" t="n">
        <v>-109067.7992451768</v>
      </c>
      <c r="N18" s="515" t="n">
        <v>-107498.1703785417</v>
      </c>
      <c r="O18" s="516" t="n">
        <v>-109402.9842567611</v>
      </c>
    </row>
    <row r="19" outlineLevel="1" customFormat="1" s="61">
      <c r="A19" s="294" t="n"/>
      <c r="B19" s="294" t="n"/>
      <c r="C19" s="212" t="n"/>
      <c r="D19" s="61" t="n"/>
      <c r="E19" s="308" t="inlineStr">
        <is>
          <t>Senior debt interest</t>
        </is>
      </c>
      <c r="F19" s="308" t="n"/>
      <c r="G19" s="308" t="inlineStr">
        <is>
          <t>$ 000s</t>
        </is>
      </c>
      <c r="H19" s="519">
        <f>FinStat!H14</f>
        <v>-29083.355014702807</v>
      </c>
      <c r="I19" s="61" t="n"/>
      <c r="J19" s="226">
        <f> IF(ABS(K19) &gt; CHK_TOL, 1, 0)</f>
        <v>1.0</v>
      </c>
      <c r="K19" s="490">
        <f> H19 - INDEX(M19:O19, $J$5)</f>
        <v>-29083.355014702807</v>
      </c>
      <c r="L19" s="513">
        <f> IF(ABS(K19) &gt; CHK_TOL, IF(INDEX(M19:O19, $J$5) = 0, 0, H19 / INDEX(M19:O19, $J$5) - 1), 0)</f>
        <v>0.0</v>
      </c>
      <c r="M19" s="514" t="n">
        <v>-29083.35501470281</v>
      </c>
      <c r="N19" s="515" t="n">
        <v>-21609.71572497992</v>
      </c>
      <c r="O19" s="516" t="n">
        <v>-30771.76875248419</v>
      </c>
    </row>
    <row r="20" outlineLevel="1" customFormat="1" s="61">
      <c r="A20" s="294" t="n"/>
      <c r="B20" s="294" t="n"/>
      <c r="C20" s="212" t="n"/>
      <c r="D20" s="61" t="n"/>
      <c r="E20" s="308" t="inlineStr">
        <is>
          <t>Profit before tax</t>
        </is>
      </c>
      <c r="F20" s="308" t="n"/>
      <c r="G20" s="308" t="inlineStr">
        <is>
          <t>$ 000s</t>
        </is>
      </c>
      <c r="H20" s="519">
        <f>FinStat!H16</f>
        <v>632219.7469508392</v>
      </c>
      <c r="I20" s="61" t="n"/>
      <c r="J20" s="226">
        <f> IF(ABS(K20) &gt; CHK_TOL, 1, 0)</f>
        <v>1.0</v>
      </c>
      <c r="K20" s="490">
        <f> H20 - INDEX(M20:O20, $J$5)</f>
        <v>632219.7469508392</v>
      </c>
      <c r="L20" s="513">
        <f> IF(ABS(K20) &gt; CHK_TOL, IF(INDEX(M20:O20, $J$5) = 0, 0, H20 / INDEX(M20:O20, $J$5) - 1), 0)</f>
        <v>0.0</v>
      </c>
      <c r="M20" s="514" t="n">
        <v>632219.7469508392</v>
      </c>
      <c r="N20" s="515" t="n">
        <v>424597.7007932878</v>
      </c>
      <c r="O20" s="516" t="n">
        <v>826812.0277070688</v>
      </c>
    </row>
    <row r="21" outlineLevel="1" customFormat="1" s="260">
      <c r="A21" s="263" t="n"/>
      <c r="B21" s="263" t="n"/>
      <c r="C21" s="264" t="n"/>
      <c r="D21" s="260" t="n"/>
      <c r="E21" s="305" t="inlineStr">
        <is>
          <t>Tax expense</t>
        </is>
      </c>
      <c r="F21" s="305" t="n"/>
      <c r="G21" s="305" t="inlineStr">
        <is>
          <t>$ 000s</t>
        </is>
      </c>
      <c r="H21" s="526">
        <f>FinStat!H18</f>
        <v>-189665.92408525175</v>
      </c>
      <c r="I21" s="260" t="n"/>
      <c r="J21" s="265">
        <f> IF(ABS(K21) &gt; CHK_TOL, 1, 0)</f>
        <v>1.0</v>
      </c>
      <c r="K21" s="527">
        <f> H21 - INDEX(M21:O21, $J$5)</f>
        <v>-189665.92408525175</v>
      </c>
      <c r="L21" s="522">
        <f> IF(ABS(K21) &gt; CHK_TOL, IF(INDEX(M21:O21, $J$5) = 0, 0, H21 / INDEX(M21:O21, $J$5) - 1), 0)</f>
        <v>0.0</v>
      </c>
      <c r="M21" s="528" t="n">
        <v>-189665.9240852518</v>
      </c>
      <c r="N21" s="529" t="n">
        <v>-127379.3102379863</v>
      </c>
      <c r="O21" s="530" t="n">
        <v>-248043.6083121206</v>
      </c>
    </row>
    <row r="22" outlineLevel="1" customFormat="1" s="61">
      <c r="A22" s="294" t="n"/>
      <c r="B22" s="294" t="n"/>
      <c r="C22" s="212" t="n"/>
      <c r="D22" s="61" t="n"/>
      <c r="E22" s="308" t="inlineStr">
        <is>
          <t>Profit after tax</t>
        </is>
      </c>
      <c r="F22" s="308" t="n"/>
      <c r="G22" s="308" t="inlineStr">
        <is>
          <t>$ 000s</t>
        </is>
      </c>
      <c r="H22" s="519">
        <f>FinStat!H19</f>
        <v>442553.82286558737</v>
      </c>
      <c r="I22" s="61" t="n"/>
      <c r="J22" s="226">
        <f> IF(ABS(K22) &gt; CHK_TOL, 1, 0)</f>
        <v>1.0</v>
      </c>
      <c r="K22" s="490">
        <f> H22 - INDEX(M22:O22, $J$5)</f>
        <v>442553.82286558737</v>
      </c>
      <c r="L22" s="513">
        <f> IF(ABS(K22) &gt; CHK_TOL, IF(INDEX(M22:O22, $J$5) = 0, 0, H22 / INDEX(M22:O22, $J$5) - 1), 0)</f>
        <v>0.0</v>
      </c>
      <c r="M22" s="514" t="n">
        <v>442553.8228655874</v>
      </c>
      <c r="N22" s="515" t="n">
        <v>297218.3905553015</v>
      </c>
      <c r="O22" s="516" t="n">
        <v>578768.4193949482</v>
      </c>
    </row>
    <row r="23" outlineLevel="1" customFormat="1" s="61">
      <c r="A23" s="294" t="n"/>
      <c r="B23" s="294" t="n"/>
      <c r="C23" s="212" t="n"/>
      <c r="D23" s="61" t="n"/>
      <c r="E23" s="308" t="inlineStr">
        <is>
          <t>Effective tax rate</t>
        </is>
      </c>
      <c r="F23" s="308" t="n"/>
      <c r="G23" s="308" t="inlineStr">
        <is>
          <t>%</t>
        </is>
      </c>
      <c r="H23" s="531">
        <f>IF(H20=0,0,-H21/H20)</f>
        <v>0.3</v>
      </c>
      <c r="I23" s="61" t="n"/>
      <c r="J23" s="226">
        <f> IF(ABS(K23) &gt; CHK_TOL, 1, 0)</f>
        <v>1.0</v>
      </c>
      <c r="K23" s="532">
        <f> H23 - INDEX(M23:O23, $J$5)</f>
        <v>0.3</v>
      </c>
      <c r="L23" s="513">
        <f> IF(ABS(K23) &gt; CHK_TOL, IF(INDEX(M23:O23, $J$5) = 0, 0, H23 / INDEX(M23:O23, $J$5) - 1), 0)</f>
        <v>0.0</v>
      </c>
      <c r="M23" s="533" t="n">
        <v>0.3</v>
      </c>
      <c r="N23" s="534" t="n">
        <v>0.3</v>
      </c>
      <c r="O23" s="535" t="n">
        <v>0.3</v>
      </c>
    </row>
    <row r="24" outlineLevel="1" customFormat="1" s="260">
      <c r="A24" s="263" t="n"/>
      <c r="B24" s="263" t="n"/>
      <c r="C24" s="264" t="n"/>
      <c r="D24" s="260" t="n"/>
      <c r="E24" s="305" t="str">
        <f>"Operating revenue FY"&amp;F24</f>
        <v>Operating revenue FY2022</v>
      </c>
      <c r="F24" s="441" t="n">
        <v>2022</v>
      </c>
      <c r="G24" s="305" t="inlineStr">
        <is>
          <t>$ 000s</t>
        </is>
      </c>
      <c r="H24" s="526">
        <f>SUMIFS(FinStat!$J$9:$CO$9,FinStat!$J$4:$CO$4,$F24)</f>
        <v>62837.028376098526</v>
      </c>
      <c r="I24" s="260" t="n"/>
      <c r="J24" s="265">
        <f> IF(ABS(K24) &gt; CHK_TOL, 1, 0)</f>
        <v>1.0</v>
      </c>
      <c r="K24" s="527">
        <f> H24 - INDEX(M24:O24, $J$5)</f>
        <v>62837.028376098526</v>
      </c>
      <c r="L24" s="522">
        <f> IF(ABS(K24) &gt; CHK_TOL, IF(INDEX(M24:O24, $J$5) = 0, 0, H24 / INDEX(M24:O24, $J$5) - 1), 0)</f>
        <v>0.0</v>
      </c>
      <c r="M24" s="528" t="n">
        <v>62837.02837609853</v>
      </c>
      <c r="N24" s="529" t="n">
        <v>56553.32553848867</v>
      </c>
      <c r="O24" s="530" t="n">
        <v>69120.73121370838</v>
      </c>
    </row>
    <row r="25" outlineLevel="1" customFormat="1" s="61">
      <c r="A25" s="294" t="n"/>
      <c r="B25" s="294" t="n"/>
      <c r="C25" s="212" t="n"/>
      <c r="D25" s="61" t="n"/>
      <c r="E25" s="308" t="str">
        <f>"Operating revenue FY"&amp;F25</f>
        <v>Operating revenue FY2023</v>
      </c>
      <c r="F25" s="442" t="n">
        <v>2023</v>
      </c>
      <c r="G25" s="308" t="inlineStr">
        <is>
          <t>$ 000s</t>
        </is>
      </c>
      <c r="H25" s="519">
        <f>SUMIFS(FinStat!$J$9:$CO$9,FinStat!$J$4:$CO$4,$F25)</f>
        <v>66458.89715305543</v>
      </c>
      <c r="I25" s="61" t="n"/>
      <c r="J25" s="226">
        <f> IF(ABS(K25) &gt; CHK_TOL, 1, 0)</f>
        <v>1.0</v>
      </c>
      <c r="K25" s="490">
        <f> H25 - INDEX(M25:O25, $J$5)</f>
        <v>66458.89715305543</v>
      </c>
      <c r="L25" s="513">
        <f> IF(ABS(K25) &gt; CHK_TOL, IF(INDEX(M25:O25, $J$5) = 0, 0, H25 / INDEX(M25:O25, $J$5) - 1), 0)</f>
        <v>0.0</v>
      </c>
      <c r="M25" s="514" t="n">
        <v>66458.89715305543</v>
      </c>
      <c r="N25" s="515" t="n">
        <v>59813.00743774987</v>
      </c>
      <c r="O25" s="516" t="n">
        <v>73104.78686836096</v>
      </c>
    </row>
    <row r="26" outlineLevel="1" customFormat="1" s="61">
      <c r="A26" s="294" t="n"/>
      <c r="B26" s="294" t="n"/>
      <c r="C26" s="212" t="n"/>
      <c r="D26" s="61" t="n"/>
      <c r="E26" s="308" t="str">
        <f>"Operating revenue FY"&amp;F26</f>
        <v>Operating revenue FY2024</v>
      </c>
      <c r="F26" s="442" t="n">
        <v>2024</v>
      </c>
      <c r="G26" s="308" t="inlineStr">
        <is>
          <t>$ 000s</t>
        </is>
      </c>
      <c r="H26" s="519">
        <f>SUMIFS(FinStat!$J$9:$CO$9,FinStat!$J$4:$CO$4,$F26)</f>
        <v>70598.70821135874</v>
      </c>
      <c r="I26" s="61" t="n"/>
      <c r="J26" s="226">
        <f> IF(ABS(K26) &gt; CHK_TOL, 1, 0)</f>
        <v>1.0</v>
      </c>
      <c r="K26" s="490">
        <f> H26 - INDEX(M26:O26, $J$5)</f>
        <v>70598.70821135874</v>
      </c>
      <c r="L26" s="513">
        <f> IF(ABS(K26) &gt; CHK_TOL, IF(INDEX(M26:O26, $J$5) = 0, 0, H26 / INDEX(M26:O26, $J$5) - 1), 0)</f>
        <v>0.0</v>
      </c>
      <c r="M26" s="514" t="n">
        <v>70598.70821135874</v>
      </c>
      <c r="N26" s="515" t="n">
        <v>63538.83739022286</v>
      </c>
      <c r="O26" s="516" t="n">
        <v>77658.57903249463</v>
      </c>
    </row>
    <row r="27" outlineLevel="1" customFormat="1" s="260">
      <c r="A27" s="263" t="n"/>
      <c r="B27" s="263" t="n"/>
      <c r="C27" s="264" t="n"/>
      <c r="D27" s="260" t="n"/>
      <c r="E27" s="305" t="str">
        <f>"Operating revenue FY"&amp;F27</f>
        <v>Operating revenue FY2025</v>
      </c>
      <c r="F27" s="441" t="n">
        <v>2025</v>
      </c>
      <c r="G27" s="305" t="inlineStr">
        <is>
          <t>$ 000s</t>
        </is>
      </c>
      <c r="H27" s="526">
        <f>SUMIFS(FinStat!$J$9:$CO$9,FinStat!$J$4:$CO$4,$F27)</f>
        <v>72981.1159969306</v>
      </c>
      <c r="I27" s="260" t="n"/>
      <c r="J27" s="265">
        <f> IF(ABS(K27) &gt; CHK_TOL, 1, 0)</f>
        <v>1.0</v>
      </c>
      <c r="K27" s="527">
        <f> H27 - INDEX(M27:O27, $J$5)</f>
        <v>72981.1159969306</v>
      </c>
      <c r="L27" s="522">
        <f> IF(ABS(K27) &gt; CHK_TOL, IF(INDEX(M27:O27, $J$5) = 0, 0, H27 / INDEX(M27:O27, $J$5) - 1), 0)</f>
        <v>0.0</v>
      </c>
      <c r="M27" s="528" t="n">
        <v>72981.1159969306</v>
      </c>
      <c r="N27" s="529" t="n">
        <v>65683.00439723753</v>
      </c>
      <c r="O27" s="530" t="n">
        <v>80279.22759662366</v>
      </c>
    </row>
    <row r="28" outlineLevel="1" customFormat="1" s="61">
      <c r="A28" s="294" t="n"/>
      <c r="B28" s="294" t="n"/>
      <c r="C28" s="212" t="n"/>
      <c r="D28" s="61" t="n"/>
      <c r="E28" s="61" t="str">
        <f>"Operating revenue FY"&amp;F28</f>
        <v>Operating revenue FY2026</v>
      </c>
      <c r="F28" s="443" t="n">
        <v>2026</v>
      </c>
      <c r="G28" s="61" t="inlineStr">
        <is>
          <t>$ 000s</t>
        </is>
      </c>
      <c r="H28" s="490">
        <f>SUMIFS(FinStat!$J$9:$CO$9,FinStat!$J$4:$CO$4,$F28)</f>
        <v>76493.10685181228</v>
      </c>
      <c r="I28" s="61" t="n"/>
      <c r="J28" s="226">
        <f> IF(ABS(K28) &gt; CHK_TOL, 1, 0)</f>
        <v>1.0</v>
      </c>
      <c r="K28" s="490">
        <f> H28 - INDEX(M28:O28, $J$5)</f>
        <v>76493.10685181228</v>
      </c>
      <c r="L28" s="513">
        <f> IF(ABS(K28) &gt; CHK_TOL, IF(INDEX(M28:O28, $J$5) = 0, 0, H28 / INDEX(M28:O28, $J$5) - 1), 0)</f>
        <v>0.0</v>
      </c>
      <c r="M28" s="514" t="n">
        <v>76493.10685181228</v>
      </c>
      <c r="N28" s="515" t="n">
        <v>68843.79616663104</v>
      </c>
      <c r="O28" s="516" t="n">
        <v>84142.41753699351</v>
      </c>
    </row>
    <row r="29" outlineLevel="1" customFormat="1" s="61">
      <c r="A29" s="294" t="n"/>
      <c r="B29" s="294" t="n"/>
      <c r="C29" s="212" t="n"/>
      <c r="D29" s="61" t="n"/>
      <c r="E29" s="61" t="str">
        <f>"Operating revenue FY"&amp;F29</f>
        <v>Operating revenue FY2027</v>
      </c>
      <c r="F29" s="443" t="n">
        <v>2027</v>
      </c>
      <c r="G29" s="61" t="inlineStr">
        <is>
          <t>$ 000s</t>
        </is>
      </c>
      <c r="H29" s="490">
        <f>SUMIFS(FinStat!$J$9:$CO$9,FinStat!$J$4:$CO$4,$F29)</f>
        <v>80130.14919608881</v>
      </c>
      <c r="I29" s="61" t="n"/>
      <c r="J29" s="226">
        <f> IF(ABS(K29) &gt; CHK_TOL, 1, 0)</f>
        <v>1.0</v>
      </c>
      <c r="K29" s="490">
        <f> H29 - INDEX(M29:O29, $J$5)</f>
        <v>80130.14919608881</v>
      </c>
      <c r="L29" s="513">
        <f> IF(ABS(K29) &gt; CHK_TOL, IF(INDEX(M29:O29, $J$5) = 0, 0, H29 / INDEX(M29:O29, $J$5) - 1), 0)</f>
        <v>0.0</v>
      </c>
      <c r="M29" s="514" t="n">
        <v>80130.14919608881</v>
      </c>
      <c r="N29" s="515" t="n">
        <v>72117.13427647992</v>
      </c>
      <c r="O29" s="516" t="n">
        <v>88143.16411569768</v>
      </c>
    </row>
    <row r="30" customFormat="1" s="297">
      <c r="A30" s="303" t="inlineStr">
        <is>
          <t>CASH FLOW CASCADE</t>
        </is>
      </c>
      <c r="B30" s="303" t="n"/>
      <c r="C30" s="302" t="n"/>
      <c r="F30" s="301" t="n"/>
      <c r="K30" s="298" t="n"/>
      <c r="L30" s="405" t="n"/>
      <c r="N30" s="299" t="n"/>
      <c r="O30" s="298" t="n"/>
    </row>
    <row r="31" outlineLevel="1" customFormat="1" s="61">
      <c r="A31" s="294" t="n"/>
      <c r="B31" s="294" t="n"/>
      <c r="C31" s="212" t="n"/>
      <c r="D31" s="61" t="n"/>
      <c r="E31" s="61" t="inlineStr">
        <is>
          <t>Operating revenue received</t>
        </is>
      </c>
      <c r="F31" s="61" t="n"/>
      <c r="G31" s="61" t="inlineStr">
        <is>
          <t>$ 000s</t>
        </is>
      </c>
      <c r="H31" s="490">
        <f>FinStat!H31</f>
        <v>1941568.6331634293</v>
      </c>
      <c r="I31" s="61" t="n"/>
      <c r="J31" s="226">
        <f> IF(ABS(K31) &gt; CHK_TOL, 1, 0)</f>
        <v>1.0</v>
      </c>
      <c r="K31" s="490">
        <f> H31 - INDEX(M31:O31, $J$5)</f>
        <v>1941568.6331634293</v>
      </c>
      <c r="L31" s="513">
        <f> IF(ABS(K31) &gt; CHK_TOL, IF(INDEX(M31:O31, $J$5) = 0, 0, H31 / INDEX(M31:O31, $J$5) - 1), 0)</f>
        <v>0.0</v>
      </c>
      <c r="M31" s="514" t="n">
        <v>1941568.633163429</v>
      </c>
      <c r="N31" s="515" t="n">
        <v>1747411.769847086</v>
      </c>
      <c r="O31" s="516" t="n">
        <v>2135725.496479772</v>
      </c>
    </row>
    <row r="32" outlineLevel="1" customFormat="1" s="61">
      <c r="A32" s="294" t="n"/>
      <c r="B32" s="294" t="n"/>
      <c r="C32" s="212" t="n"/>
      <c r="D32" s="61" t="n"/>
      <c r="E32" s="325" t="inlineStr">
        <is>
          <t>Operating cost paid</t>
        </is>
      </c>
      <c r="F32" s="325" t="n"/>
      <c r="G32" s="325" t="inlineStr">
        <is>
          <t>$ 000s</t>
        </is>
      </c>
      <c r="H32" s="498">
        <f>FinStat!H32</f>
        <v>-1152373.432337585</v>
      </c>
      <c r="I32" s="61" t="n"/>
      <c r="J32" s="226">
        <f> IF(ABS(K32) &gt; CHK_TOL, 1, 0)</f>
        <v>1.0</v>
      </c>
      <c r="K32" s="490">
        <f> H32 - INDEX(M32:O32, $J$5)</f>
        <v>-1152373.432337585</v>
      </c>
      <c r="L32" s="513">
        <f> IF(ABS(K32) &gt; CHK_TOL, IF(INDEX(M32:O32, $J$5) = 0, 0, H32 / INDEX(M32:O32, $J$5) - 1), 0)</f>
        <v>0.0</v>
      </c>
      <c r="M32" s="514" t="n">
        <v>-1152373.432337585</v>
      </c>
      <c r="N32" s="515" t="n">
        <v>-1162860.872371654</v>
      </c>
      <c r="O32" s="516" t="n">
        <v>-1152373.432337585</v>
      </c>
    </row>
    <row r="33" outlineLevel="1" customFormat="1" s="61">
      <c r="A33" s="294" t="n"/>
      <c r="B33" s="294" t="n"/>
      <c r="C33" s="212" t="n"/>
      <c r="D33" s="61" t="n"/>
      <c r="E33" s="325" t="inlineStr">
        <is>
          <t>Operating cash flow</t>
        </is>
      </c>
      <c r="F33" s="325" t="n"/>
      <c r="G33" s="325" t="inlineStr">
        <is>
          <t>$ 000s</t>
        </is>
      </c>
      <c r="H33" s="498">
        <f>FinStat!H33</f>
        <v>789195.2008258443</v>
      </c>
      <c r="I33" s="61" t="n"/>
      <c r="J33" s="226">
        <f> IF(ABS(K33) &gt; CHK_TOL, 1, 0)</f>
        <v>1.0</v>
      </c>
      <c r="K33" s="490">
        <f> H33 - INDEX(M33:O33, $J$5)</f>
        <v>789195.2008258443</v>
      </c>
      <c r="L33" s="513">
        <f> IF(ABS(K33) &gt; CHK_TOL, IF(INDEX(M33:O33, $J$5) = 0, 0, H33 / INDEX(M33:O33, $J$5) - 1), 0)</f>
        <v>0.0</v>
      </c>
      <c r="M33" s="514" t="n">
        <v>789195.2008258443</v>
      </c>
      <c r="N33" s="515" t="n">
        <v>584550.8974754318</v>
      </c>
      <c r="O33" s="516" t="n">
        <v>983352.0641421876</v>
      </c>
    </row>
    <row r="34" outlineLevel="1" customFormat="1" s="260">
      <c r="A34" s="263" t="n"/>
      <c r="B34" s="263" t="n"/>
      <c r="C34" s="264" t="n"/>
      <c r="D34" s="260" t="n"/>
      <c r="E34" s="295" t="inlineStr">
        <is>
          <t>Capital expenditure</t>
        </is>
      </c>
      <c r="F34" s="295" t="n"/>
      <c r="G34" s="295" t="inlineStr">
        <is>
          <t>$ 000s</t>
        </is>
      </c>
      <c r="H34" s="536">
        <f>FinStat!H35</f>
        <v>-8000.0</v>
      </c>
      <c r="I34" s="260" t="n"/>
      <c r="J34" s="265">
        <f> IF(ABS(K34) &gt; CHK_TOL, 1, 0)</f>
        <v>1.0</v>
      </c>
      <c r="K34" s="527">
        <f> H34 - INDEX(M34:O34, $J$5)</f>
        <v>-8000.0</v>
      </c>
      <c r="L34" s="522">
        <f> IF(ABS(K34) &gt; CHK_TOL, IF(INDEX(M34:O34, $J$5) = 0, 0, H34 / INDEX(M34:O34, $J$5) - 1), 0)</f>
        <v>0.0</v>
      </c>
      <c r="M34" s="528" t="n">
        <v>-8000</v>
      </c>
      <c r="N34" s="529" t="n">
        <v>-8000</v>
      </c>
      <c r="O34" s="530" t="n">
        <v>-8000</v>
      </c>
    </row>
    <row r="35" outlineLevel="1" customFormat="1" s="61">
      <c r="A35" s="294" t="n"/>
      <c r="B35" s="294" t="n"/>
      <c r="C35" s="212" t="n"/>
      <c r="D35" s="61" t="n"/>
      <c r="E35" s="325" t="inlineStr">
        <is>
          <t>Pre-tax pre-financing cash flow</t>
        </is>
      </c>
      <c r="F35" s="325" t="n"/>
      <c r="G35" s="325" t="inlineStr">
        <is>
          <t>$ 000s</t>
        </is>
      </c>
      <c r="H35" s="498">
        <f>FinStat!H36</f>
        <v>781195.2008258443</v>
      </c>
      <c r="I35" s="61" t="n"/>
      <c r="J35" s="226">
        <f> IF(ABS(K35) &gt; CHK_TOL, 1, 0)</f>
        <v>1.0</v>
      </c>
      <c r="K35" s="490">
        <f> H35 - INDEX(M35:O35, $J$5)</f>
        <v>781195.2008258443</v>
      </c>
      <c r="L35" s="513">
        <f> IF(ABS(K35) &gt; CHK_TOL, IF(INDEX(M35:O35, $J$5) = 0, 0, H35 / INDEX(M35:O35, $J$5) - 1), 0)</f>
        <v>0.0</v>
      </c>
      <c r="M35" s="514" t="n">
        <v>781195.2008258443</v>
      </c>
      <c r="N35" s="515" t="n">
        <v>576550.8974754318</v>
      </c>
      <c r="O35" s="516" t="n">
        <v>975352.0641421876</v>
      </c>
    </row>
    <row r="36" outlineLevel="1" customFormat="1" s="61">
      <c r="A36" s="294" t="n"/>
      <c r="B36" s="294" t="n"/>
      <c r="C36" s="212" t="n"/>
      <c r="D36" s="61" t="n"/>
      <c r="E36" s="325" t="inlineStr">
        <is>
          <t>Tax paid</t>
        </is>
      </c>
      <c r="F36" s="325" t="n"/>
      <c r="G36" s="325" t="inlineStr">
        <is>
          <t>$ 000s</t>
        </is>
      </c>
      <c r="H36" s="498">
        <f>FinStat!H38</f>
        <v>-189665.92408525173</v>
      </c>
      <c r="I36" s="61" t="n"/>
      <c r="J36" s="226">
        <f> IF(ABS(K36) &gt; CHK_TOL, 1, 0)</f>
        <v>1.0</v>
      </c>
      <c r="K36" s="490">
        <f> H36 - INDEX(M36:O36, $J$5)</f>
        <v>-189665.92408525173</v>
      </c>
      <c r="L36" s="513">
        <f> IF(ABS(K36) &gt; CHK_TOL, IF(INDEX(M36:O36, $J$5) = 0, 0, H36 / INDEX(M36:O36, $J$5) - 1), 0)</f>
        <v>0.0</v>
      </c>
      <c r="M36" s="514" t="n">
        <v>-189665.9240852517</v>
      </c>
      <c r="N36" s="515" t="n">
        <v>-127379.3102379863</v>
      </c>
      <c r="O36" s="516" t="n">
        <v>-248043.6083121207</v>
      </c>
    </row>
    <row r="37" outlineLevel="1" customFormat="1" s="260">
      <c r="A37" s="263" t="n"/>
      <c r="B37" s="263" t="n"/>
      <c r="C37" s="264" t="n"/>
      <c r="D37" s="260" t="n"/>
      <c r="E37" s="295" t="inlineStr">
        <is>
          <t>CFADS</t>
        </is>
      </c>
      <c r="F37" s="295" t="n"/>
      <c r="G37" s="295" t="inlineStr">
        <is>
          <t>$ 000s</t>
        </is>
      </c>
      <c r="H37" s="536">
        <f>FinStat!H39</f>
        <v>591529.2767405927</v>
      </c>
      <c r="I37" s="260" t="n"/>
      <c r="J37" s="265">
        <f> IF(ABS(K37) &gt; CHK_TOL, 1, 0)</f>
        <v>1.0</v>
      </c>
      <c r="K37" s="527">
        <f> H37 - INDEX(M37:O37, $J$5)</f>
        <v>591529.2767405927</v>
      </c>
      <c r="L37" s="522">
        <f> IF(ABS(K37) &gt; CHK_TOL, IF(INDEX(M37:O37, $J$5) = 0, 0, H37 / INDEX(M37:O37, $J$5) - 1), 0)</f>
        <v>0.0</v>
      </c>
      <c r="M37" s="528" t="n">
        <v>591529.2767405927</v>
      </c>
      <c r="N37" s="529" t="n">
        <v>449171.5872374453</v>
      </c>
      <c r="O37" s="530" t="n">
        <v>727308.4558300669</v>
      </c>
    </row>
    <row r="38" outlineLevel="1" customFormat="1" s="61">
      <c r="A38" s="294" t="n"/>
      <c r="B38" s="294" t="n"/>
      <c r="C38" s="212" t="n"/>
      <c r="D38" s="61" t="n"/>
      <c r="E38" s="325" t="inlineStr">
        <is>
          <t>Senior debt interest paid</t>
        </is>
      </c>
      <c r="F38" s="325" t="n"/>
      <c r="G38" s="325" t="inlineStr">
        <is>
          <t>$ 000s</t>
        </is>
      </c>
      <c r="H38" s="498">
        <f>FinStat!H41</f>
        <v>-29083.355014702807</v>
      </c>
      <c r="I38" s="61" t="n"/>
      <c r="J38" s="226">
        <f> IF(ABS(K38) &gt; CHK_TOL, 1, 0)</f>
        <v>1.0</v>
      </c>
      <c r="K38" s="490">
        <f> H38 - INDEX(M38:O38, $J$5)</f>
        <v>-29083.355014702807</v>
      </c>
      <c r="L38" s="513">
        <f> IF(ABS(K38) &gt; CHK_TOL, IF(INDEX(M38:O38, $J$5) = 0, 0, H38 / INDEX(M38:O38, $J$5) - 1), 0)</f>
        <v>0.0</v>
      </c>
      <c r="M38" s="514" t="n">
        <v>-29083.35501470281</v>
      </c>
      <c r="N38" s="515" t="n">
        <v>-21609.71572497992</v>
      </c>
      <c r="O38" s="516" t="n">
        <v>-30771.76875248419</v>
      </c>
    </row>
    <row r="39" outlineLevel="1" customFormat="1" s="61">
      <c r="A39" s="294" t="n"/>
      <c r="B39" s="294" t="n"/>
      <c r="C39" s="212" t="n"/>
      <c r="D39" s="61" t="n"/>
      <c r="E39" s="325" t="inlineStr">
        <is>
          <t>Senior debt principal repaid</t>
        </is>
      </c>
      <c r="F39" s="325" t="n"/>
      <c r="G39" s="325" t="inlineStr">
        <is>
          <t>$ 000s</t>
        </is>
      </c>
      <c r="H39" s="498">
        <f>FinStat!H42</f>
        <v>-72154.22476191209</v>
      </c>
      <c r="I39" s="61" t="n"/>
      <c r="J39" s="226">
        <f> IF(ABS(K39) &gt; CHK_TOL, 1, 0)</f>
        <v>1.0</v>
      </c>
      <c r="K39" s="490">
        <f> H39 - INDEX(M39:O39, $J$5)</f>
        <v>-72154.22476191209</v>
      </c>
      <c r="L39" s="513">
        <f> IF(ABS(K39) &gt; CHK_TOL, IF(INDEX(M39:O39, $J$5) = 0, 0, H39 / INDEX(M39:O39, $J$5) - 1), 0)</f>
        <v>0.0</v>
      </c>
      <c r="M39" s="514" t="n">
        <v>-72154.22476191209</v>
      </c>
      <c r="N39" s="515" t="n">
        <v>-53910.52105918303</v>
      </c>
      <c r="O39" s="516" t="n">
        <v>-76052.23819257101</v>
      </c>
    </row>
    <row r="40" outlineLevel="1" customFormat="1" s="260">
      <c r="A40" s="263" t="n"/>
      <c r="B40" s="263" t="n"/>
      <c r="C40" s="264" t="n"/>
      <c r="D40" s="260" t="n"/>
      <c r="E40" s="295" t="inlineStr">
        <is>
          <t>Cash flow available to shareholders</t>
        </is>
      </c>
      <c r="F40" s="295" t="n"/>
      <c r="G40" s="295" t="inlineStr">
        <is>
          <t>$ 000s</t>
        </is>
      </c>
      <c r="H40" s="536">
        <f>FinStat!H43</f>
        <v>490291.69696397777</v>
      </c>
      <c r="I40" s="260" t="n"/>
      <c r="J40" s="265">
        <f> IF(ABS(K40) &gt; CHK_TOL, 1, 0)</f>
        <v>1.0</v>
      </c>
      <c r="K40" s="527">
        <f> H40 - INDEX(M40:O40, $J$5)</f>
        <v>490291.69696397777</v>
      </c>
      <c r="L40" s="522">
        <f> IF(ABS(K40) &gt; CHK_TOL, IF(INDEX(M40:O40, $J$5) = 0, 0, H40 / INDEX(M40:O40, $J$5) - 1), 0)</f>
        <v>0.0</v>
      </c>
      <c r="M40" s="528" t="n">
        <v>490291.6969639778</v>
      </c>
      <c r="N40" s="529" t="n">
        <v>373651.3504532823</v>
      </c>
      <c r="O40" s="530" t="n">
        <v>620484.4488850117</v>
      </c>
    </row>
    <row r="41" outlineLevel="1" customFormat="1" s="61">
      <c r="A41" s="294" t="n"/>
      <c r="B41" s="294" t="n"/>
      <c r="C41" s="212" t="n"/>
      <c r="D41" s="61" t="n"/>
      <c r="E41" s="325" t="inlineStr">
        <is>
          <t>Share capital redemption</t>
        </is>
      </c>
      <c r="F41" s="325" t="n"/>
      <c r="G41" s="325" t="inlineStr">
        <is>
          <t>$ 000s</t>
        </is>
      </c>
      <c r="H41" s="498">
        <f>FinStat!H48</f>
        <v>-11565.429793305917</v>
      </c>
      <c r="I41" s="61" t="n"/>
      <c r="J41" s="226">
        <f> IF(ABS(K41) &gt; CHK_TOL, 1, 0)</f>
        <v>1.0</v>
      </c>
      <c r="K41" s="490">
        <f> H41 - INDEX(M41:O41, $J$5)</f>
        <v>-11565.429793305917</v>
      </c>
      <c r="L41" s="513">
        <f> IF(ABS(K41) &gt; CHK_TOL, IF(INDEX(M41:O41, $J$5) = 0, 0, H41 / INDEX(M41:O41, $J$5) - 1), 0)</f>
        <v>0.0</v>
      </c>
      <c r="M41" s="514" t="n">
        <v>-11565.42979330592</v>
      </c>
      <c r="N41" s="515" t="n">
        <v>-18235.05972774347</v>
      </c>
      <c r="O41" s="516" t="n">
        <v>-10140.29842567611</v>
      </c>
    </row>
    <row r="42" outlineLevel="1" customFormat="1" s="61">
      <c r="A42" s="294" t="n"/>
      <c r="B42" s="294" t="n"/>
      <c r="C42" s="212" t="n"/>
      <c r="D42" s="61" t="n"/>
      <c r="E42" s="325" t="inlineStr">
        <is>
          <t>Cash flow available for dividends</t>
        </is>
      </c>
      <c r="F42" s="325" t="n"/>
      <c r="G42" s="325" t="inlineStr">
        <is>
          <t>$ 000s</t>
        </is>
      </c>
      <c r="H42" s="498">
        <f>FinStat!H49</f>
        <v>442553.8228655873</v>
      </c>
      <c r="I42" s="61" t="n"/>
      <c r="J42" s="226">
        <f> IF(ABS(K42) &gt; CHK_TOL, 1, 0)</f>
        <v>1.0</v>
      </c>
      <c r="K42" s="490">
        <f> H42 - INDEX(M42:O42, $J$5)</f>
        <v>442553.8228655873</v>
      </c>
      <c r="L42" s="513">
        <f> IF(ABS(K42) &gt; CHK_TOL, IF(INDEX(M42:O42, $J$5) = 0, 0, H42 / INDEX(M42:O42, $J$5) - 1), 0)</f>
        <v>0.0</v>
      </c>
      <c r="M42" s="514" t="n">
        <v>442553.8228655873</v>
      </c>
      <c r="N42" s="515" t="n">
        <v>297218.3905553014</v>
      </c>
      <c r="O42" s="516" t="n">
        <v>578768.4193949482</v>
      </c>
    </row>
    <row r="43" outlineLevel="1" customFormat="1" s="61">
      <c r="A43" s="294" t="n"/>
      <c r="B43" s="294" t="n"/>
      <c r="C43" s="212" t="n"/>
      <c r="D43" s="61" t="n"/>
      <c r="E43" s="325" t="inlineStr">
        <is>
          <t>Dividends paid</t>
        </is>
      </c>
      <c r="F43" s="325" t="n"/>
      <c r="G43" s="325" t="inlineStr">
        <is>
          <t>$ 000s</t>
        </is>
      </c>
      <c r="H43" s="498">
        <f>FinStat!H51</f>
        <v>-442553.82286558725</v>
      </c>
      <c r="I43" s="61" t="n"/>
      <c r="J43" s="226">
        <f> IF(ABS(K43) &gt; CHK_TOL, 1, 0)</f>
        <v>1.0</v>
      </c>
      <c r="K43" s="490">
        <f> H43 - INDEX(M43:O43, $J$5)</f>
        <v>-442553.82286558725</v>
      </c>
      <c r="L43" s="513">
        <f> IF(ABS(K43) &gt; CHK_TOL, IF(INDEX(M43:O43, $J$5) = 0, 0, H43 / INDEX(M43:O43, $J$5) - 1), 0)</f>
        <v>0.0</v>
      </c>
      <c r="M43" s="514" t="n">
        <v>-442553.8228655873</v>
      </c>
      <c r="N43" s="515" t="n">
        <v>-297218.3905553014</v>
      </c>
      <c r="O43" s="516" t="n">
        <v>-578768.4193949479</v>
      </c>
    </row>
    <row r="44" outlineLevel="1" customFormat="1" s="260">
      <c r="A44" s="263" t="n"/>
      <c r="B44" s="263" t="n"/>
      <c r="C44" s="264" t="n"/>
      <c r="D44" s="260" t="n"/>
      <c r="E44" s="295" t="inlineStr">
        <is>
          <t>Net cash flow</t>
        </is>
      </c>
      <c r="F44" s="295" t="n"/>
      <c r="G44" s="295" t="inlineStr">
        <is>
          <t>$ 000s</t>
        </is>
      </c>
      <c r="H44" s="536">
        <f>FinStat!H52</f>
        <v>-6.135592362948761e-12</v>
      </c>
      <c r="I44" s="260" t="n"/>
      <c r="J44" s="265">
        <f> IF(ABS(K44) &gt; CHK_TOL, 1, 0)</f>
        <v>0.0</v>
      </c>
      <c r="K44" s="527">
        <f> H44 - INDEX(M44:O44, $J$5)</f>
        <v>-6.135592362948761e-12</v>
      </c>
      <c r="L44" s="522">
        <f> IF(ABS(K44) &gt; CHK_TOL, IF(INDEX(M44:O44, $J$5) = 0, 0, H44 / INDEX(M44:O44, $J$5) - 1), 0)</f>
        <v>0.0</v>
      </c>
      <c r="M44" s="528" t="n">
        <v>-6.135592362948761e-12</v>
      </c>
      <c r="N44" s="529" t="n">
        <v>-3.416521638465726e-13</v>
      </c>
      <c r="O44" s="530" t="n">
        <v>-1.011503329378954e-12</v>
      </c>
    </row>
    <row r="45" outlineLevel="1" customFormat="1" s="61">
      <c r="A45" s="294" t="n"/>
      <c r="B45" s="294" t="n"/>
      <c r="C45" s="212" t="n"/>
      <c r="D45" s="61" t="n"/>
      <c r="E45" s="325" t="str">
        <f>"CFADS FY"&amp;F45</f>
        <v>CFADS FY2022</v>
      </c>
      <c r="F45" s="445" t="n">
        <v>2022</v>
      </c>
      <c r="G45" s="325" t="inlineStr">
        <is>
          <t>$ 000s</t>
        </is>
      </c>
      <c r="H45" s="498">
        <f>SUMIFS(FinStat!$J$39:$CO$39,FinStat!$J$4:$CO$4,$F45)</f>
        <v>22641.770408504635</v>
      </c>
      <c r="I45" s="61" t="n"/>
      <c r="J45" s="226">
        <f> IF(ABS(K45) &gt; CHK_TOL, 1, 0)</f>
        <v>1.0</v>
      </c>
      <c r="K45" s="490">
        <f> H45 - INDEX(M45:O45, $J$5)</f>
        <v>22641.770408504635</v>
      </c>
      <c r="L45" s="513">
        <f> IF(ABS(K45) &gt; CHK_TOL, IF(INDEX(M45:O45, $J$5) = 0, 0, H45 / INDEX(M45:O45, $J$5) - 1), 0)</f>
        <v>0.0</v>
      </c>
      <c r="M45" s="514" t="n">
        <v>22641.77040850464</v>
      </c>
      <c r="N45" s="515" t="n">
        <v>18308.27188608971</v>
      </c>
      <c r="O45" s="516" t="n">
        <v>26645.84461048222</v>
      </c>
    </row>
    <row r="46" outlineLevel="1" customFormat="1" s="61">
      <c r="A46" s="294" t="n"/>
      <c r="B46" s="294" t="n"/>
      <c r="C46" s="212" t="n"/>
      <c r="D46" s="61" t="n"/>
      <c r="E46" s="325" t="str">
        <f>"CFADS FY"&amp;F46</f>
        <v>CFADS FY2023</v>
      </c>
      <c r="F46" s="445" t="n">
        <v>2023</v>
      </c>
      <c r="G46" s="325" t="inlineStr">
        <is>
          <t>$ 000s</t>
        </is>
      </c>
      <c r="H46" s="498">
        <f>SUMIFS(FinStat!$J$39:$CO$39,FinStat!$J$4:$CO$4,$F46)</f>
        <v>20599.828332888384</v>
      </c>
      <c r="I46" s="61" t="n"/>
      <c r="J46" s="226">
        <f> IF(ABS(K46) &gt; CHK_TOL, 1, 0)</f>
        <v>1.0</v>
      </c>
      <c r="K46" s="490">
        <f> H46 - INDEX(M46:O46, $J$5)</f>
        <v>20599.828332888384</v>
      </c>
      <c r="L46" s="513">
        <f> IF(ABS(K46) &gt; CHK_TOL, IF(INDEX(M46:O46, $J$5) = 0, 0, H46 / INDEX(M46:O46, $J$5) - 1), 0)</f>
        <v>0.0</v>
      </c>
      <c r="M46" s="514" t="n">
        <v>20599.82833288838</v>
      </c>
      <c r="N46" s="515" t="n">
        <v>15595.58499809427</v>
      </c>
      <c r="O46" s="516" t="n">
        <v>25257.87879143172</v>
      </c>
    </row>
    <row r="47" outlineLevel="1" customFormat="1" s="260">
      <c r="A47" s="263" t="n"/>
      <c r="B47" s="263" t="n"/>
      <c r="C47" s="264" t="n"/>
      <c r="D47" s="260" t="n"/>
      <c r="E47" s="295" t="str">
        <f>"CFADS FY"&amp;F47</f>
        <v>CFADS FY2024</v>
      </c>
      <c r="F47" s="446" t="n">
        <v>2024</v>
      </c>
      <c r="G47" s="295" t="inlineStr">
        <is>
          <t>$ 000s</t>
        </is>
      </c>
      <c r="H47" s="536">
        <f>SUMIFS(FinStat!$J$39:$CO$39,FinStat!$J$4:$CO$4,$F47)</f>
        <v>22274.917060014843</v>
      </c>
      <c r="I47" s="260" t="n"/>
      <c r="J47" s="265">
        <f> IF(ABS(K47) &gt; CHK_TOL, 1, 0)</f>
        <v>1.0</v>
      </c>
      <c r="K47" s="527">
        <f> H47 - INDEX(M47:O47, $J$5)</f>
        <v>22274.917060014843</v>
      </c>
      <c r="L47" s="522">
        <f> IF(ABS(K47) &gt; CHK_TOL, IF(INDEX(M47:O47, $J$5) = 0, 0, H47 / INDEX(M47:O47, $J$5) - 1), 0)</f>
        <v>0.0</v>
      </c>
      <c r="M47" s="528" t="n">
        <v>22274.91706001484</v>
      </c>
      <c r="N47" s="529" t="n">
        <v>17015.88152191138</v>
      </c>
      <c r="O47" s="530" t="n">
        <v>27209.39444544886</v>
      </c>
    </row>
    <row r="48" outlineLevel="1" customFormat="1" s="61">
      <c r="A48" s="294" t="n"/>
      <c r="B48" s="294" t="n"/>
      <c r="C48" s="212" t="n"/>
      <c r="D48" s="61" t="n"/>
      <c r="E48" s="325" t="str">
        <f>"CFADS FY"&amp;F48</f>
        <v>CFADS FY2025</v>
      </c>
      <c r="F48" s="445" t="n">
        <v>2025</v>
      </c>
      <c r="G48" s="325" t="inlineStr">
        <is>
          <t>$ 000s</t>
        </is>
      </c>
      <c r="H48" s="498">
        <f>SUMIFS(FinStat!$J$39:$CO$39,FinStat!$J$4:$CO$4,$F48)</f>
        <v>21693.189601864302</v>
      </c>
      <c r="I48" s="61" t="n"/>
      <c r="J48" s="226">
        <f> IF(ABS(K48) &gt; CHK_TOL, 1, 0)</f>
        <v>1.0</v>
      </c>
      <c r="K48" s="490">
        <f> H48 - INDEX(M48:O48, $J$5)</f>
        <v>21693.189601864302</v>
      </c>
      <c r="L48" s="513">
        <f> IF(ABS(K48) &gt; CHK_TOL, IF(INDEX(M48:O48, $J$5) = 0, 0, H48 / INDEX(M48:O48, $J$5) - 1), 0)</f>
        <v>0.0</v>
      </c>
      <c r="M48" s="514" t="n">
        <v>21693.1896018643</v>
      </c>
      <c r="N48" s="515" t="n">
        <v>16282.78418190683</v>
      </c>
      <c r="O48" s="516" t="n">
        <v>26798.14754520182</v>
      </c>
    </row>
    <row r="49" outlineLevel="1" customFormat="1" s="61">
      <c r="A49" s="294" t="n"/>
      <c r="B49" s="294" t="n"/>
      <c r="C49" s="212" t="n"/>
      <c r="D49" s="61" t="n"/>
      <c r="E49" s="325" t="str">
        <f>"CFADS FY"&amp;F49</f>
        <v>CFADS FY2026</v>
      </c>
      <c r="F49" s="445" t="n">
        <v>2026</v>
      </c>
      <c r="G49" s="325" t="inlineStr">
        <is>
          <t>$ 000s</t>
        </is>
      </c>
      <c r="H49" s="498">
        <f>SUMIFS(FinStat!$J$39:$CO$39,FinStat!$J$4:$CO$4,$F49)</f>
        <v>22880.83896476071</v>
      </c>
      <c r="I49" s="61" t="n"/>
      <c r="J49" s="226">
        <f> IF(ABS(K49) &gt; CHK_TOL, 1, 0)</f>
        <v>1.0</v>
      </c>
      <c r="K49" s="490">
        <f> H49 - INDEX(M49:O49, $J$5)</f>
        <v>22880.83896476071</v>
      </c>
      <c r="L49" s="513">
        <f> IF(ABS(K49) &gt; CHK_TOL, IF(INDEX(M49:O49, $J$5) = 0, 0, H49 / INDEX(M49:O49, $J$5) - 1), 0)</f>
        <v>0.0</v>
      </c>
      <c r="M49" s="514" t="n">
        <v>22880.83896476071</v>
      </c>
      <c r="N49" s="515" t="n">
        <v>17272.40627515793</v>
      </c>
      <c r="O49" s="516" t="n">
        <v>28203.59744267118</v>
      </c>
    </row>
    <row r="50" outlineLevel="1" customFormat="1" s="260">
      <c r="A50" s="263" t="n"/>
      <c r="B50" s="263" t="n"/>
      <c r="C50" s="264" t="n"/>
      <c r="D50" s="260" t="n"/>
      <c r="E50" s="295" t="str">
        <f>"CFADS FY"&amp;F50</f>
        <v>CFADS FY2027</v>
      </c>
      <c r="F50" s="446" t="n">
        <v>2027</v>
      </c>
      <c r="G50" s="295" t="inlineStr">
        <is>
          <t>$ 000s</t>
        </is>
      </c>
      <c r="H50" s="536">
        <f>SUMIFS(FinStat!$J$39:$CO$39,FinStat!$J$4:$CO$4,$F50)</f>
        <v>24514.23126192693</v>
      </c>
      <c r="I50" s="260" t="n"/>
      <c r="J50" s="265">
        <f> IF(ABS(K50) &gt; CHK_TOL, 1, 0)</f>
        <v>1.0</v>
      </c>
      <c r="K50" s="527">
        <f> H50 - INDEX(M50:O50, $J$5)</f>
        <v>24514.23126192693</v>
      </c>
      <c r="L50" s="522">
        <f> IF(ABS(K50) &gt; CHK_TOL, IF(INDEX(M50:O50, $J$5) = 0, 0, H50 / INDEX(M50:O50, $J$5) - 1), 0)</f>
        <v>0.0</v>
      </c>
      <c r="M50" s="528" t="n">
        <v>24514.23126192693</v>
      </c>
      <c r="N50" s="529" t="n">
        <v>18667.1961879731</v>
      </c>
      <c r="O50" s="530" t="n">
        <v>30098.21242530371</v>
      </c>
    </row>
    <row r="51" outlineLevel="1" customFormat="1" s="61">
      <c r="A51" s="294" t="n"/>
      <c r="B51" s="294" t="n"/>
      <c r="C51" s="212" t="n"/>
      <c r="D51" s="61" t="n"/>
      <c r="E51" s="61" t="inlineStr">
        <is>
          <t>Debt capacity (DSCR test)</t>
        </is>
      </c>
      <c r="F51" s="61" t="n"/>
      <c r="G51" s="61" t="inlineStr">
        <is>
          <t>$ 000s</t>
        </is>
      </c>
      <c r="H51" s="490">
        <f>Sculpt!F26</f>
        <v>72154.22476191272</v>
      </c>
      <c r="I51" s="61" t="n"/>
      <c r="J51" s="226">
        <f> IF(ABS(K51) &gt; CHK_TOL, 1, 0)</f>
        <v>1.0</v>
      </c>
      <c r="K51" s="490">
        <f> H51 - INDEX(M51:O51, $J$5)</f>
        <v>72154.22476191272</v>
      </c>
      <c r="L51" s="513">
        <f> IF(ABS(K51) &gt; CHK_TOL, IF(INDEX(M51:O51, $J$5) = 0, 0, H51 / INDEX(M51:O51, $J$5) - 1), 0)</f>
        <v>0.0</v>
      </c>
      <c r="M51" s="514" t="n">
        <v>72154.22476191272</v>
      </c>
      <c r="N51" s="515" t="n">
        <v>53910.52105918288</v>
      </c>
      <c r="O51" s="516" t="n">
        <v>89309.58427091925</v>
      </c>
    </row>
    <row r="52" outlineLevel="1" customFormat="1" s="61">
      <c r="A52" s="294" t="n"/>
      <c r="B52" s="294" t="n"/>
      <c r="C52" s="212" t="n"/>
      <c r="D52" s="61" t="n"/>
      <c r="E52" s="61" t="inlineStr">
        <is>
          <t>Minimum LLCR at COD</t>
        </is>
      </c>
      <c r="F52" s="61" t="n"/>
      <c r="G52" s="61" t="inlineStr">
        <is>
          <t>x</t>
        </is>
      </c>
      <c r="H52" s="447">
        <f>Ratios!F22</f>
        <v>2.39985735277099</v>
      </c>
      <c r="I52" s="61" t="n"/>
      <c r="J52" s="226">
        <f> IF(ABS(K52) &gt; CHK_TOL, 1, 0)</f>
        <v>1.0</v>
      </c>
      <c r="K52" s="447">
        <f> H52 - INDEX(M52:O52, $J$5)</f>
        <v>2.39985735277099</v>
      </c>
      <c r="L52" s="513">
        <f> IF(ABS(K52) &gt; CHK_TOL, IF(INDEX(M52:O52, $J$5) = 0, 0, H52 / INDEX(M52:O52, $J$5) - 1), 0)</f>
        <v>0.0</v>
      </c>
      <c r="M52" s="448" t="n">
        <v>2.39985735277099</v>
      </c>
      <c r="N52" s="449" t="n">
        <v>2.460514310562831</v>
      </c>
      <c r="O52" s="450" t="n">
        <v>2.78328301245321</v>
      </c>
    </row>
    <row r="53" customFormat="1" s="297">
      <c r="A53" s="303" t="inlineStr">
        <is>
          <t>BALANCE SHEET</t>
        </is>
      </c>
      <c r="B53" s="303" t="n"/>
      <c r="C53" s="302" t="n"/>
      <c r="E53" s="0" t="inlineStr">
        <is>
          <t>Balance sheet date</t>
        </is>
      </c>
      <c r="F53" s="301" t="n"/>
      <c r="G53" s="0" t="inlineStr">
        <is>
          <t>date</t>
        </is>
      </c>
      <c r="H53" s="537" t="n">
        <v>46387</v>
      </c>
      <c r="K53" s="298" t="n"/>
      <c r="L53" s="405" t="n"/>
      <c r="M53" t="n">
        <v>46387</v>
      </c>
      <c r="N53" s="299" t="n">
        <v>46387</v>
      </c>
      <c r="O53" s="298" t="n">
        <v>46387</v>
      </c>
    </row>
    <row r="54" outlineLevel="1" customFormat="1" s="61">
      <c r="A54" s="294" t="n"/>
      <c r="B54" s="294" t="n"/>
      <c r="C54" s="212" t="n"/>
      <c r="D54" s="61" t="n"/>
      <c r="E54" s="61" t="inlineStr">
        <is>
          <t>Non-current assets</t>
        </is>
      </c>
      <c r="F54" s="61" t="n"/>
      <c r="G54" s="61" t="inlineStr">
        <is>
          <t>$ 000s</t>
        </is>
      </c>
      <c r="H54" s="490">
        <f>INDEX(FinStat!$J$62:$CO$62,MATCH($H$53,FinStat!$J$2:$CO$2,0))</f>
        <v>70978.53283011797</v>
      </c>
      <c r="I54" s="61" t="n"/>
      <c r="J54" s="226">
        <f> IF(ABS(K54) &gt; CHK_TOL, 1, 0)</f>
        <v>1.0</v>
      </c>
      <c r="K54" s="490">
        <f> H54 - INDEX(M54:O54, $J$5)</f>
        <v>70978.53283011797</v>
      </c>
      <c r="L54" s="513">
        <f> IF(ABS(K54) &gt; CHK_TOL, IF(INDEX(M54:O54, $J$5) = 0, 0, H54 / INDEX(M54:O54, $J$5) - 1), 0)</f>
        <v>0.0</v>
      </c>
      <c r="M54" s="514" t="n">
        <v>70978.53283011797</v>
      </c>
      <c r="N54" s="515" t="n">
        <v>69932.11358569446</v>
      </c>
      <c r="O54" s="514" t="n">
        <v>71201.98950450738</v>
      </c>
    </row>
    <row r="55" outlineLevel="1" customFormat="1" s="61">
      <c r="A55" s="294" t="n"/>
      <c r="B55" s="294" t="n"/>
      <c r="C55" s="212" t="n"/>
      <c r="D55" s="61" t="n"/>
      <c r="E55" s="325" t="inlineStr">
        <is>
          <t>Receivables</t>
        </is>
      </c>
      <c r="F55" s="325" t="n"/>
      <c r="G55" s="325" t="inlineStr">
        <is>
          <t>$ 000s</t>
        </is>
      </c>
      <c r="H55" s="490">
        <f>INDEX(FinStat!$J$63:$CO$63,MATCH($H$53,FinStat!$J$2:$CO$2,0))</f>
        <v>5199.030827540548</v>
      </c>
      <c r="I55" s="61" t="n"/>
      <c r="J55" s="226">
        <f> IF(ABS(K55) &gt; CHK_TOL, 1, 0)</f>
        <v>1.0</v>
      </c>
      <c r="K55" s="490">
        <f> H55 - INDEX(M55:O55, $J$5)</f>
        <v>5199.030827540548</v>
      </c>
      <c r="L55" s="513">
        <f> IF(ABS(K55) &gt; CHK_TOL, IF(INDEX(M55:O55, $J$5) = 0, 0, H55 / INDEX(M55:O55, $J$5) - 1), 0)</f>
        <v>0.0</v>
      </c>
      <c r="M55" s="514" t="n">
        <v>5199.030827540548</v>
      </c>
      <c r="N55" s="515" t="n">
        <v>4679.127744786492</v>
      </c>
      <c r="O55" s="514" t="n">
        <v>5718.933910294603</v>
      </c>
    </row>
    <row r="56" outlineLevel="1" customFormat="1" s="61">
      <c r="A56" s="294" t="n"/>
      <c r="B56" s="294" t="n"/>
      <c r="C56" s="212" t="n"/>
      <c r="D56" s="61" t="n"/>
      <c r="E56" s="325" t="inlineStr">
        <is>
          <t>Retained cash</t>
        </is>
      </c>
      <c r="F56" s="325" t="n"/>
      <c r="G56" s="325" t="inlineStr">
        <is>
          <t>$ 000s</t>
        </is>
      </c>
      <c r="H56" s="490">
        <f>INDEX(FinStat!$J$64:$CO$64,MATCH($H$53,FinStat!$J$2:$CO$2,0))</f>
        <v>8932.721957688518</v>
      </c>
      <c r="I56" s="61" t="n"/>
      <c r="J56" s="226">
        <f> IF(ABS(K56) &gt; CHK_TOL, 1, 0)</f>
        <v>1.0</v>
      </c>
      <c r="K56" s="490">
        <f> H56 - INDEX(M56:O56, $J$5)</f>
        <v>8932.721957688518</v>
      </c>
      <c r="L56" s="513">
        <f> IF(ABS(K56) &gt; CHK_TOL, IF(INDEX(M56:O56, $J$5) = 0, 0, H56 / INDEX(M56:O56, $J$5) - 1), 0)</f>
        <v>0.0</v>
      </c>
      <c r="M56" s="514" t="n">
        <v>8932.721957688518</v>
      </c>
      <c r="N56" s="515" t="n">
        <v>16788.97442566152</v>
      </c>
      <c r="O56" s="514" t="n">
        <v>7021.767631442461</v>
      </c>
    </row>
    <row r="57" outlineLevel="1" customFormat="1" s="61">
      <c r="A57" s="294" t="n"/>
      <c r="B57" s="294" t="n"/>
      <c r="C57" s="212" t="n"/>
      <c r="D57" s="61" t="n"/>
      <c r="E57" s="325" t="inlineStr">
        <is>
          <t>Total assets</t>
        </is>
      </c>
      <c r="F57" s="325" t="n"/>
      <c r="G57" s="325" t="inlineStr">
        <is>
          <t>$ 000s</t>
        </is>
      </c>
      <c r="H57" s="490">
        <f>INDEX(FinStat!$J$66:$CO$66,MATCH($H$53,FinStat!$J$2:$CO$2,0))</f>
        <v>90340.91831270762</v>
      </c>
      <c r="I57" s="61" t="n"/>
      <c r="J57" s="226">
        <f> IF(ABS(K57) &gt; CHK_TOL, 1, 0)</f>
        <v>1.0</v>
      </c>
      <c r="K57" s="490">
        <f> H57 - INDEX(M57:O57, $J$5)</f>
        <v>90340.91831270762</v>
      </c>
      <c r="L57" s="513">
        <f> IF(ABS(K57) &gt; CHK_TOL, IF(INDEX(M57:O57, $J$5) = 0, 0, H57 / INDEX(M57:O57, $J$5) - 1), 0)</f>
        <v>0.0</v>
      </c>
      <c r="M57" s="514" t="n">
        <v>90340.91831270762</v>
      </c>
      <c r="N57" s="515" t="n">
        <v>95322.76421466844</v>
      </c>
      <c r="O57" s="514" t="n">
        <v>89446.67740433055</v>
      </c>
    </row>
    <row r="58" outlineLevel="1" customFormat="1" s="260">
      <c r="A58" s="263" t="n"/>
      <c r="B58" s="263" t="n"/>
      <c r="C58" s="264" t="n"/>
      <c r="D58" s="260" t="n"/>
      <c r="E58" s="295" t="inlineStr">
        <is>
          <t>Payables</t>
        </is>
      </c>
      <c r="F58" s="295" t="n"/>
      <c r="G58" s="295" t="inlineStr">
        <is>
          <t>$ 000s</t>
        </is>
      </c>
      <c r="H58" s="527">
        <f>INDEX(FinStat!$J$69:$CO$69,MATCH($H$53,FinStat!$J$2:$CO$2,0))</f>
        <v>4537.061872194627</v>
      </c>
      <c r="I58" s="260" t="n"/>
      <c r="J58" s="265">
        <f> IF(ABS(K58) &gt; CHK_TOL, 1, 0)</f>
        <v>1.0</v>
      </c>
      <c r="K58" s="527">
        <f> H58 - INDEX(M58:O58, $J$5)</f>
        <v>4537.061872194627</v>
      </c>
      <c r="L58" s="522">
        <f> IF(ABS(K58) &gt; CHK_TOL, IF(INDEX(M58:O58, $J$5) = 0, 0, H58 / INDEX(M58:O58, $J$5) - 1), 0)</f>
        <v>0.0</v>
      </c>
      <c r="M58" s="528" t="n">
        <v>4537.061872194627</v>
      </c>
      <c r="N58" s="529" t="n">
        <v>4579.399955160663</v>
      </c>
      <c r="O58" s="528" t="n">
        <v>4537.061872194627</v>
      </c>
    </row>
    <row r="59" customFormat="1" s="61">
      <c r="A59" s="294" t="n"/>
      <c r="B59" s="294" t="n"/>
      <c r="C59" s="212" t="n"/>
      <c r="D59" s="61" t="n"/>
      <c r="E59" s="325" t="inlineStr">
        <is>
          <t>Senior debt</t>
        </is>
      </c>
      <c r="F59" s="325" t="n"/>
      <c r="G59" s="325" t="inlineStr">
        <is>
          <t>$ 000s</t>
        </is>
      </c>
      <c r="H59" s="490">
        <f>INDEX(FinStat!$J$70:$CO$70,MATCH($H$53,FinStat!$J$2:$CO$2,0))</f>
        <v>47222.20345691062</v>
      </c>
      <c r="I59" s="61" t="n"/>
      <c r="J59" s="226">
        <f> IF(ABS(K59) &gt; CHK_TOL, 1, 0)</f>
        <v>1.0</v>
      </c>
      <c r="K59" s="490">
        <f> H59 - INDEX(M59:O59, $J$5)</f>
        <v>47222.20345691062</v>
      </c>
      <c r="L59" s="513">
        <f> IF(ABS(K59) &gt; CHK_TOL, IF(INDEX(M59:O59, $J$5) = 0, 0, H59 / INDEX(M59:O59, $J$5) - 1), 0)</f>
        <v>0.0</v>
      </c>
      <c r="M59" s="514" t="n">
        <v>47222.20345691062</v>
      </c>
      <c r="N59" s="515" t="n">
        <v>35168.8082793229</v>
      </c>
      <c r="O59" s="514" t="n">
        <v>49913.24412399408</v>
      </c>
    </row>
    <row r="60" outlineLevel="1" customFormat="1" s="61">
      <c r="A60" s="294" t="n"/>
      <c r="B60" s="294" t="n"/>
      <c r="C60" s="212" t="n"/>
      <c r="D60" s="61" t="n"/>
      <c r="E60" s="325" t="inlineStr">
        <is>
          <t>Deferred tax</t>
        </is>
      </c>
      <c r="F60" s="325" t="n"/>
      <c r="G60" s="325" t="inlineStr">
        <is>
          <t>$ 000s</t>
        </is>
      </c>
      <c r="H60" s="490">
        <f>INDEX(FinStat!$J$72:$CO$72,MATCH($H$53,FinStat!$J$2:$CO$2,0))</f>
        <v>9234.374883088485</v>
      </c>
      <c r="I60" s="61" t="n"/>
      <c r="J60" s="226">
        <f> IF(ABS(K60) &gt; CHK_TOL, 1, 0)</f>
        <v>1.0</v>
      </c>
      <c r="K60" s="490">
        <f> H60 - INDEX(M60:O60, $J$5)</f>
        <v>9234.374883088485</v>
      </c>
      <c r="L60" s="513">
        <f> IF(ABS(K60) &gt; CHK_TOL, IF(INDEX(M60:O60, $J$5) = 0, 0, H60 / INDEX(M60:O60, $J$5) - 1), 0)</f>
        <v>0.0</v>
      </c>
      <c r="M60" s="514" t="n">
        <v>9234.374883088485</v>
      </c>
      <c r="N60" s="515" t="n">
        <v>9089.256065389896</v>
      </c>
      <c r="O60" s="514" t="n">
        <v>9265.364152988759</v>
      </c>
    </row>
    <row r="61" outlineLevel="1" customFormat="1" s="61">
      <c r="A61" s="294" t="n"/>
      <c r="B61" s="294" t="n"/>
      <c r="C61" s="212" t="n"/>
      <c r="D61" s="61" t="n"/>
      <c r="E61" s="325" t="inlineStr">
        <is>
          <t>Share capital</t>
        </is>
      </c>
      <c r="F61" s="325" t="n"/>
      <c r="G61" s="325" t="inlineStr">
        <is>
          <t>$ 000s</t>
        </is>
      </c>
      <c r="H61" s="490">
        <f>INDEX(FinStat!$J$73:$CO$73,MATCH($H$53,FinStat!$J$2:$CO$2,0))</f>
        <v>11565.429793305917</v>
      </c>
      <c r="I61" s="61" t="n"/>
      <c r="J61" s="226">
        <f> IF(ABS(K61) &gt; CHK_TOL, 1, 0)</f>
        <v>1.0</v>
      </c>
      <c r="K61" s="490">
        <f> H61 - INDEX(M61:O61, $J$5)</f>
        <v>11565.429793305917</v>
      </c>
      <c r="L61" s="513">
        <f> IF(ABS(K61) &gt; CHK_TOL, IF(INDEX(M61:O61, $J$5) = 0, 0, H61 / INDEX(M61:O61, $J$5) - 1), 0)</f>
        <v>0.0</v>
      </c>
      <c r="M61" s="514" t="n">
        <v>11565.42979330592</v>
      </c>
      <c r="N61" s="515" t="n">
        <v>18235.05972774347</v>
      </c>
      <c r="O61" s="514" t="n">
        <v>10140.29842567611</v>
      </c>
    </row>
    <row r="62" outlineLevel="1" customFormat="1" s="61">
      <c r="A62" s="294" t="n"/>
      <c r="B62" s="294" t="n"/>
      <c r="C62" s="212" t="n"/>
      <c r="D62" s="61" t="n"/>
      <c r="E62" s="325" t="inlineStr">
        <is>
          <t>Retained earnings</t>
        </is>
      </c>
      <c r="F62" s="325" t="n"/>
      <c r="G62" s="325" t="inlineStr">
        <is>
          <t>$ 000s</t>
        </is>
      </c>
      <c r="H62" s="490">
        <f>INDEX(FinStat!$J$74:$CO$74,MATCH($H$53,FinStat!$J$2:$CO$2,0))</f>
        <v>0.0</v>
      </c>
      <c r="I62" s="61" t="n"/>
      <c r="J62" s="226">
        <f> IF(ABS(K62) &gt; CHK_TOL, 1, 0)</f>
        <v>0.0</v>
      </c>
      <c r="K62" s="490">
        <f> H62 - INDEX(M62:O62, $J$5)</f>
        <v>0.0</v>
      </c>
      <c r="L62" s="513">
        <f> IF(ABS(K62) &gt; CHK_TOL, IF(INDEX(M62:O62, $J$5) = 0, 0, H62 / INDEX(M62:O62, $J$5) - 1), 0)</f>
        <v>0.0</v>
      </c>
      <c r="M62" s="514" t="n">
        <v>0</v>
      </c>
      <c r="N62" s="515" t="n">
        <v>0</v>
      </c>
      <c r="O62" s="514" t="n">
        <v>0</v>
      </c>
    </row>
    <row r="63" outlineLevel="1" customFormat="1" s="61">
      <c r="A63" s="294" t="n"/>
      <c r="B63" s="294" t="n"/>
      <c r="C63" s="212" t="n"/>
      <c r="D63" s="61" t="n"/>
      <c r="E63" s="325" t="inlineStr">
        <is>
          <t>Total liabilities and shareholder funds</t>
        </is>
      </c>
      <c r="F63" s="325" t="n"/>
      <c r="G63" s="325" t="inlineStr">
        <is>
          <t>$ 000s</t>
        </is>
      </c>
      <c r="H63" s="490">
        <f>INDEX(FinStat!$J$75:$CO$75,MATCH($H$53,FinStat!$J$2:$CO$2,0))</f>
        <v>90340.9183127075</v>
      </c>
      <c r="I63" s="61" t="n"/>
      <c r="J63" s="226">
        <f> IF(ABS(K63) &gt; CHK_TOL, 1, 0)</f>
        <v>1.0</v>
      </c>
      <c r="K63" s="490">
        <f> H63 - INDEX(M63:O63, $J$5)</f>
        <v>90340.9183127075</v>
      </c>
      <c r="L63" s="513">
        <f> IF(ABS(K63) &gt; CHK_TOL, IF(INDEX(M63:O63, $J$5) = 0, 0, H63 / INDEX(M63:O63, $J$5) - 1), 0)</f>
        <v>0.0</v>
      </c>
      <c r="M63" s="514" t="n">
        <v>90340.91831270749</v>
      </c>
      <c r="N63" s="515" t="n">
        <v>95322.76421466845</v>
      </c>
      <c r="O63" s="514" t="n">
        <v>89446.67740433059</v>
      </c>
    </row>
    <row r="64" outlineLevel="1" customFormat="1" s="61">
      <c r="A64" s="294" t="n"/>
      <c r="B64" s="294" t="n"/>
      <c r="C64" s="212" t="n"/>
      <c r="D64" s="61" t="n"/>
      <c r="E64" s="325" t="inlineStr">
        <is>
          <t>Balance check (assets less funding)</t>
        </is>
      </c>
      <c r="F64" s="325" t="n"/>
      <c r="G64" s="325" t="inlineStr">
        <is>
          <t>$ 000s</t>
        </is>
      </c>
      <c r="H64" s="490">
        <f>H57-H63</f>
        <v>1.3096723705530167e-10</v>
      </c>
      <c r="I64" s="61" t="n"/>
      <c r="J64" s="226">
        <f> IF(ABS(K64) &gt; CHK_TOL, 1, 0)</f>
        <v>0.0</v>
      </c>
      <c r="K64" s="490">
        <f> H64 - INDEX(M64:O64, $J$5)</f>
        <v>1.3096723705530167e-10</v>
      </c>
      <c r="L64" s="513">
        <f> IF(ABS(K64) &gt; CHK_TOL, IF(INDEX(M64:O64, $J$5) = 0, 0, H64 / INDEX(M64:O64, $J$5) - 1), 0)</f>
        <v>0.0</v>
      </c>
      <c r="M64" s="514" t="n">
        <v>1.309672370553017e-10</v>
      </c>
      <c r="N64" s="515" t="n">
        <v>-1.455191522836685e-11</v>
      </c>
      <c r="O64" s="514" t="n">
        <v>-4.365574568510056e-11</v>
      </c>
    </row>
    <row r="65" outlineLevel="1" customFormat="1" s="61">
      <c r="A65" s="294" t="n"/>
      <c r="B65" s="294" t="n"/>
      <c r="C65" s="212" t="n"/>
      <c r="D65" s="61" t="n"/>
      <c r="E65" s="325" t="inlineStr">
        <is>
          <t>Net debt (senior debt less cash)</t>
        </is>
      </c>
      <c r="F65" s="325" t="n"/>
      <c r="G65" s="325" t="inlineStr">
        <is>
          <t>$ 000s</t>
        </is>
      </c>
      <c r="H65" s="490">
        <f>H59-H56</f>
        <v>38289.4814992221</v>
      </c>
      <c r="I65" s="61" t="n"/>
      <c r="J65" s="226">
        <f> IF(ABS(K65) &gt; CHK_TOL, 1, 0)</f>
        <v>1.0</v>
      </c>
      <c r="K65" s="490">
        <f> H65 - INDEX(M65:O65, $J$5)</f>
        <v>38289.4814992221</v>
      </c>
      <c r="L65" s="513">
        <f> IF(ABS(K65) &gt; CHK_TOL, IF(INDEX(M65:O65, $J$5) = 0, 0, H65 / INDEX(M65:O65, $J$5) - 1), 0)</f>
        <v>0.0</v>
      </c>
      <c r="M65" s="514" t="n">
        <v>38289.4814992221</v>
      </c>
      <c r="N65" s="515" t="n">
        <v>18379.83385366138</v>
      </c>
      <c r="O65" s="514" t="n">
        <v>42891.47649255162</v>
      </c>
    </row>
    <row r="66" outlineLevel="1" customFormat="1" s="260">
      <c r="A66" s="263" t="n"/>
      <c r="B66" s="263" t="n"/>
      <c r="C66" s="264" t="n"/>
      <c r="D66" s="260" t="n"/>
      <c r="E66" s="295" t="inlineStr">
        <is>
          <t>Senior debt / (debt + shareholder funds)</t>
        </is>
      </c>
      <c r="F66" s="295" t="n"/>
      <c r="G66" s="295" t="inlineStr">
        <is>
          <t>%</t>
        </is>
      </c>
      <c r="H66" s="521">
        <f>IF(H59+H61+H62+H68=0,0,H59/(H59+H61+H62+H68))</f>
        <v>0.6167235626572142</v>
      </c>
      <c r="I66" s="260" t="n"/>
      <c r="J66" s="265">
        <f> IF(ABS(K66) &gt; CHK_TOL, 1, 0)</f>
        <v>1.0</v>
      </c>
      <c r="K66" s="521">
        <f> H66 - INDEX(M66:O66, $J$5)</f>
        <v>0.6167235626572142</v>
      </c>
      <c r="L66" s="522">
        <f> IF(ABS(K66) &gt; CHK_TOL, IF(INDEX(M66:O66, $J$5) = 0, 0, H66 / INDEX(M66:O66, $J$5) - 1), 0)</f>
        <v>0.0</v>
      </c>
      <c r="M66" s="523" t="n">
        <v>0.6167235626572142</v>
      </c>
      <c r="N66" s="524" t="n">
        <v>0.430704701295805</v>
      </c>
      <c r="O66" s="523" t="n">
        <v>0.6598418678746237</v>
      </c>
    </row>
    <row r="67" outlineLevel="1" customFormat="1" s="61">
      <c r="A67" s="294" t="n"/>
      <c r="B67" s="294" t="n"/>
      <c r="C67" s="212" t="n"/>
      <c r="E67" s="61" t="inlineStr">
        <is>
          <t>Cumulative dividends to date</t>
        </is>
      </c>
      <c r="G67" s="61" t="inlineStr">
        <is>
          <t>$ 000s</t>
        </is>
      </c>
      <c r="H67" s="490">
        <f>-SUMIFS(FinStat!$J$51:$CO$51,FinStat!$J$2:$CO$2,"&lt;="&amp;$H$53)</f>
        <v>42306.27007075708</v>
      </c>
      <c r="I67" s="61" t="n"/>
      <c r="J67" s="226">
        <f> IF(ABS(K67) &gt; CHK_TOL, 1, 0)</f>
        <v>1.0</v>
      </c>
      <c r="K67" s="490">
        <f> H67 - INDEX(M67:O67, $J$5)</f>
        <v>42306.27007075708</v>
      </c>
      <c r="L67" s="513">
        <f> IF(ABS(K67) &gt; CHK_TOL, IF(INDEX(M67:O67, $J$5) = 0, 0, H67 / INDEX(M67:O67, $J$5) - 1), 0)</f>
        <v>0.0</v>
      </c>
      <c r="M67" s="514" t="n">
        <v>42306.27007075708</v>
      </c>
      <c r="N67" s="515" t="n">
        <v>16738.70280094259</v>
      </c>
      <c r="O67" s="514" t="n">
        <v>66628.12795478443</v>
      </c>
    </row>
    <row r="68" outlineLevel="1" customFormat="1" s="61">
      <c r="B68" s="294" t="n"/>
      <c r="C68" s="212" t="n"/>
      <c r="D68" s="61" t="n"/>
      <c r="E68" s="61" t="inlineStr">
        <is>
          <t>Shareholder loan balance</t>
        </is>
      </c>
      <c r="G68" s="61" t="inlineStr">
        <is>
          <t>$ 000s</t>
        </is>
      </c>
      <c r="H68" s="484">
        <f>INDEX(FinStat!$J$71:$CO$71,MATCH($H$53,FinStat!$J$2:$CO$2,0))</f>
        <v>17781.848307207845</v>
      </c>
      <c r="I68" s="61" t="n"/>
      <c r="J68" s="226">
        <f> IF(ABS(K68) &gt; CHK_TOL, 1, 0)</f>
        <v>1.0</v>
      </c>
      <c r="K68" s="490">
        <f> H68 - INDEX(M68:O68, $J$5)</f>
        <v>17781.848307207845</v>
      </c>
      <c r="L68" s="513">
        <f> IF(ABS(K68) &gt; CHK_TOL, IF(INDEX(M68:O68, $J$5) = 0, 0, H68 / INDEX(M68:O68, $J$5) - 1), 0)</f>
        <v>0.0</v>
      </c>
      <c r="M68" s="514" t="n">
        <v>17781.84830720785</v>
      </c>
      <c r="N68" s="515" t="n">
        <v>28250.24018705152</v>
      </c>
      <c r="O68" s="538" t="n">
        <v>15590.70882947702</v>
      </c>
    </row>
    <row r="69" customFormat="1" s="61">
      <c r="A69" s="294" t="n"/>
      <c r="B69" s="294" t="n"/>
      <c r="C69" s="212" t="n"/>
      <c r="E69" s="61" t="inlineStr">
        <is>
          <t>DSRA balance</t>
        </is>
      </c>
      <c r="G69" s="61" t="inlineStr">
        <is>
          <t>%</t>
        </is>
      </c>
      <c r="H69" s="490">
        <f>INDEX(FinStat!$J$65:$CO$65,MATCH($H$53,FinStat!$J$2:$CO$2,0))</f>
        <v>5230.632697360592</v>
      </c>
      <c r="I69" s="61" t="n"/>
      <c r="J69" s="226">
        <f> IF(ABS(K69) &gt; CHK_TOL, 1, 0)</f>
        <v>1.0</v>
      </c>
      <c r="K69" s="532">
        <f> H69 - INDEX(M69:O69, $J$5)</f>
        <v>5230.632697360592</v>
      </c>
      <c r="L69" s="513">
        <f> IF(ABS(K69) &gt; CHK_TOL, IF(INDEX(M69:O69, $J$5) = 0, 0, H69 / INDEX(M69:O69, $J$5) - 1), 0)</f>
        <v>0.0</v>
      </c>
      <c r="M69" s="514" t="n">
        <v>5230.632697360592</v>
      </c>
      <c r="N69" s="515" t="n">
        <v>3922.54845852596</v>
      </c>
      <c r="O69" s="514" t="n">
        <v>5503.986358086106</v>
      </c>
    </row>
    <row r="70" collapsed="1" customFormat="1" s="231">
      <c r="A70" s="229" t="inlineStr">
        <is>
          <t>INFO ONLY</t>
        </is>
      </c>
      <c r="B70" s="229" t="n"/>
      <c r="C70" s="230" t="n"/>
      <c r="F70" s="232" t="n"/>
      <c r="L70" s="454" t="n"/>
      <c r="N70" s="234" t="n"/>
    </row>
    <row r="71" customFormat="1" s="61">
      <c r="A71" s="39" t="n"/>
      <c r="B71" s="39" t="n"/>
      <c r="C71" s="40" t="n"/>
      <c r="D71" s="152" t="n"/>
      <c r="E71" s="152" t="n"/>
      <c r="G71" s="152" t="n"/>
      <c r="H71" s="205" t="n"/>
      <c r="I71" s="61" t="n"/>
      <c r="K71" s="61" t="n"/>
      <c r="L71" s="402" t="n"/>
      <c r="M71" s="213" t="n"/>
      <c r="N71" s="236" t="n"/>
      <c r="O71" s="213" t="n"/>
    </row>
    <row r="72" customFormat="1" s="61">
      <c r="A72" s="167" t="n"/>
      <c r="B72" s="167" t="n"/>
      <c r="C72" s="237" t="n"/>
      <c r="D72" s="205" t="n"/>
      <c r="E72" s="205" t="inlineStr">
        <is>
          <t>Date</t>
        </is>
      </c>
      <c r="F72" s="170" t="n"/>
      <c r="G72" s="205" t="n"/>
      <c r="H72" s="205">
        <f> TODAY()</f>
        <v>46305.0</v>
      </c>
      <c r="I72" s="455" t="n"/>
      <c r="K72" s="61" t="n"/>
      <c r="L72" s="402" t="n"/>
      <c r="M72" s="203" t="n"/>
      <c r="N72" s="239" t="n"/>
      <c r="O72" s="203" t="n"/>
    </row>
    <row r="73" customFormat="1" s="61">
      <c r="A73" s="456" t="n"/>
      <c r="B73" s="456" t="n"/>
      <c r="C73" s="457" t="n"/>
      <c r="D73" s="455" t="n"/>
      <c r="E73" s="205" t="inlineStr">
        <is>
          <t>Time</t>
        </is>
      </c>
      <c r="F73" s="244" t="n"/>
      <c r="G73" s="455" t="n"/>
      <c r="H73" s="455">
        <f> NOW()</f>
        <v>46305.57743055555</v>
      </c>
      <c r="I73" s="61" t="n"/>
      <c r="K73" s="61" t="n"/>
      <c r="L73" s="402" t="n"/>
      <c r="M73" s="458" t="n"/>
      <c r="N73" s="459" t="n"/>
      <c r="O73" s="458" t="n"/>
    </row>
    <row r="74" customFormat="1" s="61">
      <c r="A74" s="294" t="n"/>
      <c r="B74" s="294" t="n"/>
      <c r="C74" s="212" t="n"/>
      <c r="E74" s="61" t="inlineStr">
        <is>
          <t>File</t>
        </is>
      </c>
      <c r="F74" s="244" t="n"/>
      <c r="H74" s="61">
        <f> MID(CELL("filename",$A$1), SEARCH("[", CELL("filename",$A$1)) + 1, SEARCH("]", CELL("filename",$A$1)) - SEARCH("[", CELL("filename",$A$1)) - 1)</f>
        <v/>
      </c>
      <c r="I74" s="61" t="n"/>
      <c r="K74" s="61" t="n"/>
      <c r="L74" s="402" t="n"/>
      <c r="M74" s="213" t="n"/>
      <c r="N74" s="293" t="n"/>
      <c r="O74" s="213" t="n"/>
    </row>
    <row r="75" customFormat="1" s="217">
      <c r="A75" s="247" t="n"/>
      <c r="B75" s="247" t="n"/>
      <c r="C75" s="248" t="n"/>
      <c r="D75" s="143" t="n"/>
      <c r="E75" s="249" t="inlineStr">
        <is>
          <t>[do not delete row]</t>
        </is>
      </c>
      <c r="F75" s="250" t="n"/>
      <c r="G75" s="251" t="n"/>
      <c r="H75" s="251" t="n"/>
      <c r="J75" s="217" t="inlineStr">
        <is>
          <t>range end</t>
        </is>
      </c>
      <c r="L75" s="460" t="n"/>
    </row>
    <row r="76" customFormat="1" s="61">
      <c r="A76" s="294" t="n"/>
      <c r="B76" s="294" t="n"/>
      <c r="C76" s="212" t="n"/>
      <c r="F76" s="244" t="n"/>
      <c r="I76" s="61" t="n"/>
      <c r="L76" s="402" t="n"/>
      <c r="M76" s="213" t="n"/>
      <c r="O76" s="213" t="n"/>
    </row>
    <row r="77" customFormat="1" s="61">
      <c r="A77" s="294" t="n"/>
      <c r="B77" s="294" t="n"/>
      <c r="C77" s="212" t="n"/>
      <c r="E77" s="61" t="inlineStr">
        <is>
          <t>Comment: Key input and logic changes</t>
        </is>
      </c>
      <c r="F77" s="244" t="n"/>
      <c r="H77" s="0" t="inlineStr">
        <is>
          <t>v1.0 corrected model: see Cover sheet change log</t>
        </is>
      </c>
      <c r="I77" s="61" t="n"/>
      <c r="L77" s="402" t="n"/>
      <c r="M77" s="213" t="n"/>
      <c r="N77" s="253" t="n"/>
      <c r="O77" s="213" t="n"/>
    </row>
    <row r="78" customFormat="1" s="61">
      <c r="A78" s="294" t="n"/>
      <c r="B78" s="294" t="n"/>
      <c r="C78" s="212" t="n"/>
      <c r="E78" s="61" t="inlineStr">
        <is>
          <t>Comment: Key result changes</t>
        </is>
      </c>
      <c r="H78" s="0" t="inlineStr">
        <is>
          <t>Stored runs M:O are values; refresh with Copy H8:H69, Paste Special Values</t>
        </is>
      </c>
      <c r="I78" s="61" t="n"/>
      <c r="L78" s="402" t="n"/>
      <c r="M78" s="213" t="n"/>
      <c r="N78" s="253" t="n"/>
      <c r="O78" s="213" t="n"/>
    </row>
    <row r="79" customFormat="1" s="61">
      <c r="A79" s="294" t="n"/>
      <c r="B79" s="294" t="n"/>
      <c r="C79" s="212" t="n"/>
      <c r="I79" s="61" t="n"/>
      <c r="L79" s="402" t="n"/>
      <c r="M79" s="213" t="n"/>
      <c r="O79" s="213" t="n"/>
    </row>
  </sheetData>
  <conditionalFormatting sqref="J2 J14:J29 J31:J52">
    <cfRule type="cellIs" priority="9" operator="notEqual" dxfId="2" stopIfTrue="1">
      <formula>0</formula>
    </cfRule>
    <cfRule type="cellIs" priority="10" operator="equal" dxfId="2" stopIfTrue="1">
      <formula>""</formula>
    </cfRule>
  </conditionalFormatting>
  <conditionalFormatting sqref="J8:J12">
    <cfRule type="cellIs" priority="5" operator="notEqual" dxfId="2" stopIfTrue="1">
      <formula>0</formula>
    </cfRule>
    <cfRule type="cellIs" priority="6" operator="equal" dxfId="2" stopIfTrue="1">
      <formula>""</formula>
    </cfRule>
  </conditionalFormatting>
  <conditionalFormatting sqref="J54:J69">
    <cfRule type="cellIs" priority="7" operator="notEqual" dxfId="2" stopIfTrue="1">
      <formula>0</formula>
    </cfRule>
    <cfRule type="cellIs" priority="8" operator="equal" dxfId="2" stopIfTrue="1">
      <formula>""</formula>
    </cfRule>
  </conditionalFormatting>
  <dataValidations count="1">
    <dataValidation sqref="H5" showDropDown="0" showInputMessage="1" showErrorMessage="1" allowBlank="1" type="list">
      <formula1>$M$5:$O$5</formula1>
    </dataValidation>
  </dataValidations>
  <printOptions headings="1"/>
  <pageMargins left="0.75" right="0.75" top="1" bottom="1" header="0.5" footer="0.5"/>
  <pageSetup orientation="landscape" paperSize="9" scale="55" blackAndWhite="1"/>
  <headerFooter alignWithMargins="0">
    <oddHeader>&amp;LPROJECT [XXX]&amp;CSheet:&amp;A&amp;RSTRICTLY CONFIDENTIAL</oddHeader>
    <oddFooter>&amp;L&amp;F ( Printed on &amp;D at &amp;T )&amp;RPage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PROMISE GODBOLD</dc:creator>
  <dc:subject xmlns:dc="http://purl.org/dc/elements/1.1/">Financial Model for Projects</dc:subject>
  <dcterms:created xmlns:dcterms="http://purl.org/dc/terms/" xmlns:xsi="http://www.w3.org/2001/XMLSchema-instance" xsi:type="dcterms:W3CDTF">2023-01-02T03:39:35Z</dcterms:created>
  <dcterms:modified xmlns:dcterms="http://purl.org/dc/terms/" xmlns:xsi="http://www.w3.org/2001/XMLSchema-instance" xsi:type="dcterms:W3CDTF">2026-10-10T13:13:06Z</dcterms:modified>
  <cp:lastModifiedBy>Prof Bongo Adi</cp:lastModifiedBy>
</cp:coreProperties>
</file>